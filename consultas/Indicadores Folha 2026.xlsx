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omments7.xml" ContentType="application/vnd.openxmlformats-officedocument.spreadsheetml.comments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d0ffbd3ff0989fc/Área de Trabalho/"/>
    </mc:Choice>
  </mc:AlternateContent>
  <xr:revisionPtr revIDLastSave="272" documentId="8_{B48FCC2C-2260-43C9-AB27-DFC974BB468E}" xr6:coauthVersionLast="47" xr6:coauthVersionMax="47" xr10:uidLastSave="{A475AB81-7B72-4CD1-A7FA-74BFD65C42BA}"/>
  <bookViews>
    <workbookView xWindow="-96" yWindow="-96" windowWidth="23232" windowHeight="13872" tabRatio="1000" firstSheet="39" activeTab="39" xr2:uid="{00000000-000D-0000-FFFF-FFFF00000000}"/>
  </bookViews>
  <sheets>
    <sheet name="ADM" sheetId="1" state="hidden" r:id="rId1"/>
    <sheet name="ADM 2025" sheetId="2" state="hidden" r:id="rId2"/>
    <sheet name="Jan" sheetId="3" state="hidden" r:id="rId3"/>
    <sheet name="Fev" sheetId="4" state="hidden" r:id="rId4"/>
    <sheet name="Mar" sheetId="5" state="hidden" r:id="rId5"/>
    <sheet name="Abril" sheetId="6" state="hidden" r:id="rId6"/>
    <sheet name="Maio" sheetId="7" state="hidden" r:id="rId7"/>
    <sheet name="Junho" sheetId="8" state="hidden" r:id="rId8"/>
    <sheet name="Julho" sheetId="9" state="hidden" r:id="rId9"/>
    <sheet name="Agosto" sheetId="10" state="hidden" r:id="rId10"/>
    <sheet name="Setembro" sheetId="11" state="hidden" r:id="rId11"/>
    <sheet name="Outubro" sheetId="12" state="hidden" r:id="rId12"/>
    <sheet name="Novembro" sheetId="13" state="hidden" r:id="rId13"/>
    <sheet name="Dezembro" sheetId="14" state="hidden" r:id="rId14"/>
    <sheet name="Custo Fopag 25" sheetId="15" state="hidden" r:id="rId15"/>
    <sheet name="Dezembro 25" sheetId="16" state="hidden" r:id="rId16"/>
    <sheet name="Rotatividade 2025" sheetId="17" state="hidden" r:id="rId17"/>
    <sheet name="ADM_Cadastro" sheetId="18" r:id="rId18"/>
    <sheet name="Rotatividade 2026" sheetId="19" state="hidden" r:id="rId19"/>
    <sheet name="Janeiro 25" sheetId="20" state="hidden" r:id="rId20"/>
    <sheet name="Fevereiro 25" sheetId="21" state="hidden" r:id="rId21"/>
    <sheet name="Março 25" sheetId="22" state="hidden" r:id="rId22"/>
    <sheet name="Abril 25" sheetId="23" state="hidden" r:id="rId23"/>
    <sheet name="Maio 25" sheetId="24" state="hidden" r:id="rId24"/>
    <sheet name="Junho 25" sheetId="25" state="hidden" r:id="rId25"/>
    <sheet name="Julho 25" sheetId="26" state="hidden" r:id="rId26"/>
    <sheet name="Outubro 2025" sheetId="27" state="hidden" r:id="rId27"/>
    <sheet name="Novembro 25" sheetId="28" state="hidden" r:id="rId28"/>
    <sheet name="Janeiro 26" sheetId="29" state="hidden" r:id="rId29"/>
    <sheet name="Fevereiro 26" sheetId="30" state="hidden" r:id="rId30"/>
    <sheet name="ADM_Movimentações" sheetId="31" r:id="rId31"/>
    <sheet name="Fopag 01 26" sheetId="32" state="hidden" r:id="rId32"/>
    <sheet name="Fopag 02 26" sheetId="33" state="hidden" r:id="rId33"/>
    <sheet name="Fopag 03 26" sheetId="34" state="hidden" r:id="rId34"/>
    <sheet name="ADM_Fopag" sheetId="35" r:id="rId35"/>
    <sheet name="ADM_Custo" sheetId="36" r:id="rId36"/>
    <sheet name="IND_Cadastro" sheetId="37" r:id="rId37"/>
    <sheet name="IND_Movimentações" sheetId="38" r:id="rId38"/>
    <sheet name="IND_Fopag" sheetId="39" r:id="rId39"/>
    <sheet name="IND_Custo" sheetId="40" r:id="rId40"/>
    <sheet name="COM_Cadastro" sheetId="41" r:id="rId41"/>
    <sheet name="COM_Movimentações" sheetId="42" r:id="rId42"/>
    <sheet name="COM_Fopag_Jan" sheetId="43" r:id="rId43"/>
    <sheet name="COM_Fopag_fev" sheetId="44" r:id="rId44"/>
    <sheet name="COM_Fopag_Mar" sheetId="45" r:id="rId45"/>
    <sheet name="COM_Fopag_Abr" sheetId="46" r:id="rId46"/>
    <sheet name="COM_Custo" sheetId="47" r:id="rId47"/>
    <sheet name="Fopag Analitic" sheetId="48" state="hidden" r:id="rId48"/>
    <sheet name="Custo Fopag 23" sheetId="49" state="hidden" r:id="rId49"/>
    <sheet name="Custo Fopag 24 " sheetId="50" state="hidden" r:id="rId50"/>
  </sheets>
  <definedNames>
    <definedName name="_xlnm._FilterDatabase" localSheetId="40" hidden="1">COM_Cadastro!$B$2:$J$2</definedName>
    <definedName name="_xlnm._FilterDatabase" localSheetId="45" hidden="1">COM_Fopag_Abr!$B$2:$T$199</definedName>
    <definedName name="_xlnm._FilterDatabase" localSheetId="42" hidden="1">COM_Fopag_Jan!$B$2:$V$215</definedName>
    <definedName name="_xlnm._FilterDatabase" localSheetId="41" hidden="1">COM_Movimentações!$B$221:$L$291</definedName>
    <definedName name="_xlnm.Print_Area" localSheetId="5">Abril!$C$1:$U$34</definedName>
    <definedName name="_xlnm.Print_Area" localSheetId="9">Agosto!$C$1:$U$34</definedName>
    <definedName name="_xlnm.Print_Area" localSheetId="13">Dezembro!$C$1:$U$34</definedName>
    <definedName name="_xlnm.Print_Area" localSheetId="3">Fev!$C$1:$U$36</definedName>
    <definedName name="_xlnm.Print_Area" localSheetId="20">'Fevereiro 25'!$C$1:$U$34</definedName>
    <definedName name="_xlnm.Print_Area" localSheetId="31">'Fopag 01 26'!$A$1:$Q$9</definedName>
    <definedName name="_xlnm.Print_Area" localSheetId="2">Jan!$C$1:$U$37</definedName>
    <definedName name="_xlnm.Print_Area" localSheetId="19">'Janeiro 25'!$C$1:$U$34</definedName>
    <definedName name="_xlnm.Print_Area" localSheetId="8">Julho!$C$1:$U$34</definedName>
    <definedName name="_xlnm.Print_Area" localSheetId="7">Junho!$C$1:$U$34</definedName>
    <definedName name="_xlnm.Print_Area" localSheetId="6">Maio!$C$1:$U$34</definedName>
    <definedName name="_xlnm.Print_Area" localSheetId="4">Mar!$C$1:$U$34</definedName>
    <definedName name="_xlnm.Print_Area" localSheetId="21">'Março 25'!$C$1:$U$34</definedName>
    <definedName name="_xlnm.Print_Area" localSheetId="12">Novembro!$C$1:$U$34</definedName>
    <definedName name="_xlnm.Print_Area" localSheetId="11">Outubro!$C$1:$U$34</definedName>
    <definedName name="_xlnm.Print_Area" localSheetId="10">Setembro!$C$1:$U$34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90" i="42" l="1"/>
  <c r="B289" i="42"/>
  <c r="B288" i="42"/>
  <c r="B287" i="42"/>
  <c r="B286" i="42"/>
  <c r="B285" i="42"/>
  <c r="B284" i="42"/>
  <c r="B283" i="42"/>
  <c r="B282" i="42"/>
  <c r="B281" i="42"/>
  <c r="B280" i="42"/>
  <c r="B279" i="42"/>
  <c r="B278" i="42"/>
  <c r="B277" i="42"/>
  <c r="B276" i="42"/>
  <c r="B275" i="42"/>
  <c r="B274" i="42"/>
  <c r="B273" i="42"/>
  <c r="B272" i="42"/>
  <c r="B271" i="42"/>
  <c r="B270" i="42"/>
  <c r="B269" i="42"/>
  <c r="B268" i="42"/>
  <c r="B267" i="42"/>
  <c r="B266" i="42"/>
  <c r="B265" i="42"/>
  <c r="B264" i="42"/>
  <c r="B263" i="42"/>
  <c r="B262" i="42"/>
  <c r="B261" i="42"/>
  <c r="B260" i="42"/>
  <c r="B259" i="42"/>
  <c r="B258" i="42"/>
  <c r="B257" i="42"/>
  <c r="B256" i="42"/>
  <c r="B255" i="42"/>
  <c r="B254" i="42"/>
  <c r="B253" i="42"/>
  <c r="B252" i="42"/>
  <c r="B251" i="42"/>
  <c r="B250" i="42"/>
  <c r="B249" i="42"/>
  <c r="B248" i="42"/>
  <c r="B247" i="42"/>
  <c r="B246" i="42"/>
  <c r="B245" i="42"/>
  <c r="B244" i="42"/>
  <c r="B243" i="42"/>
  <c r="B242" i="42"/>
  <c r="B241" i="42"/>
  <c r="B240" i="42"/>
  <c r="B239" i="42"/>
  <c r="B238" i="42"/>
  <c r="B237" i="42"/>
  <c r="B236" i="42"/>
  <c r="B235" i="42"/>
  <c r="B234" i="42"/>
  <c r="B233" i="42"/>
  <c r="B232" i="42"/>
  <c r="B231" i="42"/>
  <c r="B230" i="42"/>
  <c r="B229" i="42"/>
  <c r="B228" i="42"/>
  <c r="B227" i="42"/>
  <c r="B226" i="42"/>
  <c r="B225" i="42"/>
  <c r="B224" i="42"/>
  <c r="B223" i="42"/>
  <c r="B222" i="42"/>
  <c r="B221" i="42"/>
  <c r="B220" i="42"/>
  <c r="B219" i="42"/>
  <c r="B218" i="42"/>
  <c r="B217" i="42"/>
  <c r="B216" i="42"/>
  <c r="B215" i="42"/>
  <c r="B214" i="42"/>
  <c r="B213" i="42"/>
  <c r="B212" i="42"/>
  <c r="B211" i="42"/>
  <c r="B210" i="42"/>
  <c r="B209" i="42"/>
  <c r="B208" i="42"/>
  <c r="B207" i="42"/>
  <c r="B206" i="42"/>
  <c r="B205" i="42"/>
  <c r="B204" i="42"/>
  <c r="B203" i="42"/>
  <c r="B202" i="42"/>
  <c r="B201" i="42"/>
  <c r="B200" i="42"/>
  <c r="B199" i="42"/>
  <c r="B198" i="42"/>
  <c r="B197" i="42"/>
  <c r="B196" i="42"/>
  <c r="B195" i="42"/>
  <c r="B194" i="42"/>
  <c r="B193" i="42"/>
  <c r="B192" i="42"/>
  <c r="B191" i="42"/>
  <c r="B190" i="42"/>
  <c r="B189" i="42"/>
  <c r="B188" i="42"/>
  <c r="B187" i="42"/>
  <c r="B186" i="42"/>
  <c r="B185" i="42"/>
  <c r="B184" i="42"/>
  <c r="B183" i="42"/>
  <c r="B182" i="42"/>
  <c r="B181" i="42"/>
  <c r="B180" i="42"/>
  <c r="B179" i="42"/>
  <c r="B178" i="42"/>
  <c r="B177" i="42"/>
  <c r="B176" i="42"/>
  <c r="B175" i="42"/>
  <c r="B174" i="42"/>
  <c r="B173" i="42"/>
  <c r="B172" i="42"/>
  <c r="B171" i="42"/>
  <c r="B170" i="42"/>
  <c r="B169" i="42"/>
  <c r="B168" i="42"/>
  <c r="B167" i="42"/>
  <c r="B166" i="42"/>
  <c r="B165" i="42"/>
  <c r="B164" i="42"/>
  <c r="B163" i="42"/>
  <c r="B162" i="42"/>
  <c r="B161" i="42"/>
  <c r="B160" i="42"/>
  <c r="B159" i="42"/>
  <c r="B158" i="42"/>
  <c r="B157" i="42"/>
  <c r="B156" i="42"/>
  <c r="B155" i="42"/>
  <c r="B154" i="42"/>
  <c r="B153" i="42"/>
  <c r="B152" i="42"/>
  <c r="B151" i="42"/>
  <c r="B150" i="42"/>
  <c r="B149" i="42"/>
  <c r="B148" i="42"/>
  <c r="B147" i="42"/>
  <c r="B146" i="42"/>
  <c r="B145" i="42"/>
  <c r="B144" i="42"/>
  <c r="B143" i="42"/>
  <c r="B142" i="42"/>
  <c r="B141" i="42"/>
  <c r="B140" i="42"/>
  <c r="B139" i="42"/>
  <c r="B138" i="42"/>
  <c r="B137" i="42"/>
  <c r="B136" i="42"/>
  <c r="B135" i="42"/>
  <c r="B134" i="42"/>
  <c r="B133" i="42"/>
  <c r="B132" i="42"/>
  <c r="B131" i="42"/>
  <c r="B130" i="42"/>
  <c r="B129" i="42"/>
  <c r="B128" i="42"/>
  <c r="B127" i="42"/>
  <c r="B126" i="42"/>
  <c r="B125" i="42"/>
  <c r="B124" i="42"/>
  <c r="B123" i="42"/>
  <c r="B122" i="42"/>
  <c r="B121" i="42"/>
  <c r="B120" i="42"/>
  <c r="B119" i="42"/>
  <c r="B118" i="42"/>
  <c r="B117" i="42"/>
  <c r="B116" i="42"/>
  <c r="B115" i="42"/>
  <c r="B114" i="42"/>
  <c r="B113" i="42"/>
  <c r="B112" i="42"/>
  <c r="B111" i="42"/>
  <c r="B110" i="42"/>
  <c r="B109" i="42"/>
  <c r="B108" i="42"/>
  <c r="B107" i="42"/>
  <c r="B106" i="42"/>
  <c r="B105" i="42"/>
  <c r="B104" i="42"/>
  <c r="B103" i="42"/>
  <c r="B102" i="42"/>
  <c r="B101" i="42"/>
  <c r="B100" i="42"/>
  <c r="B99" i="42"/>
  <c r="B98" i="42"/>
  <c r="B97" i="42"/>
  <c r="B96" i="42"/>
  <c r="B95" i="42"/>
  <c r="B94" i="42"/>
  <c r="B93" i="42"/>
  <c r="B92" i="42"/>
  <c r="B91" i="42"/>
  <c r="B90" i="42"/>
  <c r="B89" i="42"/>
  <c r="B88" i="42"/>
  <c r="B87" i="42"/>
  <c r="B86" i="42"/>
  <c r="B85" i="42"/>
  <c r="B84" i="42"/>
  <c r="B83" i="42"/>
  <c r="B82" i="42"/>
  <c r="B81" i="42"/>
  <c r="B80" i="42"/>
  <c r="B79" i="42"/>
  <c r="B78" i="42"/>
  <c r="B77" i="42"/>
  <c r="B76" i="42"/>
  <c r="B75" i="42"/>
  <c r="B74" i="42"/>
  <c r="B73" i="42"/>
  <c r="B72" i="42"/>
  <c r="B71" i="42"/>
  <c r="B70" i="42"/>
  <c r="B69" i="42"/>
  <c r="B68" i="42"/>
  <c r="B67" i="42"/>
  <c r="B66" i="42"/>
  <c r="B65" i="42"/>
  <c r="B64" i="42"/>
  <c r="B63" i="42"/>
  <c r="B62" i="42"/>
  <c r="B61" i="42"/>
  <c r="B60" i="42"/>
  <c r="B59" i="42"/>
  <c r="B58" i="42"/>
  <c r="B57" i="42"/>
  <c r="B56" i="42"/>
  <c r="B55" i="42"/>
  <c r="B54" i="42"/>
  <c r="B53" i="42"/>
  <c r="B52" i="42"/>
  <c r="B51" i="42"/>
  <c r="B50" i="42"/>
  <c r="B49" i="42"/>
  <c r="B48" i="42"/>
  <c r="B47" i="42"/>
  <c r="B46" i="42"/>
  <c r="B45" i="42"/>
  <c r="B44" i="42"/>
  <c r="B43" i="42"/>
  <c r="B42" i="42"/>
  <c r="B41" i="42"/>
  <c r="B40" i="42"/>
  <c r="B39" i="42"/>
  <c r="B38" i="42"/>
  <c r="B37" i="42"/>
  <c r="B36" i="42"/>
  <c r="B35" i="42"/>
  <c r="B34" i="42"/>
  <c r="B33" i="42"/>
  <c r="B32" i="42"/>
  <c r="B31" i="42"/>
  <c r="B30" i="42"/>
  <c r="B29" i="42"/>
  <c r="B28" i="42"/>
  <c r="B27" i="42"/>
  <c r="B26" i="42"/>
  <c r="B25" i="42"/>
  <c r="B24" i="42"/>
  <c r="B23" i="42"/>
  <c r="B22" i="42"/>
  <c r="B21" i="42"/>
  <c r="B20" i="42"/>
  <c r="B19" i="42"/>
  <c r="B18" i="42"/>
  <c r="B17" i="42"/>
  <c r="B16" i="42"/>
  <c r="B15" i="42"/>
  <c r="B14" i="42"/>
  <c r="B13" i="42"/>
  <c r="B12" i="42"/>
  <c r="B11" i="42"/>
  <c r="B10" i="42"/>
  <c r="B9" i="42"/>
  <c r="B8" i="42"/>
  <c r="B7" i="42"/>
  <c r="B6" i="42"/>
  <c r="B5" i="42"/>
  <c r="B4" i="42"/>
  <c r="B3" i="42"/>
  <c r="C136" i="46" l="1"/>
  <c r="C182" i="46"/>
  <c r="C135" i="46"/>
  <c r="C17" i="46"/>
  <c r="C103" i="46"/>
  <c r="C102" i="46"/>
  <c r="C16" i="46"/>
  <c r="C4" i="46"/>
  <c r="C181" i="46"/>
  <c r="C164" i="46"/>
  <c r="C101" i="46"/>
  <c r="C100" i="46"/>
  <c r="C163" i="46"/>
  <c r="C99" i="46"/>
  <c r="C134" i="46"/>
  <c r="C107" i="46"/>
  <c r="C77" i="46"/>
  <c r="C76" i="46"/>
  <c r="C192" i="46"/>
  <c r="C133" i="46"/>
  <c r="C162" i="46"/>
  <c r="C132" i="46"/>
  <c r="C131" i="46"/>
  <c r="C75" i="46"/>
  <c r="C74" i="46"/>
  <c r="C161" i="46"/>
  <c r="C73" i="46"/>
  <c r="C31" i="46"/>
  <c r="C160" i="46"/>
  <c r="C72" i="46"/>
  <c r="C159" i="46"/>
  <c r="C180" i="46"/>
  <c r="C106" i="46"/>
  <c r="C130" i="46"/>
  <c r="C71" i="46"/>
  <c r="C158" i="46"/>
  <c r="C198" i="46"/>
  <c r="C98" i="46"/>
  <c r="C179" i="46"/>
  <c r="C157" i="46"/>
  <c r="C129" i="46"/>
  <c r="C70" i="46"/>
  <c r="C128" i="46"/>
  <c r="C15" i="46"/>
  <c r="C30" i="46"/>
  <c r="C156" i="46"/>
  <c r="C81" i="46"/>
  <c r="C29" i="46"/>
  <c r="C155" i="46"/>
  <c r="C28" i="46"/>
  <c r="C127" i="46"/>
  <c r="C69" i="46"/>
  <c r="C126" i="46"/>
  <c r="C125" i="46"/>
  <c r="C191" i="46"/>
  <c r="C190" i="46"/>
  <c r="C171" i="46"/>
  <c r="C97" i="46"/>
  <c r="C68" i="46"/>
  <c r="C67" i="46"/>
  <c r="C80" i="46"/>
  <c r="C66" i="46"/>
  <c r="C96" i="46"/>
  <c r="C124" i="46"/>
  <c r="C197" i="46"/>
  <c r="C65" i="46"/>
  <c r="C154" i="46"/>
  <c r="C64" i="46"/>
  <c r="C178" i="46"/>
  <c r="C14" i="46"/>
  <c r="C13" i="46"/>
  <c r="C172" i="46"/>
  <c r="C63" i="46"/>
  <c r="C189" i="46"/>
  <c r="C95" i="46"/>
  <c r="C123" i="46"/>
  <c r="C94" i="46"/>
  <c r="C27" i="46"/>
  <c r="C62" i="46"/>
  <c r="C153" i="46"/>
  <c r="C93" i="46"/>
  <c r="C26" i="46"/>
  <c r="C61" i="46"/>
  <c r="C92" i="46"/>
  <c r="C60" i="46"/>
  <c r="C59" i="46"/>
  <c r="C58" i="46"/>
  <c r="C122" i="46"/>
  <c r="C152" i="46"/>
  <c r="C57" i="46"/>
  <c r="C121" i="46"/>
  <c r="C56" i="46"/>
  <c r="C25" i="46"/>
  <c r="C120" i="46"/>
  <c r="C119" i="46"/>
  <c r="C118" i="46"/>
  <c r="C196" i="46"/>
  <c r="C55" i="46"/>
  <c r="C54" i="46"/>
  <c r="C188" i="46"/>
  <c r="C24" i="46"/>
  <c r="C151" i="46"/>
  <c r="C117" i="46"/>
  <c r="C12" i="46"/>
  <c r="C53" i="46"/>
  <c r="C52" i="46"/>
  <c r="C51" i="46"/>
  <c r="C170" i="46"/>
  <c r="C116" i="46"/>
  <c r="C23" i="46"/>
  <c r="C11" i="46"/>
  <c r="C105" i="46"/>
  <c r="C115" i="46"/>
  <c r="C150" i="46"/>
  <c r="C149" i="46"/>
  <c r="C195" i="46"/>
  <c r="C6" i="46"/>
  <c r="C50" i="46"/>
  <c r="C91" i="46"/>
  <c r="C114" i="46"/>
  <c r="C104" i="46"/>
  <c r="C49" i="46"/>
  <c r="C10" i="46"/>
  <c r="C177" i="46"/>
  <c r="C169" i="46"/>
  <c r="C48" i="46"/>
  <c r="C5" i="46"/>
  <c r="C3" i="46"/>
  <c r="C47" i="46"/>
  <c r="C113" i="46"/>
  <c r="C46" i="46"/>
  <c r="C112" i="46"/>
  <c r="C90" i="46"/>
  <c r="C45" i="46"/>
  <c r="C148" i="46"/>
  <c r="C22" i="46"/>
  <c r="C89" i="46"/>
  <c r="C147" i="46"/>
  <c r="C176" i="46"/>
  <c r="C187" i="46"/>
  <c r="C186" i="46"/>
  <c r="C44" i="46"/>
  <c r="C9" i="46"/>
  <c r="C79" i="46"/>
  <c r="C137" i="46"/>
  <c r="C173" i="46"/>
  <c r="C83" i="46"/>
  <c r="C43" i="46"/>
  <c r="C146" i="46"/>
  <c r="C42" i="46"/>
  <c r="C8" i="46"/>
  <c r="C21" i="46"/>
  <c r="C88" i="46"/>
  <c r="C111" i="46"/>
  <c r="C87" i="46"/>
  <c r="C110" i="46"/>
  <c r="C78" i="46"/>
  <c r="C41" i="46"/>
  <c r="C175" i="46"/>
  <c r="C168" i="46"/>
  <c r="C185" i="46"/>
  <c r="C145" i="46"/>
  <c r="C144" i="46"/>
  <c r="C82" i="46"/>
  <c r="C40" i="46"/>
  <c r="C109" i="46"/>
  <c r="C108" i="46"/>
  <c r="C143" i="46"/>
  <c r="C86" i="46"/>
  <c r="C142" i="46"/>
  <c r="C39" i="46"/>
  <c r="C38" i="46"/>
  <c r="C37" i="46"/>
  <c r="C194" i="46"/>
  <c r="C167" i="46"/>
  <c r="C174" i="46"/>
  <c r="C141" i="46"/>
  <c r="C36" i="46"/>
  <c r="C35" i="46"/>
  <c r="C184" i="46"/>
  <c r="C7" i="46"/>
  <c r="C20" i="46"/>
  <c r="C140" i="46"/>
  <c r="C193" i="46"/>
  <c r="C139" i="46"/>
  <c r="C34" i="46"/>
  <c r="C166" i="46"/>
  <c r="C33" i="46"/>
  <c r="C32" i="46"/>
  <c r="C19" i="46"/>
  <c r="C85" i="46"/>
  <c r="C165" i="46"/>
  <c r="C138" i="46"/>
  <c r="C183" i="46"/>
  <c r="C84" i="46"/>
  <c r="C18" i="46"/>
  <c r="N17" i="50" l="1"/>
  <c r="M17" i="50"/>
  <c r="L17" i="50"/>
  <c r="K17" i="50"/>
  <c r="J17" i="50"/>
  <c r="I17" i="50"/>
  <c r="H17" i="50"/>
  <c r="G17" i="50"/>
  <c r="F17" i="50"/>
  <c r="E17" i="50"/>
  <c r="D17" i="50"/>
  <c r="C17" i="50"/>
  <c r="O16" i="50"/>
  <c r="O15" i="50"/>
  <c r="W14" i="50"/>
  <c r="O14" i="50"/>
  <c r="O17" i="50" s="1"/>
  <c r="W13" i="50"/>
  <c r="W12" i="50"/>
  <c r="S12" i="50"/>
  <c r="T12" i="50" s="1"/>
  <c r="W11" i="50"/>
  <c r="N11" i="50"/>
  <c r="S14" i="50" s="1"/>
  <c r="T14" i="50" s="1"/>
  <c r="M11" i="50"/>
  <c r="S13" i="50" s="1"/>
  <c r="T13" i="50" s="1"/>
  <c r="L11" i="50"/>
  <c r="K11" i="50"/>
  <c r="S11" i="50" s="1"/>
  <c r="T11" i="50" s="1"/>
  <c r="J11" i="50"/>
  <c r="I11" i="50"/>
  <c r="S9" i="50" s="1"/>
  <c r="T9" i="50" s="1"/>
  <c r="E11" i="50"/>
  <c r="S5" i="50" s="1"/>
  <c r="T5" i="50" s="1"/>
  <c r="D11" i="50"/>
  <c r="S4" i="50" s="1"/>
  <c r="T4" i="50" s="1"/>
  <c r="C11" i="50"/>
  <c r="W10" i="50"/>
  <c r="S10" i="50"/>
  <c r="T10" i="50" s="1"/>
  <c r="O10" i="50"/>
  <c r="W9" i="50"/>
  <c r="O9" i="50"/>
  <c r="W8" i="50"/>
  <c r="O8" i="50"/>
  <c r="W7" i="50"/>
  <c r="O7" i="50"/>
  <c r="W6" i="50"/>
  <c r="O6" i="50"/>
  <c r="W5" i="50"/>
  <c r="H5" i="50"/>
  <c r="H11" i="50" s="1"/>
  <c r="S8" i="50" s="1"/>
  <c r="T8" i="50" s="1"/>
  <c r="G5" i="50"/>
  <c r="G11" i="50" s="1"/>
  <c r="S7" i="50" s="1"/>
  <c r="T7" i="50" s="1"/>
  <c r="F5" i="50"/>
  <c r="O5" i="50" s="1"/>
  <c r="W4" i="50"/>
  <c r="O4" i="50"/>
  <c r="W3" i="50"/>
  <c r="S3" i="50"/>
  <c r="T3" i="50" s="1"/>
  <c r="O3" i="50"/>
  <c r="W14" i="49"/>
  <c r="W13" i="49"/>
  <c r="W12" i="49"/>
  <c r="T12" i="49"/>
  <c r="S12" i="49"/>
  <c r="W11" i="49"/>
  <c r="S11" i="49"/>
  <c r="T11" i="49" s="1"/>
  <c r="N11" i="49"/>
  <c r="S14" i="49" s="1"/>
  <c r="T14" i="49" s="1"/>
  <c r="M11" i="49"/>
  <c r="S13" i="49" s="1"/>
  <c r="T13" i="49" s="1"/>
  <c r="L11" i="49"/>
  <c r="K11" i="49"/>
  <c r="J11" i="49"/>
  <c r="I11" i="49"/>
  <c r="S9" i="49" s="1"/>
  <c r="T9" i="49" s="1"/>
  <c r="H11" i="49"/>
  <c r="G11" i="49"/>
  <c r="S7" i="49" s="1"/>
  <c r="T7" i="49" s="1"/>
  <c r="F11" i="49"/>
  <c r="S6" i="49" s="1"/>
  <c r="T6" i="49" s="1"/>
  <c r="E11" i="49"/>
  <c r="D11" i="49"/>
  <c r="S4" i="49" s="1"/>
  <c r="T4" i="49" s="1"/>
  <c r="C11" i="49"/>
  <c r="W10" i="49"/>
  <c r="T10" i="49"/>
  <c r="S10" i="49"/>
  <c r="O10" i="49"/>
  <c r="W9" i="49"/>
  <c r="O9" i="49"/>
  <c r="W8" i="49"/>
  <c r="S8" i="49"/>
  <c r="T8" i="49" s="1"/>
  <c r="O8" i="49"/>
  <c r="W7" i="49"/>
  <c r="O7" i="49"/>
  <c r="O11" i="49" s="1"/>
  <c r="W6" i="49"/>
  <c r="O6" i="49"/>
  <c r="W5" i="49"/>
  <c r="T5" i="49"/>
  <c r="S5" i="49"/>
  <c r="O5" i="49"/>
  <c r="W4" i="49"/>
  <c r="O4" i="49"/>
  <c r="W3" i="49"/>
  <c r="T3" i="49"/>
  <c r="S3" i="49"/>
  <c r="O3" i="49"/>
  <c r="P24" i="48"/>
  <c r="M24" i="48"/>
  <c r="V20" i="48"/>
  <c r="S20" i="48"/>
  <c r="P20" i="48"/>
  <c r="M20" i="48"/>
  <c r="J20" i="48"/>
  <c r="G20" i="48"/>
  <c r="D20" i="48"/>
  <c r="V19" i="48"/>
  <c r="S19" i="48"/>
  <c r="P19" i="48"/>
  <c r="M19" i="48"/>
  <c r="J19" i="48"/>
  <c r="G19" i="48"/>
  <c r="D19" i="48"/>
  <c r="V18" i="48"/>
  <c r="S18" i="48"/>
  <c r="P18" i="48"/>
  <c r="M18" i="48"/>
  <c r="J18" i="48"/>
  <c r="G18" i="48"/>
  <c r="D18" i="48"/>
  <c r="V17" i="48"/>
  <c r="S17" i="48"/>
  <c r="P17" i="48"/>
  <c r="M17" i="48"/>
  <c r="J17" i="48"/>
  <c r="G17" i="48"/>
  <c r="D17" i="48"/>
  <c r="V15" i="48"/>
  <c r="P15" i="48"/>
  <c r="J15" i="48"/>
  <c r="P14" i="48"/>
  <c r="J14" i="48"/>
  <c r="V12" i="48"/>
  <c r="S12" i="48"/>
  <c r="S15" i="48" s="1"/>
  <c r="P12" i="48"/>
  <c r="J12" i="48"/>
  <c r="D12" i="48"/>
  <c r="S10" i="48"/>
  <c r="P10" i="48"/>
  <c r="M10" i="48"/>
  <c r="M12" i="48" s="1"/>
  <c r="J10" i="48"/>
  <c r="G10" i="48"/>
  <c r="G12" i="48" s="1"/>
  <c r="D10" i="48"/>
  <c r="V6" i="48"/>
  <c r="S6" i="48"/>
  <c r="S14" i="48" s="1"/>
  <c r="P6" i="48"/>
  <c r="M6" i="48"/>
  <c r="J6" i="48"/>
  <c r="G6" i="48"/>
  <c r="D6" i="48"/>
  <c r="D14" i="48" s="1"/>
  <c r="G60" i="47"/>
  <c r="D60" i="47"/>
  <c r="E60" i="47" s="1"/>
  <c r="C60" i="47"/>
  <c r="G59" i="47"/>
  <c r="D59" i="47"/>
  <c r="E59" i="47" s="1"/>
  <c r="C59" i="47"/>
  <c r="G58" i="47"/>
  <c r="D58" i="47"/>
  <c r="C58" i="47"/>
  <c r="E58" i="47" s="1"/>
  <c r="G57" i="47"/>
  <c r="E57" i="47"/>
  <c r="D57" i="47"/>
  <c r="C57" i="47"/>
  <c r="G56" i="47"/>
  <c r="D56" i="47"/>
  <c r="E56" i="47" s="1"/>
  <c r="C56" i="47"/>
  <c r="G55" i="47"/>
  <c r="D55" i="47"/>
  <c r="E55" i="47" s="1"/>
  <c r="C55" i="47"/>
  <c r="G54" i="47"/>
  <c r="D54" i="47"/>
  <c r="E54" i="47" s="1"/>
  <c r="C54" i="47"/>
  <c r="G53" i="47"/>
  <c r="E53" i="47"/>
  <c r="D53" i="47"/>
  <c r="C53" i="47"/>
  <c r="G52" i="47"/>
  <c r="G51" i="47"/>
  <c r="G50" i="47"/>
  <c r="G49" i="47"/>
  <c r="H43" i="47"/>
  <c r="E43" i="47"/>
  <c r="D43" i="47"/>
  <c r="C43" i="47"/>
  <c r="F43" i="47" s="1"/>
  <c r="H42" i="47"/>
  <c r="E42" i="47"/>
  <c r="D42" i="47"/>
  <c r="F42" i="47" s="1"/>
  <c r="C42" i="47"/>
  <c r="H41" i="47"/>
  <c r="E41" i="47"/>
  <c r="D41" i="47"/>
  <c r="F41" i="47" s="1"/>
  <c r="C41" i="47"/>
  <c r="H40" i="47"/>
  <c r="E40" i="47"/>
  <c r="D40" i="47"/>
  <c r="F40" i="47" s="1"/>
  <c r="C40" i="47"/>
  <c r="H39" i="47"/>
  <c r="E39" i="47"/>
  <c r="D39" i="47"/>
  <c r="F39" i="47" s="1"/>
  <c r="C39" i="47"/>
  <c r="H38" i="47"/>
  <c r="E38" i="47"/>
  <c r="D38" i="47"/>
  <c r="F38" i="47" s="1"/>
  <c r="C38" i="47"/>
  <c r="H37" i="47"/>
  <c r="F37" i="47"/>
  <c r="E37" i="47"/>
  <c r="D37" i="47"/>
  <c r="C37" i="47"/>
  <c r="H36" i="47"/>
  <c r="E36" i="47"/>
  <c r="D36" i="47"/>
  <c r="C36" i="47"/>
  <c r="F36" i="47" s="1"/>
  <c r="H35" i="47"/>
  <c r="H34" i="47"/>
  <c r="H33" i="47"/>
  <c r="H32" i="47"/>
  <c r="D25" i="47"/>
  <c r="D21" i="47"/>
  <c r="D20" i="47"/>
  <c r="D18" i="47"/>
  <c r="N9" i="47"/>
  <c r="M9" i="47"/>
  <c r="D24" i="47" s="1"/>
  <c r="L9" i="47"/>
  <c r="D23" i="47" s="1"/>
  <c r="K9" i="47"/>
  <c r="D22" i="47" s="1"/>
  <c r="J9" i="47"/>
  <c r="I9" i="47"/>
  <c r="H9" i="47"/>
  <c r="D19" i="47" s="1"/>
  <c r="G9" i="47"/>
  <c r="R3" i="47"/>
  <c r="K199" i="46"/>
  <c r="V6" i="46" s="1"/>
  <c r="F6" i="47" s="1"/>
  <c r="J199" i="46"/>
  <c r="V5" i="46" s="1"/>
  <c r="F5" i="47" s="1"/>
  <c r="I199" i="46"/>
  <c r="V4" i="46" s="1"/>
  <c r="F4" i="47" s="1"/>
  <c r="H199" i="46"/>
  <c r="V3" i="46" s="1"/>
  <c r="F3" i="47" s="1"/>
  <c r="G199" i="46"/>
  <c r="L78" i="46"/>
  <c r="L198" i="46"/>
  <c r="L80" i="46"/>
  <c r="L172" i="46"/>
  <c r="L81" i="46"/>
  <c r="L79" i="46"/>
  <c r="L137" i="46"/>
  <c r="L173" i="46"/>
  <c r="L83" i="46"/>
  <c r="L82" i="46"/>
  <c r="L192" i="46"/>
  <c r="T192" i="46" s="1"/>
  <c r="L191" i="46"/>
  <c r="T191" i="46" s="1"/>
  <c r="L190" i="46"/>
  <c r="T190" i="46" s="1"/>
  <c r="L189" i="46"/>
  <c r="T189" i="46" s="1"/>
  <c r="L188" i="46"/>
  <c r="T188" i="46" s="1"/>
  <c r="L187" i="46"/>
  <c r="T187" i="46" s="1"/>
  <c r="L186" i="46"/>
  <c r="T186" i="46" s="1"/>
  <c r="L185" i="46"/>
  <c r="T185" i="46" s="1"/>
  <c r="L184" i="46"/>
  <c r="T184" i="46" s="1"/>
  <c r="L183" i="46"/>
  <c r="T183" i="46" s="1"/>
  <c r="L107" i="46"/>
  <c r="T107" i="46" s="1"/>
  <c r="L106" i="46"/>
  <c r="T106" i="46" s="1"/>
  <c r="L105" i="46"/>
  <c r="T105" i="46" s="1"/>
  <c r="L104" i="46"/>
  <c r="T104" i="46" s="1"/>
  <c r="L31" i="46"/>
  <c r="T31" i="46" s="1"/>
  <c r="L30" i="46"/>
  <c r="T30" i="46" s="1"/>
  <c r="L29" i="46"/>
  <c r="T29" i="46" s="1"/>
  <c r="L28" i="46"/>
  <c r="T28" i="46" s="1"/>
  <c r="L27" i="46"/>
  <c r="T27" i="46" s="1"/>
  <c r="L26" i="46"/>
  <c r="T26" i="46" s="1"/>
  <c r="L25" i="46"/>
  <c r="T25" i="46" s="1"/>
  <c r="L24" i="46"/>
  <c r="T24" i="46" s="1"/>
  <c r="L23" i="46"/>
  <c r="T23" i="46" s="1"/>
  <c r="L22" i="46"/>
  <c r="T22" i="46" s="1"/>
  <c r="L21" i="46"/>
  <c r="T21" i="46" s="1"/>
  <c r="L20" i="46"/>
  <c r="T20" i="46" s="1"/>
  <c r="L19" i="46"/>
  <c r="T19" i="46" s="1"/>
  <c r="L18" i="46"/>
  <c r="T18" i="46" s="1"/>
  <c r="L6" i="46"/>
  <c r="T6" i="46" s="1"/>
  <c r="L5" i="46"/>
  <c r="T5" i="46" s="1"/>
  <c r="L197" i="46"/>
  <c r="T197" i="46" s="1"/>
  <c r="L196" i="46"/>
  <c r="T196" i="46" s="1"/>
  <c r="L195" i="46"/>
  <c r="T195" i="46" s="1"/>
  <c r="L194" i="46"/>
  <c r="T194" i="46" s="1"/>
  <c r="L193" i="46"/>
  <c r="T193" i="46" s="1"/>
  <c r="L171" i="46"/>
  <c r="T171" i="46" s="1"/>
  <c r="L170" i="46"/>
  <c r="T170" i="46" s="1"/>
  <c r="L169" i="46"/>
  <c r="T169" i="46" s="1"/>
  <c r="L168" i="46"/>
  <c r="T168" i="46" s="1"/>
  <c r="L167" i="46"/>
  <c r="T167" i="46" s="1"/>
  <c r="L166" i="46"/>
  <c r="T166" i="46" s="1"/>
  <c r="L165" i="46"/>
  <c r="T165" i="46" s="1"/>
  <c r="L136" i="46"/>
  <c r="T136" i="46" s="1"/>
  <c r="L129" i="46"/>
  <c r="T129" i="46" s="1"/>
  <c r="L135" i="46"/>
  <c r="T135" i="46" s="1"/>
  <c r="L134" i="46"/>
  <c r="T134" i="46" s="1"/>
  <c r="L133" i="46"/>
  <c r="T133" i="46" s="1"/>
  <c r="L132" i="46"/>
  <c r="T132" i="46" s="1"/>
  <c r="L131" i="46"/>
  <c r="T131" i="46" s="1"/>
  <c r="L130" i="46"/>
  <c r="T130" i="46" s="1"/>
  <c r="L128" i="46"/>
  <c r="T128" i="46" s="1"/>
  <c r="L127" i="46"/>
  <c r="T127" i="46" s="1"/>
  <c r="L126" i="46"/>
  <c r="T126" i="46" s="1"/>
  <c r="L125" i="46"/>
  <c r="T125" i="46" s="1"/>
  <c r="L124" i="46"/>
  <c r="T124" i="46" s="1"/>
  <c r="L123" i="46"/>
  <c r="T123" i="46" s="1"/>
  <c r="L122" i="46"/>
  <c r="T122" i="46" s="1"/>
  <c r="L121" i="46"/>
  <c r="T121" i="46" s="1"/>
  <c r="L120" i="46"/>
  <c r="T120" i="46" s="1"/>
  <c r="L119" i="46"/>
  <c r="T119" i="46" s="1"/>
  <c r="L118" i="46"/>
  <c r="T118" i="46" s="1"/>
  <c r="L117" i="46"/>
  <c r="T117" i="46" s="1"/>
  <c r="L116" i="46"/>
  <c r="T116" i="46" s="1"/>
  <c r="L115" i="46"/>
  <c r="T115" i="46" s="1"/>
  <c r="L114" i="46"/>
  <c r="T114" i="46" s="1"/>
  <c r="L113" i="46"/>
  <c r="T113" i="46" s="1"/>
  <c r="L112" i="46"/>
  <c r="T112" i="46" s="1"/>
  <c r="L111" i="46"/>
  <c r="T111" i="46" s="1"/>
  <c r="L110" i="46"/>
  <c r="T110" i="46" s="1"/>
  <c r="L109" i="46"/>
  <c r="T109" i="46" s="1"/>
  <c r="L108" i="46"/>
  <c r="T108" i="46" s="1"/>
  <c r="L77" i="46"/>
  <c r="T77" i="46" s="1"/>
  <c r="L76" i="46"/>
  <c r="T76" i="46" s="1"/>
  <c r="L75" i="46"/>
  <c r="T75" i="46" s="1"/>
  <c r="L74" i="46"/>
  <c r="T74" i="46" s="1"/>
  <c r="L73" i="46"/>
  <c r="T73" i="46" s="1"/>
  <c r="L72" i="46"/>
  <c r="T72" i="46" s="1"/>
  <c r="L71" i="46"/>
  <c r="T71" i="46" s="1"/>
  <c r="L70" i="46"/>
  <c r="T70" i="46" s="1"/>
  <c r="L69" i="46"/>
  <c r="T69" i="46" s="1"/>
  <c r="L68" i="46"/>
  <c r="T68" i="46" s="1"/>
  <c r="L67" i="46"/>
  <c r="T67" i="46" s="1"/>
  <c r="L66" i="46"/>
  <c r="T66" i="46" s="1"/>
  <c r="L65" i="46"/>
  <c r="T65" i="46" s="1"/>
  <c r="L64" i="46"/>
  <c r="T64" i="46" s="1"/>
  <c r="L63" i="46"/>
  <c r="T63" i="46" s="1"/>
  <c r="L62" i="46"/>
  <c r="T62" i="46" s="1"/>
  <c r="L61" i="46"/>
  <c r="T61" i="46" s="1"/>
  <c r="L60" i="46"/>
  <c r="T60" i="46" s="1"/>
  <c r="L59" i="46"/>
  <c r="T59" i="46" s="1"/>
  <c r="L58" i="46"/>
  <c r="T58" i="46" s="1"/>
  <c r="L57" i="46"/>
  <c r="T57" i="46" s="1"/>
  <c r="L56" i="46"/>
  <c r="T56" i="46" s="1"/>
  <c r="L55" i="46"/>
  <c r="T55" i="46" s="1"/>
  <c r="L54" i="46"/>
  <c r="T54" i="46" s="1"/>
  <c r="L53" i="46"/>
  <c r="T53" i="46" s="1"/>
  <c r="L52" i="46"/>
  <c r="T52" i="46" s="1"/>
  <c r="L51" i="46"/>
  <c r="T51" i="46" s="1"/>
  <c r="L50" i="46"/>
  <c r="T50" i="46" s="1"/>
  <c r="L49" i="46"/>
  <c r="T49" i="46" s="1"/>
  <c r="L48" i="46"/>
  <c r="T48" i="46" s="1"/>
  <c r="L47" i="46"/>
  <c r="T47" i="46" s="1"/>
  <c r="L46" i="46"/>
  <c r="T46" i="46" s="1"/>
  <c r="L45" i="46"/>
  <c r="T45" i="46" s="1"/>
  <c r="L44" i="46"/>
  <c r="T44" i="46" s="1"/>
  <c r="L43" i="46"/>
  <c r="T43" i="46" s="1"/>
  <c r="L42" i="46"/>
  <c r="T42" i="46" s="1"/>
  <c r="L41" i="46"/>
  <c r="T41" i="46" s="1"/>
  <c r="L40" i="46"/>
  <c r="T40" i="46" s="1"/>
  <c r="L39" i="46"/>
  <c r="T39" i="46" s="1"/>
  <c r="L38" i="46"/>
  <c r="T38" i="46" s="1"/>
  <c r="L37" i="46"/>
  <c r="T37" i="46" s="1"/>
  <c r="L36" i="46"/>
  <c r="T36" i="46" s="1"/>
  <c r="L35" i="46"/>
  <c r="T35" i="46" s="1"/>
  <c r="L34" i="46"/>
  <c r="T34" i="46" s="1"/>
  <c r="L33" i="46"/>
  <c r="T33" i="46" s="1"/>
  <c r="L32" i="46"/>
  <c r="T32" i="46" s="1"/>
  <c r="Q182" i="46"/>
  <c r="R182" i="46" s="1"/>
  <c r="N182" i="46"/>
  <c r="M182" i="46"/>
  <c r="L182" i="46"/>
  <c r="Q181" i="46"/>
  <c r="R181" i="46" s="1"/>
  <c r="N181" i="46"/>
  <c r="O181" i="46" s="1"/>
  <c r="M181" i="46"/>
  <c r="L181" i="46"/>
  <c r="Q180" i="46"/>
  <c r="R180" i="46" s="1"/>
  <c r="N180" i="46"/>
  <c r="M180" i="46"/>
  <c r="L180" i="46"/>
  <c r="Q179" i="46"/>
  <c r="R179" i="46" s="1"/>
  <c r="N179" i="46"/>
  <c r="M179" i="46"/>
  <c r="L179" i="46"/>
  <c r="Q178" i="46"/>
  <c r="R178" i="46" s="1"/>
  <c r="N178" i="46"/>
  <c r="O178" i="46" s="1"/>
  <c r="M178" i="46"/>
  <c r="L178" i="46"/>
  <c r="Q177" i="46"/>
  <c r="R177" i="46" s="1"/>
  <c r="N177" i="46"/>
  <c r="O177" i="46" s="1"/>
  <c r="P177" i="46" s="1"/>
  <c r="M177" i="46"/>
  <c r="L177" i="46"/>
  <c r="Q176" i="46"/>
  <c r="R176" i="46" s="1"/>
  <c r="N176" i="46"/>
  <c r="O176" i="46" s="1"/>
  <c r="P176" i="46" s="1"/>
  <c r="M176" i="46"/>
  <c r="L176" i="46"/>
  <c r="Q175" i="46"/>
  <c r="R175" i="46" s="1"/>
  <c r="N175" i="46"/>
  <c r="M175" i="46"/>
  <c r="L175" i="46"/>
  <c r="Q174" i="46"/>
  <c r="R174" i="46" s="1"/>
  <c r="N174" i="46"/>
  <c r="O174" i="46" s="1"/>
  <c r="M174" i="46"/>
  <c r="L174" i="46"/>
  <c r="Q164" i="46"/>
  <c r="R164" i="46" s="1"/>
  <c r="N164" i="46"/>
  <c r="M164" i="46"/>
  <c r="L164" i="46"/>
  <c r="Q163" i="46"/>
  <c r="R163" i="46" s="1"/>
  <c r="N163" i="46"/>
  <c r="M163" i="46"/>
  <c r="L163" i="46"/>
  <c r="Q162" i="46"/>
  <c r="R162" i="46" s="1"/>
  <c r="N162" i="46"/>
  <c r="O162" i="46" s="1"/>
  <c r="M162" i="46"/>
  <c r="L162" i="46"/>
  <c r="Q161" i="46"/>
  <c r="R161" i="46" s="1"/>
  <c r="N161" i="46"/>
  <c r="O161" i="46" s="1"/>
  <c r="P161" i="46" s="1"/>
  <c r="M161" i="46"/>
  <c r="L161" i="46"/>
  <c r="Q160" i="46"/>
  <c r="R160" i="46" s="1"/>
  <c r="N160" i="46"/>
  <c r="O160" i="46" s="1"/>
  <c r="M160" i="46"/>
  <c r="L160" i="46"/>
  <c r="Q159" i="46"/>
  <c r="R159" i="46" s="1"/>
  <c r="N159" i="46"/>
  <c r="M159" i="46"/>
  <c r="L159" i="46"/>
  <c r="Q158" i="46"/>
  <c r="R158" i="46" s="1"/>
  <c r="N158" i="46"/>
  <c r="O158" i="46" s="1"/>
  <c r="M158" i="46"/>
  <c r="L158" i="46"/>
  <c r="Q157" i="46"/>
  <c r="R157" i="46" s="1"/>
  <c r="N157" i="46"/>
  <c r="O157" i="46" s="1"/>
  <c r="M157" i="46"/>
  <c r="L157" i="46"/>
  <c r="Q156" i="46"/>
  <c r="R156" i="46" s="1"/>
  <c r="N156" i="46"/>
  <c r="O156" i="46" s="1"/>
  <c r="P156" i="46" s="1"/>
  <c r="M156" i="46"/>
  <c r="L156" i="46"/>
  <c r="Q155" i="46"/>
  <c r="R155" i="46" s="1"/>
  <c r="N155" i="46"/>
  <c r="O155" i="46" s="1"/>
  <c r="M155" i="46"/>
  <c r="L155" i="46"/>
  <c r="Q154" i="46"/>
  <c r="R154" i="46" s="1"/>
  <c r="N154" i="46"/>
  <c r="O154" i="46" s="1"/>
  <c r="P154" i="46" s="1"/>
  <c r="M154" i="46"/>
  <c r="L154" i="46"/>
  <c r="Q153" i="46"/>
  <c r="R153" i="46" s="1"/>
  <c r="N153" i="46"/>
  <c r="O153" i="46" s="1"/>
  <c r="M153" i="46"/>
  <c r="L153" i="46"/>
  <c r="Q152" i="46"/>
  <c r="R152" i="46" s="1"/>
  <c r="N152" i="46"/>
  <c r="M152" i="46"/>
  <c r="L152" i="46"/>
  <c r="Q151" i="46"/>
  <c r="R151" i="46" s="1"/>
  <c r="N151" i="46"/>
  <c r="O151" i="46" s="1"/>
  <c r="M151" i="46"/>
  <c r="L151" i="46"/>
  <c r="Q150" i="46"/>
  <c r="R150" i="46" s="1"/>
  <c r="N150" i="46"/>
  <c r="O150" i="46" s="1"/>
  <c r="M150" i="46"/>
  <c r="L150" i="46"/>
  <c r="Q149" i="46"/>
  <c r="R149" i="46" s="1"/>
  <c r="N149" i="46"/>
  <c r="M149" i="46"/>
  <c r="L149" i="46"/>
  <c r="Q147" i="46"/>
  <c r="R147" i="46" s="1"/>
  <c r="N147" i="46"/>
  <c r="O147" i="46" s="1"/>
  <c r="M147" i="46"/>
  <c r="L147" i="46"/>
  <c r="Q148" i="46"/>
  <c r="R148" i="46" s="1"/>
  <c r="N148" i="46"/>
  <c r="O148" i="46" s="1"/>
  <c r="P148" i="46" s="1"/>
  <c r="M148" i="46"/>
  <c r="L148" i="46"/>
  <c r="Q146" i="46"/>
  <c r="R146" i="46" s="1"/>
  <c r="N146" i="46"/>
  <c r="O146" i="46" s="1"/>
  <c r="M146" i="46"/>
  <c r="L146" i="46"/>
  <c r="Q145" i="46"/>
  <c r="R145" i="46" s="1"/>
  <c r="N145" i="46"/>
  <c r="M145" i="46"/>
  <c r="L145" i="46"/>
  <c r="Q144" i="46"/>
  <c r="R144" i="46" s="1"/>
  <c r="N144" i="46"/>
  <c r="O144" i="46" s="1"/>
  <c r="M144" i="46"/>
  <c r="L144" i="46"/>
  <c r="Q143" i="46"/>
  <c r="R143" i="46" s="1"/>
  <c r="N143" i="46"/>
  <c r="O143" i="46" s="1"/>
  <c r="M143" i="46"/>
  <c r="L143" i="46"/>
  <c r="Q142" i="46"/>
  <c r="R142" i="46" s="1"/>
  <c r="N142" i="46"/>
  <c r="M142" i="46"/>
  <c r="L142" i="46"/>
  <c r="Q141" i="46"/>
  <c r="R141" i="46" s="1"/>
  <c r="N141" i="46"/>
  <c r="O141" i="46" s="1"/>
  <c r="M141" i="46"/>
  <c r="L141" i="46"/>
  <c r="Q140" i="46"/>
  <c r="R140" i="46" s="1"/>
  <c r="N140" i="46"/>
  <c r="O140" i="46" s="1"/>
  <c r="M140" i="46"/>
  <c r="L140" i="46"/>
  <c r="Q139" i="46"/>
  <c r="R139" i="46" s="1"/>
  <c r="N139" i="46"/>
  <c r="O139" i="46" s="1"/>
  <c r="M139" i="46"/>
  <c r="L139" i="46"/>
  <c r="Q138" i="46"/>
  <c r="R138" i="46" s="1"/>
  <c r="N138" i="46"/>
  <c r="M138" i="46"/>
  <c r="L138" i="46"/>
  <c r="Q103" i="46"/>
  <c r="R103" i="46" s="1"/>
  <c r="N103" i="46"/>
  <c r="M103" i="46"/>
  <c r="L103" i="46"/>
  <c r="Q101" i="46"/>
  <c r="R101" i="46" s="1"/>
  <c r="N101" i="46"/>
  <c r="O101" i="46" s="1"/>
  <c r="M101" i="46"/>
  <c r="L101" i="46"/>
  <c r="Q102" i="46"/>
  <c r="R102" i="46" s="1"/>
  <c r="N102" i="46"/>
  <c r="M102" i="46"/>
  <c r="L102" i="46"/>
  <c r="Q100" i="46"/>
  <c r="R100" i="46" s="1"/>
  <c r="N100" i="46"/>
  <c r="O100" i="46" s="1"/>
  <c r="M100" i="46"/>
  <c r="L100" i="46"/>
  <c r="Q99" i="46"/>
  <c r="R99" i="46" s="1"/>
  <c r="N99" i="46"/>
  <c r="O99" i="46" s="1"/>
  <c r="M99" i="46"/>
  <c r="L99" i="46"/>
  <c r="Q98" i="46"/>
  <c r="R98" i="46" s="1"/>
  <c r="N98" i="46"/>
  <c r="O98" i="46" s="1"/>
  <c r="M98" i="46"/>
  <c r="L98" i="46"/>
  <c r="Q97" i="46"/>
  <c r="R97" i="46" s="1"/>
  <c r="N97" i="46"/>
  <c r="M97" i="46"/>
  <c r="L97" i="46"/>
  <c r="Q96" i="46"/>
  <c r="R96" i="46" s="1"/>
  <c r="N96" i="46"/>
  <c r="M96" i="46"/>
  <c r="L96" i="46"/>
  <c r="Q95" i="46"/>
  <c r="R95" i="46" s="1"/>
  <c r="N95" i="46"/>
  <c r="O95" i="46" s="1"/>
  <c r="M95" i="46"/>
  <c r="L95" i="46"/>
  <c r="Q94" i="46"/>
  <c r="R94" i="46" s="1"/>
  <c r="N94" i="46"/>
  <c r="M94" i="46"/>
  <c r="L94" i="46"/>
  <c r="Q93" i="46"/>
  <c r="R93" i="46" s="1"/>
  <c r="N93" i="46"/>
  <c r="O93" i="46" s="1"/>
  <c r="M93" i="46"/>
  <c r="L93" i="46"/>
  <c r="Q92" i="46"/>
  <c r="R92" i="46" s="1"/>
  <c r="N92" i="46"/>
  <c r="O92" i="46" s="1"/>
  <c r="M92" i="46"/>
  <c r="L92" i="46"/>
  <c r="Q91" i="46"/>
  <c r="R91" i="46" s="1"/>
  <c r="N91" i="46"/>
  <c r="M91" i="46"/>
  <c r="L91" i="46"/>
  <c r="Q90" i="46"/>
  <c r="R90" i="46" s="1"/>
  <c r="N90" i="46"/>
  <c r="M90" i="46"/>
  <c r="L90" i="46"/>
  <c r="Q89" i="46"/>
  <c r="R89" i="46" s="1"/>
  <c r="N89" i="46"/>
  <c r="O89" i="46" s="1"/>
  <c r="M89" i="46"/>
  <c r="L89" i="46"/>
  <c r="Q87" i="46"/>
  <c r="R87" i="46" s="1"/>
  <c r="N87" i="46"/>
  <c r="M87" i="46"/>
  <c r="L87" i="46"/>
  <c r="Q88" i="46"/>
  <c r="R88" i="46" s="1"/>
  <c r="N88" i="46"/>
  <c r="O88" i="46" s="1"/>
  <c r="P88" i="46" s="1"/>
  <c r="M88" i="46"/>
  <c r="L88" i="46"/>
  <c r="Q86" i="46"/>
  <c r="R86" i="46" s="1"/>
  <c r="N86" i="46"/>
  <c r="O86" i="46" s="1"/>
  <c r="M86" i="46"/>
  <c r="L86" i="46"/>
  <c r="Q85" i="46"/>
  <c r="R85" i="46" s="1"/>
  <c r="N85" i="46"/>
  <c r="O85" i="46" s="1"/>
  <c r="M85" i="46"/>
  <c r="L85" i="46"/>
  <c r="Q84" i="46"/>
  <c r="R84" i="46" s="1"/>
  <c r="N84" i="46"/>
  <c r="M84" i="46"/>
  <c r="L84" i="46"/>
  <c r="Q17" i="46"/>
  <c r="R17" i="46" s="1"/>
  <c r="N17" i="46"/>
  <c r="M17" i="46"/>
  <c r="L17" i="46"/>
  <c r="Q16" i="46"/>
  <c r="R16" i="46" s="1"/>
  <c r="N16" i="46"/>
  <c r="O16" i="46" s="1"/>
  <c r="M16" i="46"/>
  <c r="L16" i="46"/>
  <c r="Q15" i="46"/>
  <c r="R15" i="46" s="1"/>
  <c r="N15" i="46"/>
  <c r="O15" i="46" s="1"/>
  <c r="M15" i="46"/>
  <c r="L15" i="46"/>
  <c r="Q14" i="46"/>
  <c r="R14" i="46" s="1"/>
  <c r="N14" i="46"/>
  <c r="M14" i="46"/>
  <c r="L14" i="46"/>
  <c r="Q13" i="46"/>
  <c r="R13" i="46" s="1"/>
  <c r="N13" i="46"/>
  <c r="O13" i="46" s="1"/>
  <c r="M13" i="46"/>
  <c r="L13" i="46"/>
  <c r="Q12" i="46"/>
  <c r="R12" i="46" s="1"/>
  <c r="N12" i="46"/>
  <c r="O12" i="46" s="1"/>
  <c r="M12" i="46"/>
  <c r="L12" i="46"/>
  <c r="Q11" i="46"/>
  <c r="R11" i="46" s="1"/>
  <c r="N11" i="46"/>
  <c r="M11" i="46"/>
  <c r="L11" i="46"/>
  <c r="Q10" i="46"/>
  <c r="R10" i="46" s="1"/>
  <c r="N10" i="46"/>
  <c r="O10" i="46" s="1"/>
  <c r="M10" i="46"/>
  <c r="L10" i="46"/>
  <c r="Q9" i="46"/>
  <c r="R9" i="46" s="1"/>
  <c r="N9" i="46"/>
  <c r="M9" i="46"/>
  <c r="L9" i="46"/>
  <c r="Y6" i="46"/>
  <c r="Q8" i="46"/>
  <c r="R8" i="46" s="1"/>
  <c r="N8" i="46"/>
  <c r="O8" i="46" s="1"/>
  <c r="M8" i="46"/>
  <c r="L8" i="46"/>
  <c r="Y5" i="46"/>
  <c r="Q7" i="46"/>
  <c r="R7" i="46" s="1"/>
  <c r="N7" i="46"/>
  <c r="O7" i="46" s="1"/>
  <c r="P7" i="46" s="1"/>
  <c r="M7" i="46"/>
  <c r="L7" i="46"/>
  <c r="Y4" i="46"/>
  <c r="Q4" i="46"/>
  <c r="R4" i="46" s="1"/>
  <c r="N4" i="46"/>
  <c r="O4" i="46" s="1"/>
  <c r="M4" i="46"/>
  <c r="L4" i="46"/>
  <c r="Y3" i="46"/>
  <c r="Q3" i="46"/>
  <c r="R3" i="46" s="1"/>
  <c r="N3" i="46"/>
  <c r="O3" i="46" s="1"/>
  <c r="M3" i="46"/>
  <c r="L3" i="46"/>
  <c r="K200" i="45"/>
  <c r="V6" i="45" s="1"/>
  <c r="E6" i="47" s="1"/>
  <c r="J200" i="45"/>
  <c r="I200" i="45"/>
  <c r="H200" i="45"/>
  <c r="G200" i="45"/>
  <c r="R199" i="45"/>
  <c r="Q199" i="45"/>
  <c r="N199" i="45"/>
  <c r="M199" i="45"/>
  <c r="L199" i="45"/>
  <c r="C199" i="45"/>
  <c r="Q198" i="45"/>
  <c r="R198" i="45" s="1"/>
  <c r="N198" i="45"/>
  <c r="M198" i="45"/>
  <c r="L198" i="45"/>
  <c r="C198" i="45"/>
  <c r="Q197" i="45"/>
  <c r="R197" i="45" s="1"/>
  <c r="O197" i="45"/>
  <c r="S197" i="45" s="1"/>
  <c r="T197" i="45" s="1"/>
  <c r="N197" i="45"/>
  <c r="P197" i="45" s="1"/>
  <c r="M197" i="45"/>
  <c r="L197" i="45"/>
  <c r="C197" i="45"/>
  <c r="Q196" i="45"/>
  <c r="R196" i="45" s="1"/>
  <c r="P196" i="45"/>
  <c r="N196" i="45"/>
  <c r="O196" i="45" s="1"/>
  <c r="M196" i="45"/>
  <c r="L196" i="45"/>
  <c r="C196" i="45"/>
  <c r="Q195" i="45"/>
  <c r="R195" i="45" s="1"/>
  <c r="N195" i="45"/>
  <c r="M195" i="45"/>
  <c r="L195" i="45"/>
  <c r="C195" i="45"/>
  <c r="Q194" i="45"/>
  <c r="R194" i="45" s="1"/>
  <c r="O194" i="45"/>
  <c r="P194" i="45" s="1"/>
  <c r="S194" i="45" s="1"/>
  <c r="N194" i="45"/>
  <c r="M194" i="45"/>
  <c r="L194" i="45"/>
  <c r="C194" i="45"/>
  <c r="R193" i="45"/>
  <c r="Q193" i="45"/>
  <c r="O193" i="45"/>
  <c r="P193" i="45" s="1"/>
  <c r="N193" i="45"/>
  <c r="M193" i="45"/>
  <c r="L193" i="45"/>
  <c r="C193" i="45"/>
  <c r="R192" i="45"/>
  <c r="Q192" i="45"/>
  <c r="N192" i="45"/>
  <c r="M192" i="45"/>
  <c r="L192" i="45"/>
  <c r="C192" i="45"/>
  <c r="L191" i="45"/>
  <c r="T191" i="45" s="1"/>
  <c r="C191" i="45"/>
  <c r="T190" i="45"/>
  <c r="L190" i="45"/>
  <c r="C190" i="45"/>
  <c r="T189" i="45"/>
  <c r="L189" i="45"/>
  <c r="C189" i="45"/>
  <c r="T188" i="45"/>
  <c r="L188" i="45"/>
  <c r="C188" i="45"/>
  <c r="L187" i="45"/>
  <c r="T187" i="45" s="1"/>
  <c r="C187" i="45"/>
  <c r="T186" i="45"/>
  <c r="L186" i="45"/>
  <c r="C186" i="45"/>
  <c r="L185" i="45"/>
  <c r="T185" i="45" s="1"/>
  <c r="C185" i="45"/>
  <c r="L184" i="45"/>
  <c r="T184" i="45" s="1"/>
  <c r="C184" i="45"/>
  <c r="T183" i="45"/>
  <c r="L183" i="45"/>
  <c r="C183" i="45"/>
  <c r="T182" i="45"/>
  <c r="L182" i="45"/>
  <c r="C182" i="45"/>
  <c r="L181" i="45"/>
  <c r="T181" i="45" s="1"/>
  <c r="C181" i="45"/>
  <c r="L180" i="45"/>
  <c r="T180" i="45" s="1"/>
  <c r="C180" i="45"/>
  <c r="T179" i="45"/>
  <c r="L179" i="45"/>
  <c r="C179" i="45"/>
  <c r="L178" i="45"/>
  <c r="T178" i="45" s="1"/>
  <c r="C178" i="45"/>
  <c r="L177" i="45"/>
  <c r="T177" i="45" s="1"/>
  <c r="C177" i="45"/>
  <c r="T176" i="45"/>
  <c r="L176" i="45"/>
  <c r="C176" i="45"/>
  <c r="T175" i="45"/>
  <c r="L175" i="45"/>
  <c r="C175" i="45"/>
  <c r="T174" i="45"/>
  <c r="L174" i="45"/>
  <c r="C174" i="45"/>
  <c r="L173" i="45"/>
  <c r="T173" i="45" s="1"/>
  <c r="C173" i="45"/>
  <c r="T172" i="45"/>
  <c r="L172" i="45"/>
  <c r="C172" i="45"/>
  <c r="L171" i="45"/>
  <c r="T171" i="45" s="1"/>
  <c r="C171" i="45"/>
  <c r="L170" i="45"/>
  <c r="T170" i="45" s="1"/>
  <c r="C170" i="45"/>
  <c r="T169" i="45"/>
  <c r="L169" i="45"/>
  <c r="C169" i="45"/>
  <c r="T168" i="45"/>
  <c r="L168" i="45"/>
  <c r="C168" i="45"/>
  <c r="L167" i="45"/>
  <c r="T167" i="45" s="1"/>
  <c r="C167" i="45"/>
  <c r="L166" i="45"/>
  <c r="T166" i="45" s="1"/>
  <c r="C166" i="45"/>
  <c r="L165" i="45"/>
  <c r="T165" i="45" s="1"/>
  <c r="C165" i="45"/>
  <c r="L164" i="45"/>
  <c r="T164" i="45" s="1"/>
  <c r="C164" i="45"/>
  <c r="L163" i="45"/>
  <c r="T163" i="45" s="1"/>
  <c r="C163" i="45"/>
  <c r="T162" i="45"/>
  <c r="L162" i="45"/>
  <c r="C162" i="45"/>
  <c r="T161" i="45"/>
  <c r="L161" i="45"/>
  <c r="C161" i="45"/>
  <c r="T160" i="45"/>
  <c r="L160" i="45"/>
  <c r="C160" i="45"/>
  <c r="L159" i="45"/>
  <c r="T159" i="45" s="1"/>
  <c r="C159" i="45"/>
  <c r="T158" i="45"/>
  <c r="L158" i="45"/>
  <c r="C158" i="45"/>
  <c r="L157" i="45"/>
  <c r="T157" i="45" s="1"/>
  <c r="C157" i="45"/>
  <c r="T156" i="45"/>
  <c r="L156" i="45"/>
  <c r="C156" i="45"/>
  <c r="T155" i="45"/>
  <c r="L155" i="45"/>
  <c r="C155" i="45"/>
  <c r="T154" i="45"/>
  <c r="L154" i="45"/>
  <c r="C154" i="45"/>
  <c r="L153" i="45"/>
  <c r="T153" i="45" s="1"/>
  <c r="C153" i="45"/>
  <c r="L152" i="45"/>
  <c r="T152" i="45" s="1"/>
  <c r="C152" i="45"/>
  <c r="T151" i="45"/>
  <c r="L151" i="45"/>
  <c r="C151" i="45"/>
  <c r="L150" i="45"/>
  <c r="T150" i="45" s="1"/>
  <c r="C150" i="45"/>
  <c r="L149" i="45"/>
  <c r="T149" i="45" s="1"/>
  <c r="C149" i="45"/>
  <c r="T148" i="45"/>
  <c r="L148" i="45"/>
  <c r="C148" i="45"/>
  <c r="T147" i="45"/>
  <c r="L147" i="45"/>
  <c r="C147" i="45"/>
  <c r="T146" i="45"/>
  <c r="L146" i="45"/>
  <c r="C146" i="45"/>
  <c r="L145" i="45"/>
  <c r="T145" i="45" s="1"/>
  <c r="C145" i="45"/>
  <c r="T144" i="45"/>
  <c r="L144" i="45"/>
  <c r="C144" i="45"/>
  <c r="L143" i="45"/>
  <c r="T143" i="45" s="1"/>
  <c r="C143" i="45"/>
  <c r="T142" i="45"/>
  <c r="L142" i="45"/>
  <c r="C142" i="45"/>
  <c r="T141" i="45"/>
  <c r="L141" i="45"/>
  <c r="C141" i="45"/>
  <c r="T140" i="45"/>
  <c r="L140" i="45"/>
  <c r="C140" i="45"/>
  <c r="L139" i="45"/>
  <c r="T139" i="45" s="1"/>
  <c r="C139" i="45"/>
  <c r="T138" i="45"/>
  <c r="L138" i="45"/>
  <c r="C138" i="45"/>
  <c r="T137" i="45"/>
  <c r="L137" i="45"/>
  <c r="C137" i="45"/>
  <c r="L136" i="45"/>
  <c r="T136" i="45" s="1"/>
  <c r="C136" i="45"/>
  <c r="L135" i="45"/>
  <c r="T135" i="45" s="1"/>
  <c r="C135" i="45"/>
  <c r="T134" i="45"/>
  <c r="L134" i="45"/>
  <c r="C134" i="45"/>
  <c r="L133" i="45"/>
  <c r="T133" i="45" s="1"/>
  <c r="C133" i="45"/>
  <c r="L132" i="45"/>
  <c r="T132" i="45" s="1"/>
  <c r="C132" i="45"/>
  <c r="L131" i="45"/>
  <c r="T131" i="45" s="1"/>
  <c r="C131" i="45"/>
  <c r="T130" i="45"/>
  <c r="L130" i="45"/>
  <c r="C130" i="45"/>
  <c r="L129" i="45"/>
  <c r="T129" i="45" s="1"/>
  <c r="C129" i="45"/>
  <c r="T128" i="45"/>
  <c r="L128" i="45"/>
  <c r="C128" i="45"/>
  <c r="T127" i="45"/>
  <c r="L127" i="45"/>
  <c r="C127" i="45"/>
  <c r="T126" i="45"/>
  <c r="L126" i="45"/>
  <c r="C126" i="45"/>
  <c r="L125" i="45"/>
  <c r="T125" i="45" s="1"/>
  <c r="C125" i="45"/>
  <c r="T124" i="45"/>
  <c r="L124" i="45"/>
  <c r="C124" i="45"/>
  <c r="T123" i="45"/>
  <c r="L123" i="45"/>
  <c r="C123" i="45"/>
  <c r="L122" i="45"/>
  <c r="T122" i="45" s="1"/>
  <c r="C122" i="45"/>
  <c r="L121" i="45"/>
  <c r="T121" i="45" s="1"/>
  <c r="C121" i="45"/>
  <c r="T120" i="45"/>
  <c r="L120" i="45"/>
  <c r="C120" i="45"/>
  <c r="T119" i="45"/>
  <c r="L119" i="45"/>
  <c r="C119" i="45"/>
  <c r="L118" i="45"/>
  <c r="T118" i="45" s="1"/>
  <c r="C118" i="45"/>
  <c r="L117" i="45"/>
  <c r="T117" i="45" s="1"/>
  <c r="C117" i="45"/>
  <c r="T116" i="45"/>
  <c r="L116" i="45"/>
  <c r="C116" i="45"/>
  <c r="L115" i="45"/>
  <c r="T115" i="45" s="1"/>
  <c r="C115" i="45"/>
  <c r="T114" i="45"/>
  <c r="L114" i="45"/>
  <c r="C114" i="45"/>
  <c r="T113" i="45"/>
  <c r="L113" i="45"/>
  <c r="C113" i="45"/>
  <c r="T112" i="45"/>
  <c r="L112" i="45"/>
  <c r="C112" i="45"/>
  <c r="L111" i="45"/>
  <c r="T111" i="45" s="1"/>
  <c r="C111" i="45"/>
  <c r="T110" i="45"/>
  <c r="L110" i="45"/>
  <c r="C110" i="45"/>
  <c r="T109" i="45"/>
  <c r="L109" i="45"/>
  <c r="C109" i="45"/>
  <c r="L108" i="45"/>
  <c r="T108" i="45" s="1"/>
  <c r="C108" i="45"/>
  <c r="L107" i="45"/>
  <c r="T107" i="45" s="1"/>
  <c r="C107" i="45"/>
  <c r="T106" i="45"/>
  <c r="L106" i="45"/>
  <c r="C106" i="45"/>
  <c r="T105" i="45"/>
  <c r="L105" i="45"/>
  <c r="C105" i="45"/>
  <c r="L104" i="45"/>
  <c r="T104" i="45" s="1"/>
  <c r="C104" i="45"/>
  <c r="L103" i="45"/>
  <c r="T103" i="45" s="1"/>
  <c r="C103" i="45"/>
  <c r="T102" i="45"/>
  <c r="L102" i="45"/>
  <c r="C102" i="45"/>
  <c r="L101" i="45"/>
  <c r="T101" i="45" s="1"/>
  <c r="C101" i="45"/>
  <c r="L100" i="45"/>
  <c r="T100" i="45" s="1"/>
  <c r="C100" i="45"/>
  <c r="T99" i="45"/>
  <c r="L99" i="45"/>
  <c r="C99" i="45"/>
  <c r="T98" i="45"/>
  <c r="L98" i="45"/>
  <c r="C98" i="45"/>
  <c r="L97" i="45"/>
  <c r="T97" i="45" s="1"/>
  <c r="C97" i="45"/>
  <c r="L96" i="45"/>
  <c r="T96" i="45" s="1"/>
  <c r="C96" i="45"/>
  <c r="L95" i="45"/>
  <c r="T95" i="45" s="1"/>
  <c r="C95" i="45"/>
  <c r="L94" i="45"/>
  <c r="T94" i="45" s="1"/>
  <c r="C94" i="45"/>
  <c r="L93" i="45"/>
  <c r="T93" i="45" s="1"/>
  <c r="C93" i="45"/>
  <c r="T92" i="45"/>
  <c r="L92" i="45"/>
  <c r="C92" i="45"/>
  <c r="T91" i="45"/>
  <c r="L91" i="45"/>
  <c r="C91" i="45"/>
  <c r="L90" i="45"/>
  <c r="T90" i="45" s="1"/>
  <c r="C90" i="45"/>
  <c r="T89" i="45"/>
  <c r="L89" i="45"/>
  <c r="C89" i="45"/>
  <c r="T88" i="45"/>
  <c r="L88" i="45"/>
  <c r="C88" i="45"/>
  <c r="L87" i="45"/>
  <c r="T87" i="45" s="1"/>
  <c r="C87" i="45"/>
  <c r="T86" i="45"/>
  <c r="L86" i="45"/>
  <c r="C86" i="45"/>
  <c r="T85" i="45"/>
  <c r="L85" i="45"/>
  <c r="C85" i="45"/>
  <c r="T84" i="45"/>
  <c r="L84" i="45"/>
  <c r="C84" i="45"/>
  <c r="L83" i="45"/>
  <c r="T83" i="45" s="1"/>
  <c r="C83" i="45"/>
  <c r="T82" i="45"/>
  <c r="L82" i="45"/>
  <c r="C82" i="45"/>
  <c r="T81" i="45"/>
  <c r="L81" i="45"/>
  <c r="C81" i="45"/>
  <c r="L80" i="45"/>
  <c r="T80" i="45" s="1"/>
  <c r="C80" i="45"/>
  <c r="L79" i="45"/>
  <c r="T79" i="45" s="1"/>
  <c r="C79" i="45"/>
  <c r="T78" i="45"/>
  <c r="L78" i="45"/>
  <c r="C78" i="45"/>
  <c r="L77" i="45"/>
  <c r="T77" i="45" s="1"/>
  <c r="C77" i="45"/>
  <c r="L76" i="45"/>
  <c r="T76" i="45" s="1"/>
  <c r="C76" i="45"/>
  <c r="T75" i="45"/>
  <c r="L75" i="45"/>
  <c r="C75" i="45"/>
  <c r="T74" i="45"/>
  <c r="L74" i="45"/>
  <c r="C74" i="45"/>
  <c r="L73" i="45"/>
  <c r="T73" i="45" s="1"/>
  <c r="C73" i="45"/>
  <c r="L72" i="45"/>
  <c r="T72" i="45" s="1"/>
  <c r="C72" i="45"/>
  <c r="R71" i="45"/>
  <c r="Q71" i="45"/>
  <c r="O71" i="45"/>
  <c r="N71" i="45"/>
  <c r="M71" i="45"/>
  <c r="L71" i="45"/>
  <c r="C71" i="45"/>
  <c r="R70" i="45"/>
  <c r="Q70" i="45"/>
  <c r="P70" i="45"/>
  <c r="N70" i="45"/>
  <c r="O70" i="45" s="1"/>
  <c r="M70" i="45"/>
  <c r="L70" i="45"/>
  <c r="C70" i="45"/>
  <c r="Q69" i="45"/>
  <c r="R69" i="45" s="1"/>
  <c r="P69" i="45"/>
  <c r="O69" i="45"/>
  <c r="N69" i="45"/>
  <c r="M69" i="45"/>
  <c r="L69" i="45"/>
  <c r="C69" i="45"/>
  <c r="T68" i="45"/>
  <c r="Q68" i="45"/>
  <c r="R68" i="45" s="1"/>
  <c r="P68" i="45"/>
  <c r="S68" i="45" s="1"/>
  <c r="O68" i="45"/>
  <c r="N68" i="45"/>
  <c r="M68" i="45"/>
  <c r="L68" i="45"/>
  <c r="C68" i="45"/>
  <c r="Q67" i="45"/>
  <c r="R67" i="45" s="1"/>
  <c r="O67" i="45"/>
  <c r="N67" i="45"/>
  <c r="M67" i="45"/>
  <c r="L67" i="45"/>
  <c r="C67" i="45"/>
  <c r="Q66" i="45"/>
  <c r="R66" i="45" s="1"/>
  <c r="O66" i="45"/>
  <c r="N66" i="45"/>
  <c r="M66" i="45"/>
  <c r="L66" i="45"/>
  <c r="C66" i="45"/>
  <c r="Q65" i="45"/>
  <c r="R65" i="45" s="1"/>
  <c r="O65" i="45"/>
  <c r="N65" i="45"/>
  <c r="M65" i="45"/>
  <c r="L65" i="45"/>
  <c r="C65" i="45"/>
  <c r="Q64" i="45"/>
  <c r="R64" i="45" s="1"/>
  <c r="N64" i="45"/>
  <c r="M64" i="45"/>
  <c r="L64" i="45"/>
  <c r="C64" i="45"/>
  <c r="R63" i="45"/>
  <c r="Q63" i="45"/>
  <c r="O63" i="45"/>
  <c r="N63" i="45"/>
  <c r="M63" i="45"/>
  <c r="L63" i="45"/>
  <c r="C63" i="45"/>
  <c r="Q62" i="45"/>
  <c r="R62" i="45" s="1"/>
  <c r="O62" i="45"/>
  <c r="P62" i="45" s="1"/>
  <c r="S62" i="45" s="1"/>
  <c r="T62" i="45" s="1"/>
  <c r="N62" i="45"/>
  <c r="M62" i="45"/>
  <c r="L62" i="45"/>
  <c r="C62" i="45"/>
  <c r="S61" i="45"/>
  <c r="T61" i="45" s="1"/>
  <c r="Q61" i="45"/>
  <c r="R61" i="45" s="1"/>
  <c r="O61" i="45"/>
  <c r="P61" i="45" s="1"/>
  <c r="N61" i="45"/>
  <c r="M61" i="45"/>
  <c r="L61" i="45"/>
  <c r="C61" i="45"/>
  <c r="R60" i="45"/>
  <c r="Q60" i="45"/>
  <c r="O60" i="45"/>
  <c r="N60" i="45"/>
  <c r="M60" i="45"/>
  <c r="L60" i="45"/>
  <c r="C60" i="45"/>
  <c r="S59" i="45"/>
  <c r="R59" i="45"/>
  <c r="Q59" i="45"/>
  <c r="P59" i="45"/>
  <c r="O59" i="45"/>
  <c r="N59" i="45"/>
  <c r="M59" i="45"/>
  <c r="L59" i="45"/>
  <c r="C59" i="45"/>
  <c r="R58" i="45"/>
  <c r="Q58" i="45"/>
  <c r="N58" i="45"/>
  <c r="M58" i="45"/>
  <c r="L58" i="45"/>
  <c r="C58" i="45"/>
  <c r="Q57" i="45"/>
  <c r="R57" i="45" s="1"/>
  <c r="N57" i="45"/>
  <c r="M57" i="45"/>
  <c r="L57" i="45"/>
  <c r="C57" i="45"/>
  <c r="Q56" i="45"/>
  <c r="R56" i="45" s="1"/>
  <c r="O56" i="45"/>
  <c r="P56" i="45" s="1"/>
  <c r="S56" i="45" s="1"/>
  <c r="T56" i="45" s="1"/>
  <c r="N56" i="45"/>
  <c r="M56" i="45"/>
  <c r="L56" i="45"/>
  <c r="C56" i="45"/>
  <c r="Q55" i="45"/>
  <c r="R55" i="45" s="1"/>
  <c r="N55" i="45"/>
  <c r="M55" i="45"/>
  <c r="L55" i="45"/>
  <c r="C55" i="45"/>
  <c r="Q54" i="45"/>
  <c r="R54" i="45" s="1"/>
  <c r="P54" i="45"/>
  <c r="O54" i="45"/>
  <c r="S54" i="45" s="1"/>
  <c r="N54" i="45"/>
  <c r="M54" i="45"/>
  <c r="L54" i="45"/>
  <c r="C54" i="45"/>
  <c r="S53" i="45"/>
  <c r="T53" i="45" s="1"/>
  <c r="R53" i="45"/>
  <c r="Q53" i="45"/>
  <c r="P53" i="45"/>
  <c r="O53" i="45"/>
  <c r="N53" i="45"/>
  <c r="M53" i="45"/>
  <c r="L53" i="45"/>
  <c r="C53" i="45"/>
  <c r="Q52" i="45"/>
  <c r="R52" i="45" s="1"/>
  <c r="N52" i="45"/>
  <c r="M52" i="45"/>
  <c r="L52" i="45"/>
  <c r="C52" i="45"/>
  <c r="R51" i="45"/>
  <c r="Q51" i="45"/>
  <c r="N51" i="45"/>
  <c r="M51" i="45"/>
  <c r="L51" i="45"/>
  <c r="C51" i="45"/>
  <c r="Q50" i="45"/>
  <c r="R50" i="45" s="1"/>
  <c r="O50" i="45"/>
  <c r="N50" i="45"/>
  <c r="M50" i="45"/>
  <c r="L50" i="45"/>
  <c r="C50" i="45"/>
  <c r="Q49" i="45"/>
  <c r="R49" i="45" s="1"/>
  <c r="N49" i="45"/>
  <c r="M49" i="45"/>
  <c r="L49" i="45"/>
  <c r="C49" i="45"/>
  <c r="Q48" i="45"/>
  <c r="R48" i="45" s="1"/>
  <c r="N48" i="45"/>
  <c r="M48" i="45"/>
  <c r="L48" i="45"/>
  <c r="C48" i="45"/>
  <c r="Q47" i="45"/>
  <c r="R47" i="45" s="1"/>
  <c r="O47" i="45"/>
  <c r="N47" i="45"/>
  <c r="M47" i="45"/>
  <c r="L47" i="45"/>
  <c r="C47" i="45"/>
  <c r="Q46" i="45"/>
  <c r="R46" i="45" s="1"/>
  <c r="P46" i="45"/>
  <c r="O46" i="45"/>
  <c r="N46" i="45"/>
  <c r="M46" i="45"/>
  <c r="L46" i="45"/>
  <c r="C46" i="45"/>
  <c r="R45" i="45"/>
  <c r="Q45" i="45"/>
  <c r="N45" i="45"/>
  <c r="M45" i="45"/>
  <c r="L45" i="45"/>
  <c r="C45" i="45"/>
  <c r="Q44" i="45"/>
  <c r="R44" i="45" s="1"/>
  <c r="O44" i="45"/>
  <c r="N44" i="45"/>
  <c r="M44" i="45"/>
  <c r="L44" i="45"/>
  <c r="C44" i="45"/>
  <c r="Q43" i="45"/>
  <c r="R43" i="45" s="1"/>
  <c r="O43" i="45"/>
  <c r="N43" i="45"/>
  <c r="M43" i="45"/>
  <c r="L43" i="45"/>
  <c r="C43" i="45"/>
  <c r="R42" i="45"/>
  <c r="Q42" i="45"/>
  <c r="N42" i="45"/>
  <c r="M42" i="45"/>
  <c r="L42" i="45"/>
  <c r="C42" i="45"/>
  <c r="Q41" i="45"/>
  <c r="R41" i="45" s="1"/>
  <c r="N41" i="45"/>
  <c r="M41" i="45"/>
  <c r="L41" i="45"/>
  <c r="C41" i="45"/>
  <c r="Q40" i="45"/>
  <c r="R40" i="45" s="1"/>
  <c r="O40" i="45"/>
  <c r="N40" i="45"/>
  <c r="M40" i="45"/>
  <c r="L40" i="45"/>
  <c r="C40" i="45"/>
  <c r="S39" i="45"/>
  <c r="T39" i="45" s="1"/>
  <c r="R39" i="45"/>
  <c r="Q39" i="45"/>
  <c r="P39" i="45"/>
  <c r="O39" i="45"/>
  <c r="N39" i="45"/>
  <c r="M39" i="45"/>
  <c r="L39" i="45"/>
  <c r="C39" i="45"/>
  <c r="Q38" i="45"/>
  <c r="R38" i="45" s="1"/>
  <c r="N38" i="45"/>
  <c r="M38" i="45"/>
  <c r="L38" i="45"/>
  <c r="C38" i="45"/>
  <c r="Q37" i="45"/>
  <c r="R37" i="45" s="1"/>
  <c r="N37" i="45"/>
  <c r="M37" i="45"/>
  <c r="L37" i="45"/>
  <c r="C37" i="45"/>
  <c r="R36" i="45"/>
  <c r="Q36" i="45"/>
  <c r="N36" i="45"/>
  <c r="M36" i="45"/>
  <c r="L36" i="45"/>
  <c r="C36" i="45"/>
  <c r="Q35" i="45"/>
  <c r="R35" i="45" s="1"/>
  <c r="P35" i="45"/>
  <c r="O35" i="45"/>
  <c r="N35" i="45"/>
  <c r="M35" i="45"/>
  <c r="L35" i="45"/>
  <c r="C35" i="45"/>
  <c r="Q34" i="45"/>
  <c r="R34" i="45" s="1"/>
  <c r="N34" i="45"/>
  <c r="M34" i="45"/>
  <c r="L34" i="45"/>
  <c r="C34" i="45"/>
  <c r="R33" i="45"/>
  <c r="Q33" i="45"/>
  <c r="N33" i="45"/>
  <c r="M33" i="45"/>
  <c r="L33" i="45"/>
  <c r="C33" i="45"/>
  <c r="Q32" i="45"/>
  <c r="R32" i="45" s="1"/>
  <c r="N32" i="45"/>
  <c r="O32" i="45" s="1"/>
  <c r="P32" i="45" s="1"/>
  <c r="M32" i="45"/>
  <c r="L32" i="45"/>
  <c r="C32" i="45"/>
  <c r="R31" i="45"/>
  <c r="Q31" i="45"/>
  <c r="O31" i="45"/>
  <c r="N31" i="45"/>
  <c r="N200" i="45" s="1"/>
  <c r="M31" i="45"/>
  <c r="L31" i="45"/>
  <c r="C31" i="45"/>
  <c r="Q30" i="45"/>
  <c r="R30" i="45" s="1"/>
  <c r="N30" i="45"/>
  <c r="M30" i="45"/>
  <c r="L30" i="45"/>
  <c r="C30" i="45"/>
  <c r="R29" i="45"/>
  <c r="Q29" i="45"/>
  <c r="N29" i="45"/>
  <c r="M29" i="45"/>
  <c r="L29" i="45"/>
  <c r="C29" i="45"/>
  <c r="Q28" i="45"/>
  <c r="R28" i="45" s="1"/>
  <c r="O28" i="45"/>
  <c r="N28" i="45"/>
  <c r="M28" i="45"/>
  <c r="L28" i="45"/>
  <c r="C28" i="45"/>
  <c r="Q27" i="45"/>
  <c r="R27" i="45" s="1"/>
  <c r="N27" i="45"/>
  <c r="M27" i="45"/>
  <c r="L27" i="45"/>
  <c r="C27" i="45"/>
  <c r="R26" i="45"/>
  <c r="Q26" i="45"/>
  <c r="N26" i="45"/>
  <c r="M26" i="45"/>
  <c r="L26" i="45"/>
  <c r="C26" i="45"/>
  <c r="Q25" i="45"/>
  <c r="P25" i="45"/>
  <c r="O25" i="45"/>
  <c r="N25" i="45"/>
  <c r="M25" i="45"/>
  <c r="L25" i="45"/>
  <c r="C25" i="45"/>
  <c r="R24" i="45"/>
  <c r="Q24" i="45"/>
  <c r="O24" i="45"/>
  <c r="N24" i="45"/>
  <c r="M24" i="45"/>
  <c r="L24" i="45"/>
  <c r="C24" i="45"/>
  <c r="Q23" i="45"/>
  <c r="R23" i="45" s="1"/>
  <c r="O23" i="45"/>
  <c r="N23" i="45"/>
  <c r="M23" i="45"/>
  <c r="L23" i="45"/>
  <c r="C23" i="45"/>
  <c r="R22" i="45"/>
  <c r="Q22" i="45"/>
  <c r="N22" i="45"/>
  <c r="M22" i="45"/>
  <c r="L22" i="45"/>
  <c r="C22" i="45"/>
  <c r="Q21" i="45"/>
  <c r="R21" i="45" s="1"/>
  <c r="O21" i="45"/>
  <c r="N21" i="45"/>
  <c r="M21" i="45"/>
  <c r="L21" i="45"/>
  <c r="C21" i="45"/>
  <c r="Q20" i="45"/>
  <c r="R20" i="45" s="1"/>
  <c r="N20" i="45"/>
  <c r="M20" i="45"/>
  <c r="L20" i="45"/>
  <c r="C20" i="45"/>
  <c r="R19" i="45"/>
  <c r="Q19" i="45"/>
  <c r="N19" i="45"/>
  <c r="M19" i="45"/>
  <c r="L19" i="45"/>
  <c r="C19" i="45"/>
  <c r="Q18" i="45"/>
  <c r="P18" i="45"/>
  <c r="O18" i="45"/>
  <c r="N18" i="45"/>
  <c r="M18" i="45"/>
  <c r="L18" i="45"/>
  <c r="C18" i="45"/>
  <c r="R17" i="45"/>
  <c r="Q17" i="45"/>
  <c r="N17" i="45"/>
  <c r="M17" i="45"/>
  <c r="L17" i="45"/>
  <c r="C17" i="45"/>
  <c r="Q16" i="45"/>
  <c r="R16" i="45" s="1"/>
  <c r="O16" i="45"/>
  <c r="N16" i="45"/>
  <c r="M16" i="45"/>
  <c r="L16" i="45"/>
  <c r="C16" i="45"/>
  <c r="Q15" i="45"/>
  <c r="R15" i="45" s="1"/>
  <c r="N15" i="45"/>
  <c r="M15" i="45"/>
  <c r="L15" i="45"/>
  <c r="C15" i="45"/>
  <c r="Q14" i="45"/>
  <c r="R14" i="45" s="1"/>
  <c r="P14" i="45"/>
  <c r="O14" i="45"/>
  <c r="N14" i="45"/>
  <c r="M14" i="45"/>
  <c r="L14" i="45"/>
  <c r="C14" i="45"/>
  <c r="Q13" i="45"/>
  <c r="R13" i="45" s="1"/>
  <c r="N13" i="45"/>
  <c r="M13" i="45"/>
  <c r="L13" i="45"/>
  <c r="C13" i="45"/>
  <c r="Q12" i="45"/>
  <c r="R12" i="45" s="1"/>
  <c r="N12" i="45"/>
  <c r="M12" i="45"/>
  <c r="L12" i="45"/>
  <c r="C12" i="45"/>
  <c r="Q11" i="45"/>
  <c r="R11" i="45" s="1"/>
  <c r="S11" i="45" s="1"/>
  <c r="T11" i="45" s="1"/>
  <c r="O11" i="45"/>
  <c r="P11" i="45" s="1"/>
  <c r="N11" i="45"/>
  <c r="M11" i="45"/>
  <c r="L11" i="45"/>
  <c r="C11" i="45"/>
  <c r="R10" i="45"/>
  <c r="Q10" i="45"/>
  <c r="O10" i="45"/>
  <c r="N10" i="45"/>
  <c r="M10" i="45"/>
  <c r="L10" i="45"/>
  <c r="C10" i="45"/>
  <c r="Q9" i="45"/>
  <c r="R9" i="45" s="1"/>
  <c r="O9" i="45"/>
  <c r="P9" i="45" s="1"/>
  <c r="N9" i="45"/>
  <c r="M9" i="45"/>
  <c r="L9" i="45"/>
  <c r="C9" i="45"/>
  <c r="Q8" i="45"/>
  <c r="R8" i="45" s="1"/>
  <c r="N8" i="45"/>
  <c r="M8" i="45"/>
  <c r="L8" i="45"/>
  <c r="C8" i="45"/>
  <c r="Q7" i="45"/>
  <c r="R7" i="45" s="1"/>
  <c r="N7" i="45"/>
  <c r="M7" i="45"/>
  <c r="L7" i="45"/>
  <c r="C7" i="45"/>
  <c r="Y6" i="45"/>
  <c r="S6" i="45"/>
  <c r="T6" i="45" s="1"/>
  <c r="R6" i="45"/>
  <c r="Q6" i="45"/>
  <c r="O6" i="45"/>
  <c r="P6" i="45" s="1"/>
  <c r="N6" i="45"/>
  <c r="M6" i="45"/>
  <c r="L6" i="45"/>
  <c r="C6" i="45"/>
  <c r="Y5" i="45"/>
  <c r="V5" i="45"/>
  <c r="E5" i="47" s="1"/>
  <c r="Q5" i="45"/>
  <c r="R5" i="45" s="1"/>
  <c r="O5" i="45"/>
  <c r="N5" i="45"/>
  <c r="M5" i="45"/>
  <c r="L5" i="45"/>
  <c r="C5" i="45"/>
  <c r="Y4" i="45"/>
  <c r="V4" i="45"/>
  <c r="E4" i="47" s="1"/>
  <c r="R4" i="45"/>
  <c r="Q4" i="45"/>
  <c r="N4" i="45"/>
  <c r="M4" i="45"/>
  <c r="L4" i="45"/>
  <c r="C4" i="45"/>
  <c r="Y3" i="45"/>
  <c r="V3" i="45"/>
  <c r="E3" i="47" s="1"/>
  <c r="Q3" i="45"/>
  <c r="N3" i="45"/>
  <c r="M3" i="45"/>
  <c r="L3" i="45"/>
  <c r="C3" i="45"/>
  <c r="K205" i="44"/>
  <c r="J205" i="44"/>
  <c r="I205" i="44"/>
  <c r="H205" i="44"/>
  <c r="G205" i="44"/>
  <c r="Q204" i="44"/>
  <c r="R204" i="44" s="1"/>
  <c r="N204" i="44"/>
  <c r="M204" i="44"/>
  <c r="L204" i="44"/>
  <c r="C204" i="44"/>
  <c r="Q203" i="44"/>
  <c r="R203" i="44" s="1"/>
  <c r="S203" i="44" s="1"/>
  <c r="T203" i="44" s="1"/>
  <c r="O203" i="44"/>
  <c r="P203" i="44" s="1"/>
  <c r="N203" i="44"/>
  <c r="M203" i="44"/>
  <c r="L203" i="44"/>
  <c r="C203" i="44"/>
  <c r="R202" i="44"/>
  <c r="Q202" i="44"/>
  <c r="O202" i="44"/>
  <c r="N202" i="44"/>
  <c r="M202" i="44"/>
  <c r="L202" i="44"/>
  <c r="C202" i="44"/>
  <c r="Q201" i="44"/>
  <c r="R201" i="44" s="1"/>
  <c r="N201" i="44"/>
  <c r="M201" i="44"/>
  <c r="L201" i="44"/>
  <c r="C201" i="44"/>
  <c r="Q200" i="44"/>
  <c r="R200" i="44" s="1"/>
  <c r="N200" i="44"/>
  <c r="M200" i="44"/>
  <c r="L200" i="44"/>
  <c r="C200" i="44"/>
  <c r="Q199" i="44"/>
  <c r="R199" i="44" s="1"/>
  <c r="O199" i="44"/>
  <c r="N199" i="44"/>
  <c r="M199" i="44"/>
  <c r="L199" i="44"/>
  <c r="C199" i="44"/>
  <c r="Q198" i="44"/>
  <c r="R198" i="44" s="1"/>
  <c r="N198" i="44"/>
  <c r="O198" i="44" s="1"/>
  <c r="M198" i="44"/>
  <c r="L198" i="44"/>
  <c r="C198" i="44"/>
  <c r="L197" i="44"/>
  <c r="T197" i="44" s="1"/>
  <c r="C197" i="44"/>
  <c r="L196" i="44"/>
  <c r="T196" i="44" s="1"/>
  <c r="C196" i="44"/>
  <c r="L195" i="44"/>
  <c r="T195" i="44" s="1"/>
  <c r="C195" i="44"/>
  <c r="L194" i="44"/>
  <c r="T194" i="44" s="1"/>
  <c r="C194" i="44"/>
  <c r="T193" i="44"/>
  <c r="L193" i="44"/>
  <c r="C193" i="44"/>
  <c r="T192" i="44"/>
  <c r="L192" i="44"/>
  <c r="C192" i="44"/>
  <c r="L191" i="44"/>
  <c r="T191" i="44" s="1"/>
  <c r="C191" i="44"/>
  <c r="L190" i="44"/>
  <c r="T190" i="44" s="1"/>
  <c r="C190" i="44"/>
  <c r="L189" i="44"/>
  <c r="T189" i="44" s="1"/>
  <c r="C189" i="44"/>
  <c r="T188" i="44"/>
  <c r="L188" i="44"/>
  <c r="C188" i="44"/>
  <c r="L187" i="44"/>
  <c r="T187" i="44" s="1"/>
  <c r="C187" i="44"/>
  <c r="T186" i="44"/>
  <c r="L186" i="44"/>
  <c r="C186" i="44"/>
  <c r="T185" i="44"/>
  <c r="L185" i="44"/>
  <c r="C185" i="44"/>
  <c r="L184" i="44"/>
  <c r="T184" i="44" s="1"/>
  <c r="C184" i="44"/>
  <c r="L183" i="44"/>
  <c r="T183" i="44" s="1"/>
  <c r="C183" i="44"/>
  <c r="L182" i="44"/>
  <c r="T182" i="44" s="1"/>
  <c r="C182" i="44"/>
  <c r="L181" i="44"/>
  <c r="T181" i="44" s="1"/>
  <c r="C181" i="44"/>
  <c r="L180" i="44"/>
  <c r="T180" i="44" s="1"/>
  <c r="C180" i="44"/>
  <c r="T179" i="44"/>
  <c r="L179" i="44"/>
  <c r="C179" i="44"/>
  <c r="T178" i="44"/>
  <c r="L178" i="44"/>
  <c r="C178" i="44"/>
  <c r="L177" i="44"/>
  <c r="T177" i="44" s="1"/>
  <c r="C177" i="44"/>
  <c r="L176" i="44"/>
  <c r="T176" i="44" s="1"/>
  <c r="C176" i="44"/>
  <c r="L175" i="44"/>
  <c r="T175" i="44" s="1"/>
  <c r="C175" i="44"/>
  <c r="T174" i="44"/>
  <c r="L174" i="44"/>
  <c r="C174" i="44"/>
  <c r="L173" i="44"/>
  <c r="T173" i="44" s="1"/>
  <c r="C173" i="44"/>
  <c r="L172" i="44"/>
  <c r="T172" i="44" s="1"/>
  <c r="C172" i="44"/>
  <c r="T171" i="44"/>
  <c r="L171" i="44"/>
  <c r="C171" i="44"/>
  <c r="L170" i="44"/>
  <c r="T170" i="44" s="1"/>
  <c r="C170" i="44"/>
  <c r="L169" i="44"/>
  <c r="T169" i="44" s="1"/>
  <c r="C169" i="44"/>
  <c r="L168" i="44"/>
  <c r="T168" i="44" s="1"/>
  <c r="C168" i="44"/>
  <c r="L167" i="44"/>
  <c r="T167" i="44" s="1"/>
  <c r="C167" i="44"/>
  <c r="L166" i="44"/>
  <c r="T166" i="44" s="1"/>
  <c r="C166" i="44"/>
  <c r="L165" i="44"/>
  <c r="T165" i="44" s="1"/>
  <c r="C165" i="44"/>
  <c r="T164" i="44"/>
  <c r="L164" i="44"/>
  <c r="C164" i="44"/>
  <c r="L163" i="44"/>
  <c r="T163" i="44" s="1"/>
  <c r="C163" i="44"/>
  <c r="T162" i="44"/>
  <c r="L162" i="44"/>
  <c r="C162" i="44"/>
  <c r="L161" i="44"/>
  <c r="T161" i="44" s="1"/>
  <c r="C161" i="44"/>
  <c r="T160" i="44"/>
  <c r="L160" i="44"/>
  <c r="C160" i="44"/>
  <c r="L159" i="44"/>
  <c r="T159" i="44" s="1"/>
  <c r="C159" i="44"/>
  <c r="L158" i="44"/>
  <c r="T158" i="44" s="1"/>
  <c r="C158" i="44"/>
  <c r="T157" i="44"/>
  <c r="L157" i="44"/>
  <c r="C157" i="44"/>
  <c r="L156" i="44"/>
  <c r="T156" i="44" s="1"/>
  <c r="C156" i="44"/>
  <c r="L155" i="44"/>
  <c r="T155" i="44" s="1"/>
  <c r="C155" i="44"/>
  <c r="L154" i="44"/>
  <c r="T154" i="44" s="1"/>
  <c r="C154" i="44"/>
  <c r="T153" i="44"/>
  <c r="L153" i="44"/>
  <c r="C153" i="44"/>
  <c r="L152" i="44"/>
  <c r="T152" i="44" s="1"/>
  <c r="C152" i="44"/>
  <c r="L151" i="44"/>
  <c r="T151" i="44" s="1"/>
  <c r="C151" i="44"/>
  <c r="T150" i="44"/>
  <c r="L150" i="44"/>
  <c r="C150" i="44"/>
  <c r="L149" i="44"/>
  <c r="T149" i="44" s="1"/>
  <c r="C149" i="44"/>
  <c r="T148" i="44"/>
  <c r="L148" i="44"/>
  <c r="C148" i="44"/>
  <c r="T147" i="44"/>
  <c r="L147" i="44"/>
  <c r="C147" i="44"/>
  <c r="T146" i="44"/>
  <c r="L146" i="44"/>
  <c r="C146" i="44"/>
  <c r="L145" i="44"/>
  <c r="T145" i="44" s="1"/>
  <c r="C145" i="44"/>
  <c r="L144" i="44"/>
  <c r="T144" i="44" s="1"/>
  <c r="C144" i="44"/>
  <c r="T143" i="44"/>
  <c r="L143" i="44"/>
  <c r="C143" i="44"/>
  <c r="T142" i="44"/>
  <c r="L142" i="44"/>
  <c r="C142" i="44"/>
  <c r="L141" i="44"/>
  <c r="T141" i="44" s="1"/>
  <c r="C141" i="44"/>
  <c r="L140" i="44"/>
  <c r="T140" i="44" s="1"/>
  <c r="C140" i="44"/>
  <c r="T139" i="44"/>
  <c r="L139" i="44"/>
  <c r="C139" i="44"/>
  <c r="L138" i="44"/>
  <c r="T138" i="44" s="1"/>
  <c r="C138" i="44"/>
  <c r="T137" i="44"/>
  <c r="L137" i="44"/>
  <c r="C137" i="44"/>
  <c r="T136" i="44"/>
  <c r="L136" i="44"/>
  <c r="C136" i="44"/>
  <c r="L135" i="44"/>
  <c r="T135" i="44" s="1"/>
  <c r="C135" i="44"/>
  <c r="T134" i="44"/>
  <c r="L134" i="44"/>
  <c r="C134" i="44"/>
  <c r="T133" i="44"/>
  <c r="L133" i="44"/>
  <c r="C133" i="44"/>
  <c r="T132" i="44"/>
  <c r="L132" i="44"/>
  <c r="C132" i="44"/>
  <c r="L131" i="44"/>
  <c r="T131" i="44" s="1"/>
  <c r="C131" i="44"/>
  <c r="L130" i="44"/>
  <c r="T130" i="44" s="1"/>
  <c r="C130" i="44"/>
  <c r="T129" i="44"/>
  <c r="L129" i="44"/>
  <c r="C129" i="44"/>
  <c r="L128" i="44"/>
  <c r="T128" i="44" s="1"/>
  <c r="C128" i="44"/>
  <c r="L127" i="44"/>
  <c r="T127" i="44" s="1"/>
  <c r="C127" i="44"/>
  <c r="L126" i="44"/>
  <c r="T126" i="44" s="1"/>
  <c r="C126" i="44"/>
  <c r="L125" i="44"/>
  <c r="T125" i="44" s="1"/>
  <c r="C125" i="44"/>
  <c r="L124" i="44"/>
  <c r="T124" i="44" s="1"/>
  <c r="C124" i="44"/>
  <c r="L123" i="44"/>
  <c r="T123" i="44" s="1"/>
  <c r="C123" i="44"/>
  <c r="T122" i="44"/>
  <c r="L122" i="44"/>
  <c r="C122" i="44"/>
  <c r="T121" i="44"/>
  <c r="L121" i="44"/>
  <c r="C121" i="44"/>
  <c r="L120" i="44"/>
  <c r="T120" i="44" s="1"/>
  <c r="C120" i="44"/>
  <c r="T119" i="44"/>
  <c r="L119" i="44"/>
  <c r="C119" i="44"/>
  <c r="T118" i="44"/>
  <c r="L118" i="44"/>
  <c r="C118" i="44"/>
  <c r="L117" i="44"/>
  <c r="T117" i="44" s="1"/>
  <c r="C117" i="44"/>
  <c r="T116" i="44"/>
  <c r="L116" i="44"/>
  <c r="C116" i="44"/>
  <c r="L115" i="44"/>
  <c r="T115" i="44" s="1"/>
  <c r="C115" i="44"/>
  <c r="T114" i="44"/>
  <c r="L114" i="44"/>
  <c r="C114" i="44"/>
  <c r="L113" i="44"/>
  <c r="T113" i="44" s="1"/>
  <c r="C113" i="44"/>
  <c r="L112" i="44"/>
  <c r="T112" i="44" s="1"/>
  <c r="C112" i="44"/>
  <c r="T111" i="44"/>
  <c r="L111" i="44"/>
  <c r="C111" i="44"/>
  <c r="T110" i="44"/>
  <c r="L110" i="44"/>
  <c r="C110" i="44"/>
  <c r="L109" i="44"/>
  <c r="T109" i="44" s="1"/>
  <c r="C109" i="44"/>
  <c r="T108" i="44"/>
  <c r="L108" i="44"/>
  <c r="C108" i="44"/>
  <c r="L107" i="44"/>
  <c r="T107" i="44" s="1"/>
  <c r="C107" i="44"/>
  <c r="T106" i="44"/>
  <c r="L106" i="44"/>
  <c r="C106" i="44"/>
  <c r="L105" i="44"/>
  <c r="T105" i="44" s="1"/>
  <c r="C105" i="44"/>
  <c r="T104" i="44"/>
  <c r="L104" i="44"/>
  <c r="C104" i="44"/>
  <c r="L103" i="44"/>
  <c r="T103" i="44" s="1"/>
  <c r="C103" i="44"/>
  <c r="L102" i="44"/>
  <c r="T102" i="44" s="1"/>
  <c r="C102" i="44"/>
  <c r="T101" i="44"/>
  <c r="L101" i="44"/>
  <c r="C101" i="44"/>
  <c r="L100" i="44"/>
  <c r="T100" i="44" s="1"/>
  <c r="C100" i="44"/>
  <c r="L99" i="44"/>
  <c r="T99" i="44" s="1"/>
  <c r="C99" i="44"/>
  <c r="L98" i="44"/>
  <c r="T98" i="44" s="1"/>
  <c r="C98" i="44"/>
  <c r="L97" i="44"/>
  <c r="T97" i="44" s="1"/>
  <c r="C97" i="44"/>
  <c r="T96" i="44"/>
  <c r="L96" i="44"/>
  <c r="C96" i="44"/>
  <c r="T95" i="44"/>
  <c r="L95" i="44"/>
  <c r="C95" i="44"/>
  <c r="T94" i="44"/>
  <c r="L94" i="44"/>
  <c r="C94" i="44"/>
  <c r="L93" i="44"/>
  <c r="T93" i="44" s="1"/>
  <c r="C93" i="44"/>
  <c r="L92" i="44"/>
  <c r="T92" i="44" s="1"/>
  <c r="C92" i="44"/>
  <c r="L91" i="44"/>
  <c r="T91" i="44" s="1"/>
  <c r="C91" i="44"/>
  <c r="T90" i="44"/>
  <c r="L90" i="44"/>
  <c r="C90" i="44"/>
  <c r="L89" i="44"/>
  <c r="T89" i="44" s="1"/>
  <c r="C89" i="44"/>
  <c r="L88" i="44"/>
  <c r="T88" i="44" s="1"/>
  <c r="C88" i="44"/>
  <c r="L87" i="44"/>
  <c r="T87" i="44" s="1"/>
  <c r="C87" i="44"/>
  <c r="L86" i="44"/>
  <c r="T86" i="44" s="1"/>
  <c r="C86" i="44"/>
  <c r="T85" i="44"/>
  <c r="L85" i="44"/>
  <c r="C85" i="44"/>
  <c r="L84" i="44"/>
  <c r="T84" i="44" s="1"/>
  <c r="C84" i="44"/>
  <c r="L83" i="44"/>
  <c r="T83" i="44" s="1"/>
  <c r="C83" i="44"/>
  <c r="T82" i="44"/>
  <c r="L82" i="44"/>
  <c r="C82" i="44"/>
  <c r="L81" i="44"/>
  <c r="T81" i="44" s="1"/>
  <c r="C81" i="44"/>
  <c r="T80" i="44"/>
  <c r="L80" i="44"/>
  <c r="C80" i="44"/>
  <c r="T79" i="44"/>
  <c r="L79" i="44"/>
  <c r="C79" i="44"/>
  <c r="T78" i="44"/>
  <c r="L78" i="44"/>
  <c r="C78" i="44"/>
  <c r="T77" i="44"/>
  <c r="L77" i="44"/>
  <c r="C77" i="44"/>
  <c r="T76" i="44"/>
  <c r="L76" i="44"/>
  <c r="C76" i="44"/>
  <c r="L75" i="44"/>
  <c r="T75" i="44" s="1"/>
  <c r="C75" i="44"/>
  <c r="T74" i="44"/>
  <c r="L74" i="44"/>
  <c r="C74" i="44"/>
  <c r="T73" i="44"/>
  <c r="L73" i="44"/>
  <c r="C73" i="44"/>
  <c r="T72" i="44"/>
  <c r="L72" i="44"/>
  <c r="C72" i="44"/>
  <c r="L71" i="44"/>
  <c r="T71" i="44" s="1"/>
  <c r="C71" i="44"/>
  <c r="L70" i="44"/>
  <c r="T70" i="44" s="1"/>
  <c r="C70" i="44"/>
  <c r="L69" i="44"/>
  <c r="T69" i="44" s="1"/>
  <c r="C69" i="44"/>
  <c r="Q68" i="44"/>
  <c r="R68" i="44" s="1"/>
  <c r="P68" i="44"/>
  <c r="N68" i="44"/>
  <c r="O68" i="44" s="1"/>
  <c r="M68" i="44"/>
  <c r="L68" i="44"/>
  <c r="C68" i="44"/>
  <c r="Q67" i="44"/>
  <c r="R67" i="44" s="1"/>
  <c r="N67" i="44"/>
  <c r="M67" i="44"/>
  <c r="L67" i="44"/>
  <c r="C67" i="44"/>
  <c r="Q66" i="44"/>
  <c r="R66" i="44" s="1"/>
  <c r="N66" i="44"/>
  <c r="M66" i="44"/>
  <c r="L66" i="44"/>
  <c r="C66" i="44"/>
  <c r="T65" i="44"/>
  <c r="S65" i="44"/>
  <c r="R65" i="44"/>
  <c r="Q65" i="44"/>
  <c r="P65" i="44"/>
  <c r="O65" i="44"/>
  <c r="N65" i="44"/>
  <c r="M65" i="44"/>
  <c r="L65" i="44"/>
  <c r="C65" i="44"/>
  <c r="Q64" i="44"/>
  <c r="R64" i="44" s="1"/>
  <c r="P64" i="44"/>
  <c r="O64" i="44"/>
  <c r="N64" i="44"/>
  <c r="S64" i="44" s="1"/>
  <c r="T64" i="44" s="1"/>
  <c r="M64" i="44"/>
  <c r="L64" i="44"/>
  <c r="C64" i="44"/>
  <c r="R63" i="44"/>
  <c r="Q63" i="44"/>
  <c r="O63" i="44"/>
  <c r="P63" i="44" s="1"/>
  <c r="S63" i="44" s="1"/>
  <c r="N63" i="44"/>
  <c r="M63" i="44"/>
  <c r="L63" i="44"/>
  <c r="C63" i="44"/>
  <c r="R62" i="44"/>
  <c r="Q62" i="44"/>
  <c r="O62" i="44"/>
  <c r="N62" i="44"/>
  <c r="M62" i="44"/>
  <c r="L62" i="44"/>
  <c r="C62" i="44"/>
  <c r="Q61" i="44"/>
  <c r="R61" i="44" s="1"/>
  <c r="P61" i="44"/>
  <c r="O61" i="44"/>
  <c r="N61" i="44"/>
  <c r="M61" i="44"/>
  <c r="L61" i="44"/>
  <c r="C61" i="44"/>
  <c r="S60" i="44"/>
  <c r="T60" i="44" s="1"/>
  <c r="R60" i="44"/>
  <c r="Q60" i="44"/>
  <c r="O60" i="44"/>
  <c r="P60" i="44" s="1"/>
  <c r="N60" i="44"/>
  <c r="M60" i="44"/>
  <c r="L60" i="44"/>
  <c r="C60" i="44"/>
  <c r="Q59" i="44"/>
  <c r="R59" i="44" s="1"/>
  <c r="N59" i="44"/>
  <c r="M59" i="44"/>
  <c r="L59" i="44"/>
  <c r="C59" i="44"/>
  <c r="R58" i="44"/>
  <c r="S58" i="44" s="1"/>
  <c r="Q58" i="44"/>
  <c r="P58" i="44"/>
  <c r="O58" i="44"/>
  <c r="N58" i="44"/>
  <c r="M58" i="44"/>
  <c r="L58" i="44"/>
  <c r="C58" i="44"/>
  <c r="R57" i="44"/>
  <c r="Q57" i="44"/>
  <c r="N57" i="44"/>
  <c r="M57" i="44"/>
  <c r="L57" i="44"/>
  <c r="C57" i="44"/>
  <c r="R56" i="44"/>
  <c r="Q56" i="44"/>
  <c r="O56" i="44"/>
  <c r="N56" i="44"/>
  <c r="P56" i="44" s="1"/>
  <c r="S56" i="44" s="1"/>
  <c r="M56" i="44"/>
  <c r="L56" i="44"/>
  <c r="C56" i="44"/>
  <c r="Q55" i="44"/>
  <c r="R55" i="44" s="1"/>
  <c r="N55" i="44"/>
  <c r="M55" i="44"/>
  <c r="L55" i="44"/>
  <c r="C55" i="44"/>
  <c r="Q54" i="44"/>
  <c r="P54" i="44"/>
  <c r="O54" i="44"/>
  <c r="N54" i="44"/>
  <c r="M54" i="44"/>
  <c r="L54" i="44"/>
  <c r="C54" i="44"/>
  <c r="R53" i="44"/>
  <c r="Q53" i="44"/>
  <c r="O53" i="44"/>
  <c r="N53" i="44"/>
  <c r="M53" i="44"/>
  <c r="L53" i="44"/>
  <c r="C53" i="44"/>
  <c r="Q52" i="44"/>
  <c r="R52" i="44" s="1"/>
  <c r="O52" i="44"/>
  <c r="P52" i="44" s="1"/>
  <c r="N52" i="44"/>
  <c r="M52" i="44"/>
  <c r="L52" i="44"/>
  <c r="C52" i="44"/>
  <c r="Q51" i="44"/>
  <c r="R51" i="44" s="1"/>
  <c r="O51" i="44"/>
  <c r="P51" i="44" s="1"/>
  <c r="N51" i="44"/>
  <c r="M51" i="44"/>
  <c r="L51" i="44"/>
  <c r="C51" i="44"/>
  <c r="Q50" i="44"/>
  <c r="R50" i="44" s="1"/>
  <c r="P50" i="44"/>
  <c r="O50" i="44"/>
  <c r="N50" i="44"/>
  <c r="M50" i="44"/>
  <c r="L50" i="44"/>
  <c r="C50" i="44"/>
  <c r="R49" i="44"/>
  <c r="Q49" i="44"/>
  <c r="O49" i="44"/>
  <c r="P49" i="44" s="1"/>
  <c r="S49" i="44" s="1"/>
  <c r="N49" i="44"/>
  <c r="M49" i="44"/>
  <c r="L49" i="44"/>
  <c r="C49" i="44"/>
  <c r="Q48" i="44"/>
  <c r="R48" i="44" s="1"/>
  <c r="N48" i="44"/>
  <c r="M48" i="44"/>
  <c r="L48" i="44"/>
  <c r="C48" i="44"/>
  <c r="Q47" i="44"/>
  <c r="R47" i="44" s="1"/>
  <c r="O47" i="44"/>
  <c r="N47" i="44"/>
  <c r="M47" i="44"/>
  <c r="L47" i="44"/>
  <c r="C47" i="44"/>
  <c r="R46" i="44"/>
  <c r="Q46" i="44"/>
  <c r="O46" i="44"/>
  <c r="P46" i="44" s="1"/>
  <c r="S46" i="44" s="1"/>
  <c r="N46" i="44"/>
  <c r="M46" i="44"/>
  <c r="L46" i="44"/>
  <c r="T46" i="44" s="1"/>
  <c r="C46" i="44"/>
  <c r="Q45" i="44"/>
  <c r="R45" i="44" s="1"/>
  <c r="O45" i="44"/>
  <c r="N45" i="44"/>
  <c r="M45" i="44"/>
  <c r="L45" i="44"/>
  <c r="C45" i="44"/>
  <c r="R44" i="44"/>
  <c r="Q44" i="44"/>
  <c r="O44" i="44"/>
  <c r="P44" i="44" s="1"/>
  <c r="S44" i="44" s="1"/>
  <c r="N44" i="44"/>
  <c r="M44" i="44"/>
  <c r="L44" i="44"/>
  <c r="T44" i="44" s="1"/>
  <c r="C44" i="44"/>
  <c r="T43" i="44"/>
  <c r="S43" i="44"/>
  <c r="R43" i="44"/>
  <c r="Q43" i="44"/>
  <c r="P43" i="44"/>
  <c r="O43" i="44"/>
  <c r="N43" i="44"/>
  <c r="M43" i="44"/>
  <c r="L43" i="44"/>
  <c r="C43" i="44"/>
  <c r="R42" i="44"/>
  <c r="Q42" i="44"/>
  <c r="N42" i="44"/>
  <c r="M42" i="44"/>
  <c r="L42" i="44"/>
  <c r="C42" i="44"/>
  <c r="Q41" i="44"/>
  <c r="R41" i="44" s="1"/>
  <c r="N41" i="44"/>
  <c r="M41" i="44"/>
  <c r="L41" i="44"/>
  <c r="C41" i="44"/>
  <c r="Q40" i="44"/>
  <c r="R40" i="44" s="1"/>
  <c r="P40" i="44"/>
  <c r="O40" i="44"/>
  <c r="N40" i="44"/>
  <c r="M40" i="44"/>
  <c r="L40" i="44"/>
  <c r="C40" i="44"/>
  <c r="R39" i="44"/>
  <c r="Q39" i="44"/>
  <c r="O39" i="44"/>
  <c r="N39" i="44"/>
  <c r="M39" i="44"/>
  <c r="L39" i="44"/>
  <c r="C39" i="44"/>
  <c r="Q38" i="44"/>
  <c r="R38" i="44" s="1"/>
  <c r="N38" i="44"/>
  <c r="M38" i="44"/>
  <c r="L38" i="44"/>
  <c r="C38" i="44"/>
  <c r="Q37" i="44"/>
  <c r="O37" i="44"/>
  <c r="P37" i="44" s="1"/>
  <c r="N37" i="44"/>
  <c r="M37" i="44"/>
  <c r="L37" i="44"/>
  <c r="C37" i="44"/>
  <c r="R36" i="44"/>
  <c r="Q36" i="44"/>
  <c r="N36" i="44"/>
  <c r="M36" i="44"/>
  <c r="L36" i="44"/>
  <c r="C36" i="44"/>
  <c r="R35" i="44"/>
  <c r="Q35" i="44"/>
  <c r="N35" i="44"/>
  <c r="M35" i="44"/>
  <c r="L35" i="44"/>
  <c r="C35" i="44"/>
  <c r="Q34" i="44"/>
  <c r="R34" i="44" s="1"/>
  <c r="O34" i="44"/>
  <c r="N34" i="44"/>
  <c r="M34" i="44"/>
  <c r="L34" i="44"/>
  <c r="C34" i="44"/>
  <c r="Q33" i="44"/>
  <c r="R33" i="44" s="1"/>
  <c r="O33" i="44"/>
  <c r="N33" i="44"/>
  <c r="M33" i="44"/>
  <c r="L33" i="44"/>
  <c r="C33" i="44"/>
  <c r="R32" i="44"/>
  <c r="Q32" i="44"/>
  <c r="N32" i="44"/>
  <c r="M32" i="44"/>
  <c r="L32" i="44"/>
  <c r="C32" i="44"/>
  <c r="Q31" i="44"/>
  <c r="R31" i="44" s="1"/>
  <c r="O31" i="44"/>
  <c r="P31" i="44" s="1"/>
  <c r="N31" i="44"/>
  <c r="M31" i="44"/>
  <c r="L31" i="44"/>
  <c r="C31" i="44"/>
  <c r="Q30" i="44"/>
  <c r="R30" i="44" s="1"/>
  <c r="O30" i="44"/>
  <c r="N30" i="44"/>
  <c r="M30" i="44"/>
  <c r="L30" i="44"/>
  <c r="C30" i="44"/>
  <c r="T29" i="44"/>
  <c r="S29" i="44"/>
  <c r="R29" i="44"/>
  <c r="Q29" i="44"/>
  <c r="O29" i="44"/>
  <c r="P29" i="44" s="1"/>
  <c r="N29" i="44"/>
  <c r="M29" i="44"/>
  <c r="L29" i="44"/>
  <c r="C29" i="44"/>
  <c r="Q28" i="44"/>
  <c r="R28" i="44" s="1"/>
  <c r="N28" i="44"/>
  <c r="M28" i="44"/>
  <c r="L28" i="44"/>
  <c r="C28" i="44"/>
  <c r="Q27" i="44"/>
  <c r="R27" i="44" s="1"/>
  <c r="N27" i="44"/>
  <c r="M27" i="44"/>
  <c r="L27" i="44"/>
  <c r="C27" i="44"/>
  <c r="R26" i="44"/>
  <c r="Q26" i="44"/>
  <c r="O26" i="44"/>
  <c r="P26" i="44" s="1"/>
  <c r="S26" i="44" s="1"/>
  <c r="T26" i="44" s="1"/>
  <c r="N26" i="44"/>
  <c r="M26" i="44"/>
  <c r="L26" i="44"/>
  <c r="C26" i="44"/>
  <c r="Q25" i="44"/>
  <c r="R25" i="44" s="1"/>
  <c r="N25" i="44"/>
  <c r="M25" i="44"/>
  <c r="L25" i="44"/>
  <c r="C25" i="44"/>
  <c r="Q24" i="44"/>
  <c r="R24" i="44" s="1"/>
  <c r="O24" i="44"/>
  <c r="N24" i="44"/>
  <c r="M24" i="44"/>
  <c r="L24" i="44"/>
  <c r="C24" i="44"/>
  <c r="R23" i="44"/>
  <c r="S23" i="44" s="1"/>
  <c r="T23" i="44" s="1"/>
  <c r="Q23" i="44"/>
  <c r="O23" i="44"/>
  <c r="P23" i="44" s="1"/>
  <c r="N23" i="44"/>
  <c r="M23" i="44"/>
  <c r="L23" i="44"/>
  <c r="C23" i="44"/>
  <c r="R22" i="44"/>
  <c r="Q22" i="44"/>
  <c r="O22" i="44"/>
  <c r="N22" i="44"/>
  <c r="P22" i="44" s="1"/>
  <c r="S22" i="44" s="1"/>
  <c r="T22" i="44" s="1"/>
  <c r="M22" i="44"/>
  <c r="L22" i="44"/>
  <c r="C22" i="44"/>
  <c r="R21" i="44"/>
  <c r="Q21" i="44"/>
  <c r="N21" i="44"/>
  <c r="M21" i="44"/>
  <c r="L21" i="44"/>
  <c r="C21" i="44"/>
  <c r="Q20" i="44"/>
  <c r="R20" i="44" s="1"/>
  <c r="O20" i="44"/>
  <c r="N20" i="44"/>
  <c r="M20" i="44"/>
  <c r="L20" i="44"/>
  <c r="C20" i="44"/>
  <c r="R19" i="44"/>
  <c r="Q19" i="44"/>
  <c r="O19" i="44"/>
  <c r="P19" i="44" s="1"/>
  <c r="N19" i="44"/>
  <c r="M19" i="44"/>
  <c r="L19" i="44"/>
  <c r="C19" i="44"/>
  <c r="R18" i="44"/>
  <c r="Q18" i="44"/>
  <c r="N18" i="44"/>
  <c r="M18" i="44"/>
  <c r="L18" i="44"/>
  <c r="C18" i="44"/>
  <c r="Q17" i="44"/>
  <c r="R17" i="44" s="1"/>
  <c r="P17" i="44"/>
  <c r="O17" i="44"/>
  <c r="N17" i="44"/>
  <c r="M17" i="44"/>
  <c r="L17" i="44"/>
  <c r="C17" i="44"/>
  <c r="Q16" i="44"/>
  <c r="O16" i="44"/>
  <c r="P16" i="44" s="1"/>
  <c r="N16" i="44"/>
  <c r="M16" i="44"/>
  <c r="L16" i="44"/>
  <c r="C16" i="44"/>
  <c r="Q15" i="44"/>
  <c r="R15" i="44" s="1"/>
  <c r="N15" i="44"/>
  <c r="M15" i="44"/>
  <c r="L15" i="44"/>
  <c r="C15" i="44"/>
  <c r="Q14" i="44"/>
  <c r="R14" i="44" s="1"/>
  <c r="P14" i="44"/>
  <c r="S14" i="44" s="1"/>
  <c r="O14" i="44"/>
  <c r="N14" i="44"/>
  <c r="M14" i="44"/>
  <c r="L14" i="44"/>
  <c r="C14" i="44"/>
  <c r="Q13" i="44"/>
  <c r="R13" i="44" s="1"/>
  <c r="O13" i="44"/>
  <c r="N13" i="44"/>
  <c r="M13" i="44"/>
  <c r="L13" i="44"/>
  <c r="C13" i="44"/>
  <c r="Q12" i="44"/>
  <c r="R12" i="44" s="1"/>
  <c r="S12" i="44" s="1"/>
  <c r="P12" i="44"/>
  <c r="O12" i="44"/>
  <c r="N12" i="44"/>
  <c r="M12" i="44"/>
  <c r="T12" i="44" s="1"/>
  <c r="L12" i="44"/>
  <c r="C12" i="44"/>
  <c r="Q11" i="44"/>
  <c r="P11" i="44"/>
  <c r="O11" i="44"/>
  <c r="N11" i="44"/>
  <c r="M11" i="44"/>
  <c r="L11" i="44"/>
  <c r="C11" i="44"/>
  <c r="Q10" i="44"/>
  <c r="R10" i="44" s="1"/>
  <c r="P10" i="44"/>
  <c r="O10" i="44"/>
  <c r="N10" i="44"/>
  <c r="M10" i="44"/>
  <c r="L10" i="44"/>
  <c r="C10" i="44"/>
  <c r="R9" i="44"/>
  <c r="Q9" i="44"/>
  <c r="N9" i="44"/>
  <c r="O9" i="44" s="1"/>
  <c r="M9" i="44"/>
  <c r="L9" i="44"/>
  <c r="C9" i="44"/>
  <c r="R8" i="44"/>
  <c r="Q8" i="44"/>
  <c r="S8" i="44" s="1"/>
  <c r="T8" i="44" s="1"/>
  <c r="P8" i="44"/>
  <c r="O8" i="44"/>
  <c r="N8" i="44"/>
  <c r="M8" i="44"/>
  <c r="L8" i="44"/>
  <c r="C8" i="44"/>
  <c r="R7" i="44"/>
  <c r="Q7" i="44"/>
  <c r="P7" i="44"/>
  <c r="O7" i="44"/>
  <c r="N7" i="44"/>
  <c r="M7" i="44"/>
  <c r="L7" i="44"/>
  <c r="C7" i="44"/>
  <c r="Y6" i="44"/>
  <c r="V6" i="44"/>
  <c r="D6" i="47" s="1"/>
  <c r="R6" i="44"/>
  <c r="Q6" i="44"/>
  <c r="N6" i="44"/>
  <c r="M6" i="44"/>
  <c r="L6" i="44"/>
  <c r="C6" i="44"/>
  <c r="Y5" i="44"/>
  <c r="V5" i="44"/>
  <c r="D5" i="47" s="1"/>
  <c r="Q5" i="44"/>
  <c r="R5" i="44" s="1"/>
  <c r="O5" i="44"/>
  <c r="P5" i="44" s="1"/>
  <c r="N5" i="44"/>
  <c r="M5" i="44"/>
  <c r="L5" i="44"/>
  <c r="C5" i="44"/>
  <c r="Y4" i="44"/>
  <c r="Y7" i="44" s="1"/>
  <c r="V4" i="44"/>
  <c r="D4" i="47" s="1"/>
  <c r="Q4" i="44"/>
  <c r="R4" i="44" s="1"/>
  <c r="N4" i="44"/>
  <c r="M4" i="44"/>
  <c r="L4" i="44"/>
  <c r="C4" i="44"/>
  <c r="Y3" i="44"/>
  <c r="V3" i="44"/>
  <c r="D3" i="47" s="1"/>
  <c r="Q3" i="44"/>
  <c r="O3" i="44"/>
  <c r="N3" i="44"/>
  <c r="M3" i="44"/>
  <c r="L3" i="44"/>
  <c r="C3" i="44"/>
  <c r="K215" i="43"/>
  <c r="J215" i="43"/>
  <c r="I215" i="43"/>
  <c r="H215" i="43"/>
  <c r="G215" i="43"/>
  <c r="T214" i="43"/>
  <c r="L214" i="43"/>
  <c r="C214" i="43"/>
  <c r="L213" i="43"/>
  <c r="T213" i="43" s="1"/>
  <c r="C213" i="43"/>
  <c r="L212" i="43"/>
  <c r="T212" i="43" s="1"/>
  <c r="C212" i="43"/>
  <c r="T211" i="43"/>
  <c r="L211" i="43"/>
  <c r="C211" i="43"/>
  <c r="T210" i="43"/>
  <c r="L210" i="43"/>
  <c r="C210" i="43"/>
  <c r="T209" i="43"/>
  <c r="L209" i="43"/>
  <c r="C209" i="43"/>
  <c r="L208" i="43"/>
  <c r="T208" i="43" s="1"/>
  <c r="C208" i="43"/>
  <c r="T207" i="43"/>
  <c r="L207" i="43"/>
  <c r="C207" i="43"/>
  <c r="L206" i="43"/>
  <c r="T206" i="43" s="1"/>
  <c r="C206" i="43"/>
  <c r="T205" i="43"/>
  <c r="L205" i="43"/>
  <c r="C205" i="43"/>
  <c r="L204" i="43"/>
  <c r="T204" i="43" s="1"/>
  <c r="C204" i="43"/>
  <c r="T203" i="43"/>
  <c r="L203" i="43"/>
  <c r="C203" i="43"/>
  <c r="L202" i="43"/>
  <c r="T202" i="43" s="1"/>
  <c r="C202" i="43"/>
  <c r="T201" i="43"/>
  <c r="L201" i="43"/>
  <c r="C201" i="43"/>
  <c r="T200" i="43"/>
  <c r="L200" i="43"/>
  <c r="C200" i="43"/>
  <c r="L199" i="43"/>
  <c r="T199" i="43" s="1"/>
  <c r="C199" i="43"/>
  <c r="L198" i="43"/>
  <c r="T198" i="43" s="1"/>
  <c r="C198" i="43"/>
  <c r="L197" i="43"/>
  <c r="T197" i="43" s="1"/>
  <c r="C197" i="43"/>
  <c r="L196" i="43"/>
  <c r="T196" i="43" s="1"/>
  <c r="C196" i="43"/>
  <c r="T195" i="43"/>
  <c r="L195" i="43"/>
  <c r="C195" i="43"/>
  <c r="L194" i="43"/>
  <c r="T194" i="43" s="1"/>
  <c r="C194" i="43"/>
  <c r="T193" i="43"/>
  <c r="L193" i="43"/>
  <c r="C193" i="43"/>
  <c r="L192" i="43"/>
  <c r="T192" i="43" s="1"/>
  <c r="C192" i="43"/>
  <c r="T191" i="43"/>
  <c r="L191" i="43"/>
  <c r="C191" i="43"/>
  <c r="L190" i="43"/>
  <c r="T190" i="43" s="1"/>
  <c r="C190" i="43"/>
  <c r="L189" i="43"/>
  <c r="T189" i="43" s="1"/>
  <c r="C189" i="43"/>
  <c r="L188" i="43"/>
  <c r="T188" i="43" s="1"/>
  <c r="C188" i="43"/>
  <c r="L187" i="43"/>
  <c r="T187" i="43" s="1"/>
  <c r="C187" i="43"/>
  <c r="T186" i="43"/>
  <c r="L186" i="43"/>
  <c r="C186" i="43"/>
  <c r="L185" i="43"/>
  <c r="T185" i="43" s="1"/>
  <c r="C185" i="43"/>
  <c r="L184" i="43"/>
  <c r="T184" i="43" s="1"/>
  <c r="C184" i="43"/>
  <c r="T183" i="43"/>
  <c r="L183" i="43"/>
  <c r="C183" i="43"/>
  <c r="T182" i="43"/>
  <c r="L182" i="43"/>
  <c r="C182" i="43"/>
  <c r="T181" i="43"/>
  <c r="L181" i="43"/>
  <c r="C181" i="43"/>
  <c r="T180" i="43"/>
  <c r="L180" i="43"/>
  <c r="C180" i="43"/>
  <c r="L179" i="43"/>
  <c r="T179" i="43" s="1"/>
  <c r="C179" i="43"/>
  <c r="L178" i="43"/>
  <c r="T178" i="43" s="1"/>
  <c r="C178" i="43"/>
  <c r="L177" i="43"/>
  <c r="T177" i="43" s="1"/>
  <c r="C177" i="43"/>
  <c r="T176" i="43"/>
  <c r="L176" i="43"/>
  <c r="C176" i="43"/>
  <c r="L175" i="43"/>
  <c r="T175" i="43" s="1"/>
  <c r="C175" i="43"/>
  <c r="T174" i="43"/>
  <c r="L174" i="43"/>
  <c r="C174" i="43"/>
  <c r="L173" i="43"/>
  <c r="T173" i="43" s="1"/>
  <c r="C173" i="43"/>
  <c r="T172" i="43"/>
  <c r="L172" i="43"/>
  <c r="C172" i="43"/>
  <c r="L171" i="43"/>
  <c r="T171" i="43" s="1"/>
  <c r="C171" i="43"/>
  <c r="L170" i="43"/>
  <c r="T170" i="43" s="1"/>
  <c r="C170" i="43"/>
  <c r="T169" i="43"/>
  <c r="L169" i="43"/>
  <c r="C169" i="43"/>
  <c r="T168" i="43"/>
  <c r="L168" i="43"/>
  <c r="C168" i="43"/>
  <c r="T167" i="43"/>
  <c r="L167" i="43"/>
  <c r="C167" i="43"/>
  <c r="T166" i="43"/>
  <c r="L166" i="43"/>
  <c r="C166" i="43"/>
  <c r="T165" i="43"/>
  <c r="L165" i="43"/>
  <c r="C165" i="43"/>
  <c r="L164" i="43"/>
  <c r="T164" i="43" s="1"/>
  <c r="C164" i="43"/>
  <c r="T163" i="43"/>
  <c r="L163" i="43"/>
  <c r="C163" i="43"/>
  <c r="T162" i="43"/>
  <c r="L162" i="43"/>
  <c r="C162" i="43"/>
  <c r="L161" i="43"/>
  <c r="T161" i="43" s="1"/>
  <c r="C161" i="43"/>
  <c r="T160" i="43"/>
  <c r="L160" i="43"/>
  <c r="C160" i="43"/>
  <c r="L159" i="43"/>
  <c r="T159" i="43" s="1"/>
  <c r="C159" i="43"/>
  <c r="T158" i="43"/>
  <c r="L158" i="43"/>
  <c r="C158" i="43"/>
  <c r="L157" i="43"/>
  <c r="T157" i="43" s="1"/>
  <c r="C157" i="43"/>
  <c r="L156" i="43"/>
  <c r="T156" i="43" s="1"/>
  <c r="C156" i="43"/>
  <c r="L155" i="43"/>
  <c r="T155" i="43" s="1"/>
  <c r="C155" i="43"/>
  <c r="L154" i="43"/>
  <c r="T154" i="43" s="1"/>
  <c r="C154" i="43"/>
  <c r="T153" i="43"/>
  <c r="L153" i="43"/>
  <c r="C153" i="43"/>
  <c r="T152" i="43"/>
  <c r="L152" i="43"/>
  <c r="C152" i="43"/>
  <c r="T151" i="43"/>
  <c r="L151" i="43"/>
  <c r="C151" i="43"/>
  <c r="L150" i="43"/>
  <c r="T150" i="43" s="1"/>
  <c r="C150" i="43"/>
  <c r="L149" i="43"/>
  <c r="T149" i="43" s="1"/>
  <c r="C149" i="43"/>
  <c r="T148" i="43"/>
  <c r="L148" i="43"/>
  <c r="C148" i="43"/>
  <c r="L147" i="43"/>
  <c r="T147" i="43" s="1"/>
  <c r="C147" i="43"/>
  <c r="L146" i="43"/>
  <c r="T146" i="43" s="1"/>
  <c r="C146" i="43"/>
  <c r="L145" i="43"/>
  <c r="T145" i="43" s="1"/>
  <c r="C145" i="43"/>
  <c r="T144" i="43"/>
  <c r="L144" i="43"/>
  <c r="C144" i="43"/>
  <c r="L143" i="43"/>
  <c r="T143" i="43" s="1"/>
  <c r="C143" i="43"/>
  <c r="L142" i="43"/>
  <c r="T142" i="43" s="1"/>
  <c r="C142" i="43"/>
  <c r="T141" i="43"/>
  <c r="L141" i="43"/>
  <c r="C141" i="43"/>
  <c r="L140" i="43"/>
  <c r="T140" i="43" s="1"/>
  <c r="C140" i="43"/>
  <c r="T139" i="43"/>
  <c r="L139" i="43"/>
  <c r="C139" i="43"/>
  <c r="T138" i="43"/>
  <c r="L138" i="43"/>
  <c r="C138" i="43"/>
  <c r="L137" i="43"/>
  <c r="T137" i="43" s="1"/>
  <c r="C137" i="43"/>
  <c r="T136" i="43"/>
  <c r="L136" i="43"/>
  <c r="C136" i="43"/>
  <c r="L135" i="43"/>
  <c r="T135" i="43" s="1"/>
  <c r="C135" i="43"/>
  <c r="T134" i="43"/>
  <c r="L134" i="43"/>
  <c r="C134" i="43"/>
  <c r="L133" i="43"/>
  <c r="T133" i="43" s="1"/>
  <c r="C133" i="43"/>
  <c r="L132" i="43"/>
  <c r="T132" i="43" s="1"/>
  <c r="C132" i="43"/>
  <c r="T131" i="43"/>
  <c r="L131" i="43"/>
  <c r="C131" i="43"/>
  <c r="T130" i="43"/>
  <c r="L130" i="43"/>
  <c r="C130" i="43"/>
  <c r="L129" i="43"/>
  <c r="T129" i="43" s="1"/>
  <c r="C129" i="43"/>
  <c r="L128" i="43"/>
  <c r="T128" i="43" s="1"/>
  <c r="C128" i="43"/>
  <c r="L127" i="43"/>
  <c r="T127" i="43" s="1"/>
  <c r="C127" i="43"/>
  <c r="L126" i="43"/>
  <c r="T126" i="43" s="1"/>
  <c r="C126" i="43"/>
  <c r="T125" i="43"/>
  <c r="L125" i="43"/>
  <c r="C125" i="43"/>
  <c r="T124" i="43"/>
  <c r="L124" i="43"/>
  <c r="C124" i="43"/>
  <c r="L123" i="43"/>
  <c r="T123" i="43" s="1"/>
  <c r="C123" i="43"/>
  <c r="L122" i="43"/>
  <c r="T122" i="43" s="1"/>
  <c r="C122" i="43"/>
  <c r="T121" i="43"/>
  <c r="L121" i="43"/>
  <c r="C121" i="43"/>
  <c r="T120" i="43"/>
  <c r="L120" i="43"/>
  <c r="C120" i="43"/>
  <c r="L119" i="43"/>
  <c r="T119" i="43" s="1"/>
  <c r="C119" i="43"/>
  <c r="L118" i="43"/>
  <c r="T118" i="43" s="1"/>
  <c r="C118" i="43"/>
  <c r="L117" i="43"/>
  <c r="T117" i="43" s="1"/>
  <c r="C117" i="43"/>
  <c r="L116" i="43"/>
  <c r="T116" i="43" s="1"/>
  <c r="C116" i="43"/>
  <c r="L115" i="43"/>
  <c r="T115" i="43" s="1"/>
  <c r="C115" i="43"/>
  <c r="L114" i="43"/>
  <c r="T114" i="43" s="1"/>
  <c r="C114" i="43"/>
  <c r="T113" i="43"/>
  <c r="L113" i="43"/>
  <c r="C113" i="43"/>
  <c r="L112" i="43"/>
  <c r="T112" i="43" s="1"/>
  <c r="C112" i="43"/>
  <c r="L111" i="43"/>
  <c r="T111" i="43" s="1"/>
  <c r="C111" i="43"/>
  <c r="T110" i="43"/>
  <c r="L110" i="43"/>
  <c r="C110" i="43"/>
  <c r="L109" i="43"/>
  <c r="T109" i="43" s="1"/>
  <c r="C109" i="43"/>
  <c r="L108" i="43"/>
  <c r="T108" i="43" s="1"/>
  <c r="C108" i="43"/>
  <c r="L107" i="43"/>
  <c r="T107" i="43" s="1"/>
  <c r="C107" i="43"/>
  <c r="T106" i="43"/>
  <c r="L106" i="43"/>
  <c r="C106" i="43"/>
  <c r="L105" i="43"/>
  <c r="T105" i="43" s="1"/>
  <c r="C105" i="43"/>
  <c r="L104" i="43"/>
  <c r="T104" i="43" s="1"/>
  <c r="C104" i="43"/>
  <c r="L103" i="43"/>
  <c r="T103" i="43" s="1"/>
  <c r="C103" i="43"/>
  <c r="L102" i="43"/>
  <c r="T102" i="43" s="1"/>
  <c r="C102" i="43"/>
  <c r="L101" i="43"/>
  <c r="T101" i="43" s="1"/>
  <c r="C101" i="43"/>
  <c r="L100" i="43"/>
  <c r="T100" i="43" s="1"/>
  <c r="C100" i="43"/>
  <c r="T99" i="43"/>
  <c r="L99" i="43"/>
  <c r="C99" i="43"/>
  <c r="T98" i="43"/>
  <c r="L98" i="43"/>
  <c r="C98" i="43"/>
  <c r="T97" i="43"/>
  <c r="L97" i="43"/>
  <c r="C97" i="43"/>
  <c r="T96" i="43"/>
  <c r="L96" i="43"/>
  <c r="C96" i="43"/>
  <c r="L95" i="43"/>
  <c r="T95" i="43" s="1"/>
  <c r="C95" i="43"/>
  <c r="L94" i="43"/>
  <c r="T94" i="43" s="1"/>
  <c r="C94" i="43"/>
  <c r="L93" i="43"/>
  <c r="T93" i="43" s="1"/>
  <c r="C93" i="43"/>
  <c r="T92" i="43"/>
  <c r="L92" i="43"/>
  <c r="C92" i="43"/>
  <c r="L91" i="43"/>
  <c r="T91" i="43" s="1"/>
  <c r="C91" i="43"/>
  <c r="L90" i="43"/>
  <c r="T90" i="43" s="1"/>
  <c r="C90" i="43"/>
  <c r="L89" i="43"/>
  <c r="T89" i="43" s="1"/>
  <c r="C89" i="43"/>
  <c r="L88" i="43"/>
  <c r="T88" i="43" s="1"/>
  <c r="C88" i="43"/>
  <c r="L87" i="43"/>
  <c r="T87" i="43" s="1"/>
  <c r="C87" i="43"/>
  <c r="T86" i="43"/>
  <c r="L86" i="43"/>
  <c r="C86" i="43"/>
  <c r="L85" i="43"/>
  <c r="T85" i="43" s="1"/>
  <c r="C85" i="43"/>
  <c r="L84" i="43"/>
  <c r="T84" i="43" s="1"/>
  <c r="C84" i="43"/>
  <c r="L83" i="43"/>
  <c r="T83" i="43" s="1"/>
  <c r="C83" i="43"/>
  <c r="T82" i="43"/>
  <c r="L82" i="43"/>
  <c r="C82" i="43"/>
  <c r="L81" i="43"/>
  <c r="T81" i="43" s="1"/>
  <c r="C81" i="43"/>
  <c r="T80" i="43"/>
  <c r="L80" i="43"/>
  <c r="C80" i="43"/>
  <c r="L79" i="43"/>
  <c r="T79" i="43" s="1"/>
  <c r="C79" i="43"/>
  <c r="T78" i="43"/>
  <c r="L78" i="43"/>
  <c r="C78" i="43"/>
  <c r="L77" i="43"/>
  <c r="T77" i="43" s="1"/>
  <c r="C77" i="43"/>
  <c r="L76" i="43"/>
  <c r="T76" i="43" s="1"/>
  <c r="C76" i="43"/>
  <c r="T75" i="43"/>
  <c r="L75" i="43"/>
  <c r="C75" i="43"/>
  <c r="L74" i="43"/>
  <c r="T74" i="43" s="1"/>
  <c r="C74" i="43"/>
  <c r="L73" i="43"/>
  <c r="T73" i="43" s="1"/>
  <c r="C73" i="43"/>
  <c r="L72" i="43"/>
  <c r="T72" i="43" s="1"/>
  <c r="C72" i="43"/>
  <c r="T71" i="43"/>
  <c r="L71" i="43"/>
  <c r="C71" i="43"/>
  <c r="T70" i="43"/>
  <c r="L70" i="43"/>
  <c r="C70" i="43"/>
  <c r="L69" i="43"/>
  <c r="T69" i="43" s="1"/>
  <c r="C69" i="43"/>
  <c r="T68" i="43"/>
  <c r="L68" i="43"/>
  <c r="C68" i="43"/>
  <c r="L67" i="43"/>
  <c r="T67" i="43" s="1"/>
  <c r="C67" i="43"/>
  <c r="T66" i="43"/>
  <c r="L66" i="43"/>
  <c r="C66" i="43"/>
  <c r="T65" i="43"/>
  <c r="L65" i="43"/>
  <c r="C65" i="43"/>
  <c r="T64" i="43"/>
  <c r="L64" i="43"/>
  <c r="C64" i="43"/>
  <c r="L63" i="43"/>
  <c r="T63" i="43" s="1"/>
  <c r="C63" i="43"/>
  <c r="L62" i="43"/>
  <c r="T62" i="43" s="1"/>
  <c r="C62" i="43"/>
  <c r="S61" i="43"/>
  <c r="T61" i="43" s="1"/>
  <c r="Q61" i="43"/>
  <c r="R61" i="43" s="1"/>
  <c r="O61" i="43"/>
  <c r="P61" i="43" s="1"/>
  <c r="N61" i="43"/>
  <c r="M61" i="43"/>
  <c r="L61" i="43"/>
  <c r="C61" i="43"/>
  <c r="R60" i="43"/>
  <c r="Q60" i="43"/>
  <c r="N60" i="43"/>
  <c r="M60" i="43"/>
  <c r="L60" i="43"/>
  <c r="C60" i="43"/>
  <c r="S59" i="43"/>
  <c r="Q59" i="43"/>
  <c r="R59" i="43" s="1"/>
  <c r="P59" i="43"/>
  <c r="N59" i="43"/>
  <c r="O59" i="43" s="1"/>
  <c r="M59" i="43"/>
  <c r="L59" i="43"/>
  <c r="C59" i="43"/>
  <c r="R58" i="43"/>
  <c r="Q58" i="43"/>
  <c r="O58" i="43"/>
  <c r="P58" i="43" s="1"/>
  <c r="N58" i="43"/>
  <c r="M58" i="43"/>
  <c r="L58" i="43"/>
  <c r="C58" i="43"/>
  <c r="R57" i="43"/>
  <c r="Q57" i="43"/>
  <c r="N57" i="43"/>
  <c r="M57" i="43"/>
  <c r="L57" i="43"/>
  <c r="C57" i="43"/>
  <c r="R56" i="43"/>
  <c r="Q56" i="43"/>
  <c r="N56" i="43"/>
  <c r="M56" i="43"/>
  <c r="L56" i="43"/>
  <c r="C56" i="43"/>
  <c r="Q55" i="43"/>
  <c r="R55" i="43" s="1"/>
  <c r="O55" i="43"/>
  <c r="N55" i="43"/>
  <c r="M55" i="43"/>
  <c r="L55" i="43"/>
  <c r="C55" i="43"/>
  <c r="Q54" i="43"/>
  <c r="R54" i="43" s="1"/>
  <c r="P54" i="43"/>
  <c r="O54" i="43"/>
  <c r="N54" i="43"/>
  <c r="M54" i="43"/>
  <c r="L54" i="43"/>
  <c r="C54" i="43"/>
  <c r="R53" i="43"/>
  <c r="Q53" i="43"/>
  <c r="N53" i="43"/>
  <c r="M53" i="43"/>
  <c r="L53" i="43"/>
  <c r="C53" i="43"/>
  <c r="Q52" i="43"/>
  <c r="R52" i="43" s="1"/>
  <c r="P52" i="43"/>
  <c r="O52" i="43"/>
  <c r="S52" i="43" s="1"/>
  <c r="N52" i="43"/>
  <c r="M52" i="43"/>
  <c r="L52" i="43"/>
  <c r="C52" i="43"/>
  <c r="Q51" i="43"/>
  <c r="R51" i="43" s="1"/>
  <c r="O51" i="43"/>
  <c r="N51" i="43"/>
  <c r="M51" i="43"/>
  <c r="L51" i="43"/>
  <c r="C51" i="43"/>
  <c r="Q50" i="43"/>
  <c r="R50" i="43" s="1"/>
  <c r="O50" i="43"/>
  <c r="N50" i="43"/>
  <c r="P50" i="43" s="1"/>
  <c r="M50" i="43"/>
  <c r="L50" i="43"/>
  <c r="C50" i="43"/>
  <c r="Q49" i="43"/>
  <c r="R49" i="43" s="1"/>
  <c r="P49" i="43"/>
  <c r="O49" i="43"/>
  <c r="N49" i="43"/>
  <c r="M49" i="43"/>
  <c r="L49" i="43"/>
  <c r="C49" i="43"/>
  <c r="Q48" i="43"/>
  <c r="R48" i="43" s="1"/>
  <c r="N48" i="43"/>
  <c r="M48" i="43"/>
  <c r="L48" i="43"/>
  <c r="C48" i="43"/>
  <c r="Q47" i="43"/>
  <c r="R47" i="43" s="1"/>
  <c r="P47" i="43"/>
  <c r="S47" i="43" s="1"/>
  <c r="T47" i="43" s="1"/>
  <c r="O47" i="43"/>
  <c r="N47" i="43"/>
  <c r="M47" i="43"/>
  <c r="L47" i="43"/>
  <c r="C47" i="43"/>
  <c r="Q46" i="43"/>
  <c r="R46" i="43" s="1"/>
  <c r="P46" i="43"/>
  <c r="O46" i="43"/>
  <c r="N46" i="43"/>
  <c r="M46" i="43"/>
  <c r="L46" i="43"/>
  <c r="C46" i="43"/>
  <c r="Q45" i="43"/>
  <c r="R45" i="43" s="1"/>
  <c r="O45" i="43"/>
  <c r="N45" i="43"/>
  <c r="M45" i="43"/>
  <c r="L45" i="43"/>
  <c r="C45" i="43"/>
  <c r="S44" i="43"/>
  <c r="Q44" i="43"/>
  <c r="R44" i="43" s="1"/>
  <c r="O44" i="43"/>
  <c r="P44" i="43" s="1"/>
  <c r="N44" i="43"/>
  <c r="M44" i="43"/>
  <c r="T44" i="43" s="1"/>
  <c r="L44" i="43"/>
  <c r="C44" i="43"/>
  <c r="Q43" i="43"/>
  <c r="R43" i="43" s="1"/>
  <c r="N43" i="43"/>
  <c r="M43" i="43"/>
  <c r="L43" i="43"/>
  <c r="C43" i="43"/>
  <c r="R42" i="43"/>
  <c r="Q42" i="43"/>
  <c r="P42" i="43"/>
  <c r="O42" i="43"/>
  <c r="N42" i="43"/>
  <c r="M42" i="43"/>
  <c r="L42" i="43"/>
  <c r="C42" i="43"/>
  <c r="Q41" i="43"/>
  <c r="R41" i="43" s="1"/>
  <c r="N41" i="43"/>
  <c r="M41" i="43"/>
  <c r="L41" i="43"/>
  <c r="C41" i="43"/>
  <c r="R40" i="43"/>
  <c r="Q40" i="43"/>
  <c r="P40" i="43"/>
  <c r="S40" i="43" s="1"/>
  <c r="T40" i="43" s="1"/>
  <c r="O40" i="43"/>
  <c r="N40" i="43"/>
  <c r="M40" i="43"/>
  <c r="L40" i="43"/>
  <c r="C40" i="43"/>
  <c r="R39" i="43"/>
  <c r="Q39" i="43"/>
  <c r="P39" i="43"/>
  <c r="O39" i="43"/>
  <c r="N39" i="43"/>
  <c r="M39" i="43"/>
  <c r="L39" i="43"/>
  <c r="C39" i="43"/>
  <c r="Q38" i="43"/>
  <c r="R38" i="43" s="1"/>
  <c r="N38" i="43"/>
  <c r="M38" i="43"/>
  <c r="L38" i="43"/>
  <c r="C38" i="43"/>
  <c r="Q37" i="43"/>
  <c r="R37" i="43" s="1"/>
  <c r="O37" i="43"/>
  <c r="P37" i="43" s="1"/>
  <c r="N37" i="43"/>
  <c r="M37" i="43"/>
  <c r="L37" i="43"/>
  <c r="C37" i="43"/>
  <c r="Q36" i="43"/>
  <c r="R36" i="43" s="1"/>
  <c r="O36" i="43"/>
  <c r="N36" i="43"/>
  <c r="M36" i="43"/>
  <c r="L36" i="43"/>
  <c r="C36" i="43"/>
  <c r="R35" i="43"/>
  <c r="Q35" i="43"/>
  <c r="O35" i="43"/>
  <c r="N35" i="43"/>
  <c r="M35" i="43"/>
  <c r="L35" i="43"/>
  <c r="C35" i="43"/>
  <c r="Q34" i="43"/>
  <c r="R34" i="43" s="1"/>
  <c r="N34" i="43"/>
  <c r="M34" i="43"/>
  <c r="L34" i="43"/>
  <c r="C34" i="43"/>
  <c r="R33" i="43"/>
  <c r="Q33" i="43"/>
  <c r="P33" i="43"/>
  <c r="O33" i="43"/>
  <c r="N33" i="43"/>
  <c r="M33" i="43"/>
  <c r="L33" i="43"/>
  <c r="C33" i="43"/>
  <c r="R32" i="43"/>
  <c r="Q32" i="43"/>
  <c r="O32" i="43"/>
  <c r="N32" i="43"/>
  <c r="M32" i="43"/>
  <c r="L32" i="43"/>
  <c r="C32" i="43"/>
  <c r="Q31" i="43"/>
  <c r="R31" i="43" s="1"/>
  <c r="N31" i="43"/>
  <c r="M31" i="43"/>
  <c r="L31" i="43"/>
  <c r="C31" i="43"/>
  <c r="S30" i="43"/>
  <c r="R30" i="43"/>
  <c r="Q30" i="43"/>
  <c r="O30" i="43"/>
  <c r="P30" i="43" s="1"/>
  <c r="N30" i="43"/>
  <c r="M30" i="43"/>
  <c r="L30" i="43"/>
  <c r="C30" i="43"/>
  <c r="Q29" i="43"/>
  <c r="R29" i="43" s="1"/>
  <c r="N29" i="43"/>
  <c r="M29" i="43"/>
  <c r="L29" i="43"/>
  <c r="C29" i="43"/>
  <c r="R28" i="43"/>
  <c r="Q28" i="43"/>
  <c r="N28" i="43"/>
  <c r="M28" i="43"/>
  <c r="L28" i="43"/>
  <c r="C28" i="43"/>
  <c r="Q27" i="43"/>
  <c r="R27" i="43" s="1"/>
  <c r="O27" i="43"/>
  <c r="N27" i="43"/>
  <c r="M27" i="43"/>
  <c r="L27" i="43"/>
  <c r="C27" i="43"/>
  <c r="Q26" i="43"/>
  <c r="R26" i="43" s="1"/>
  <c r="S26" i="43" s="1"/>
  <c r="P26" i="43"/>
  <c r="O26" i="43"/>
  <c r="N26" i="43"/>
  <c r="M26" i="43"/>
  <c r="L26" i="43"/>
  <c r="C26" i="43"/>
  <c r="R25" i="43"/>
  <c r="Q25" i="43"/>
  <c r="N25" i="43"/>
  <c r="M25" i="43"/>
  <c r="L25" i="43"/>
  <c r="C25" i="43"/>
  <c r="Q24" i="43"/>
  <c r="R24" i="43" s="1"/>
  <c r="O24" i="43"/>
  <c r="N24" i="43"/>
  <c r="M24" i="43"/>
  <c r="L24" i="43"/>
  <c r="C24" i="43"/>
  <c r="Q23" i="43"/>
  <c r="R23" i="43" s="1"/>
  <c r="O23" i="43"/>
  <c r="P23" i="43" s="1"/>
  <c r="N23" i="43"/>
  <c r="M23" i="43"/>
  <c r="L23" i="43"/>
  <c r="C23" i="43"/>
  <c r="Q22" i="43"/>
  <c r="R22" i="43" s="1"/>
  <c r="P22" i="43"/>
  <c r="O22" i="43"/>
  <c r="S22" i="43" s="1"/>
  <c r="N22" i="43"/>
  <c r="M22" i="43"/>
  <c r="L22" i="43"/>
  <c r="C22" i="43"/>
  <c r="Q21" i="43"/>
  <c r="R21" i="43" s="1"/>
  <c r="P21" i="43"/>
  <c r="O21" i="43"/>
  <c r="N21" i="43"/>
  <c r="M21" i="43"/>
  <c r="L21" i="43"/>
  <c r="C21" i="43"/>
  <c r="Q20" i="43"/>
  <c r="R20" i="43" s="1"/>
  <c r="O20" i="43"/>
  <c r="N20" i="43"/>
  <c r="M20" i="43"/>
  <c r="L20" i="43"/>
  <c r="C20" i="43"/>
  <c r="T19" i="43"/>
  <c r="S19" i="43"/>
  <c r="R19" i="43"/>
  <c r="Q19" i="43"/>
  <c r="P19" i="43"/>
  <c r="O19" i="43"/>
  <c r="N19" i="43"/>
  <c r="M19" i="43"/>
  <c r="L19" i="43"/>
  <c r="C19" i="43"/>
  <c r="Q18" i="43"/>
  <c r="R18" i="43" s="1"/>
  <c r="O18" i="43"/>
  <c r="N18" i="43"/>
  <c r="M18" i="43"/>
  <c r="L18" i="43"/>
  <c r="C18" i="43"/>
  <c r="Q17" i="43"/>
  <c r="R17" i="43" s="1"/>
  <c r="O17" i="43"/>
  <c r="N17" i="43"/>
  <c r="P17" i="43" s="1"/>
  <c r="S17" i="43" s="1"/>
  <c r="M17" i="43"/>
  <c r="L17" i="43"/>
  <c r="C17" i="43"/>
  <c r="S16" i="43"/>
  <c r="R16" i="43"/>
  <c r="Q16" i="43"/>
  <c r="O16" i="43"/>
  <c r="P16" i="43" s="1"/>
  <c r="N16" i="43"/>
  <c r="M16" i="43"/>
  <c r="L16" i="43"/>
  <c r="C16" i="43"/>
  <c r="R15" i="43"/>
  <c r="Q15" i="43"/>
  <c r="N15" i="43"/>
  <c r="M15" i="43"/>
  <c r="L15" i="43"/>
  <c r="C15" i="43"/>
  <c r="S14" i="43"/>
  <c r="R14" i="43"/>
  <c r="Q14" i="43"/>
  <c r="O14" i="43"/>
  <c r="N14" i="43"/>
  <c r="P14" i="43" s="1"/>
  <c r="M14" i="43"/>
  <c r="L14" i="43"/>
  <c r="C14" i="43"/>
  <c r="Q13" i="43"/>
  <c r="R13" i="43" s="1"/>
  <c r="N13" i="43"/>
  <c r="M13" i="43"/>
  <c r="L13" i="43"/>
  <c r="C13" i="43"/>
  <c r="Q12" i="43"/>
  <c r="O12" i="43"/>
  <c r="P12" i="43" s="1"/>
  <c r="N12" i="43"/>
  <c r="M12" i="43"/>
  <c r="L12" i="43"/>
  <c r="C12" i="43"/>
  <c r="R11" i="43"/>
  <c r="Q11" i="43"/>
  <c r="P11" i="43"/>
  <c r="O11" i="43"/>
  <c r="S11" i="43" s="1"/>
  <c r="T11" i="43" s="1"/>
  <c r="N11" i="43"/>
  <c r="M11" i="43"/>
  <c r="L11" i="43"/>
  <c r="C11" i="43"/>
  <c r="Q10" i="43"/>
  <c r="R10" i="43" s="1"/>
  <c r="N10" i="43"/>
  <c r="M10" i="43"/>
  <c r="L10" i="43"/>
  <c r="C10" i="43"/>
  <c r="R9" i="43"/>
  <c r="S9" i="43" s="1"/>
  <c r="T9" i="43" s="1"/>
  <c r="Q9" i="43"/>
  <c r="P9" i="43"/>
  <c r="N9" i="43"/>
  <c r="O9" i="43" s="1"/>
  <c r="M9" i="43"/>
  <c r="L9" i="43"/>
  <c r="C9" i="43"/>
  <c r="R8" i="43"/>
  <c r="Q8" i="43"/>
  <c r="O8" i="43"/>
  <c r="N8" i="43"/>
  <c r="M8" i="43"/>
  <c r="L8" i="43"/>
  <c r="C8" i="43"/>
  <c r="Q7" i="43"/>
  <c r="R7" i="43" s="1"/>
  <c r="N7" i="43"/>
  <c r="M7" i="43"/>
  <c r="L7" i="43"/>
  <c r="C7" i="43"/>
  <c r="Y6" i="43"/>
  <c r="V6" i="43"/>
  <c r="C6" i="47" s="1"/>
  <c r="Q6" i="43"/>
  <c r="R6" i="43" s="1"/>
  <c r="O6" i="43"/>
  <c r="N6" i="43"/>
  <c r="M6" i="43"/>
  <c r="L6" i="43"/>
  <c r="C6" i="43"/>
  <c r="Y5" i="43"/>
  <c r="V5" i="43"/>
  <c r="C5" i="47" s="1"/>
  <c r="Q5" i="43"/>
  <c r="R5" i="43" s="1"/>
  <c r="N5" i="43"/>
  <c r="M5" i="43"/>
  <c r="L5" i="43"/>
  <c r="C5" i="43"/>
  <c r="Y4" i="43"/>
  <c r="Y7" i="43" s="1"/>
  <c r="V4" i="43"/>
  <c r="C4" i="47" s="1"/>
  <c r="Q4" i="43"/>
  <c r="R4" i="43" s="1"/>
  <c r="N4" i="43"/>
  <c r="M4" i="43"/>
  <c r="L4" i="43"/>
  <c r="C4" i="43"/>
  <c r="Y3" i="43"/>
  <c r="V3" i="43"/>
  <c r="C3" i="47" s="1"/>
  <c r="R3" i="43"/>
  <c r="Q3" i="43"/>
  <c r="O3" i="43"/>
  <c r="N3" i="43"/>
  <c r="M3" i="43"/>
  <c r="L3" i="43"/>
  <c r="C3" i="43"/>
  <c r="G60" i="40"/>
  <c r="C60" i="40"/>
  <c r="G59" i="40"/>
  <c r="E59" i="40"/>
  <c r="D59" i="40"/>
  <c r="G58" i="40"/>
  <c r="D58" i="40"/>
  <c r="G57" i="40"/>
  <c r="G56" i="40"/>
  <c r="C56" i="40"/>
  <c r="E56" i="40" s="1"/>
  <c r="G55" i="40"/>
  <c r="G54" i="40"/>
  <c r="G53" i="40"/>
  <c r="D53" i="40"/>
  <c r="E53" i="40" s="1"/>
  <c r="C53" i="40"/>
  <c r="G52" i="40"/>
  <c r="G51" i="40"/>
  <c r="G50" i="40"/>
  <c r="G49" i="40"/>
  <c r="H43" i="40"/>
  <c r="H42" i="40"/>
  <c r="E42" i="40"/>
  <c r="C42" i="40"/>
  <c r="H41" i="40"/>
  <c r="E41" i="40"/>
  <c r="D41" i="40"/>
  <c r="H40" i="40"/>
  <c r="F40" i="40"/>
  <c r="E40" i="40"/>
  <c r="D40" i="40"/>
  <c r="H39" i="40"/>
  <c r="C39" i="40"/>
  <c r="H38" i="40"/>
  <c r="H37" i="40"/>
  <c r="D37" i="40"/>
  <c r="F37" i="40" s="1"/>
  <c r="H36" i="40"/>
  <c r="E36" i="40"/>
  <c r="H35" i="40"/>
  <c r="H34" i="40"/>
  <c r="H33" i="40"/>
  <c r="H32" i="40"/>
  <c r="F17" i="40"/>
  <c r="F18" i="40" s="1"/>
  <c r="F19" i="40" s="1"/>
  <c r="F20" i="40" s="1"/>
  <c r="F21" i="40" s="1"/>
  <c r="F22" i="40" s="1"/>
  <c r="F23" i="40" s="1"/>
  <c r="F24" i="40" s="1"/>
  <c r="F25" i="40" s="1"/>
  <c r="F16" i="40"/>
  <c r="F15" i="40"/>
  <c r="AC10" i="40"/>
  <c r="E43" i="40" s="1"/>
  <c r="AB10" i="40"/>
  <c r="AA10" i="40"/>
  <c r="Z10" i="40"/>
  <c r="Y10" i="40"/>
  <c r="E39" i="40" s="1"/>
  <c r="W10" i="40"/>
  <c r="E37" i="40" s="1"/>
  <c r="V10" i="40"/>
  <c r="AC9" i="40"/>
  <c r="AB9" i="40"/>
  <c r="AA9" i="40"/>
  <c r="Z9" i="40"/>
  <c r="Y9" i="40"/>
  <c r="W9" i="40"/>
  <c r="V9" i="40"/>
  <c r="AC8" i="40"/>
  <c r="D60" i="40" s="1"/>
  <c r="E60" i="40" s="1"/>
  <c r="AB8" i="40"/>
  <c r="AA8" i="40"/>
  <c r="Z8" i="40"/>
  <c r="D57" i="40" s="1"/>
  <c r="Y8" i="40"/>
  <c r="D56" i="40" s="1"/>
  <c r="W8" i="40"/>
  <c r="D54" i="40" s="1"/>
  <c r="E54" i="40" s="1"/>
  <c r="V8" i="40"/>
  <c r="AC7" i="40"/>
  <c r="AB7" i="40"/>
  <c r="C59" i="40" s="1"/>
  <c r="AA7" i="40"/>
  <c r="C58" i="40" s="1"/>
  <c r="E58" i="40" s="1"/>
  <c r="Z7" i="40"/>
  <c r="C57" i="40" s="1"/>
  <c r="E57" i="40" s="1"/>
  <c r="Y7" i="40"/>
  <c r="W7" i="40"/>
  <c r="C54" i="40" s="1"/>
  <c r="V7" i="40"/>
  <c r="AC6" i="40"/>
  <c r="D43" i="40" s="1"/>
  <c r="F43" i="40" s="1"/>
  <c r="AB6" i="40"/>
  <c r="D42" i="40" s="1"/>
  <c r="F42" i="40" s="1"/>
  <c r="AA6" i="40"/>
  <c r="Z6" i="40"/>
  <c r="Y6" i="40"/>
  <c r="D39" i="40" s="1"/>
  <c r="F39" i="40" s="1"/>
  <c r="W6" i="40"/>
  <c r="V6" i="40"/>
  <c r="D36" i="40" s="1"/>
  <c r="F36" i="40" s="1"/>
  <c r="AC5" i="40"/>
  <c r="C43" i="40" s="1"/>
  <c r="AB5" i="40"/>
  <c r="AA5" i="40"/>
  <c r="C41" i="40" s="1"/>
  <c r="Z5" i="40"/>
  <c r="C40" i="40" s="1"/>
  <c r="Y5" i="40"/>
  <c r="W5" i="40"/>
  <c r="C37" i="40" s="1"/>
  <c r="V5" i="40"/>
  <c r="C36" i="40" s="1"/>
  <c r="N5" i="40"/>
  <c r="AC4" i="40"/>
  <c r="AB4" i="40"/>
  <c r="AA4" i="40"/>
  <c r="Z4" i="40"/>
  <c r="Y4" i="40"/>
  <c r="W4" i="40"/>
  <c r="V4" i="40"/>
  <c r="L4" i="40"/>
  <c r="AC3" i="40"/>
  <c r="AB3" i="40"/>
  <c r="AA3" i="40"/>
  <c r="Z3" i="40"/>
  <c r="Y3" i="40"/>
  <c r="W3" i="40"/>
  <c r="V3" i="40"/>
  <c r="R3" i="40"/>
  <c r="N3" i="40"/>
  <c r="K411" i="39"/>
  <c r="J411" i="39"/>
  <c r="I411" i="39"/>
  <c r="H411" i="39"/>
  <c r="G411" i="39"/>
  <c r="F411" i="39"/>
  <c r="E411" i="39"/>
  <c r="D411" i="39"/>
  <c r="AD384" i="39" s="1"/>
  <c r="C411" i="39"/>
  <c r="AA410" i="39"/>
  <c r="Q410" i="39"/>
  <c r="L410" i="39"/>
  <c r="AB410" i="39" s="1"/>
  <c r="Q409" i="39"/>
  <c r="L409" i="39"/>
  <c r="AB409" i="39" s="1"/>
  <c r="Z408" i="39"/>
  <c r="W408" i="39"/>
  <c r="X408" i="39" s="1"/>
  <c r="V408" i="39"/>
  <c r="U408" i="39"/>
  <c r="S408" i="39"/>
  <c r="R408" i="39"/>
  <c r="P408" i="39"/>
  <c r="O408" i="39"/>
  <c r="N408" i="39"/>
  <c r="M408" i="39"/>
  <c r="L408" i="39"/>
  <c r="X407" i="39"/>
  <c r="W407" i="39"/>
  <c r="V407" i="39"/>
  <c r="U407" i="39"/>
  <c r="S407" i="39"/>
  <c r="R407" i="39"/>
  <c r="P407" i="39"/>
  <c r="O407" i="39"/>
  <c r="N407" i="39"/>
  <c r="M407" i="39"/>
  <c r="L407" i="39"/>
  <c r="X406" i="39"/>
  <c r="W406" i="39"/>
  <c r="U406" i="39"/>
  <c r="V406" i="39" s="1"/>
  <c r="S406" i="39"/>
  <c r="R406" i="39"/>
  <c r="P406" i="39"/>
  <c r="O406" i="39"/>
  <c r="N406" i="39"/>
  <c r="M406" i="39"/>
  <c r="L406" i="39"/>
  <c r="W405" i="39"/>
  <c r="X405" i="39" s="1"/>
  <c r="V405" i="39"/>
  <c r="U405" i="39"/>
  <c r="S405" i="39"/>
  <c r="R405" i="39"/>
  <c r="P405" i="39"/>
  <c r="O405" i="39"/>
  <c r="N405" i="39"/>
  <c r="M405" i="39"/>
  <c r="Q405" i="39" s="1"/>
  <c r="L405" i="39"/>
  <c r="X404" i="39"/>
  <c r="W404" i="39"/>
  <c r="U404" i="39"/>
  <c r="T404" i="39"/>
  <c r="S404" i="39"/>
  <c r="R404" i="39"/>
  <c r="P404" i="39"/>
  <c r="O404" i="39"/>
  <c r="N404" i="39"/>
  <c r="M404" i="39"/>
  <c r="Q404" i="39" s="1"/>
  <c r="L404" i="39"/>
  <c r="W403" i="39"/>
  <c r="X403" i="39" s="1"/>
  <c r="V403" i="39"/>
  <c r="U403" i="39"/>
  <c r="S403" i="39"/>
  <c r="R403" i="39"/>
  <c r="P403" i="39"/>
  <c r="O403" i="39"/>
  <c r="N403" i="39"/>
  <c r="M403" i="39"/>
  <c r="Q403" i="39" s="1"/>
  <c r="L403" i="39"/>
  <c r="W402" i="39"/>
  <c r="X402" i="39" s="1"/>
  <c r="U402" i="39"/>
  <c r="V402" i="39" s="1"/>
  <c r="R402" i="39"/>
  <c r="Q402" i="39"/>
  <c r="P402" i="39"/>
  <c r="O402" i="39"/>
  <c r="N402" i="39"/>
  <c r="M402" i="39"/>
  <c r="L402" i="39"/>
  <c r="W401" i="39"/>
  <c r="U401" i="39"/>
  <c r="V401" i="39" s="1"/>
  <c r="T401" i="39"/>
  <c r="S401" i="39"/>
  <c r="R401" i="39"/>
  <c r="P401" i="39"/>
  <c r="O401" i="39"/>
  <c r="N401" i="39"/>
  <c r="Q401" i="39" s="1"/>
  <c r="M401" i="39"/>
  <c r="L401" i="39"/>
  <c r="W400" i="39"/>
  <c r="V400" i="39"/>
  <c r="U400" i="39"/>
  <c r="T400" i="39"/>
  <c r="S400" i="39"/>
  <c r="R400" i="39"/>
  <c r="P400" i="39"/>
  <c r="O400" i="39"/>
  <c r="N400" i="39"/>
  <c r="Q400" i="39" s="1"/>
  <c r="M400" i="39"/>
  <c r="L400" i="39"/>
  <c r="X399" i="39"/>
  <c r="W399" i="39"/>
  <c r="U399" i="39"/>
  <c r="V399" i="39" s="1"/>
  <c r="R399" i="39"/>
  <c r="P399" i="39"/>
  <c r="O399" i="39"/>
  <c r="N399" i="39"/>
  <c r="Q399" i="39" s="1"/>
  <c r="M399" i="39"/>
  <c r="L399" i="39"/>
  <c r="W398" i="39"/>
  <c r="X398" i="39" s="1"/>
  <c r="U398" i="39"/>
  <c r="V398" i="39" s="1"/>
  <c r="R398" i="39"/>
  <c r="P398" i="39"/>
  <c r="O398" i="39"/>
  <c r="N398" i="39"/>
  <c r="M398" i="39"/>
  <c r="L398" i="39"/>
  <c r="W397" i="39"/>
  <c r="X397" i="39" s="1"/>
  <c r="V397" i="39"/>
  <c r="U397" i="39"/>
  <c r="T397" i="39"/>
  <c r="R397" i="39"/>
  <c r="S397" i="39" s="1"/>
  <c r="P397" i="39"/>
  <c r="O397" i="39"/>
  <c r="N397" i="39"/>
  <c r="M397" i="39"/>
  <c r="L397" i="39"/>
  <c r="W396" i="39"/>
  <c r="X396" i="39" s="1"/>
  <c r="V396" i="39"/>
  <c r="U396" i="39"/>
  <c r="R396" i="39"/>
  <c r="S396" i="39" s="1"/>
  <c r="P396" i="39"/>
  <c r="O396" i="39"/>
  <c r="Q396" i="39" s="1"/>
  <c r="N396" i="39"/>
  <c r="M396" i="39"/>
  <c r="L396" i="39"/>
  <c r="W395" i="39"/>
  <c r="X395" i="39" s="1"/>
  <c r="U395" i="39"/>
  <c r="V395" i="39" s="1"/>
  <c r="S395" i="39"/>
  <c r="R395" i="39"/>
  <c r="P395" i="39"/>
  <c r="O395" i="39"/>
  <c r="N395" i="39"/>
  <c r="M395" i="39"/>
  <c r="L395" i="39"/>
  <c r="W394" i="39"/>
  <c r="X394" i="39" s="1"/>
  <c r="V394" i="39"/>
  <c r="U394" i="39"/>
  <c r="S394" i="39"/>
  <c r="R394" i="39"/>
  <c r="P394" i="39"/>
  <c r="O394" i="39"/>
  <c r="Q394" i="39" s="1"/>
  <c r="N394" i="39"/>
  <c r="M394" i="39"/>
  <c r="L394" i="39"/>
  <c r="X393" i="39"/>
  <c r="W393" i="39"/>
  <c r="V393" i="39"/>
  <c r="U393" i="39"/>
  <c r="R393" i="39"/>
  <c r="P393" i="39"/>
  <c r="O393" i="39"/>
  <c r="N393" i="39"/>
  <c r="M393" i="39"/>
  <c r="L393" i="39"/>
  <c r="W392" i="39"/>
  <c r="X392" i="39" s="1"/>
  <c r="V392" i="39"/>
  <c r="U392" i="39"/>
  <c r="S392" i="39"/>
  <c r="R392" i="39"/>
  <c r="P392" i="39"/>
  <c r="O392" i="39"/>
  <c r="Q392" i="39" s="1"/>
  <c r="N392" i="39"/>
  <c r="M392" i="39"/>
  <c r="L392" i="39"/>
  <c r="W391" i="39"/>
  <c r="X391" i="39" s="1"/>
  <c r="V391" i="39"/>
  <c r="U391" i="39"/>
  <c r="R391" i="39"/>
  <c r="P391" i="39"/>
  <c r="O391" i="39"/>
  <c r="N391" i="39"/>
  <c r="M391" i="39"/>
  <c r="Q391" i="39" s="1"/>
  <c r="L391" i="39"/>
  <c r="X390" i="39"/>
  <c r="W390" i="39"/>
  <c r="V390" i="39"/>
  <c r="U390" i="39"/>
  <c r="R390" i="39"/>
  <c r="P390" i="39"/>
  <c r="O390" i="39"/>
  <c r="N390" i="39"/>
  <c r="M390" i="39"/>
  <c r="L390" i="39"/>
  <c r="X389" i="39"/>
  <c r="W389" i="39"/>
  <c r="U389" i="39"/>
  <c r="V389" i="39" s="1"/>
  <c r="R389" i="39"/>
  <c r="P389" i="39"/>
  <c r="O389" i="39"/>
  <c r="Q389" i="39" s="1"/>
  <c r="N389" i="39"/>
  <c r="M389" i="39"/>
  <c r="L389" i="39"/>
  <c r="W388" i="39"/>
  <c r="X388" i="39" s="1"/>
  <c r="V388" i="39"/>
  <c r="U388" i="39"/>
  <c r="T388" i="39"/>
  <c r="S388" i="39"/>
  <c r="R388" i="39"/>
  <c r="P388" i="39"/>
  <c r="O388" i="39"/>
  <c r="N388" i="39"/>
  <c r="Q388" i="39" s="1"/>
  <c r="M388" i="39"/>
  <c r="L388" i="39"/>
  <c r="W387" i="39"/>
  <c r="V387" i="39"/>
  <c r="U387" i="39"/>
  <c r="T387" i="39"/>
  <c r="R387" i="39"/>
  <c r="S387" i="39" s="1"/>
  <c r="P387" i="39"/>
  <c r="O387" i="39"/>
  <c r="N387" i="39"/>
  <c r="M387" i="39"/>
  <c r="Q387" i="39" s="1"/>
  <c r="L387" i="39"/>
  <c r="X386" i="39"/>
  <c r="W386" i="39"/>
  <c r="V386" i="39"/>
  <c r="U386" i="39"/>
  <c r="R386" i="39"/>
  <c r="P386" i="39"/>
  <c r="O386" i="39"/>
  <c r="N386" i="39"/>
  <c r="M386" i="39"/>
  <c r="Q386" i="39" s="1"/>
  <c r="L386" i="39"/>
  <c r="AD385" i="39"/>
  <c r="X385" i="39"/>
  <c r="W385" i="39"/>
  <c r="U385" i="39"/>
  <c r="V385" i="39" s="1"/>
  <c r="R385" i="39"/>
  <c r="P385" i="39"/>
  <c r="O385" i="39"/>
  <c r="N385" i="39"/>
  <c r="M385" i="39"/>
  <c r="Q385" i="39" s="1"/>
  <c r="L385" i="39"/>
  <c r="X384" i="39"/>
  <c r="W384" i="39"/>
  <c r="U384" i="39"/>
  <c r="V384" i="39" s="1"/>
  <c r="R384" i="39"/>
  <c r="Q384" i="39"/>
  <c r="P384" i="39"/>
  <c r="O384" i="39"/>
  <c r="N384" i="39"/>
  <c r="M384" i="39"/>
  <c r="L384" i="39"/>
  <c r="W383" i="39"/>
  <c r="X383" i="39" s="1"/>
  <c r="V383" i="39"/>
  <c r="U383" i="39"/>
  <c r="S383" i="39"/>
  <c r="R383" i="39"/>
  <c r="P383" i="39"/>
  <c r="O383" i="39"/>
  <c r="N383" i="39"/>
  <c r="M383" i="39"/>
  <c r="L383" i="39"/>
  <c r="AD382" i="39"/>
  <c r="W382" i="39"/>
  <c r="U382" i="39"/>
  <c r="S382" i="39"/>
  <c r="R382" i="39"/>
  <c r="P382" i="39"/>
  <c r="O382" i="39"/>
  <c r="N382" i="39"/>
  <c r="M382" i="39"/>
  <c r="L382" i="39"/>
  <c r="AD381" i="39"/>
  <c r="X381" i="39"/>
  <c r="W381" i="39"/>
  <c r="V381" i="39"/>
  <c r="U381" i="39"/>
  <c r="S381" i="39"/>
  <c r="R381" i="39"/>
  <c r="P381" i="39"/>
  <c r="O381" i="39"/>
  <c r="N381" i="39"/>
  <c r="M381" i="39"/>
  <c r="L381" i="39"/>
  <c r="K378" i="39"/>
  <c r="J378" i="39"/>
  <c r="I378" i="39"/>
  <c r="H378" i="39"/>
  <c r="G378" i="39"/>
  <c r="F378" i="39"/>
  <c r="E378" i="39"/>
  <c r="M5" i="40" s="1"/>
  <c r="D378" i="39"/>
  <c r="M4" i="40" s="1"/>
  <c r="C378" i="39"/>
  <c r="M3" i="40" s="1"/>
  <c r="AA377" i="39"/>
  <c r="Q377" i="39"/>
  <c r="L377" i="39"/>
  <c r="AB377" i="39" s="1"/>
  <c r="AB376" i="39"/>
  <c r="Q376" i="39"/>
  <c r="L376" i="39"/>
  <c r="W375" i="39"/>
  <c r="X375" i="39" s="1"/>
  <c r="V375" i="39"/>
  <c r="U375" i="39"/>
  <c r="R375" i="39"/>
  <c r="P375" i="39"/>
  <c r="O375" i="39"/>
  <c r="N375" i="39"/>
  <c r="Q375" i="39" s="1"/>
  <c r="M375" i="39"/>
  <c r="L375" i="39"/>
  <c r="X374" i="39"/>
  <c r="W374" i="39"/>
  <c r="V374" i="39"/>
  <c r="U374" i="39"/>
  <c r="S374" i="39"/>
  <c r="R374" i="39"/>
  <c r="Q374" i="39"/>
  <c r="P374" i="39"/>
  <c r="O374" i="39"/>
  <c r="N374" i="39"/>
  <c r="M374" i="39"/>
  <c r="L374" i="39"/>
  <c r="X373" i="39"/>
  <c r="W373" i="39"/>
  <c r="U373" i="39"/>
  <c r="V373" i="39" s="1"/>
  <c r="S373" i="39"/>
  <c r="R373" i="39"/>
  <c r="P373" i="39"/>
  <c r="O373" i="39"/>
  <c r="N373" i="39"/>
  <c r="M373" i="39"/>
  <c r="L373" i="39"/>
  <c r="X372" i="39"/>
  <c r="W372" i="39"/>
  <c r="V372" i="39"/>
  <c r="U372" i="39"/>
  <c r="R372" i="39"/>
  <c r="P372" i="39"/>
  <c r="O372" i="39"/>
  <c r="N372" i="39"/>
  <c r="M372" i="39"/>
  <c r="Q372" i="39" s="1"/>
  <c r="L372" i="39"/>
  <c r="W371" i="39"/>
  <c r="X371" i="39" s="1"/>
  <c r="U371" i="39"/>
  <c r="V371" i="39" s="1"/>
  <c r="S371" i="39"/>
  <c r="R371" i="39"/>
  <c r="P371" i="39"/>
  <c r="O371" i="39"/>
  <c r="N371" i="39"/>
  <c r="M371" i="39"/>
  <c r="L371" i="39"/>
  <c r="W370" i="39"/>
  <c r="X370" i="39" s="1"/>
  <c r="V370" i="39"/>
  <c r="U370" i="39"/>
  <c r="R370" i="39"/>
  <c r="P370" i="39"/>
  <c r="O370" i="39"/>
  <c r="N370" i="39"/>
  <c r="Q370" i="39" s="1"/>
  <c r="M370" i="39"/>
  <c r="L370" i="39"/>
  <c r="W369" i="39"/>
  <c r="X369" i="39" s="1"/>
  <c r="V369" i="39"/>
  <c r="U369" i="39"/>
  <c r="R369" i="39"/>
  <c r="P369" i="39"/>
  <c r="O369" i="39"/>
  <c r="N369" i="39"/>
  <c r="M369" i="39"/>
  <c r="L369" i="39"/>
  <c r="X368" i="39"/>
  <c r="W368" i="39"/>
  <c r="U368" i="39"/>
  <c r="V368" i="39" s="1"/>
  <c r="R368" i="39"/>
  <c r="P368" i="39"/>
  <c r="O368" i="39"/>
  <c r="N368" i="39"/>
  <c r="M368" i="39"/>
  <c r="L368" i="39"/>
  <c r="X367" i="39"/>
  <c r="W367" i="39"/>
  <c r="U367" i="39"/>
  <c r="V367" i="39" s="1"/>
  <c r="S367" i="39"/>
  <c r="R367" i="39"/>
  <c r="Q367" i="39"/>
  <c r="P367" i="39"/>
  <c r="O367" i="39"/>
  <c r="N367" i="39"/>
  <c r="M367" i="39"/>
  <c r="L367" i="39"/>
  <c r="X366" i="39"/>
  <c r="W366" i="39"/>
  <c r="U366" i="39"/>
  <c r="V366" i="39" s="1"/>
  <c r="R366" i="39"/>
  <c r="P366" i="39"/>
  <c r="O366" i="39"/>
  <c r="N366" i="39"/>
  <c r="M366" i="39"/>
  <c r="L366" i="39"/>
  <c r="X365" i="39"/>
  <c r="W365" i="39"/>
  <c r="U365" i="39"/>
  <c r="V365" i="39" s="1"/>
  <c r="R365" i="39"/>
  <c r="P365" i="39"/>
  <c r="O365" i="39"/>
  <c r="N365" i="39"/>
  <c r="M365" i="39"/>
  <c r="Q365" i="39" s="1"/>
  <c r="L365" i="39"/>
  <c r="X364" i="39"/>
  <c r="W364" i="39"/>
  <c r="V364" i="39"/>
  <c r="U364" i="39"/>
  <c r="S364" i="39"/>
  <c r="R364" i="39"/>
  <c r="P364" i="39"/>
  <c r="O364" i="39"/>
  <c r="N364" i="39"/>
  <c r="M364" i="39"/>
  <c r="L364" i="39"/>
  <c r="X363" i="39"/>
  <c r="W363" i="39"/>
  <c r="V363" i="39"/>
  <c r="U363" i="39"/>
  <c r="R363" i="39"/>
  <c r="P363" i="39"/>
  <c r="O363" i="39"/>
  <c r="N363" i="39"/>
  <c r="M363" i="39"/>
  <c r="L363" i="39"/>
  <c r="X362" i="39"/>
  <c r="W362" i="39"/>
  <c r="U362" i="39"/>
  <c r="T362" i="39"/>
  <c r="R362" i="39"/>
  <c r="S362" i="39" s="1"/>
  <c r="P362" i="39"/>
  <c r="O362" i="39"/>
  <c r="N362" i="39"/>
  <c r="M362" i="39"/>
  <c r="L362" i="39"/>
  <c r="W361" i="39"/>
  <c r="X361" i="39" s="1"/>
  <c r="V361" i="39"/>
  <c r="U361" i="39"/>
  <c r="R361" i="39"/>
  <c r="P361" i="39"/>
  <c r="O361" i="39"/>
  <c r="N361" i="39"/>
  <c r="M361" i="39"/>
  <c r="L361" i="39"/>
  <c r="W360" i="39"/>
  <c r="X360" i="39" s="1"/>
  <c r="U360" i="39"/>
  <c r="V360" i="39" s="1"/>
  <c r="T360" i="39"/>
  <c r="S360" i="39"/>
  <c r="Z360" i="39" s="1"/>
  <c r="R360" i="39"/>
  <c r="P360" i="39"/>
  <c r="Y360" i="39" s="1"/>
  <c r="O360" i="39"/>
  <c r="N360" i="39"/>
  <c r="M360" i="39"/>
  <c r="L360" i="39"/>
  <c r="W359" i="39"/>
  <c r="X359" i="39" s="1"/>
  <c r="V359" i="39"/>
  <c r="U359" i="39"/>
  <c r="R359" i="39"/>
  <c r="P359" i="39"/>
  <c r="O359" i="39"/>
  <c r="N359" i="39"/>
  <c r="Q359" i="39" s="1"/>
  <c r="M359" i="39"/>
  <c r="L359" i="39"/>
  <c r="W358" i="39"/>
  <c r="X358" i="39" s="1"/>
  <c r="V358" i="39"/>
  <c r="U358" i="39"/>
  <c r="S358" i="39"/>
  <c r="R358" i="39"/>
  <c r="P358" i="39"/>
  <c r="O358" i="39"/>
  <c r="N358" i="39"/>
  <c r="M358" i="39"/>
  <c r="L358" i="39"/>
  <c r="Z357" i="39"/>
  <c r="W357" i="39"/>
  <c r="X357" i="39" s="1"/>
  <c r="U357" i="39"/>
  <c r="V357" i="39" s="1"/>
  <c r="S357" i="39"/>
  <c r="R357" i="39"/>
  <c r="Q357" i="39"/>
  <c r="P357" i="39"/>
  <c r="O357" i="39"/>
  <c r="N357" i="39"/>
  <c r="M357" i="39"/>
  <c r="L357" i="39"/>
  <c r="W356" i="39"/>
  <c r="X356" i="39" s="1"/>
  <c r="U356" i="39"/>
  <c r="V356" i="39" s="1"/>
  <c r="R356" i="39"/>
  <c r="P356" i="39"/>
  <c r="O356" i="39"/>
  <c r="N356" i="39"/>
  <c r="Q356" i="39" s="1"/>
  <c r="M356" i="39"/>
  <c r="L356" i="39"/>
  <c r="X355" i="39"/>
  <c r="W355" i="39"/>
  <c r="V355" i="39"/>
  <c r="U355" i="39"/>
  <c r="S355" i="39"/>
  <c r="R355" i="39"/>
  <c r="P355" i="39"/>
  <c r="O355" i="39"/>
  <c r="N355" i="39"/>
  <c r="M355" i="39"/>
  <c r="L355" i="39"/>
  <c r="X354" i="39"/>
  <c r="W354" i="39"/>
  <c r="V354" i="39"/>
  <c r="Y354" i="39" s="1"/>
  <c r="U354" i="39"/>
  <c r="T354" i="39"/>
  <c r="S354" i="39"/>
  <c r="R354" i="39"/>
  <c r="P354" i="39"/>
  <c r="O354" i="39"/>
  <c r="N354" i="39"/>
  <c r="M354" i="39"/>
  <c r="Q354" i="39" s="1"/>
  <c r="L354" i="39"/>
  <c r="AD353" i="39"/>
  <c r="Z353" i="39"/>
  <c r="X353" i="39"/>
  <c r="W353" i="39"/>
  <c r="U353" i="39"/>
  <c r="V353" i="39" s="1"/>
  <c r="S353" i="39"/>
  <c r="R353" i="39"/>
  <c r="P353" i="39"/>
  <c r="O353" i="39"/>
  <c r="N353" i="39"/>
  <c r="M353" i="39"/>
  <c r="L353" i="39"/>
  <c r="AD352" i="39"/>
  <c r="W352" i="39"/>
  <c r="X352" i="39" s="1"/>
  <c r="U352" i="39"/>
  <c r="V352" i="39" s="1"/>
  <c r="R352" i="39"/>
  <c r="P352" i="39"/>
  <c r="O352" i="39"/>
  <c r="N352" i="39"/>
  <c r="M352" i="39"/>
  <c r="Q352" i="39" s="1"/>
  <c r="L352" i="39"/>
  <c r="AD351" i="39"/>
  <c r="Z351" i="39"/>
  <c r="X351" i="39"/>
  <c r="W351" i="39"/>
  <c r="U351" i="39"/>
  <c r="V351" i="39" s="1"/>
  <c r="T351" i="39"/>
  <c r="S351" i="39"/>
  <c r="R351" i="39"/>
  <c r="P351" i="39"/>
  <c r="O351" i="39"/>
  <c r="N351" i="39"/>
  <c r="M351" i="39"/>
  <c r="L351" i="39"/>
  <c r="X350" i="39"/>
  <c r="W350" i="39"/>
  <c r="V350" i="39"/>
  <c r="U350" i="39"/>
  <c r="T350" i="39"/>
  <c r="R350" i="39"/>
  <c r="S350" i="39" s="1"/>
  <c r="P350" i="39"/>
  <c r="O350" i="39"/>
  <c r="N350" i="39"/>
  <c r="M350" i="39"/>
  <c r="L350" i="39"/>
  <c r="X349" i="39"/>
  <c r="W349" i="39"/>
  <c r="V349" i="39"/>
  <c r="U349" i="39"/>
  <c r="R349" i="39"/>
  <c r="Q349" i="39"/>
  <c r="P349" i="39"/>
  <c r="O349" i="39"/>
  <c r="N349" i="39"/>
  <c r="M349" i="39"/>
  <c r="L349" i="39"/>
  <c r="AD348" i="39"/>
  <c r="Z348" i="39"/>
  <c r="X348" i="39"/>
  <c r="W348" i="39"/>
  <c r="U348" i="39"/>
  <c r="V348" i="39" s="1"/>
  <c r="T348" i="39"/>
  <c r="S348" i="39"/>
  <c r="R348" i="39"/>
  <c r="P348" i="39"/>
  <c r="O348" i="39"/>
  <c r="N348" i="39"/>
  <c r="Q348" i="39" s="1"/>
  <c r="M348" i="39"/>
  <c r="L348" i="39"/>
  <c r="K345" i="39"/>
  <c r="J345" i="39"/>
  <c r="I345" i="39"/>
  <c r="AD320" i="39" s="1"/>
  <c r="H345" i="39"/>
  <c r="G345" i="39"/>
  <c r="F345" i="39"/>
  <c r="E345" i="39"/>
  <c r="L5" i="40" s="1"/>
  <c r="D345" i="39"/>
  <c r="C345" i="39"/>
  <c r="AA344" i="39"/>
  <c r="Q344" i="39"/>
  <c r="L344" i="39"/>
  <c r="Q343" i="39"/>
  <c r="L343" i="39"/>
  <c r="AB343" i="39" s="1"/>
  <c r="W342" i="39"/>
  <c r="X342" i="39" s="1"/>
  <c r="V342" i="39"/>
  <c r="U342" i="39"/>
  <c r="R342" i="39"/>
  <c r="Q342" i="39"/>
  <c r="P342" i="39"/>
  <c r="O342" i="39"/>
  <c r="N342" i="39"/>
  <c r="M342" i="39"/>
  <c r="L342" i="39"/>
  <c r="W341" i="39"/>
  <c r="X341" i="39" s="1"/>
  <c r="V341" i="39"/>
  <c r="U341" i="39"/>
  <c r="R341" i="39"/>
  <c r="P341" i="39"/>
  <c r="O341" i="39"/>
  <c r="Q341" i="39" s="1"/>
  <c r="N341" i="39"/>
  <c r="M341" i="39"/>
  <c r="L341" i="39"/>
  <c r="X340" i="39"/>
  <c r="W340" i="39"/>
  <c r="V340" i="39"/>
  <c r="U340" i="39"/>
  <c r="R340" i="39"/>
  <c r="R345" i="39" s="1"/>
  <c r="Q340" i="39"/>
  <c r="P340" i="39"/>
  <c r="O340" i="39"/>
  <c r="N340" i="39"/>
  <c r="M340" i="39"/>
  <c r="L340" i="39"/>
  <c r="X339" i="39"/>
  <c r="W339" i="39"/>
  <c r="V339" i="39"/>
  <c r="U339" i="39"/>
  <c r="S339" i="39"/>
  <c r="R339" i="39"/>
  <c r="Q339" i="39"/>
  <c r="P339" i="39"/>
  <c r="O339" i="39"/>
  <c r="N339" i="39"/>
  <c r="M339" i="39"/>
  <c r="L339" i="39"/>
  <c r="X338" i="39"/>
  <c r="W338" i="39"/>
  <c r="U338" i="39"/>
  <c r="V338" i="39" s="1"/>
  <c r="R338" i="39"/>
  <c r="P338" i="39"/>
  <c r="O338" i="39"/>
  <c r="N338" i="39"/>
  <c r="M338" i="39"/>
  <c r="L338" i="39"/>
  <c r="W337" i="39"/>
  <c r="X337" i="39" s="1"/>
  <c r="U337" i="39"/>
  <c r="V337" i="39" s="1"/>
  <c r="R337" i="39"/>
  <c r="Q337" i="39"/>
  <c r="P337" i="39"/>
  <c r="O337" i="39"/>
  <c r="N337" i="39"/>
  <c r="M337" i="39"/>
  <c r="L337" i="39"/>
  <c r="W336" i="39"/>
  <c r="X336" i="39" s="1"/>
  <c r="V336" i="39"/>
  <c r="U336" i="39"/>
  <c r="S336" i="39"/>
  <c r="R336" i="39"/>
  <c r="P336" i="39"/>
  <c r="O336" i="39"/>
  <c r="N336" i="39"/>
  <c r="M336" i="39"/>
  <c r="Q336" i="39" s="1"/>
  <c r="L336" i="39"/>
  <c r="X335" i="39"/>
  <c r="W335" i="39"/>
  <c r="U335" i="39"/>
  <c r="S335" i="39"/>
  <c r="R335" i="39"/>
  <c r="P335" i="39"/>
  <c r="O335" i="39"/>
  <c r="N335" i="39"/>
  <c r="M335" i="39"/>
  <c r="Q335" i="39" s="1"/>
  <c r="L335" i="39"/>
  <c r="X334" i="39"/>
  <c r="W334" i="39"/>
  <c r="V334" i="39"/>
  <c r="U334" i="39"/>
  <c r="R334" i="39"/>
  <c r="P334" i="39"/>
  <c r="O334" i="39"/>
  <c r="N334" i="39"/>
  <c r="M334" i="39"/>
  <c r="L334" i="39"/>
  <c r="X333" i="39"/>
  <c r="W333" i="39"/>
  <c r="V333" i="39"/>
  <c r="U333" i="39"/>
  <c r="R333" i="39"/>
  <c r="Q333" i="39"/>
  <c r="P333" i="39"/>
  <c r="O333" i="39"/>
  <c r="N333" i="39"/>
  <c r="M333" i="39"/>
  <c r="L333" i="39"/>
  <c r="X332" i="39"/>
  <c r="W332" i="39"/>
  <c r="V332" i="39"/>
  <c r="U332" i="39"/>
  <c r="R332" i="39"/>
  <c r="Q332" i="39"/>
  <c r="P332" i="39"/>
  <c r="O332" i="39"/>
  <c r="N332" i="39"/>
  <c r="M332" i="39"/>
  <c r="L332" i="39"/>
  <c r="X331" i="39"/>
  <c r="W331" i="39"/>
  <c r="U331" i="39"/>
  <c r="V331" i="39" s="1"/>
  <c r="S331" i="39"/>
  <c r="T331" i="39" s="1"/>
  <c r="R331" i="39"/>
  <c r="Q331" i="39"/>
  <c r="P331" i="39"/>
  <c r="O331" i="39"/>
  <c r="N331" i="39"/>
  <c r="M331" i="39"/>
  <c r="L331" i="39"/>
  <c r="X330" i="39"/>
  <c r="W330" i="39"/>
  <c r="V330" i="39"/>
  <c r="U330" i="39"/>
  <c r="S330" i="39"/>
  <c r="R330" i="39"/>
  <c r="Q330" i="39"/>
  <c r="P330" i="39"/>
  <c r="O330" i="39"/>
  <c r="N330" i="39"/>
  <c r="M330" i="39"/>
  <c r="L330" i="39"/>
  <c r="W329" i="39"/>
  <c r="X329" i="39" s="1"/>
  <c r="V329" i="39"/>
  <c r="U329" i="39"/>
  <c r="S329" i="39"/>
  <c r="R329" i="39"/>
  <c r="P329" i="39"/>
  <c r="Q329" i="39" s="1"/>
  <c r="O329" i="39"/>
  <c r="N329" i="39"/>
  <c r="M329" i="39"/>
  <c r="L329" i="39"/>
  <c r="W328" i="39"/>
  <c r="X328" i="39" s="1"/>
  <c r="V328" i="39"/>
  <c r="U328" i="39"/>
  <c r="T328" i="39"/>
  <c r="Y328" i="39" s="1"/>
  <c r="S328" i="39"/>
  <c r="R328" i="39"/>
  <c r="Q328" i="39"/>
  <c r="P328" i="39"/>
  <c r="O328" i="39"/>
  <c r="N328" i="39"/>
  <c r="M328" i="39"/>
  <c r="L328" i="39"/>
  <c r="W327" i="39"/>
  <c r="X327" i="39" s="1"/>
  <c r="U327" i="39"/>
  <c r="V327" i="39" s="1"/>
  <c r="R327" i="39"/>
  <c r="P327" i="39"/>
  <c r="O327" i="39"/>
  <c r="N327" i="39"/>
  <c r="M327" i="39"/>
  <c r="Q327" i="39" s="1"/>
  <c r="L327" i="39"/>
  <c r="X326" i="39"/>
  <c r="W326" i="39"/>
  <c r="Z326" i="39" s="1"/>
  <c r="V326" i="39"/>
  <c r="Y326" i="39" s="1"/>
  <c r="U326" i="39"/>
  <c r="T326" i="39"/>
  <c r="S326" i="39"/>
  <c r="R326" i="39"/>
  <c r="P326" i="39"/>
  <c r="O326" i="39"/>
  <c r="N326" i="39"/>
  <c r="Q326" i="39" s="1"/>
  <c r="M326" i="39"/>
  <c r="L326" i="39"/>
  <c r="X325" i="39"/>
  <c r="W325" i="39"/>
  <c r="V325" i="39"/>
  <c r="U325" i="39"/>
  <c r="R325" i="39"/>
  <c r="P325" i="39"/>
  <c r="O325" i="39"/>
  <c r="N325" i="39"/>
  <c r="M325" i="39"/>
  <c r="L325" i="39"/>
  <c r="W324" i="39"/>
  <c r="X324" i="39" s="1"/>
  <c r="V324" i="39"/>
  <c r="U324" i="39"/>
  <c r="R324" i="39"/>
  <c r="P324" i="39"/>
  <c r="O324" i="39"/>
  <c r="N324" i="39"/>
  <c r="M324" i="39"/>
  <c r="L324" i="39"/>
  <c r="W323" i="39"/>
  <c r="X323" i="39" s="1"/>
  <c r="U323" i="39"/>
  <c r="V323" i="39" s="1"/>
  <c r="R323" i="39"/>
  <c r="P323" i="39"/>
  <c r="O323" i="39"/>
  <c r="N323" i="39"/>
  <c r="M323" i="39"/>
  <c r="L323" i="39"/>
  <c r="W322" i="39"/>
  <c r="X322" i="39" s="1"/>
  <c r="V322" i="39"/>
  <c r="U322" i="39"/>
  <c r="R322" i="39"/>
  <c r="P322" i="39"/>
  <c r="O322" i="39"/>
  <c r="N322" i="39"/>
  <c r="M322" i="39"/>
  <c r="L322" i="39"/>
  <c r="X321" i="39"/>
  <c r="W321" i="39"/>
  <c r="Z321" i="39" s="1"/>
  <c r="U321" i="39"/>
  <c r="V321" i="39" s="1"/>
  <c r="Y321" i="39" s="1"/>
  <c r="T321" i="39"/>
  <c r="S321" i="39"/>
  <c r="R321" i="39"/>
  <c r="Q321" i="39"/>
  <c r="P321" i="39"/>
  <c r="O321" i="39"/>
  <c r="N321" i="39"/>
  <c r="M321" i="39"/>
  <c r="L321" i="39"/>
  <c r="X320" i="39"/>
  <c r="W320" i="39"/>
  <c r="U320" i="39"/>
  <c r="V320" i="39" s="1"/>
  <c r="T320" i="39"/>
  <c r="R320" i="39"/>
  <c r="S320" i="39" s="1"/>
  <c r="P320" i="39"/>
  <c r="O320" i="39"/>
  <c r="N320" i="39"/>
  <c r="M320" i="39"/>
  <c r="Q320" i="39" s="1"/>
  <c r="L320" i="39"/>
  <c r="AD319" i="39"/>
  <c r="X319" i="39"/>
  <c r="W319" i="39"/>
  <c r="U319" i="39"/>
  <c r="V319" i="39" s="1"/>
  <c r="S319" i="39"/>
  <c r="R319" i="39"/>
  <c r="P319" i="39"/>
  <c r="O319" i="39"/>
  <c r="N319" i="39"/>
  <c r="M319" i="39"/>
  <c r="L319" i="39"/>
  <c r="AD318" i="39"/>
  <c r="W318" i="39"/>
  <c r="X318" i="39" s="1"/>
  <c r="V318" i="39"/>
  <c r="U318" i="39"/>
  <c r="R318" i="39"/>
  <c r="P318" i="39"/>
  <c r="O318" i="39"/>
  <c r="N318" i="39"/>
  <c r="M318" i="39"/>
  <c r="Q318" i="39" s="1"/>
  <c r="L318" i="39"/>
  <c r="X317" i="39"/>
  <c r="W317" i="39"/>
  <c r="U317" i="39"/>
  <c r="V317" i="39" s="1"/>
  <c r="T317" i="39"/>
  <c r="R317" i="39"/>
  <c r="S317" i="39" s="1"/>
  <c r="P317" i="39"/>
  <c r="O317" i="39"/>
  <c r="N317" i="39"/>
  <c r="M317" i="39"/>
  <c r="L317" i="39"/>
  <c r="AD316" i="39"/>
  <c r="X316" i="39"/>
  <c r="W316" i="39"/>
  <c r="V316" i="39"/>
  <c r="U316" i="39"/>
  <c r="T316" i="39"/>
  <c r="S316" i="39"/>
  <c r="Z316" i="39" s="1"/>
  <c r="R316" i="39"/>
  <c r="Q316" i="39"/>
  <c r="P316" i="39"/>
  <c r="Y316" i="39" s="1"/>
  <c r="O316" i="39"/>
  <c r="N316" i="39"/>
  <c r="M316" i="39"/>
  <c r="L316" i="39"/>
  <c r="W315" i="39"/>
  <c r="V315" i="39"/>
  <c r="U315" i="39"/>
  <c r="R315" i="39"/>
  <c r="Q315" i="39"/>
  <c r="P315" i="39"/>
  <c r="O315" i="39"/>
  <c r="N315" i="39"/>
  <c r="M315" i="39"/>
  <c r="L315" i="39"/>
  <c r="O312" i="39"/>
  <c r="K312" i="39"/>
  <c r="J312" i="39"/>
  <c r="I312" i="39"/>
  <c r="H312" i="39"/>
  <c r="G312" i="39"/>
  <c r="F312" i="39"/>
  <c r="AD283" i="39" s="1"/>
  <c r="E312" i="39"/>
  <c r="D312" i="39"/>
  <c r="C312" i="39"/>
  <c r="K3" i="40" s="1"/>
  <c r="AA311" i="39"/>
  <c r="Q311" i="39"/>
  <c r="L311" i="39"/>
  <c r="Q310" i="39"/>
  <c r="L310" i="39"/>
  <c r="AB310" i="39" s="1"/>
  <c r="Z309" i="39"/>
  <c r="X309" i="39"/>
  <c r="W309" i="39"/>
  <c r="V309" i="39"/>
  <c r="U309" i="39"/>
  <c r="T309" i="39"/>
  <c r="Y309" i="39" s="1"/>
  <c r="S309" i="39"/>
  <c r="R309" i="39"/>
  <c r="Q309" i="39"/>
  <c r="P309" i="39"/>
  <c r="O309" i="39"/>
  <c r="N309" i="39"/>
  <c r="M309" i="39"/>
  <c r="L309" i="39"/>
  <c r="W308" i="39"/>
  <c r="X308" i="39" s="1"/>
  <c r="V308" i="39"/>
  <c r="U308" i="39"/>
  <c r="S308" i="39"/>
  <c r="R308" i="39"/>
  <c r="P308" i="39"/>
  <c r="O308" i="39"/>
  <c r="N308" i="39"/>
  <c r="M308" i="39"/>
  <c r="Q308" i="39" s="1"/>
  <c r="L308" i="39"/>
  <c r="W307" i="39"/>
  <c r="X307" i="39" s="1"/>
  <c r="V307" i="39"/>
  <c r="U307" i="39"/>
  <c r="Z307" i="39" s="1"/>
  <c r="S307" i="39"/>
  <c r="R307" i="39"/>
  <c r="P307" i="39"/>
  <c r="O307" i="39"/>
  <c r="N307" i="39"/>
  <c r="M307" i="39"/>
  <c r="L307" i="39"/>
  <c r="X306" i="39"/>
  <c r="W306" i="39"/>
  <c r="V306" i="39"/>
  <c r="U306" i="39"/>
  <c r="R306" i="39"/>
  <c r="Q306" i="39"/>
  <c r="P306" i="39"/>
  <c r="O306" i="39"/>
  <c r="N306" i="39"/>
  <c r="M306" i="39"/>
  <c r="L306" i="39"/>
  <c r="X305" i="39"/>
  <c r="W305" i="39"/>
  <c r="V305" i="39"/>
  <c r="U305" i="39"/>
  <c r="R305" i="39"/>
  <c r="P305" i="39"/>
  <c r="O305" i="39"/>
  <c r="N305" i="39"/>
  <c r="Q305" i="39" s="1"/>
  <c r="M305" i="39"/>
  <c r="L305" i="39"/>
  <c r="W304" i="39"/>
  <c r="X304" i="39" s="1"/>
  <c r="U304" i="39"/>
  <c r="V304" i="39" s="1"/>
  <c r="R304" i="39"/>
  <c r="P304" i="39"/>
  <c r="O304" i="39"/>
  <c r="N304" i="39"/>
  <c r="Q304" i="39" s="1"/>
  <c r="M304" i="39"/>
  <c r="L304" i="39"/>
  <c r="W303" i="39"/>
  <c r="X303" i="39" s="1"/>
  <c r="V303" i="39"/>
  <c r="U303" i="39"/>
  <c r="S303" i="39"/>
  <c r="R303" i="39"/>
  <c r="Q303" i="39"/>
  <c r="P303" i="39"/>
  <c r="O303" i="39"/>
  <c r="N303" i="39"/>
  <c r="M303" i="39"/>
  <c r="L303" i="39"/>
  <c r="X302" i="39"/>
  <c r="W302" i="39"/>
  <c r="U302" i="39"/>
  <c r="V302" i="39" s="1"/>
  <c r="R302" i="39"/>
  <c r="P302" i="39"/>
  <c r="O302" i="39"/>
  <c r="N302" i="39"/>
  <c r="M302" i="39"/>
  <c r="Q302" i="39" s="1"/>
  <c r="L302" i="39"/>
  <c r="W301" i="39"/>
  <c r="X301" i="39" s="1"/>
  <c r="V301" i="39"/>
  <c r="U301" i="39"/>
  <c r="S301" i="39"/>
  <c r="R301" i="39"/>
  <c r="P301" i="39"/>
  <c r="O301" i="39"/>
  <c r="N301" i="39"/>
  <c r="M301" i="39"/>
  <c r="Q301" i="39" s="1"/>
  <c r="L301" i="39"/>
  <c r="X300" i="39"/>
  <c r="W300" i="39"/>
  <c r="U300" i="39"/>
  <c r="V300" i="39" s="1"/>
  <c r="S300" i="39"/>
  <c r="R300" i="39"/>
  <c r="P300" i="39"/>
  <c r="O300" i="39"/>
  <c r="N300" i="39"/>
  <c r="M300" i="39"/>
  <c r="Q300" i="39" s="1"/>
  <c r="L300" i="39"/>
  <c r="X299" i="39"/>
  <c r="W299" i="39"/>
  <c r="V299" i="39"/>
  <c r="U299" i="39"/>
  <c r="R299" i="39"/>
  <c r="P299" i="39"/>
  <c r="O299" i="39"/>
  <c r="Q299" i="39" s="1"/>
  <c r="N299" i="39"/>
  <c r="M299" i="39"/>
  <c r="L299" i="39"/>
  <c r="X298" i="39"/>
  <c r="W298" i="39"/>
  <c r="U298" i="39"/>
  <c r="V298" i="39" s="1"/>
  <c r="S298" i="39"/>
  <c r="R298" i="39"/>
  <c r="Q298" i="39"/>
  <c r="P298" i="39"/>
  <c r="O298" i="39"/>
  <c r="N298" i="39"/>
  <c r="M298" i="39"/>
  <c r="L298" i="39"/>
  <c r="W297" i="39"/>
  <c r="X297" i="39" s="1"/>
  <c r="U297" i="39"/>
  <c r="V297" i="39" s="1"/>
  <c r="S297" i="39"/>
  <c r="R297" i="39"/>
  <c r="P297" i="39"/>
  <c r="O297" i="39"/>
  <c r="N297" i="39"/>
  <c r="M297" i="39"/>
  <c r="L297" i="39"/>
  <c r="W296" i="39"/>
  <c r="X296" i="39" s="1"/>
  <c r="U296" i="39"/>
  <c r="T296" i="39"/>
  <c r="S296" i="39"/>
  <c r="R296" i="39"/>
  <c r="P296" i="39"/>
  <c r="O296" i="39"/>
  <c r="N296" i="39"/>
  <c r="M296" i="39"/>
  <c r="L296" i="39"/>
  <c r="X295" i="39"/>
  <c r="W295" i="39"/>
  <c r="V295" i="39"/>
  <c r="U295" i="39"/>
  <c r="S295" i="39"/>
  <c r="R295" i="39"/>
  <c r="P295" i="39"/>
  <c r="O295" i="39"/>
  <c r="N295" i="39"/>
  <c r="M295" i="39"/>
  <c r="L295" i="39"/>
  <c r="W294" i="39"/>
  <c r="X294" i="39" s="1"/>
  <c r="U294" i="39"/>
  <c r="V294" i="39" s="1"/>
  <c r="R294" i="39"/>
  <c r="Q294" i="39"/>
  <c r="P294" i="39"/>
  <c r="O294" i="39"/>
  <c r="N294" i="39"/>
  <c r="M294" i="39"/>
  <c r="L294" i="39"/>
  <c r="W293" i="39"/>
  <c r="X293" i="39" s="1"/>
  <c r="U293" i="39"/>
  <c r="V293" i="39" s="1"/>
  <c r="R293" i="39"/>
  <c r="P293" i="39"/>
  <c r="O293" i="39"/>
  <c r="Q293" i="39" s="1"/>
  <c r="N293" i="39"/>
  <c r="M293" i="39"/>
  <c r="L293" i="39"/>
  <c r="W292" i="39"/>
  <c r="X292" i="39" s="1"/>
  <c r="V292" i="39"/>
  <c r="U292" i="39"/>
  <c r="T292" i="39"/>
  <c r="Y292" i="39" s="1"/>
  <c r="S292" i="39"/>
  <c r="R292" i="39"/>
  <c r="P292" i="39"/>
  <c r="O292" i="39"/>
  <c r="N292" i="39"/>
  <c r="M292" i="39"/>
  <c r="Q292" i="39" s="1"/>
  <c r="L292" i="39"/>
  <c r="X291" i="39"/>
  <c r="W291" i="39"/>
  <c r="V291" i="39"/>
  <c r="U291" i="39"/>
  <c r="R291" i="39"/>
  <c r="P291" i="39"/>
  <c r="O291" i="39"/>
  <c r="N291" i="39"/>
  <c r="M291" i="39"/>
  <c r="L291" i="39"/>
  <c r="W290" i="39"/>
  <c r="X290" i="39" s="1"/>
  <c r="V290" i="39"/>
  <c r="U290" i="39"/>
  <c r="R290" i="39"/>
  <c r="Q290" i="39"/>
  <c r="P290" i="39"/>
  <c r="O290" i="39"/>
  <c r="N290" i="39"/>
  <c r="M290" i="39"/>
  <c r="L290" i="39"/>
  <c r="Y289" i="39"/>
  <c r="X289" i="39"/>
  <c r="W289" i="39"/>
  <c r="V289" i="39"/>
  <c r="U289" i="39"/>
  <c r="Z289" i="39" s="1"/>
  <c r="T289" i="39"/>
  <c r="S289" i="39"/>
  <c r="R289" i="39"/>
  <c r="P289" i="39"/>
  <c r="O289" i="39"/>
  <c r="N289" i="39"/>
  <c r="M289" i="39"/>
  <c r="L289" i="39"/>
  <c r="W288" i="39"/>
  <c r="X288" i="39" s="1"/>
  <c r="V288" i="39"/>
  <c r="U288" i="39"/>
  <c r="S288" i="39"/>
  <c r="R288" i="39"/>
  <c r="P288" i="39"/>
  <c r="O288" i="39"/>
  <c r="N288" i="39"/>
  <c r="Q288" i="39" s="1"/>
  <c r="M288" i="39"/>
  <c r="L288" i="39"/>
  <c r="W287" i="39"/>
  <c r="X287" i="39" s="1"/>
  <c r="U287" i="39"/>
  <c r="V287" i="39" s="1"/>
  <c r="R287" i="39"/>
  <c r="P287" i="39"/>
  <c r="O287" i="39"/>
  <c r="N287" i="39"/>
  <c r="Q287" i="39" s="1"/>
  <c r="M287" i="39"/>
  <c r="L287" i="39"/>
  <c r="W286" i="39"/>
  <c r="X286" i="39" s="1"/>
  <c r="V286" i="39"/>
  <c r="U286" i="39"/>
  <c r="R286" i="39"/>
  <c r="R312" i="39" s="1"/>
  <c r="Q286" i="39"/>
  <c r="P286" i="39"/>
  <c r="O286" i="39"/>
  <c r="N286" i="39"/>
  <c r="M286" i="39"/>
  <c r="L286" i="39"/>
  <c r="X285" i="39"/>
  <c r="W285" i="39"/>
  <c r="V285" i="39"/>
  <c r="U285" i="39"/>
  <c r="R285" i="39"/>
  <c r="S285" i="39" s="1"/>
  <c r="P285" i="39"/>
  <c r="O285" i="39"/>
  <c r="N285" i="39"/>
  <c r="M285" i="39"/>
  <c r="Q285" i="39" s="1"/>
  <c r="L285" i="39"/>
  <c r="W284" i="39"/>
  <c r="U284" i="39"/>
  <c r="R284" i="39"/>
  <c r="P284" i="39"/>
  <c r="O284" i="39"/>
  <c r="N284" i="39"/>
  <c r="M284" i="39"/>
  <c r="Q284" i="39" s="1"/>
  <c r="L284" i="39"/>
  <c r="X283" i="39"/>
  <c r="W283" i="39"/>
  <c r="V283" i="39"/>
  <c r="U283" i="39"/>
  <c r="R283" i="39"/>
  <c r="P283" i="39"/>
  <c r="O283" i="39"/>
  <c r="N283" i="39"/>
  <c r="M283" i="39"/>
  <c r="L283" i="39"/>
  <c r="AD282" i="39"/>
  <c r="Z282" i="39"/>
  <c r="Y282" i="39"/>
  <c r="X282" i="39"/>
  <c r="W282" i="39"/>
  <c r="U282" i="39"/>
  <c r="V282" i="39" s="1"/>
  <c r="T282" i="39"/>
  <c r="S282" i="39"/>
  <c r="R282" i="39"/>
  <c r="P282" i="39"/>
  <c r="O282" i="39"/>
  <c r="N282" i="39"/>
  <c r="M282" i="39"/>
  <c r="L282" i="39"/>
  <c r="K279" i="39"/>
  <c r="J279" i="39"/>
  <c r="I279" i="39"/>
  <c r="H279" i="39"/>
  <c r="AD254" i="39" s="1"/>
  <c r="G279" i="39"/>
  <c r="F279" i="39"/>
  <c r="J6" i="40" s="1"/>
  <c r="E279" i="39"/>
  <c r="J5" i="40" s="1"/>
  <c r="D279" i="39"/>
  <c r="C279" i="39"/>
  <c r="J3" i="40" s="1"/>
  <c r="AA278" i="39"/>
  <c r="Q278" i="39"/>
  <c r="L278" i="39"/>
  <c r="AB278" i="39" s="1"/>
  <c r="Q277" i="39"/>
  <c r="AB277" i="39" s="1"/>
  <c r="L277" i="39"/>
  <c r="W276" i="39"/>
  <c r="V276" i="39"/>
  <c r="U276" i="39"/>
  <c r="S276" i="39"/>
  <c r="T276" i="39" s="1"/>
  <c r="R276" i="39"/>
  <c r="P276" i="39"/>
  <c r="O276" i="39"/>
  <c r="Q276" i="39" s="1"/>
  <c r="N276" i="39"/>
  <c r="M276" i="39"/>
  <c r="L276" i="39"/>
  <c r="W275" i="39"/>
  <c r="X275" i="39" s="1"/>
  <c r="V275" i="39"/>
  <c r="U275" i="39"/>
  <c r="R275" i="39"/>
  <c r="P275" i="39"/>
  <c r="Q275" i="39" s="1"/>
  <c r="O275" i="39"/>
  <c r="N275" i="39"/>
  <c r="M275" i="39"/>
  <c r="L275" i="39"/>
  <c r="X274" i="39"/>
  <c r="W274" i="39"/>
  <c r="V274" i="39"/>
  <c r="U274" i="39"/>
  <c r="R274" i="39"/>
  <c r="P274" i="39"/>
  <c r="O274" i="39"/>
  <c r="Q274" i="39" s="1"/>
  <c r="N274" i="39"/>
  <c r="M274" i="39"/>
  <c r="L274" i="39"/>
  <c r="X273" i="39"/>
  <c r="W273" i="39"/>
  <c r="V273" i="39"/>
  <c r="U273" i="39"/>
  <c r="R273" i="39"/>
  <c r="P273" i="39"/>
  <c r="O273" i="39"/>
  <c r="N273" i="39"/>
  <c r="M273" i="39"/>
  <c r="L273" i="39"/>
  <c r="X272" i="39"/>
  <c r="W272" i="39"/>
  <c r="V272" i="39"/>
  <c r="U272" i="39"/>
  <c r="R272" i="39"/>
  <c r="P272" i="39"/>
  <c r="O272" i="39"/>
  <c r="N272" i="39"/>
  <c r="M272" i="39"/>
  <c r="Q272" i="39" s="1"/>
  <c r="L272" i="39"/>
  <c r="X271" i="39"/>
  <c r="W271" i="39"/>
  <c r="U271" i="39"/>
  <c r="V271" i="39" s="1"/>
  <c r="S271" i="39"/>
  <c r="R271" i="39"/>
  <c r="P271" i="39"/>
  <c r="O271" i="39"/>
  <c r="N271" i="39"/>
  <c r="M271" i="39"/>
  <c r="L271" i="39"/>
  <c r="X270" i="39"/>
  <c r="W270" i="39"/>
  <c r="U270" i="39"/>
  <c r="V270" i="39" s="1"/>
  <c r="R270" i="39"/>
  <c r="P270" i="39"/>
  <c r="O270" i="39"/>
  <c r="N270" i="39"/>
  <c r="M270" i="39"/>
  <c r="L270" i="39"/>
  <c r="W269" i="39"/>
  <c r="X269" i="39" s="1"/>
  <c r="U269" i="39"/>
  <c r="V269" i="39" s="1"/>
  <c r="S269" i="39"/>
  <c r="R269" i="39"/>
  <c r="P269" i="39"/>
  <c r="O269" i="39"/>
  <c r="N269" i="39"/>
  <c r="M269" i="39"/>
  <c r="Q269" i="39" s="1"/>
  <c r="L269" i="39"/>
  <c r="X268" i="39"/>
  <c r="W268" i="39"/>
  <c r="V268" i="39"/>
  <c r="U268" i="39"/>
  <c r="R268" i="39"/>
  <c r="P268" i="39"/>
  <c r="O268" i="39"/>
  <c r="N268" i="39"/>
  <c r="M268" i="39"/>
  <c r="L268" i="39"/>
  <c r="Z267" i="39"/>
  <c r="X267" i="39"/>
  <c r="W267" i="39"/>
  <c r="V267" i="39"/>
  <c r="U267" i="39"/>
  <c r="S267" i="39"/>
  <c r="R267" i="39"/>
  <c r="P267" i="39"/>
  <c r="Q267" i="39" s="1"/>
  <c r="O267" i="39"/>
  <c r="N267" i="39"/>
  <c r="M267" i="39"/>
  <c r="L267" i="39"/>
  <c r="AA266" i="39"/>
  <c r="Z266" i="39"/>
  <c r="X266" i="39"/>
  <c r="W266" i="39"/>
  <c r="V266" i="39"/>
  <c r="U266" i="39"/>
  <c r="T266" i="39"/>
  <c r="Y266" i="39" s="1"/>
  <c r="S266" i="39"/>
  <c r="R266" i="39"/>
  <c r="P266" i="39"/>
  <c r="O266" i="39"/>
  <c r="N266" i="39"/>
  <c r="M266" i="39"/>
  <c r="L266" i="39"/>
  <c r="W265" i="39"/>
  <c r="X265" i="39" s="1"/>
  <c r="U265" i="39"/>
  <c r="V265" i="39" s="1"/>
  <c r="S265" i="39"/>
  <c r="R265" i="39"/>
  <c r="P265" i="39"/>
  <c r="O265" i="39"/>
  <c r="N265" i="39"/>
  <c r="M265" i="39"/>
  <c r="L265" i="39"/>
  <c r="X264" i="39"/>
  <c r="W264" i="39"/>
  <c r="V264" i="39"/>
  <c r="U264" i="39"/>
  <c r="R264" i="39"/>
  <c r="Q264" i="39"/>
  <c r="P264" i="39"/>
  <c r="O264" i="39"/>
  <c r="N264" i="39"/>
  <c r="M264" i="39"/>
  <c r="L264" i="39"/>
  <c r="X263" i="39"/>
  <c r="W263" i="39"/>
  <c r="U263" i="39"/>
  <c r="V263" i="39" s="1"/>
  <c r="T263" i="39"/>
  <c r="S263" i="39"/>
  <c r="R263" i="39"/>
  <c r="P263" i="39"/>
  <c r="O263" i="39"/>
  <c r="N263" i="39"/>
  <c r="M263" i="39"/>
  <c r="L263" i="39"/>
  <c r="W262" i="39"/>
  <c r="X262" i="39" s="1"/>
  <c r="V262" i="39"/>
  <c r="U262" i="39"/>
  <c r="S262" i="39"/>
  <c r="T262" i="39" s="1"/>
  <c r="R262" i="39"/>
  <c r="Q262" i="39"/>
  <c r="P262" i="39"/>
  <c r="O262" i="39"/>
  <c r="N262" i="39"/>
  <c r="M262" i="39"/>
  <c r="L262" i="39"/>
  <c r="W261" i="39"/>
  <c r="X261" i="39" s="1"/>
  <c r="U261" i="39"/>
  <c r="V261" i="39" s="1"/>
  <c r="R261" i="39"/>
  <c r="P261" i="39"/>
  <c r="Q261" i="39" s="1"/>
  <c r="O261" i="39"/>
  <c r="N261" i="39"/>
  <c r="M261" i="39"/>
  <c r="L261" i="39"/>
  <c r="X260" i="39"/>
  <c r="W260" i="39"/>
  <c r="V260" i="39"/>
  <c r="U260" i="39"/>
  <c r="R260" i="39"/>
  <c r="P260" i="39"/>
  <c r="O260" i="39"/>
  <c r="N260" i="39"/>
  <c r="M260" i="39"/>
  <c r="L260" i="39"/>
  <c r="W259" i="39"/>
  <c r="X259" i="39" s="1"/>
  <c r="V259" i="39"/>
  <c r="U259" i="39"/>
  <c r="R259" i="39"/>
  <c r="P259" i="39"/>
  <c r="O259" i="39"/>
  <c r="N259" i="39"/>
  <c r="M259" i="39"/>
  <c r="Q259" i="39" s="1"/>
  <c r="L259" i="39"/>
  <c r="Z258" i="39"/>
  <c r="X258" i="39"/>
  <c r="W258" i="39"/>
  <c r="V258" i="39"/>
  <c r="U258" i="39"/>
  <c r="S258" i="39"/>
  <c r="R258" i="39"/>
  <c r="P258" i="39"/>
  <c r="O258" i="39"/>
  <c r="N258" i="39"/>
  <c r="M258" i="39"/>
  <c r="L258" i="39"/>
  <c r="W257" i="39"/>
  <c r="X257" i="39" s="1"/>
  <c r="V257" i="39"/>
  <c r="U257" i="39"/>
  <c r="R257" i="39"/>
  <c r="P257" i="39"/>
  <c r="O257" i="39"/>
  <c r="N257" i="39"/>
  <c r="M257" i="39"/>
  <c r="Q257" i="39" s="1"/>
  <c r="L257" i="39"/>
  <c r="X256" i="39"/>
  <c r="W256" i="39"/>
  <c r="V256" i="39"/>
  <c r="U256" i="39"/>
  <c r="R256" i="39"/>
  <c r="P256" i="39"/>
  <c r="O256" i="39"/>
  <c r="N256" i="39"/>
  <c r="M256" i="39"/>
  <c r="L256" i="39"/>
  <c r="X255" i="39"/>
  <c r="W255" i="39"/>
  <c r="U255" i="39"/>
  <c r="Z255" i="39" s="1"/>
  <c r="T255" i="39"/>
  <c r="S255" i="39"/>
  <c r="R255" i="39"/>
  <c r="Q255" i="39"/>
  <c r="P255" i="39"/>
  <c r="O255" i="39"/>
  <c r="N255" i="39"/>
  <c r="M255" i="39"/>
  <c r="L255" i="39"/>
  <c r="X254" i="39"/>
  <c r="W254" i="39"/>
  <c r="U254" i="39"/>
  <c r="V254" i="39" s="1"/>
  <c r="S254" i="39"/>
  <c r="R254" i="39"/>
  <c r="P254" i="39"/>
  <c r="O254" i="39"/>
  <c r="N254" i="39"/>
  <c r="M254" i="39"/>
  <c r="Q254" i="39" s="1"/>
  <c r="L254" i="39"/>
  <c r="AD253" i="39"/>
  <c r="W253" i="39"/>
  <c r="V253" i="39"/>
  <c r="U253" i="39"/>
  <c r="R253" i="39"/>
  <c r="P253" i="39"/>
  <c r="O253" i="39"/>
  <c r="N253" i="39"/>
  <c r="M253" i="39"/>
  <c r="Q253" i="39" s="1"/>
  <c r="L253" i="39"/>
  <c r="X252" i="39"/>
  <c r="W252" i="39"/>
  <c r="V252" i="39"/>
  <c r="U252" i="39"/>
  <c r="R252" i="39"/>
  <c r="P252" i="39"/>
  <c r="O252" i="39"/>
  <c r="N252" i="39"/>
  <c r="M252" i="39"/>
  <c r="Q252" i="39" s="1"/>
  <c r="L252" i="39"/>
  <c r="W251" i="39"/>
  <c r="X251" i="39" s="1"/>
  <c r="U251" i="39"/>
  <c r="V251" i="39" s="1"/>
  <c r="R251" i="39"/>
  <c r="P251" i="39"/>
  <c r="O251" i="39"/>
  <c r="N251" i="39"/>
  <c r="M251" i="39"/>
  <c r="L251" i="39"/>
  <c r="AD250" i="39"/>
  <c r="X250" i="39"/>
  <c r="W250" i="39"/>
  <c r="V250" i="39"/>
  <c r="U250" i="39"/>
  <c r="S250" i="39"/>
  <c r="R250" i="39"/>
  <c r="Q250" i="39"/>
  <c r="P250" i="39"/>
  <c r="O250" i="39"/>
  <c r="N250" i="39"/>
  <c r="M250" i="39"/>
  <c r="L250" i="39"/>
  <c r="AD249" i="39"/>
  <c r="X249" i="39"/>
  <c r="W249" i="39"/>
  <c r="V249" i="39"/>
  <c r="U249" i="39"/>
  <c r="S249" i="39"/>
  <c r="R249" i="39"/>
  <c r="Q249" i="39"/>
  <c r="P249" i="39"/>
  <c r="O249" i="39"/>
  <c r="N249" i="39"/>
  <c r="M249" i="39"/>
  <c r="L249" i="39"/>
  <c r="K246" i="39"/>
  <c r="J246" i="39"/>
  <c r="I246" i="39"/>
  <c r="H246" i="39"/>
  <c r="AD221" i="39" s="1"/>
  <c r="G246" i="39"/>
  <c r="F246" i="39"/>
  <c r="E246" i="39"/>
  <c r="I5" i="40" s="1"/>
  <c r="D246" i="39"/>
  <c r="I4" i="40" s="1"/>
  <c r="C246" i="39"/>
  <c r="I3" i="40" s="1"/>
  <c r="AA245" i="39"/>
  <c r="Q245" i="39"/>
  <c r="L245" i="39"/>
  <c r="AB245" i="39" s="1"/>
  <c r="AB244" i="39"/>
  <c r="Q244" i="39"/>
  <c r="L244" i="39"/>
  <c r="Z243" i="39"/>
  <c r="X243" i="39"/>
  <c r="W243" i="39"/>
  <c r="V243" i="39"/>
  <c r="U243" i="39"/>
  <c r="S243" i="39"/>
  <c r="T243" i="39" s="1"/>
  <c r="R243" i="39"/>
  <c r="P243" i="39"/>
  <c r="O243" i="39"/>
  <c r="N243" i="39"/>
  <c r="Q243" i="39" s="1"/>
  <c r="M243" i="39"/>
  <c r="L243" i="39"/>
  <c r="W242" i="39"/>
  <c r="U242" i="39"/>
  <c r="V242" i="39" s="1"/>
  <c r="T242" i="39"/>
  <c r="S242" i="39"/>
  <c r="R242" i="39"/>
  <c r="P242" i="39"/>
  <c r="O242" i="39"/>
  <c r="N242" i="39"/>
  <c r="M242" i="39"/>
  <c r="Q242" i="39" s="1"/>
  <c r="L242" i="39"/>
  <c r="X241" i="39"/>
  <c r="W241" i="39"/>
  <c r="U241" i="39"/>
  <c r="V241" i="39" s="1"/>
  <c r="R241" i="39"/>
  <c r="P241" i="39"/>
  <c r="O241" i="39"/>
  <c r="Q241" i="39" s="1"/>
  <c r="N241" i="39"/>
  <c r="M241" i="39"/>
  <c r="L241" i="39"/>
  <c r="Z240" i="39"/>
  <c r="Y240" i="39"/>
  <c r="X240" i="39"/>
  <c r="W240" i="39"/>
  <c r="U240" i="39"/>
  <c r="V240" i="39" s="1"/>
  <c r="S240" i="39"/>
  <c r="T240" i="39" s="1"/>
  <c r="AA240" i="39" s="1"/>
  <c r="R240" i="39"/>
  <c r="P240" i="39"/>
  <c r="O240" i="39"/>
  <c r="N240" i="39"/>
  <c r="M240" i="39"/>
  <c r="L240" i="39"/>
  <c r="W239" i="39"/>
  <c r="X239" i="39" s="1"/>
  <c r="V239" i="39"/>
  <c r="U239" i="39"/>
  <c r="R239" i="39"/>
  <c r="P239" i="39"/>
  <c r="O239" i="39"/>
  <c r="N239" i="39"/>
  <c r="M239" i="39"/>
  <c r="L239" i="39"/>
  <c r="X238" i="39"/>
  <c r="W238" i="39"/>
  <c r="U238" i="39"/>
  <c r="S238" i="39"/>
  <c r="T238" i="39" s="1"/>
  <c r="R238" i="39"/>
  <c r="P238" i="39"/>
  <c r="O238" i="39"/>
  <c r="N238" i="39"/>
  <c r="Q238" i="39" s="1"/>
  <c r="M238" i="39"/>
  <c r="L238" i="39"/>
  <c r="W237" i="39"/>
  <c r="U237" i="39"/>
  <c r="V237" i="39" s="1"/>
  <c r="S237" i="39"/>
  <c r="R237" i="39"/>
  <c r="T237" i="39" s="1"/>
  <c r="Q237" i="39"/>
  <c r="P237" i="39"/>
  <c r="O237" i="39"/>
  <c r="N237" i="39"/>
  <c r="M237" i="39"/>
  <c r="L237" i="39"/>
  <c r="X236" i="39"/>
  <c r="W236" i="39"/>
  <c r="V236" i="39"/>
  <c r="U236" i="39"/>
  <c r="S236" i="39"/>
  <c r="R236" i="39"/>
  <c r="P236" i="39"/>
  <c r="O236" i="39"/>
  <c r="N236" i="39"/>
  <c r="M236" i="39"/>
  <c r="Q236" i="39" s="1"/>
  <c r="L236" i="39"/>
  <c r="X235" i="39"/>
  <c r="W235" i="39"/>
  <c r="V235" i="39"/>
  <c r="U235" i="39"/>
  <c r="R235" i="39"/>
  <c r="Q235" i="39"/>
  <c r="P235" i="39"/>
  <c r="O235" i="39"/>
  <c r="N235" i="39"/>
  <c r="M235" i="39"/>
  <c r="L235" i="39"/>
  <c r="X234" i="39"/>
  <c r="W234" i="39"/>
  <c r="V234" i="39"/>
  <c r="U234" i="39"/>
  <c r="R234" i="39"/>
  <c r="Q234" i="39"/>
  <c r="P234" i="39"/>
  <c r="O234" i="39"/>
  <c r="N234" i="39"/>
  <c r="M234" i="39"/>
  <c r="L234" i="39"/>
  <c r="W233" i="39"/>
  <c r="X233" i="39" s="1"/>
  <c r="V233" i="39"/>
  <c r="U233" i="39"/>
  <c r="R233" i="39"/>
  <c r="Q233" i="39"/>
  <c r="P233" i="39"/>
  <c r="O233" i="39"/>
  <c r="N233" i="39"/>
  <c r="M233" i="39"/>
  <c r="L233" i="39"/>
  <c r="Z232" i="39"/>
  <c r="X232" i="39"/>
  <c r="W232" i="39"/>
  <c r="U232" i="39"/>
  <c r="V232" i="39" s="1"/>
  <c r="T232" i="39"/>
  <c r="Y232" i="39" s="1"/>
  <c r="R232" i="39"/>
  <c r="S232" i="39" s="1"/>
  <c r="P232" i="39"/>
  <c r="O232" i="39"/>
  <c r="N232" i="39"/>
  <c r="M232" i="39"/>
  <c r="L232" i="39"/>
  <c r="Z231" i="39"/>
  <c r="X231" i="39"/>
  <c r="W231" i="39"/>
  <c r="U231" i="39"/>
  <c r="V231" i="39" s="1"/>
  <c r="T231" i="39"/>
  <c r="S231" i="39"/>
  <c r="R231" i="39"/>
  <c r="P231" i="39"/>
  <c r="O231" i="39"/>
  <c r="N231" i="39"/>
  <c r="M231" i="39"/>
  <c r="Q231" i="39" s="1"/>
  <c r="L231" i="39"/>
  <c r="X230" i="39"/>
  <c r="W230" i="39"/>
  <c r="V230" i="39"/>
  <c r="U230" i="39"/>
  <c r="R230" i="39"/>
  <c r="P230" i="39"/>
  <c r="O230" i="39"/>
  <c r="N230" i="39"/>
  <c r="M230" i="39"/>
  <c r="L230" i="39"/>
  <c r="W229" i="39"/>
  <c r="X229" i="39" s="1"/>
  <c r="U229" i="39"/>
  <c r="V229" i="39" s="1"/>
  <c r="R229" i="39"/>
  <c r="P229" i="39"/>
  <c r="O229" i="39"/>
  <c r="N229" i="39"/>
  <c r="M229" i="39"/>
  <c r="Q229" i="39" s="1"/>
  <c r="L229" i="39"/>
  <c r="X228" i="39"/>
  <c r="W228" i="39"/>
  <c r="U228" i="39"/>
  <c r="V228" i="39" s="1"/>
  <c r="R228" i="39"/>
  <c r="Q228" i="39"/>
  <c r="P228" i="39"/>
  <c r="O228" i="39"/>
  <c r="N228" i="39"/>
  <c r="M228" i="39"/>
  <c r="L228" i="39"/>
  <c r="X227" i="39"/>
  <c r="W227" i="39"/>
  <c r="V227" i="39"/>
  <c r="U227" i="39"/>
  <c r="R227" i="39"/>
  <c r="P227" i="39"/>
  <c r="O227" i="39"/>
  <c r="N227" i="39"/>
  <c r="M227" i="39"/>
  <c r="L227" i="39"/>
  <c r="W226" i="39"/>
  <c r="X226" i="39" s="1"/>
  <c r="V226" i="39"/>
  <c r="U226" i="39"/>
  <c r="R226" i="39"/>
  <c r="Q226" i="39"/>
  <c r="P226" i="39"/>
  <c r="O226" i="39"/>
  <c r="N226" i="39"/>
  <c r="M226" i="39"/>
  <c r="L226" i="39"/>
  <c r="Z225" i="39"/>
  <c r="W225" i="39"/>
  <c r="X225" i="39" s="1"/>
  <c r="U225" i="39"/>
  <c r="V225" i="39" s="1"/>
  <c r="R225" i="39"/>
  <c r="S225" i="39" s="1"/>
  <c r="T225" i="39" s="1"/>
  <c r="P225" i="39"/>
  <c r="O225" i="39"/>
  <c r="N225" i="39"/>
  <c r="M225" i="39"/>
  <c r="L225" i="39"/>
  <c r="W224" i="39"/>
  <c r="X224" i="39" s="1"/>
  <c r="V224" i="39"/>
  <c r="U224" i="39"/>
  <c r="R224" i="39"/>
  <c r="P224" i="39"/>
  <c r="O224" i="39"/>
  <c r="N224" i="39"/>
  <c r="M224" i="39"/>
  <c r="L224" i="39"/>
  <c r="Z223" i="39"/>
  <c r="X223" i="39"/>
  <c r="W223" i="39"/>
  <c r="V223" i="39"/>
  <c r="U223" i="39"/>
  <c r="S223" i="39"/>
  <c r="T223" i="39" s="1"/>
  <c r="R223" i="39"/>
  <c r="P223" i="39"/>
  <c r="O223" i="39"/>
  <c r="N223" i="39"/>
  <c r="M223" i="39"/>
  <c r="L223" i="39"/>
  <c r="W222" i="39"/>
  <c r="X222" i="39" s="1"/>
  <c r="U222" i="39"/>
  <c r="V222" i="39" s="1"/>
  <c r="R222" i="39"/>
  <c r="Q222" i="39"/>
  <c r="P222" i="39"/>
  <c r="O222" i="39"/>
  <c r="N222" i="39"/>
  <c r="M222" i="39"/>
  <c r="L222" i="39"/>
  <c r="W221" i="39"/>
  <c r="X221" i="39" s="1"/>
  <c r="V221" i="39"/>
  <c r="U221" i="39"/>
  <c r="T221" i="39"/>
  <c r="Y221" i="39" s="1"/>
  <c r="S221" i="39"/>
  <c r="R221" i="39"/>
  <c r="P221" i="39"/>
  <c r="O221" i="39"/>
  <c r="N221" i="39"/>
  <c r="Q221" i="39" s="1"/>
  <c r="M221" i="39"/>
  <c r="L221" i="39"/>
  <c r="AD220" i="39"/>
  <c r="W220" i="39"/>
  <c r="X220" i="39" s="1"/>
  <c r="V220" i="39"/>
  <c r="U220" i="39"/>
  <c r="R220" i="39"/>
  <c r="P220" i="39"/>
  <c r="O220" i="39"/>
  <c r="N220" i="39"/>
  <c r="M220" i="39"/>
  <c r="Q220" i="39" s="1"/>
  <c r="L220" i="39"/>
  <c r="AD219" i="39"/>
  <c r="X219" i="39"/>
  <c r="W219" i="39"/>
  <c r="V219" i="39"/>
  <c r="U219" i="39"/>
  <c r="R219" i="39"/>
  <c r="P219" i="39"/>
  <c r="O219" i="39"/>
  <c r="N219" i="39"/>
  <c r="M219" i="39"/>
  <c r="L219" i="39"/>
  <c r="W218" i="39"/>
  <c r="X218" i="39" s="1"/>
  <c r="U218" i="39"/>
  <c r="V218" i="39" s="1"/>
  <c r="S218" i="39"/>
  <c r="R218" i="39"/>
  <c r="P218" i="39"/>
  <c r="O218" i="39"/>
  <c r="Q218" i="39" s="1"/>
  <c r="N218" i="39"/>
  <c r="M218" i="39"/>
  <c r="L218" i="39"/>
  <c r="AA217" i="39"/>
  <c r="Z217" i="39"/>
  <c r="Y217" i="39"/>
  <c r="W217" i="39"/>
  <c r="X217" i="39" s="1"/>
  <c r="V217" i="39"/>
  <c r="U217" i="39"/>
  <c r="S217" i="39"/>
  <c r="T217" i="39" s="1"/>
  <c r="R217" i="39"/>
  <c r="P217" i="39"/>
  <c r="O217" i="39"/>
  <c r="N217" i="39"/>
  <c r="M217" i="39"/>
  <c r="L217" i="39"/>
  <c r="AD216" i="39"/>
  <c r="Z216" i="39"/>
  <c r="X216" i="39"/>
  <c r="W216" i="39"/>
  <c r="U216" i="39"/>
  <c r="V216" i="39" s="1"/>
  <c r="S216" i="39"/>
  <c r="R216" i="39"/>
  <c r="P216" i="39"/>
  <c r="O216" i="39"/>
  <c r="N216" i="39"/>
  <c r="M216" i="39"/>
  <c r="L216" i="39"/>
  <c r="K213" i="39"/>
  <c r="J213" i="39"/>
  <c r="I213" i="39"/>
  <c r="H213" i="39"/>
  <c r="AD188" i="39" s="1"/>
  <c r="G213" i="39"/>
  <c r="F213" i="39"/>
  <c r="E213" i="39"/>
  <c r="H5" i="40" s="1"/>
  <c r="D213" i="39"/>
  <c r="H4" i="40" s="1"/>
  <c r="C213" i="39"/>
  <c r="H3" i="40" s="1"/>
  <c r="AB212" i="39"/>
  <c r="AA212" i="39"/>
  <c r="Q212" i="39"/>
  <c r="L212" i="39"/>
  <c r="AB211" i="39"/>
  <c r="Q211" i="39"/>
  <c r="L211" i="39"/>
  <c r="X210" i="39"/>
  <c r="W210" i="39"/>
  <c r="U210" i="39"/>
  <c r="V210" i="39" s="1"/>
  <c r="S210" i="39"/>
  <c r="R210" i="39"/>
  <c r="Q210" i="39"/>
  <c r="P210" i="39"/>
  <c r="O210" i="39"/>
  <c r="N210" i="39"/>
  <c r="M210" i="39"/>
  <c r="L210" i="39"/>
  <c r="X209" i="39"/>
  <c r="W209" i="39"/>
  <c r="U209" i="39"/>
  <c r="V209" i="39" s="1"/>
  <c r="T209" i="39"/>
  <c r="R209" i="39"/>
  <c r="S209" i="39" s="1"/>
  <c r="P209" i="39"/>
  <c r="O209" i="39"/>
  <c r="N209" i="39"/>
  <c r="M209" i="39"/>
  <c r="L209" i="39"/>
  <c r="W208" i="39"/>
  <c r="X208" i="39" s="1"/>
  <c r="U208" i="39"/>
  <c r="V208" i="39" s="1"/>
  <c r="S208" i="39"/>
  <c r="R208" i="39"/>
  <c r="P208" i="39"/>
  <c r="O208" i="39"/>
  <c r="N208" i="39"/>
  <c r="M208" i="39"/>
  <c r="L208" i="39"/>
  <c r="X207" i="39"/>
  <c r="W207" i="39"/>
  <c r="V207" i="39"/>
  <c r="U207" i="39"/>
  <c r="S207" i="39"/>
  <c r="T207" i="39" s="1"/>
  <c r="R207" i="39"/>
  <c r="P207" i="39"/>
  <c r="O207" i="39"/>
  <c r="N207" i="39"/>
  <c r="Q207" i="39" s="1"/>
  <c r="M207" i="39"/>
  <c r="L207" i="39"/>
  <c r="W206" i="39"/>
  <c r="X206" i="39" s="1"/>
  <c r="V206" i="39"/>
  <c r="U206" i="39"/>
  <c r="R206" i="39"/>
  <c r="P206" i="39"/>
  <c r="O206" i="39"/>
  <c r="N206" i="39"/>
  <c r="M206" i="39"/>
  <c r="L206" i="39"/>
  <c r="W205" i="39"/>
  <c r="X205" i="39" s="1"/>
  <c r="U205" i="39"/>
  <c r="V205" i="39" s="1"/>
  <c r="R205" i="39"/>
  <c r="P205" i="39"/>
  <c r="O205" i="39"/>
  <c r="N205" i="39"/>
  <c r="M205" i="39"/>
  <c r="L205" i="39"/>
  <c r="Z204" i="39"/>
  <c r="W204" i="39"/>
  <c r="X204" i="39" s="1"/>
  <c r="Y204" i="39" s="1"/>
  <c r="V204" i="39"/>
  <c r="U204" i="39"/>
  <c r="S204" i="39"/>
  <c r="T204" i="39" s="1"/>
  <c r="R204" i="39"/>
  <c r="Q204" i="39"/>
  <c r="P204" i="39"/>
  <c r="O204" i="39"/>
  <c r="N204" i="39"/>
  <c r="M204" i="39"/>
  <c r="L204" i="39"/>
  <c r="Z203" i="39"/>
  <c r="X203" i="39"/>
  <c r="W203" i="39"/>
  <c r="V203" i="39"/>
  <c r="U203" i="39"/>
  <c r="T203" i="39"/>
  <c r="R203" i="39"/>
  <c r="S203" i="39" s="1"/>
  <c r="P203" i="39"/>
  <c r="O203" i="39"/>
  <c r="N203" i="39"/>
  <c r="M203" i="39"/>
  <c r="L203" i="39"/>
  <c r="W202" i="39"/>
  <c r="X202" i="39" s="1"/>
  <c r="U202" i="39"/>
  <c r="T202" i="39"/>
  <c r="S202" i="39"/>
  <c r="R202" i="39"/>
  <c r="P202" i="39"/>
  <c r="O202" i="39"/>
  <c r="N202" i="39"/>
  <c r="M202" i="39"/>
  <c r="Q202" i="39" s="1"/>
  <c r="L202" i="39"/>
  <c r="X201" i="39"/>
  <c r="W201" i="39"/>
  <c r="U201" i="39"/>
  <c r="V201" i="39" s="1"/>
  <c r="R201" i="39"/>
  <c r="P201" i="39"/>
  <c r="O201" i="39"/>
  <c r="N201" i="39"/>
  <c r="Q201" i="39" s="1"/>
  <c r="M201" i="39"/>
  <c r="L201" i="39"/>
  <c r="Z200" i="39"/>
  <c r="X200" i="39"/>
  <c r="W200" i="39"/>
  <c r="V200" i="39"/>
  <c r="U200" i="39"/>
  <c r="S200" i="39"/>
  <c r="T200" i="39" s="1"/>
  <c r="R200" i="39"/>
  <c r="P200" i="39"/>
  <c r="O200" i="39"/>
  <c r="N200" i="39"/>
  <c r="M200" i="39"/>
  <c r="L200" i="39"/>
  <c r="Z199" i="39"/>
  <c r="W199" i="39"/>
  <c r="X199" i="39" s="1"/>
  <c r="V199" i="39"/>
  <c r="U199" i="39"/>
  <c r="T199" i="39"/>
  <c r="R199" i="39"/>
  <c r="S199" i="39" s="1"/>
  <c r="P199" i="39"/>
  <c r="O199" i="39"/>
  <c r="N199" i="39"/>
  <c r="M199" i="39"/>
  <c r="L199" i="39"/>
  <c r="W198" i="39"/>
  <c r="X198" i="39" s="1"/>
  <c r="U198" i="39"/>
  <c r="V198" i="39" s="1"/>
  <c r="R198" i="39"/>
  <c r="P198" i="39"/>
  <c r="O198" i="39"/>
  <c r="N198" i="39"/>
  <c r="M198" i="39"/>
  <c r="L198" i="39"/>
  <c r="X197" i="39"/>
  <c r="W197" i="39"/>
  <c r="U197" i="39"/>
  <c r="V197" i="39" s="1"/>
  <c r="R197" i="39"/>
  <c r="Q197" i="39"/>
  <c r="P197" i="39"/>
  <c r="O197" i="39"/>
  <c r="N197" i="39"/>
  <c r="M197" i="39"/>
  <c r="L197" i="39"/>
  <c r="W196" i="39"/>
  <c r="X196" i="39" s="1"/>
  <c r="V196" i="39"/>
  <c r="U196" i="39"/>
  <c r="R196" i="39"/>
  <c r="P196" i="39"/>
  <c r="O196" i="39"/>
  <c r="Q196" i="39" s="1"/>
  <c r="N196" i="39"/>
  <c r="M196" i="39"/>
  <c r="L196" i="39"/>
  <c r="W195" i="39"/>
  <c r="X195" i="39" s="1"/>
  <c r="V195" i="39"/>
  <c r="U195" i="39"/>
  <c r="R195" i="39"/>
  <c r="P195" i="39"/>
  <c r="O195" i="39"/>
  <c r="N195" i="39"/>
  <c r="M195" i="39"/>
  <c r="Q195" i="39" s="1"/>
  <c r="L195" i="39"/>
  <c r="X194" i="39"/>
  <c r="W194" i="39"/>
  <c r="U194" i="39"/>
  <c r="V194" i="39" s="1"/>
  <c r="S194" i="39"/>
  <c r="R194" i="39"/>
  <c r="T194" i="39" s="1"/>
  <c r="P194" i="39"/>
  <c r="O194" i="39"/>
  <c r="N194" i="39"/>
  <c r="Q194" i="39" s="1"/>
  <c r="M194" i="39"/>
  <c r="L194" i="39"/>
  <c r="X193" i="39"/>
  <c r="W193" i="39"/>
  <c r="V193" i="39"/>
  <c r="U193" i="39"/>
  <c r="S193" i="39"/>
  <c r="R193" i="39"/>
  <c r="P193" i="39"/>
  <c r="O193" i="39"/>
  <c r="Q193" i="39" s="1"/>
  <c r="N193" i="39"/>
  <c r="M193" i="39"/>
  <c r="L193" i="39"/>
  <c r="W192" i="39"/>
  <c r="X192" i="39" s="1"/>
  <c r="V192" i="39"/>
  <c r="U192" i="39"/>
  <c r="R192" i="39"/>
  <c r="Q192" i="39"/>
  <c r="P192" i="39"/>
  <c r="O192" i="39"/>
  <c r="N192" i="39"/>
  <c r="M192" i="39"/>
  <c r="L192" i="39"/>
  <c r="X191" i="39"/>
  <c r="W191" i="39"/>
  <c r="U191" i="39"/>
  <c r="V191" i="39" s="1"/>
  <c r="R191" i="39"/>
  <c r="P191" i="39"/>
  <c r="O191" i="39"/>
  <c r="N191" i="39"/>
  <c r="M191" i="39"/>
  <c r="L191" i="39"/>
  <c r="Z190" i="39"/>
  <c r="X190" i="39"/>
  <c r="W190" i="39"/>
  <c r="V190" i="39"/>
  <c r="U190" i="39"/>
  <c r="R190" i="39"/>
  <c r="S190" i="39" s="1"/>
  <c r="P190" i="39"/>
  <c r="O190" i="39"/>
  <c r="N190" i="39"/>
  <c r="M190" i="39"/>
  <c r="L190" i="39"/>
  <c r="X189" i="39"/>
  <c r="W189" i="39"/>
  <c r="V189" i="39"/>
  <c r="U189" i="39"/>
  <c r="S189" i="39"/>
  <c r="R189" i="39"/>
  <c r="P189" i="39"/>
  <c r="O189" i="39"/>
  <c r="Q189" i="39" s="1"/>
  <c r="N189" i="39"/>
  <c r="M189" i="39"/>
  <c r="L189" i="39"/>
  <c r="X188" i="39"/>
  <c r="W188" i="39"/>
  <c r="U188" i="39"/>
  <c r="V188" i="39" s="1"/>
  <c r="R188" i="39"/>
  <c r="P188" i="39"/>
  <c r="O188" i="39"/>
  <c r="N188" i="39"/>
  <c r="M188" i="39"/>
  <c r="L188" i="39"/>
  <c r="AD187" i="39"/>
  <c r="X187" i="39"/>
  <c r="W187" i="39"/>
  <c r="V187" i="39"/>
  <c r="U187" i="39"/>
  <c r="R187" i="39"/>
  <c r="P187" i="39"/>
  <c r="O187" i="39"/>
  <c r="N187" i="39"/>
  <c r="M187" i="39"/>
  <c r="L187" i="39"/>
  <c r="AD186" i="39"/>
  <c r="X186" i="39"/>
  <c r="W186" i="39"/>
  <c r="V186" i="39"/>
  <c r="U186" i="39"/>
  <c r="T186" i="39"/>
  <c r="S186" i="39"/>
  <c r="R186" i="39"/>
  <c r="P186" i="39"/>
  <c r="O186" i="39"/>
  <c r="N186" i="39"/>
  <c r="M186" i="39"/>
  <c r="L186" i="39"/>
  <c r="W185" i="39"/>
  <c r="X185" i="39" s="1"/>
  <c r="V185" i="39"/>
  <c r="U185" i="39"/>
  <c r="S185" i="39"/>
  <c r="T185" i="39" s="1"/>
  <c r="R185" i="39"/>
  <c r="P185" i="39"/>
  <c r="O185" i="39"/>
  <c r="N185" i="39"/>
  <c r="M185" i="39"/>
  <c r="L185" i="39"/>
  <c r="AD184" i="39"/>
  <c r="W184" i="39"/>
  <c r="X184" i="39" s="1"/>
  <c r="U184" i="39"/>
  <c r="V184" i="39" s="1"/>
  <c r="S184" i="39"/>
  <c r="R184" i="39"/>
  <c r="Q184" i="39"/>
  <c r="P184" i="39"/>
  <c r="O184" i="39"/>
  <c r="N184" i="39"/>
  <c r="M184" i="39"/>
  <c r="L184" i="39"/>
  <c r="AD183" i="39"/>
  <c r="W183" i="39"/>
  <c r="U183" i="39"/>
  <c r="S183" i="39"/>
  <c r="R183" i="39"/>
  <c r="P183" i="39"/>
  <c r="O183" i="39"/>
  <c r="N183" i="39"/>
  <c r="M183" i="39"/>
  <c r="L183" i="39"/>
  <c r="V180" i="39"/>
  <c r="P180" i="39"/>
  <c r="N180" i="39"/>
  <c r="K180" i="39"/>
  <c r="J180" i="39"/>
  <c r="I180" i="39"/>
  <c r="H180" i="39"/>
  <c r="G180" i="39"/>
  <c r="F180" i="39"/>
  <c r="E180" i="39"/>
  <c r="D180" i="39"/>
  <c r="G4" i="40" s="1"/>
  <c r="C180" i="39"/>
  <c r="G3" i="40" s="1"/>
  <c r="AB179" i="39"/>
  <c r="AA179" i="39"/>
  <c r="Q179" i="39"/>
  <c r="L179" i="39"/>
  <c r="Q178" i="39"/>
  <c r="L178" i="39"/>
  <c r="AB178" i="39" s="1"/>
  <c r="X177" i="39"/>
  <c r="W177" i="39"/>
  <c r="V177" i="39"/>
  <c r="U177" i="39"/>
  <c r="S177" i="39"/>
  <c r="R177" i="39"/>
  <c r="Q177" i="39"/>
  <c r="P177" i="39"/>
  <c r="O177" i="39"/>
  <c r="N177" i="39"/>
  <c r="M177" i="39"/>
  <c r="L177" i="39"/>
  <c r="Z176" i="39"/>
  <c r="W176" i="39"/>
  <c r="X176" i="39" s="1"/>
  <c r="V176" i="39"/>
  <c r="U176" i="39"/>
  <c r="T176" i="39"/>
  <c r="R176" i="39"/>
  <c r="S176" i="39" s="1"/>
  <c r="P176" i="39"/>
  <c r="Y176" i="39" s="1"/>
  <c r="O176" i="39"/>
  <c r="N176" i="39"/>
  <c r="M176" i="39"/>
  <c r="L176" i="39"/>
  <c r="Z175" i="39"/>
  <c r="W175" i="39"/>
  <c r="X175" i="39" s="1"/>
  <c r="U175" i="39"/>
  <c r="V175" i="39" s="1"/>
  <c r="S175" i="39"/>
  <c r="R175" i="39"/>
  <c r="T175" i="39" s="1"/>
  <c r="P175" i="39"/>
  <c r="O175" i="39"/>
  <c r="N175" i="39"/>
  <c r="Q175" i="39" s="1"/>
  <c r="M175" i="39"/>
  <c r="L175" i="39"/>
  <c r="X174" i="39"/>
  <c r="W174" i="39"/>
  <c r="V174" i="39"/>
  <c r="U174" i="39"/>
  <c r="R174" i="39"/>
  <c r="P174" i="39"/>
  <c r="O174" i="39"/>
  <c r="N174" i="39"/>
  <c r="M174" i="39"/>
  <c r="L174" i="39"/>
  <c r="W173" i="39"/>
  <c r="X173" i="39" s="1"/>
  <c r="U173" i="39"/>
  <c r="V173" i="39" s="1"/>
  <c r="S173" i="39"/>
  <c r="T173" i="39" s="1"/>
  <c r="R173" i="39"/>
  <c r="P173" i="39"/>
  <c r="O173" i="39"/>
  <c r="N173" i="39"/>
  <c r="M173" i="39"/>
  <c r="L173" i="39"/>
  <c r="W172" i="39"/>
  <c r="X172" i="39" s="1"/>
  <c r="U172" i="39"/>
  <c r="V172" i="39" s="1"/>
  <c r="R172" i="39"/>
  <c r="P172" i="39"/>
  <c r="O172" i="39"/>
  <c r="N172" i="39"/>
  <c r="Q172" i="39" s="1"/>
  <c r="M172" i="39"/>
  <c r="L172" i="39"/>
  <c r="W171" i="39"/>
  <c r="X171" i="39" s="1"/>
  <c r="U171" i="39"/>
  <c r="V171" i="39" s="1"/>
  <c r="S171" i="39"/>
  <c r="R171" i="39"/>
  <c r="Q171" i="39"/>
  <c r="P171" i="39"/>
  <c r="O171" i="39"/>
  <c r="N171" i="39"/>
  <c r="M171" i="39"/>
  <c r="L171" i="39"/>
  <c r="Z170" i="39"/>
  <c r="X170" i="39"/>
  <c r="W170" i="39"/>
  <c r="V170" i="39"/>
  <c r="U170" i="39"/>
  <c r="R170" i="39"/>
  <c r="S170" i="39" s="1"/>
  <c r="P170" i="39"/>
  <c r="O170" i="39"/>
  <c r="N170" i="39"/>
  <c r="Q170" i="39" s="1"/>
  <c r="M170" i="39"/>
  <c r="L170" i="39"/>
  <c r="W169" i="39"/>
  <c r="X169" i="39" s="1"/>
  <c r="U169" i="39"/>
  <c r="V169" i="39" s="1"/>
  <c r="S169" i="39"/>
  <c r="R169" i="39"/>
  <c r="P169" i="39"/>
  <c r="O169" i="39"/>
  <c r="N169" i="39"/>
  <c r="Q169" i="39" s="1"/>
  <c r="M169" i="39"/>
  <c r="L169" i="39"/>
  <c r="W168" i="39"/>
  <c r="X168" i="39" s="1"/>
  <c r="V168" i="39"/>
  <c r="U168" i="39"/>
  <c r="R168" i="39"/>
  <c r="P168" i="39"/>
  <c r="O168" i="39"/>
  <c r="N168" i="39"/>
  <c r="Q168" i="39" s="1"/>
  <c r="M168" i="39"/>
  <c r="L168" i="39"/>
  <c r="X167" i="39"/>
  <c r="W167" i="39"/>
  <c r="V167" i="39"/>
  <c r="Y167" i="39" s="1"/>
  <c r="U167" i="39"/>
  <c r="Z167" i="39" s="1"/>
  <c r="T167" i="39"/>
  <c r="S167" i="39"/>
  <c r="R167" i="39"/>
  <c r="P167" i="39"/>
  <c r="O167" i="39"/>
  <c r="N167" i="39"/>
  <c r="M167" i="39"/>
  <c r="Q167" i="39" s="1"/>
  <c r="L167" i="39"/>
  <c r="X166" i="39"/>
  <c r="W166" i="39"/>
  <c r="V166" i="39"/>
  <c r="U166" i="39"/>
  <c r="T166" i="39"/>
  <c r="R166" i="39"/>
  <c r="S166" i="39" s="1"/>
  <c r="P166" i="39"/>
  <c r="O166" i="39"/>
  <c r="N166" i="39"/>
  <c r="M166" i="39"/>
  <c r="L166" i="39"/>
  <c r="W165" i="39"/>
  <c r="X165" i="39" s="1"/>
  <c r="U165" i="39"/>
  <c r="V165" i="39" s="1"/>
  <c r="R165" i="39"/>
  <c r="P165" i="39"/>
  <c r="O165" i="39"/>
  <c r="N165" i="39"/>
  <c r="M165" i="39"/>
  <c r="L165" i="39"/>
  <c r="X164" i="39"/>
  <c r="W164" i="39"/>
  <c r="V164" i="39"/>
  <c r="U164" i="39"/>
  <c r="S164" i="39"/>
  <c r="R164" i="39"/>
  <c r="P164" i="39"/>
  <c r="O164" i="39"/>
  <c r="Q164" i="39" s="1"/>
  <c r="N164" i="39"/>
  <c r="M164" i="39"/>
  <c r="L164" i="39"/>
  <c r="W163" i="39"/>
  <c r="X163" i="39" s="1"/>
  <c r="U163" i="39"/>
  <c r="V163" i="39" s="1"/>
  <c r="R163" i="39"/>
  <c r="P163" i="39"/>
  <c r="O163" i="39"/>
  <c r="N163" i="39"/>
  <c r="M163" i="39"/>
  <c r="Q163" i="39" s="1"/>
  <c r="L163" i="39"/>
  <c r="W162" i="39"/>
  <c r="X162" i="39" s="1"/>
  <c r="U162" i="39"/>
  <c r="V162" i="39" s="1"/>
  <c r="R162" i="39"/>
  <c r="P162" i="39"/>
  <c r="O162" i="39"/>
  <c r="N162" i="39"/>
  <c r="M162" i="39"/>
  <c r="Q162" i="39" s="1"/>
  <c r="L162" i="39"/>
  <c r="W161" i="39"/>
  <c r="X161" i="39" s="1"/>
  <c r="V161" i="39"/>
  <c r="U161" i="39"/>
  <c r="S161" i="39"/>
  <c r="R161" i="39"/>
  <c r="T161" i="39" s="1"/>
  <c r="Q161" i="39"/>
  <c r="P161" i="39"/>
  <c r="O161" i="39"/>
  <c r="N161" i="39"/>
  <c r="M161" i="39"/>
  <c r="L161" i="39"/>
  <c r="X160" i="39"/>
  <c r="W160" i="39"/>
  <c r="V160" i="39"/>
  <c r="U160" i="39"/>
  <c r="R160" i="39"/>
  <c r="P160" i="39"/>
  <c r="O160" i="39"/>
  <c r="N160" i="39"/>
  <c r="M160" i="39"/>
  <c r="L160" i="39"/>
  <c r="W159" i="39"/>
  <c r="X159" i="39" s="1"/>
  <c r="V159" i="39"/>
  <c r="U159" i="39"/>
  <c r="R159" i="39"/>
  <c r="P159" i="39"/>
  <c r="O159" i="39"/>
  <c r="N159" i="39"/>
  <c r="Q159" i="39" s="1"/>
  <c r="M159" i="39"/>
  <c r="L159" i="39"/>
  <c r="X158" i="39"/>
  <c r="W158" i="39"/>
  <c r="V158" i="39"/>
  <c r="U158" i="39"/>
  <c r="R158" i="39"/>
  <c r="P158" i="39"/>
  <c r="O158" i="39"/>
  <c r="N158" i="39"/>
  <c r="M158" i="39"/>
  <c r="L158" i="39"/>
  <c r="X157" i="39"/>
  <c r="W157" i="39"/>
  <c r="V157" i="39"/>
  <c r="U157" i="39"/>
  <c r="R157" i="39"/>
  <c r="P157" i="39"/>
  <c r="O157" i="39"/>
  <c r="N157" i="39"/>
  <c r="M157" i="39"/>
  <c r="L157" i="39"/>
  <c r="X156" i="39"/>
  <c r="W156" i="39"/>
  <c r="V156" i="39"/>
  <c r="U156" i="39"/>
  <c r="S156" i="39"/>
  <c r="T156" i="39" s="1"/>
  <c r="R156" i="39"/>
  <c r="P156" i="39"/>
  <c r="O156" i="39"/>
  <c r="N156" i="39"/>
  <c r="M156" i="39"/>
  <c r="Q156" i="39" s="1"/>
  <c r="L156" i="39"/>
  <c r="X155" i="39"/>
  <c r="W155" i="39"/>
  <c r="U155" i="39"/>
  <c r="V155" i="39" s="1"/>
  <c r="S155" i="39"/>
  <c r="R155" i="39"/>
  <c r="P155" i="39"/>
  <c r="O155" i="39"/>
  <c r="N155" i="39"/>
  <c r="M155" i="39"/>
  <c r="L155" i="39"/>
  <c r="W154" i="39"/>
  <c r="X154" i="39" s="1"/>
  <c r="V154" i="39"/>
  <c r="U154" i="39"/>
  <c r="R154" i="39"/>
  <c r="P154" i="39"/>
  <c r="O154" i="39"/>
  <c r="N154" i="39"/>
  <c r="M154" i="39"/>
  <c r="Q154" i="39" s="1"/>
  <c r="L154" i="39"/>
  <c r="AD153" i="39"/>
  <c r="X153" i="39"/>
  <c r="W153" i="39"/>
  <c r="V153" i="39"/>
  <c r="Y153" i="39" s="1"/>
  <c r="U153" i="39"/>
  <c r="R153" i="39"/>
  <c r="S153" i="39" s="1"/>
  <c r="T153" i="39" s="1"/>
  <c r="P153" i="39"/>
  <c r="O153" i="39"/>
  <c r="N153" i="39"/>
  <c r="M153" i="39"/>
  <c r="Q153" i="39" s="1"/>
  <c r="L153" i="39"/>
  <c r="W152" i="39"/>
  <c r="X152" i="39" s="1"/>
  <c r="V152" i="39"/>
  <c r="U152" i="39"/>
  <c r="R152" i="39"/>
  <c r="P152" i="39"/>
  <c r="O152" i="39"/>
  <c r="N152" i="39"/>
  <c r="Q152" i="39" s="1"/>
  <c r="M152" i="39"/>
  <c r="L152" i="39"/>
  <c r="AD151" i="39"/>
  <c r="X151" i="39"/>
  <c r="W151" i="39"/>
  <c r="U151" i="39"/>
  <c r="V151" i="39" s="1"/>
  <c r="R151" i="39"/>
  <c r="Q151" i="39"/>
  <c r="P151" i="39"/>
  <c r="O151" i="39"/>
  <c r="N151" i="39"/>
  <c r="M151" i="39"/>
  <c r="L151" i="39"/>
  <c r="AD150" i="39"/>
  <c r="X150" i="39"/>
  <c r="W150" i="39"/>
  <c r="V150" i="39"/>
  <c r="U150" i="39"/>
  <c r="S150" i="39"/>
  <c r="R150" i="39"/>
  <c r="T150" i="39" s="1"/>
  <c r="P150" i="39"/>
  <c r="O150" i="39"/>
  <c r="N150" i="39"/>
  <c r="M150" i="39"/>
  <c r="L150" i="39"/>
  <c r="K147" i="39"/>
  <c r="J147" i="39"/>
  <c r="I147" i="39"/>
  <c r="H147" i="39"/>
  <c r="G147" i="39"/>
  <c r="F147" i="39"/>
  <c r="E147" i="39"/>
  <c r="F5" i="40" s="1"/>
  <c r="D147" i="39"/>
  <c r="C147" i="39"/>
  <c r="F3" i="40" s="1"/>
  <c r="AA146" i="39"/>
  <c r="Q146" i="39"/>
  <c r="M146" i="39"/>
  <c r="D146" i="39"/>
  <c r="L146" i="39" s="1"/>
  <c r="AB146" i="39" s="1"/>
  <c r="AB145" i="39"/>
  <c r="Q145" i="39"/>
  <c r="L145" i="39"/>
  <c r="X144" i="39"/>
  <c r="W144" i="39"/>
  <c r="U144" i="39"/>
  <c r="T144" i="39"/>
  <c r="R144" i="39"/>
  <c r="S144" i="39" s="1"/>
  <c r="P144" i="39"/>
  <c r="O144" i="39"/>
  <c r="N144" i="39"/>
  <c r="M144" i="39"/>
  <c r="L144" i="39"/>
  <c r="X143" i="39"/>
  <c r="W143" i="39"/>
  <c r="U143" i="39"/>
  <c r="V143" i="39" s="1"/>
  <c r="R143" i="39"/>
  <c r="P143" i="39"/>
  <c r="O143" i="39"/>
  <c r="N143" i="39"/>
  <c r="M143" i="39"/>
  <c r="Q143" i="39" s="1"/>
  <c r="L143" i="39"/>
  <c r="X142" i="39"/>
  <c r="W142" i="39"/>
  <c r="U142" i="39"/>
  <c r="V142" i="39" s="1"/>
  <c r="R142" i="39"/>
  <c r="P142" i="39"/>
  <c r="O142" i="39"/>
  <c r="N142" i="39"/>
  <c r="M142" i="39"/>
  <c r="L142" i="39"/>
  <c r="X141" i="39"/>
  <c r="W141" i="39"/>
  <c r="V141" i="39"/>
  <c r="U141" i="39"/>
  <c r="R141" i="39"/>
  <c r="P141" i="39"/>
  <c r="O141" i="39"/>
  <c r="N141" i="39"/>
  <c r="M141" i="39"/>
  <c r="L141" i="39"/>
  <c r="W140" i="39"/>
  <c r="X140" i="39" s="1"/>
  <c r="V140" i="39"/>
  <c r="U140" i="39"/>
  <c r="R140" i="39"/>
  <c r="P140" i="39"/>
  <c r="Q140" i="39" s="1"/>
  <c r="O140" i="39"/>
  <c r="N140" i="39"/>
  <c r="M140" i="39"/>
  <c r="L140" i="39"/>
  <c r="X139" i="39"/>
  <c r="W139" i="39"/>
  <c r="U139" i="39"/>
  <c r="V139" i="39" s="1"/>
  <c r="R139" i="39"/>
  <c r="P139" i="39"/>
  <c r="O139" i="39"/>
  <c r="N139" i="39"/>
  <c r="M139" i="39"/>
  <c r="Q139" i="39" s="1"/>
  <c r="L139" i="39"/>
  <c r="X138" i="39"/>
  <c r="W138" i="39"/>
  <c r="U138" i="39"/>
  <c r="V138" i="39" s="1"/>
  <c r="S138" i="39"/>
  <c r="R138" i="39"/>
  <c r="P138" i="39"/>
  <c r="O138" i="39"/>
  <c r="N138" i="39"/>
  <c r="M138" i="39"/>
  <c r="Q138" i="39" s="1"/>
  <c r="L138" i="39"/>
  <c r="X137" i="39"/>
  <c r="W137" i="39"/>
  <c r="V137" i="39"/>
  <c r="U137" i="39"/>
  <c r="R137" i="39"/>
  <c r="P137" i="39"/>
  <c r="O137" i="39"/>
  <c r="N137" i="39"/>
  <c r="M137" i="39"/>
  <c r="Q137" i="39" s="1"/>
  <c r="L137" i="39"/>
  <c r="W136" i="39"/>
  <c r="X136" i="39" s="1"/>
  <c r="V136" i="39"/>
  <c r="U136" i="39"/>
  <c r="T136" i="39"/>
  <c r="S136" i="39"/>
  <c r="R136" i="39"/>
  <c r="P136" i="39"/>
  <c r="O136" i="39"/>
  <c r="N136" i="39"/>
  <c r="M136" i="39"/>
  <c r="L136" i="39"/>
  <c r="X135" i="39"/>
  <c r="W135" i="39"/>
  <c r="V135" i="39"/>
  <c r="U135" i="39"/>
  <c r="S135" i="39"/>
  <c r="R135" i="39"/>
  <c r="P135" i="39"/>
  <c r="O135" i="39"/>
  <c r="N135" i="39"/>
  <c r="M135" i="39"/>
  <c r="L135" i="39"/>
  <c r="X134" i="39"/>
  <c r="W134" i="39"/>
  <c r="U134" i="39"/>
  <c r="S134" i="39"/>
  <c r="T134" i="39" s="1"/>
  <c r="R134" i="39"/>
  <c r="P134" i="39"/>
  <c r="O134" i="39"/>
  <c r="Q134" i="39" s="1"/>
  <c r="N134" i="39"/>
  <c r="M134" i="39"/>
  <c r="L134" i="39"/>
  <c r="W133" i="39"/>
  <c r="X133" i="39" s="1"/>
  <c r="V133" i="39"/>
  <c r="U133" i="39"/>
  <c r="R133" i="39"/>
  <c r="P133" i="39"/>
  <c r="O133" i="39"/>
  <c r="N133" i="39"/>
  <c r="Q133" i="39" s="1"/>
  <c r="M133" i="39"/>
  <c r="L133" i="39"/>
  <c r="W132" i="39"/>
  <c r="X132" i="39" s="1"/>
  <c r="U132" i="39"/>
  <c r="V132" i="39" s="1"/>
  <c r="R132" i="39"/>
  <c r="P132" i="39"/>
  <c r="O132" i="39"/>
  <c r="N132" i="39"/>
  <c r="Q132" i="39" s="1"/>
  <c r="M132" i="39"/>
  <c r="L132" i="39"/>
  <c r="Z131" i="39"/>
  <c r="X131" i="39"/>
  <c r="W131" i="39"/>
  <c r="V131" i="39"/>
  <c r="U131" i="39"/>
  <c r="S131" i="39"/>
  <c r="R131" i="39"/>
  <c r="P131" i="39"/>
  <c r="O131" i="39"/>
  <c r="N131" i="39"/>
  <c r="M131" i="39"/>
  <c r="L131" i="39"/>
  <c r="Z130" i="39"/>
  <c r="X130" i="39"/>
  <c r="W130" i="39"/>
  <c r="U130" i="39"/>
  <c r="V130" i="39" s="1"/>
  <c r="R130" i="39"/>
  <c r="S130" i="39" s="1"/>
  <c r="P130" i="39"/>
  <c r="O130" i="39"/>
  <c r="N130" i="39"/>
  <c r="M130" i="39"/>
  <c r="Q130" i="39" s="1"/>
  <c r="L130" i="39"/>
  <c r="W129" i="39"/>
  <c r="X129" i="39" s="1"/>
  <c r="U129" i="39"/>
  <c r="T129" i="39"/>
  <c r="R129" i="39"/>
  <c r="S129" i="39" s="1"/>
  <c r="P129" i="39"/>
  <c r="O129" i="39"/>
  <c r="N129" i="39"/>
  <c r="M129" i="39"/>
  <c r="Q129" i="39" s="1"/>
  <c r="L129" i="39"/>
  <c r="X128" i="39"/>
  <c r="W128" i="39"/>
  <c r="U128" i="39"/>
  <c r="V128" i="39" s="1"/>
  <c r="S128" i="39"/>
  <c r="R128" i="39"/>
  <c r="P128" i="39"/>
  <c r="O128" i="39"/>
  <c r="N128" i="39"/>
  <c r="M128" i="39"/>
  <c r="L128" i="39"/>
  <c r="X127" i="39"/>
  <c r="W127" i="39"/>
  <c r="V127" i="39"/>
  <c r="U127" i="39"/>
  <c r="Z127" i="39" s="1"/>
  <c r="T127" i="39"/>
  <c r="R127" i="39"/>
  <c r="S127" i="39" s="1"/>
  <c r="P127" i="39"/>
  <c r="O127" i="39"/>
  <c r="N127" i="39"/>
  <c r="M127" i="39"/>
  <c r="Q127" i="39" s="1"/>
  <c r="L127" i="39"/>
  <c r="X126" i="39"/>
  <c r="W126" i="39"/>
  <c r="V126" i="39"/>
  <c r="U126" i="39"/>
  <c r="R126" i="39"/>
  <c r="P126" i="39"/>
  <c r="O126" i="39"/>
  <c r="N126" i="39"/>
  <c r="Q126" i="39" s="1"/>
  <c r="M126" i="39"/>
  <c r="L126" i="39"/>
  <c r="Z125" i="39"/>
  <c r="W125" i="39"/>
  <c r="X125" i="39" s="1"/>
  <c r="U125" i="39"/>
  <c r="V125" i="39" s="1"/>
  <c r="R125" i="39"/>
  <c r="S125" i="39" s="1"/>
  <c r="P125" i="39"/>
  <c r="O125" i="39"/>
  <c r="N125" i="39"/>
  <c r="M125" i="39"/>
  <c r="L125" i="39"/>
  <c r="X124" i="39"/>
  <c r="W124" i="39"/>
  <c r="V124" i="39"/>
  <c r="U124" i="39"/>
  <c r="R124" i="39"/>
  <c r="P124" i="39"/>
  <c r="O124" i="39"/>
  <c r="Q124" i="39" s="1"/>
  <c r="N124" i="39"/>
  <c r="M124" i="39"/>
  <c r="L124" i="39"/>
  <c r="X123" i="39"/>
  <c r="W123" i="39"/>
  <c r="U123" i="39"/>
  <c r="V123" i="39" s="1"/>
  <c r="S123" i="39"/>
  <c r="R123" i="39"/>
  <c r="P123" i="39"/>
  <c r="O123" i="39"/>
  <c r="N123" i="39"/>
  <c r="M123" i="39"/>
  <c r="L123" i="39"/>
  <c r="W122" i="39"/>
  <c r="X122" i="39" s="1"/>
  <c r="U122" i="39"/>
  <c r="V122" i="39" s="1"/>
  <c r="S122" i="39"/>
  <c r="R122" i="39"/>
  <c r="P122" i="39"/>
  <c r="O122" i="39"/>
  <c r="N122" i="39"/>
  <c r="M122" i="39"/>
  <c r="L122" i="39"/>
  <c r="AD121" i="39"/>
  <c r="W121" i="39"/>
  <c r="Z121" i="39" s="1"/>
  <c r="V121" i="39"/>
  <c r="U121" i="39"/>
  <c r="T121" i="39"/>
  <c r="R121" i="39"/>
  <c r="S121" i="39" s="1"/>
  <c r="P121" i="39"/>
  <c r="O121" i="39"/>
  <c r="N121" i="39"/>
  <c r="M121" i="39"/>
  <c r="Q121" i="39" s="1"/>
  <c r="L121" i="39"/>
  <c r="X120" i="39"/>
  <c r="W120" i="39"/>
  <c r="V120" i="39"/>
  <c r="U120" i="39"/>
  <c r="R120" i="39"/>
  <c r="P120" i="39"/>
  <c r="O120" i="39"/>
  <c r="N120" i="39"/>
  <c r="M120" i="39"/>
  <c r="L120" i="39"/>
  <c r="W119" i="39"/>
  <c r="X119" i="39" s="1"/>
  <c r="V119" i="39"/>
  <c r="U119" i="39"/>
  <c r="R119" i="39"/>
  <c r="Q119" i="39"/>
  <c r="P119" i="39"/>
  <c r="O119" i="39"/>
  <c r="N119" i="39"/>
  <c r="M119" i="39"/>
  <c r="L119" i="39"/>
  <c r="Z118" i="39"/>
  <c r="X118" i="39"/>
  <c r="W118" i="39"/>
  <c r="U118" i="39"/>
  <c r="V118" i="39" s="1"/>
  <c r="T118" i="39"/>
  <c r="S118" i="39"/>
  <c r="R118" i="39"/>
  <c r="Q118" i="39"/>
  <c r="P118" i="39"/>
  <c r="O118" i="39"/>
  <c r="N118" i="39"/>
  <c r="M118" i="39"/>
  <c r="L118" i="39"/>
  <c r="W117" i="39"/>
  <c r="U117" i="39"/>
  <c r="S117" i="39"/>
  <c r="R117" i="39"/>
  <c r="Q117" i="39"/>
  <c r="P117" i="39"/>
  <c r="O117" i="39"/>
  <c r="N117" i="39"/>
  <c r="M117" i="39"/>
  <c r="L117" i="39"/>
  <c r="K114" i="39"/>
  <c r="J114" i="39"/>
  <c r="I114" i="39"/>
  <c r="H114" i="39"/>
  <c r="G114" i="39"/>
  <c r="F114" i="39"/>
  <c r="E114" i="39"/>
  <c r="E5" i="40" s="1"/>
  <c r="D114" i="39"/>
  <c r="C114" i="39"/>
  <c r="E3" i="40" s="1"/>
  <c r="AA113" i="39"/>
  <c r="M113" i="39"/>
  <c r="Q113" i="39" s="1"/>
  <c r="L113" i="39"/>
  <c r="AB113" i="39" s="1"/>
  <c r="D113" i="39"/>
  <c r="Q112" i="39"/>
  <c r="L112" i="39"/>
  <c r="AB112" i="39" s="1"/>
  <c r="W111" i="39"/>
  <c r="Z111" i="39" s="1"/>
  <c r="V111" i="39"/>
  <c r="U111" i="39"/>
  <c r="S111" i="39"/>
  <c r="T111" i="39" s="1"/>
  <c r="R111" i="39"/>
  <c r="P111" i="39"/>
  <c r="O111" i="39"/>
  <c r="N111" i="39"/>
  <c r="M111" i="39"/>
  <c r="L111" i="39"/>
  <c r="X110" i="39"/>
  <c r="W110" i="39"/>
  <c r="V110" i="39"/>
  <c r="U110" i="39"/>
  <c r="R110" i="39"/>
  <c r="P110" i="39"/>
  <c r="O110" i="39"/>
  <c r="Q110" i="39" s="1"/>
  <c r="N110" i="39"/>
  <c r="M110" i="39"/>
  <c r="L110" i="39"/>
  <c r="W109" i="39"/>
  <c r="X109" i="39" s="1"/>
  <c r="U109" i="39"/>
  <c r="V109" i="39" s="1"/>
  <c r="R109" i="39"/>
  <c r="P109" i="39"/>
  <c r="O109" i="39"/>
  <c r="Q109" i="39" s="1"/>
  <c r="N109" i="39"/>
  <c r="M109" i="39"/>
  <c r="L109" i="39"/>
  <c r="W108" i="39"/>
  <c r="X108" i="39" s="1"/>
  <c r="V108" i="39"/>
  <c r="U108" i="39"/>
  <c r="R108" i="39"/>
  <c r="P108" i="39"/>
  <c r="O108" i="39"/>
  <c r="N108" i="39"/>
  <c r="M108" i="39"/>
  <c r="L108" i="39"/>
  <c r="X107" i="39"/>
  <c r="W107" i="39"/>
  <c r="U107" i="39"/>
  <c r="V107" i="39" s="1"/>
  <c r="S107" i="39"/>
  <c r="R107" i="39"/>
  <c r="P107" i="39"/>
  <c r="O107" i="39"/>
  <c r="N107" i="39"/>
  <c r="M107" i="39"/>
  <c r="Q107" i="39" s="1"/>
  <c r="L107" i="39"/>
  <c r="W106" i="39"/>
  <c r="X106" i="39" s="1"/>
  <c r="V106" i="39"/>
  <c r="U106" i="39"/>
  <c r="R106" i="39"/>
  <c r="P106" i="39"/>
  <c r="O106" i="39"/>
  <c r="N106" i="39"/>
  <c r="M106" i="39"/>
  <c r="L106" i="39"/>
  <c r="W105" i="39"/>
  <c r="X105" i="39" s="1"/>
  <c r="U105" i="39"/>
  <c r="V105" i="39" s="1"/>
  <c r="S105" i="39"/>
  <c r="R105" i="39"/>
  <c r="P105" i="39"/>
  <c r="O105" i="39"/>
  <c r="N105" i="39"/>
  <c r="M105" i="39"/>
  <c r="Q105" i="39" s="1"/>
  <c r="L105" i="39"/>
  <c r="X104" i="39"/>
  <c r="W104" i="39"/>
  <c r="U104" i="39"/>
  <c r="V104" i="39" s="1"/>
  <c r="S104" i="39"/>
  <c r="T104" i="39" s="1"/>
  <c r="R104" i="39"/>
  <c r="P104" i="39"/>
  <c r="O104" i="39"/>
  <c r="N104" i="39"/>
  <c r="Q104" i="39" s="1"/>
  <c r="M104" i="39"/>
  <c r="L104" i="39"/>
  <c r="W103" i="39"/>
  <c r="X103" i="39" s="1"/>
  <c r="V103" i="39"/>
  <c r="U103" i="39"/>
  <c r="T103" i="39"/>
  <c r="S103" i="39"/>
  <c r="R103" i="39"/>
  <c r="P103" i="39"/>
  <c r="O103" i="39"/>
  <c r="N103" i="39"/>
  <c r="M103" i="39"/>
  <c r="L103" i="39"/>
  <c r="X102" i="39"/>
  <c r="W102" i="39"/>
  <c r="U102" i="39"/>
  <c r="V102" i="39" s="1"/>
  <c r="R102" i="39"/>
  <c r="P102" i="39"/>
  <c r="O102" i="39"/>
  <c r="N102" i="39"/>
  <c r="M102" i="39"/>
  <c r="Q102" i="39" s="1"/>
  <c r="L102" i="39"/>
  <c r="Z101" i="39"/>
  <c r="W101" i="39"/>
  <c r="X101" i="39" s="1"/>
  <c r="U101" i="39"/>
  <c r="V101" i="39" s="1"/>
  <c r="S101" i="39"/>
  <c r="R101" i="39"/>
  <c r="P101" i="39"/>
  <c r="O101" i="39"/>
  <c r="N101" i="39"/>
  <c r="M101" i="39"/>
  <c r="Q101" i="39" s="1"/>
  <c r="L101" i="39"/>
  <c r="X100" i="39"/>
  <c r="W100" i="39"/>
  <c r="V100" i="39"/>
  <c r="U100" i="39"/>
  <c r="R100" i="39"/>
  <c r="S100" i="39" s="1"/>
  <c r="T100" i="39" s="1"/>
  <c r="P100" i="39"/>
  <c r="Y100" i="39" s="1"/>
  <c r="O100" i="39"/>
  <c r="N100" i="39"/>
  <c r="M100" i="39"/>
  <c r="L100" i="39"/>
  <c r="W99" i="39"/>
  <c r="X99" i="39" s="1"/>
  <c r="U99" i="39"/>
  <c r="V99" i="39" s="1"/>
  <c r="R99" i="39"/>
  <c r="P99" i="39"/>
  <c r="O99" i="39"/>
  <c r="N99" i="39"/>
  <c r="M99" i="39"/>
  <c r="Q99" i="39" s="1"/>
  <c r="L99" i="39"/>
  <c r="W98" i="39"/>
  <c r="X98" i="39" s="1"/>
  <c r="V98" i="39"/>
  <c r="U98" i="39"/>
  <c r="R98" i="39"/>
  <c r="Q98" i="39"/>
  <c r="P98" i="39"/>
  <c r="O98" i="39"/>
  <c r="N98" i="39"/>
  <c r="M98" i="39"/>
  <c r="L98" i="39"/>
  <c r="W97" i="39"/>
  <c r="X97" i="39" s="1"/>
  <c r="U97" i="39"/>
  <c r="V97" i="39" s="1"/>
  <c r="S97" i="39"/>
  <c r="R97" i="39"/>
  <c r="Q97" i="39"/>
  <c r="P97" i="39"/>
  <c r="O97" i="39"/>
  <c r="N97" i="39"/>
  <c r="M97" i="39"/>
  <c r="L97" i="39"/>
  <c r="W96" i="39"/>
  <c r="X96" i="39" s="1"/>
  <c r="V96" i="39"/>
  <c r="U96" i="39"/>
  <c r="R96" i="39"/>
  <c r="P96" i="39"/>
  <c r="O96" i="39"/>
  <c r="N96" i="39"/>
  <c r="M96" i="39"/>
  <c r="Q96" i="39" s="1"/>
  <c r="L96" i="39"/>
  <c r="W95" i="39"/>
  <c r="X95" i="39" s="1"/>
  <c r="U95" i="39"/>
  <c r="V95" i="39" s="1"/>
  <c r="T95" i="39"/>
  <c r="Y95" i="39" s="1"/>
  <c r="S95" i="39"/>
  <c r="R95" i="39"/>
  <c r="P95" i="39"/>
  <c r="O95" i="39"/>
  <c r="N95" i="39"/>
  <c r="M95" i="39"/>
  <c r="L95" i="39"/>
  <c r="W94" i="39"/>
  <c r="X94" i="39" s="1"/>
  <c r="U94" i="39"/>
  <c r="V94" i="39" s="1"/>
  <c r="R94" i="39"/>
  <c r="P94" i="39"/>
  <c r="O94" i="39"/>
  <c r="N94" i="39"/>
  <c r="M94" i="39"/>
  <c r="L94" i="39"/>
  <c r="W93" i="39"/>
  <c r="X93" i="39" s="1"/>
  <c r="V93" i="39"/>
  <c r="U93" i="39"/>
  <c r="R93" i="39"/>
  <c r="S93" i="39" s="1"/>
  <c r="P93" i="39"/>
  <c r="O93" i="39"/>
  <c r="N93" i="39"/>
  <c r="M93" i="39"/>
  <c r="L93" i="39"/>
  <c r="X92" i="39"/>
  <c r="W92" i="39"/>
  <c r="U92" i="39"/>
  <c r="V92" i="39" s="1"/>
  <c r="S92" i="39"/>
  <c r="R92" i="39"/>
  <c r="P92" i="39"/>
  <c r="Q92" i="39" s="1"/>
  <c r="O92" i="39"/>
  <c r="N92" i="39"/>
  <c r="M92" i="39"/>
  <c r="L92" i="39"/>
  <c r="W91" i="39"/>
  <c r="X91" i="39" s="1"/>
  <c r="U91" i="39"/>
  <c r="V91" i="39" s="1"/>
  <c r="S91" i="39"/>
  <c r="T91" i="39" s="1"/>
  <c r="Y91" i="39" s="1"/>
  <c r="R91" i="39"/>
  <c r="P91" i="39"/>
  <c r="O91" i="39"/>
  <c r="N91" i="39"/>
  <c r="M91" i="39"/>
  <c r="Q91" i="39" s="1"/>
  <c r="L91" i="39"/>
  <c r="W90" i="39"/>
  <c r="X90" i="39" s="1"/>
  <c r="U90" i="39"/>
  <c r="V90" i="39" s="1"/>
  <c r="S90" i="39"/>
  <c r="R90" i="39"/>
  <c r="P90" i="39"/>
  <c r="O90" i="39"/>
  <c r="N90" i="39"/>
  <c r="M90" i="39"/>
  <c r="Q90" i="39" s="1"/>
  <c r="L90" i="39"/>
  <c r="X89" i="39"/>
  <c r="W89" i="39"/>
  <c r="U89" i="39"/>
  <c r="V89" i="39" s="1"/>
  <c r="S89" i="39"/>
  <c r="R89" i="39"/>
  <c r="P89" i="39"/>
  <c r="O89" i="39"/>
  <c r="N89" i="39"/>
  <c r="M89" i="39"/>
  <c r="Q89" i="39" s="1"/>
  <c r="L89" i="39"/>
  <c r="AD88" i="39"/>
  <c r="W88" i="39"/>
  <c r="X88" i="39" s="1"/>
  <c r="U88" i="39"/>
  <c r="V88" i="39" s="1"/>
  <c r="S88" i="39"/>
  <c r="R88" i="39"/>
  <c r="P88" i="39"/>
  <c r="O88" i="39"/>
  <c r="N88" i="39"/>
  <c r="M88" i="39"/>
  <c r="Q88" i="39" s="1"/>
  <c r="L88" i="39"/>
  <c r="AD87" i="39"/>
  <c r="W87" i="39"/>
  <c r="X87" i="39" s="1"/>
  <c r="V87" i="39"/>
  <c r="U87" i="39"/>
  <c r="R87" i="39"/>
  <c r="P87" i="39"/>
  <c r="O87" i="39"/>
  <c r="N87" i="39"/>
  <c r="Q87" i="39" s="1"/>
  <c r="M87" i="39"/>
  <c r="L87" i="39"/>
  <c r="W86" i="39"/>
  <c r="X86" i="39" s="1"/>
  <c r="U86" i="39"/>
  <c r="V86" i="39" s="1"/>
  <c r="S86" i="39"/>
  <c r="R86" i="39"/>
  <c r="Q86" i="39"/>
  <c r="P86" i="39"/>
  <c r="O86" i="39"/>
  <c r="N86" i="39"/>
  <c r="M86" i="39"/>
  <c r="L86" i="39"/>
  <c r="W85" i="39"/>
  <c r="X85" i="39" s="1"/>
  <c r="V85" i="39"/>
  <c r="U85" i="39"/>
  <c r="R85" i="39"/>
  <c r="P85" i="39"/>
  <c r="O85" i="39"/>
  <c r="N85" i="39"/>
  <c r="M85" i="39"/>
  <c r="L85" i="39"/>
  <c r="X84" i="39"/>
  <c r="W84" i="39"/>
  <c r="V84" i="39"/>
  <c r="U84" i="39"/>
  <c r="R84" i="39"/>
  <c r="P84" i="39"/>
  <c r="O84" i="39"/>
  <c r="Q84" i="39" s="1"/>
  <c r="N84" i="39"/>
  <c r="M84" i="39"/>
  <c r="L84" i="39"/>
  <c r="AD83" i="39"/>
  <c r="W83" i="39"/>
  <c r="U83" i="39"/>
  <c r="R83" i="39"/>
  <c r="P83" i="39"/>
  <c r="O83" i="39"/>
  <c r="N83" i="39"/>
  <c r="M83" i="39"/>
  <c r="L83" i="39"/>
  <c r="K80" i="39"/>
  <c r="J80" i="39"/>
  <c r="I80" i="39"/>
  <c r="AD48" i="39" s="1"/>
  <c r="H80" i="39"/>
  <c r="G80" i="39"/>
  <c r="F80" i="39"/>
  <c r="E80" i="39"/>
  <c r="D5" i="40" s="1"/>
  <c r="D80" i="39"/>
  <c r="D4" i="40" s="1"/>
  <c r="C80" i="39"/>
  <c r="D3" i="40" s="1"/>
  <c r="AA79" i="39"/>
  <c r="M79" i="39"/>
  <c r="Q79" i="39" s="1"/>
  <c r="L79" i="39"/>
  <c r="D79" i="39"/>
  <c r="Q78" i="39"/>
  <c r="L78" i="39"/>
  <c r="AB78" i="39" s="1"/>
  <c r="X77" i="39"/>
  <c r="W77" i="39"/>
  <c r="V77" i="39"/>
  <c r="U77" i="39"/>
  <c r="Z77" i="39" s="1"/>
  <c r="T77" i="39"/>
  <c r="S77" i="39"/>
  <c r="R77" i="39"/>
  <c r="P77" i="39"/>
  <c r="O77" i="39"/>
  <c r="N77" i="39"/>
  <c r="M77" i="39"/>
  <c r="L77" i="39"/>
  <c r="W76" i="39"/>
  <c r="X76" i="39" s="1"/>
  <c r="U76" i="39"/>
  <c r="V76" i="39" s="1"/>
  <c r="R76" i="39"/>
  <c r="Q76" i="39"/>
  <c r="P76" i="39"/>
  <c r="O76" i="39"/>
  <c r="N76" i="39"/>
  <c r="M76" i="39"/>
  <c r="L76" i="39"/>
  <c r="X75" i="39"/>
  <c r="W75" i="39"/>
  <c r="U75" i="39"/>
  <c r="V75" i="39" s="1"/>
  <c r="T75" i="39"/>
  <c r="Y75" i="39" s="1"/>
  <c r="S75" i="39"/>
  <c r="R75" i="39"/>
  <c r="Z75" i="39" s="1"/>
  <c r="Q75" i="39"/>
  <c r="P75" i="39"/>
  <c r="O75" i="39"/>
  <c r="N75" i="39"/>
  <c r="M75" i="39"/>
  <c r="L75" i="39"/>
  <c r="W74" i="39"/>
  <c r="X74" i="39" s="1"/>
  <c r="V74" i="39"/>
  <c r="U74" i="39"/>
  <c r="T74" i="39"/>
  <c r="S74" i="39"/>
  <c r="R74" i="39"/>
  <c r="P74" i="39"/>
  <c r="Y74" i="39" s="1"/>
  <c r="O74" i="39"/>
  <c r="N74" i="39"/>
  <c r="M74" i="39"/>
  <c r="Q74" i="39" s="1"/>
  <c r="L74" i="39"/>
  <c r="W73" i="39"/>
  <c r="X73" i="39" s="1"/>
  <c r="V73" i="39"/>
  <c r="U73" i="39"/>
  <c r="R73" i="39"/>
  <c r="Q73" i="39"/>
  <c r="P73" i="39"/>
  <c r="O73" i="39"/>
  <c r="N73" i="39"/>
  <c r="M73" i="39"/>
  <c r="L73" i="39"/>
  <c r="W72" i="39"/>
  <c r="X72" i="39" s="1"/>
  <c r="U72" i="39"/>
  <c r="V72" i="39" s="1"/>
  <c r="R72" i="39"/>
  <c r="P72" i="39"/>
  <c r="O72" i="39"/>
  <c r="N72" i="39"/>
  <c r="M72" i="39"/>
  <c r="L72" i="39"/>
  <c r="X71" i="39"/>
  <c r="W71" i="39"/>
  <c r="V71" i="39"/>
  <c r="U71" i="39"/>
  <c r="R71" i="39"/>
  <c r="P71" i="39"/>
  <c r="O71" i="39"/>
  <c r="N71" i="39"/>
  <c r="Q71" i="39" s="1"/>
  <c r="M71" i="39"/>
  <c r="L71" i="39"/>
  <c r="X70" i="39"/>
  <c r="W70" i="39"/>
  <c r="U70" i="39"/>
  <c r="V70" i="39" s="1"/>
  <c r="R70" i="39"/>
  <c r="Q70" i="39"/>
  <c r="P70" i="39"/>
  <c r="O70" i="39"/>
  <c r="N70" i="39"/>
  <c r="M70" i="39"/>
  <c r="L70" i="39"/>
  <c r="X69" i="39"/>
  <c r="W69" i="39"/>
  <c r="V69" i="39"/>
  <c r="U69" i="39"/>
  <c r="Z69" i="39" s="1"/>
  <c r="T69" i="39"/>
  <c r="R69" i="39"/>
  <c r="S69" i="39" s="1"/>
  <c r="P69" i="39"/>
  <c r="Y69" i="39" s="1"/>
  <c r="O69" i="39"/>
  <c r="N69" i="39"/>
  <c r="M69" i="39"/>
  <c r="L69" i="39"/>
  <c r="X68" i="39"/>
  <c r="W68" i="39"/>
  <c r="U68" i="39"/>
  <c r="V68" i="39" s="1"/>
  <c r="T68" i="39"/>
  <c r="S68" i="39"/>
  <c r="R68" i="39"/>
  <c r="Q68" i="39"/>
  <c r="P68" i="39"/>
  <c r="Y68" i="39" s="1"/>
  <c r="O68" i="39"/>
  <c r="N68" i="39"/>
  <c r="M68" i="39"/>
  <c r="L68" i="39"/>
  <c r="W67" i="39"/>
  <c r="X67" i="39" s="1"/>
  <c r="V67" i="39"/>
  <c r="U67" i="39"/>
  <c r="S67" i="39"/>
  <c r="R67" i="39"/>
  <c r="P67" i="39"/>
  <c r="O67" i="39"/>
  <c r="N67" i="39"/>
  <c r="M67" i="39"/>
  <c r="Q67" i="39" s="1"/>
  <c r="L67" i="39"/>
  <c r="X66" i="39"/>
  <c r="W66" i="39"/>
  <c r="U66" i="39"/>
  <c r="V66" i="39" s="1"/>
  <c r="S66" i="39"/>
  <c r="R66" i="39"/>
  <c r="P66" i="39"/>
  <c r="O66" i="39"/>
  <c r="N66" i="39"/>
  <c r="M66" i="39"/>
  <c r="Q66" i="39" s="1"/>
  <c r="L66" i="39"/>
  <c r="W65" i="39"/>
  <c r="X65" i="39" s="1"/>
  <c r="U65" i="39"/>
  <c r="V65" i="39" s="1"/>
  <c r="R65" i="39"/>
  <c r="P65" i="39"/>
  <c r="O65" i="39"/>
  <c r="N65" i="39"/>
  <c r="M65" i="39"/>
  <c r="Q65" i="39" s="1"/>
  <c r="L65" i="39"/>
  <c r="W64" i="39"/>
  <c r="X64" i="39" s="1"/>
  <c r="V64" i="39"/>
  <c r="U64" i="39"/>
  <c r="R64" i="39"/>
  <c r="Q64" i="39"/>
  <c r="P64" i="39"/>
  <c r="O64" i="39"/>
  <c r="N64" i="39"/>
  <c r="M64" i="39"/>
  <c r="L64" i="39"/>
  <c r="X63" i="39"/>
  <c r="Y63" i="39" s="1"/>
  <c r="W63" i="39"/>
  <c r="V63" i="39"/>
  <c r="U63" i="39"/>
  <c r="T63" i="39"/>
  <c r="R63" i="39"/>
  <c r="S63" i="39" s="1"/>
  <c r="P63" i="39"/>
  <c r="O63" i="39"/>
  <c r="N63" i="39"/>
  <c r="M63" i="39"/>
  <c r="Q63" i="39" s="1"/>
  <c r="L63" i="39"/>
  <c r="W62" i="39"/>
  <c r="X62" i="39" s="1"/>
  <c r="U62" i="39"/>
  <c r="V62" i="39" s="1"/>
  <c r="S62" i="39"/>
  <c r="T62" i="39" s="1"/>
  <c r="R62" i="39"/>
  <c r="P62" i="39"/>
  <c r="O62" i="39"/>
  <c r="N62" i="39"/>
  <c r="M62" i="39"/>
  <c r="L62" i="39"/>
  <c r="W61" i="39"/>
  <c r="X61" i="39" s="1"/>
  <c r="V61" i="39"/>
  <c r="U61" i="39"/>
  <c r="R61" i="39"/>
  <c r="Q61" i="39"/>
  <c r="P61" i="39"/>
  <c r="O61" i="39"/>
  <c r="N61" i="39"/>
  <c r="M61" i="39"/>
  <c r="L61" i="39"/>
  <c r="Z60" i="39"/>
  <c r="Y60" i="39"/>
  <c r="X60" i="39"/>
  <c r="W60" i="39"/>
  <c r="U60" i="39"/>
  <c r="V60" i="39" s="1"/>
  <c r="S60" i="39"/>
  <c r="T60" i="39" s="1"/>
  <c r="R60" i="39"/>
  <c r="P60" i="39"/>
  <c r="O60" i="39"/>
  <c r="N60" i="39"/>
  <c r="M60" i="39"/>
  <c r="Q60" i="39" s="1"/>
  <c r="L60" i="39"/>
  <c r="X59" i="39"/>
  <c r="W59" i="39"/>
  <c r="V59" i="39"/>
  <c r="U59" i="39"/>
  <c r="R59" i="39"/>
  <c r="Q59" i="39"/>
  <c r="P59" i="39"/>
  <c r="O59" i="39"/>
  <c r="N59" i="39"/>
  <c r="M59" i="39"/>
  <c r="L59" i="39"/>
  <c r="W58" i="39"/>
  <c r="X58" i="39" s="1"/>
  <c r="U58" i="39"/>
  <c r="V58" i="39" s="1"/>
  <c r="R58" i="39"/>
  <c r="P58" i="39"/>
  <c r="O58" i="39"/>
  <c r="N58" i="39"/>
  <c r="M58" i="39"/>
  <c r="Q58" i="39" s="1"/>
  <c r="L58" i="39"/>
  <c r="Z57" i="39"/>
  <c r="W57" i="39"/>
  <c r="X57" i="39" s="1"/>
  <c r="U57" i="39"/>
  <c r="V57" i="39" s="1"/>
  <c r="S57" i="39"/>
  <c r="R57" i="39"/>
  <c r="P57" i="39"/>
  <c r="O57" i="39"/>
  <c r="N57" i="39"/>
  <c r="M57" i="39"/>
  <c r="Q57" i="39" s="1"/>
  <c r="L57" i="39"/>
  <c r="W56" i="39"/>
  <c r="X56" i="39" s="1"/>
  <c r="V56" i="39"/>
  <c r="U56" i="39"/>
  <c r="R56" i="39"/>
  <c r="P56" i="39"/>
  <c r="O56" i="39"/>
  <c r="N56" i="39"/>
  <c r="Q56" i="39" s="1"/>
  <c r="M56" i="39"/>
  <c r="L56" i="39"/>
  <c r="X55" i="39"/>
  <c r="W55" i="39"/>
  <c r="U55" i="39"/>
  <c r="V55" i="39" s="1"/>
  <c r="S55" i="39"/>
  <c r="R55" i="39"/>
  <c r="Z55" i="39" s="1"/>
  <c r="P55" i="39"/>
  <c r="O55" i="39"/>
  <c r="N55" i="39"/>
  <c r="M55" i="39"/>
  <c r="Q55" i="39" s="1"/>
  <c r="L55" i="39"/>
  <c r="W54" i="39"/>
  <c r="X54" i="39" s="1"/>
  <c r="U54" i="39"/>
  <c r="V54" i="39" s="1"/>
  <c r="R54" i="39"/>
  <c r="P54" i="39"/>
  <c r="O54" i="39"/>
  <c r="Q54" i="39" s="1"/>
  <c r="N54" i="39"/>
  <c r="M54" i="39"/>
  <c r="L54" i="39"/>
  <c r="X53" i="39"/>
  <c r="W53" i="39"/>
  <c r="U53" i="39"/>
  <c r="V53" i="39" s="1"/>
  <c r="R53" i="39"/>
  <c r="P53" i="39"/>
  <c r="Q53" i="39" s="1"/>
  <c r="O53" i="39"/>
  <c r="N53" i="39"/>
  <c r="M53" i="39"/>
  <c r="L53" i="39"/>
  <c r="W52" i="39"/>
  <c r="X52" i="39" s="1"/>
  <c r="U52" i="39"/>
  <c r="V52" i="39" s="1"/>
  <c r="T52" i="39"/>
  <c r="S52" i="39"/>
  <c r="R52" i="39"/>
  <c r="P52" i="39"/>
  <c r="Y52" i="39" s="1"/>
  <c r="O52" i="39"/>
  <c r="N52" i="39"/>
  <c r="M52" i="39"/>
  <c r="L52" i="39"/>
  <c r="X51" i="39"/>
  <c r="W51" i="39"/>
  <c r="U51" i="39"/>
  <c r="V51" i="39" s="1"/>
  <c r="S51" i="39"/>
  <c r="R51" i="39"/>
  <c r="P51" i="39"/>
  <c r="O51" i="39"/>
  <c r="N51" i="39"/>
  <c r="M51" i="39"/>
  <c r="Q51" i="39" s="1"/>
  <c r="L51" i="39"/>
  <c r="X50" i="39"/>
  <c r="W50" i="39"/>
  <c r="U50" i="39"/>
  <c r="V50" i="39" s="1"/>
  <c r="R50" i="39"/>
  <c r="P50" i="39"/>
  <c r="O50" i="39"/>
  <c r="N50" i="39"/>
  <c r="Q50" i="39" s="1"/>
  <c r="M50" i="39"/>
  <c r="L50" i="39"/>
  <c r="W49" i="39"/>
  <c r="X49" i="39" s="1"/>
  <c r="U49" i="39"/>
  <c r="V49" i="39" s="1"/>
  <c r="S49" i="39"/>
  <c r="R49" i="39"/>
  <c r="P49" i="39"/>
  <c r="O49" i="39"/>
  <c r="N49" i="39"/>
  <c r="M49" i="39"/>
  <c r="L49" i="39"/>
  <c r="W48" i="39"/>
  <c r="X48" i="39" s="1"/>
  <c r="V48" i="39"/>
  <c r="U48" i="39"/>
  <c r="S48" i="39"/>
  <c r="Z48" i="39" s="1"/>
  <c r="R48" i="39"/>
  <c r="P48" i="39"/>
  <c r="O48" i="39"/>
  <c r="N48" i="39"/>
  <c r="M48" i="39"/>
  <c r="Q48" i="39" s="1"/>
  <c r="L48" i="39"/>
  <c r="AD47" i="39"/>
  <c r="W47" i="39"/>
  <c r="X47" i="39" s="1"/>
  <c r="V47" i="39"/>
  <c r="U47" i="39"/>
  <c r="S47" i="39"/>
  <c r="R47" i="39"/>
  <c r="P47" i="39"/>
  <c r="O47" i="39"/>
  <c r="N47" i="39"/>
  <c r="M47" i="39"/>
  <c r="Q47" i="39" s="1"/>
  <c r="L47" i="39"/>
  <c r="AD46" i="39"/>
  <c r="W46" i="39"/>
  <c r="X46" i="39" s="1"/>
  <c r="U46" i="39"/>
  <c r="V46" i="39" s="1"/>
  <c r="R46" i="39"/>
  <c r="P46" i="39"/>
  <c r="O46" i="39"/>
  <c r="N46" i="39"/>
  <c r="M46" i="39"/>
  <c r="L46" i="39"/>
  <c r="X45" i="39"/>
  <c r="W45" i="39"/>
  <c r="U45" i="39"/>
  <c r="T45" i="39"/>
  <c r="S45" i="39"/>
  <c r="R45" i="39"/>
  <c r="P45" i="39"/>
  <c r="O45" i="39"/>
  <c r="N45" i="39"/>
  <c r="M45" i="39"/>
  <c r="L45" i="39"/>
  <c r="W44" i="39"/>
  <c r="X44" i="39" s="1"/>
  <c r="V44" i="39"/>
  <c r="U44" i="39"/>
  <c r="S44" i="39"/>
  <c r="R44" i="39"/>
  <c r="Z44" i="39" s="1"/>
  <c r="P44" i="39"/>
  <c r="O44" i="39"/>
  <c r="N44" i="39"/>
  <c r="M44" i="39"/>
  <c r="Q44" i="39" s="1"/>
  <c r="L44" i="39"/>
  <c r="AD43" i="39"/>
  <c r="X43" i="39"/>
  <c r="W43" i="39"/>
  <c r="U43" i="39"/>
  <c r="R43" i="39"/>
  <c r="P43" i="39"/>
  <c r="O43" i="39"/>
  <c r="N43" i="39"/>
  <c r="M43" i="39"/>
  <c r="L43" i="39"/>
  <c r="K40" i="39"/>
  <c r="J40" i="39"/>
  <c r="I40" i="39"/>
  <c r="AD8" i="39" s="1"/>
  <c r="H40" i="39"/>
  <c r="G40" i="39"/>
  <c r="F40" i="39"/>
  <c r="E40" i="39"/>
  <c r="C40" i="39"/>
  <c r="C3" i="40" s="1"/>
  <c r="AA39" i="39"/>
  <c r="M39" i="39"/>
  <c r="Q39" i="39" s="1"/>
  <c r="L39" i="39"/>
  <c r="AB39" i="39" s="1"/>
  <c r="D39" i="39"/>
  <c r="D40" i="39" s="1"/>
  <c r="AB38" i="39"/>
  <c r="Q38" i="39"/>
  <c r="L38" i="39"/>
  <c r="Z37" i="39"/>
  <c r="X37" i="39"/>
  <c r="W37" i="39"/>
  <c r="V37" i="39"/>
  <c r="U37" i="39"/>
  <c r="S37" i="39"/>
  <c r="T37" i="39" s="1"/>
  <c r="R37" i="39"/>
  <c r="P37" i="39"/>
  <c r="O37" i="39"/>
  <c r="N37" i="39"/>
  <c r="M37" i="39"/>
  <c r="Q37" i="39" s="1"/>
  <c r="L37" i="39"/>
  <c r="W36" i="39"/>
  <c r="X36" i="39" s="1"/>
  <c r="U36" i="39"/>
  <c r="V36" i="39" s="1"/>
  <c r="S36" i="39"/>
  <c r="R36" i="39"/>
  <c r="P36" i="39"/>
  <c r="O36" i="39"/>
  <c r="N36" i="39"/>
  <c r="M36" i="39"/>
  <c r="L36" i="39"/>
  <c r="Z35" i="39"/>
  <c r="X35" i="39"/>
  <c r="W35" i="39"/>
  <c r="V35" i="39"/>
  <c r="U35" i="39"/>
  <c r="T35" i="39"/>
  <c r="S35" i="39"/>
  <c r="R35" i="39"/>
  <c r="P35" i="39"/>
  <c r="O35" i="39"/>
  <c r="Q35" i="39" s="1"/>
  <c r="N35" i="39"/>
  <c r="M35" i="39"/>
  <c r="L35" i="39"/>
  <c r="W34" i="39"/>
  <c r="X34" i="39" s="1"/>
  <c r="U34" i="39"/>
  <c r="V34" i="39" s="1"/>
  <c r="R34" i="39"/>
  <c r="P34" i="39"/>
  <c r="O34" i="39"/>
  <c r="N34" i="39"/>
  <c r="M34" i="39"/>
  <c r="L34" i="39"/>
  <c r="W33" i="39"/>
  <c r="X33" i="39" s="1"/>
  <c r="V33" i="39"/>
  <c r="U33" i="39"/>
  <c r="R33" i="39"/>
  <c r="Q33" i="39"/>
  <c r="P33" i="39"/>
  <c r="O33" i="39"/>
  <c r="N33" i="39"/>
  <c r="M33" i="39"/>
  <c r="L33" i="39"/>
  <c r="X32" i="39"/>
  <c r="W32" i="39"/>
  <c r="U32" i="39"/>
  <c r="V32" i="39" s="1"/>
  <c r="R32" i="39"/>
  <c r="Q32" i="39"/>
  <c r="P32" i="39"/>
  <c r="O32" i="39"/>
  <c r="N32" i="39"/>
  <c r="M32" i="39"/>
  <c r="L32" i="39"/>
  <c r="W31" i="39"/>
  <c r="X31" i="39" s="1"/>
  <c r="U31" i="39"/>
  <c r="V31" i="39" s="1"/>
  <c r="R31" i="39"/>
  <c r="Q31" i="39"/>
  <c r="P31" i="39"/>
  <c r="O31" i="39"/>
  <c r="N31" i="39"/>
  <c r="M31" i="39"/>
  <c r="L31" i="39"/>
  <c r="X30" i="39"/>
  <c r="W30" i="39"/>
  <c r="U30" i="39"/>
  <c r="V30" i="39" s="1"/>
  <c r="R30" i="39"/>
  <c r="Q30" i="39"/>
  <c r="P30" i="39"/>
  <c r="O30" i="39"/>
  <c r="N30" i="39"/>
  <c r="M30" i="39"/>
  <c r="L30" i="39"/>
  <c r="W29" i="39"/>
  <c r="X29" i="39" s="1"/>
  <c r="U29" i="39"/>
  <c r="V29" i="39" s="1"/>
  <c r="S29" i="39"/>
  <c r="R29" i="39"/>
  <c r="P29" i="39"/>
  <c r="O29" i="39"/>
  <c r="N29" i="39"/>
  <c r="M29" i="39"/>
  <c r="Q29" i="39" s="1"/>
  <c r="L29" i="39"/>
  <c r="W28" i="39"/>
  <c r="X28" i="39" s="1"/>
  <c r="V28" i="39"/>
  <c r="U28" i="39"/>
  <c r="S28" i="39"/>
  <c r="R28" i="39"/>
  <c r="P28" i="39"/>
  <c r="O28" i="39"/>
  <c r="N28" i="39"/>
  <c r="M28" i="39"/>
  <c r="Q28" i="39" s="1"/>
  <c r="L28" i="39"/>
  <c r="X27" i="39"/>
  <c r="W27" i="39"/>
  <c r="U27" i="39"/>
  <c r="S27" i="39"/>
  <c r="R27" i="39"/>
  <c r="T27" i="39" s="1"/>
  <c r="P27" i="39"/>
  <c r="O27" i="39"/>
  <c r="N27" i="39"/>
  <c r="M27" i="39"/>
  <c r="L27" i="39"/>
  <c r="X26" i="39"/>
  <c r="W26" i="39"/>
  <c r="U26" i="39"/>
  <c r="V26" i="39" s="1"/>
  <c r="R26" i="39"/>
  <c r="P26" i="39"/>
  <c r="O26" i="39"/>
  <c r="N26" i="39"/>
  <c r="Q26" i="39" s="1"/>
  <c r="M26" i="39"/>
  <c r="L26" i="39"/>
  <c r="X25" i="39"/>
  <c r="W25" i="39"/>
  <c r="U25" i="39"/>
  <c r="V25" i="39" s="1"/>
  <c r="S25" i="39"/>
  <c r="R25" i="39"/>
  <c r="Q25" i="39"/>
  <c r="P25" i="39"/>
  <c r="O25" i="39"/>
  <c r="N25" i="39"/>
  <c r="M25" i="39"/>
  <c r="L25" i="39"/>
  <c r="W24" i="39"/>
  <c r="X24" i="39" s="1"/>
  <c r="U24" i="39"/>
  <c r="V24" i="39" s="1"/>
  <c r="T24" i="39"/>
  <c r="S24" i="39"/>
  <c r="R24" i="39"/>
  <c r="Z24" i="39" s="1"/>
  <c r="P24" i="39"/>
  <c r="O24" i="39"/>
  <c r="N24" i="39"/>
  <c r="M24" i="39"/>
  <c r="L24" i="39"/>
  <c r="W23" i="39"/>
  <c r="X23" i="39" s="1"/>
  <c r="V23" i="39"/>
  <c r="U23" i="39"/>
  <c r="R23" i="39"/>
  <c r="P23" i="39"/>
  <c r="O23" i="39"/>
  <c r="N23" i="39"/>
  <c r="Q23" i="39" s="1"/>
  <c r="M23" i="39"/>
  <c r="L23" i="39"/>
  <c r="W22" i="39"/>
  <c r="V22" i="39"/>
  <c r="U22" i="39"/>
  <c r="T22" i="39"/>
  <c r="S22" i="39"/>
  <c r="R22" i="39"/>
  <c r="P22" i="39"/>
  <c r="O22" i="39"/>
  <c r="Q22" i="39" s="1"/>
  <c r="N22" i="39"/>
  <c r="M22" i="39"/>
  <c r="L22" i="39"/>
  <c r="W21" i="39"/>
  <c r="X21" i="39" s="1"/>
  <c r="V21" i="39"/>
  <c r="U21" i="39"/>
  <c r="R21" i="39"/>
  <c r="Q21" i="39"/>
  <c r="P21" i="39"/>
  <c r="O21" i="39"/>
  <c r="N21" i="39"/>
  <c r="M21" i="39"/>
  <c r="L21" i="39"/>
  <c r="W20" i="39"/>
  <c r="X20" i="39" s="1"/>
  <c r="V20" i="39"/>
  <c r="U20" i="39"/>
  <c r="S20" i="39"/>
  <c r="R20" i="39"/>
  <c r="P20" i="39"/>
  <c r="O20" i="39"/>
  <c r="N20" i="39"/>
  <c r="M20" i="39"/>
  <c r="Q20" i="39" s="1"/>
  <c r="L20" i="39"/>
  <c r="X19" i="39"/>
  <c r="W19" i="39"/>
  <c r="V19" i="39"/>
  <c r="U19" i="39"/>
  <c r="R19" i="39"/>
  <c r="Q19" i="39"/>
  <c r="P19" i="39"/>
  <c r="O19" i="39"/>
  <c r="N19" i="39"/>
  <c r="M19" i="39"/>
  <c r="L19" i="39"/>
  <c r="X18" i="39"/>
  <c r="W18" i="39"/>
  <c r="U18" i="39"/>
  <c r="V18" i="39" s="1"/>
  <c r="S18" i="39"/>
  <c r="R18" i="39"/>
  <c r="P18" i="39"/>
  <c r="O18" i="39"/>
  <c r="N18" i="39"/>
  <c r="M18" i="39"/>
  <c r="L18" i="39"/>
  <c r="W17" i="39"/>
  <c r="X17" i="39" s="1"/>
  <c r="V17" i="39"/>
  <c r="U17" i="39"/>
  <c r="R17" i="39"/>
  <c r="P17" i="39"/>
  <c r="O17" i="39"/>
  <c r="N17" i="39"/>
  <c r="M17" i="39"/>
  <c r="L17" i="39"/>
  <c r="X16" i="39"/>
  <c r="W16" i="39"/>
  <c r="U16" i="39"/>
  <c r="T16" i="39"/>
  <c r="R16" i="39"/>
  <c r="S16" i="39" s="1"/>
  <c r="P16" i="39"/>
  <c r="O16" i="39"/>
  <c r="N16" i="39"/>
  <c r="M16" i="39"/>
  <c r="Q16" i="39" s="1"/>
  <c r="L16" i="39"/>
  <c r="Z15" i="39"/>
  <c r="W15" i="39"/>
  <c r="X15" i="39" s="1"/>
  <c r="V15" i="39"/>
  <c r="U15" i="39"/>
  <c r="T15" i="39"/>
  <c r="S15" i="39"/>
  <c r="R15" i="39"/>
  <c r="P15" i="39"/>
  <c r="O15" i="39"/>
  <c r="N15" i="39"/>
  <c r="M15" i="39"/>
  <c r="L15" i="39"/>
  <c r="X14" i="39"/>
  <c r="W14" i="39"/>
  <c r="V14" i="39"/>
  <c r="U14" i="39"/>
  <c r="R14" i="39"/>
  <c r="Q14" i="39"/>
  <c r="P14" i="39"/>
  <c r="O14" i="39"/>
  <c r="N14" i="39"/>
  <c r="M14" i="39"/>
  <c r="L14" i="39"/>
  <c r="X13" i="39"/>
  <c r="W13" i="39"/>
  <c r="U13" i="39"/>
  <c r="V13" i="39" s="1"/>
  <c r="S13" i="39"/>
  <c r="R13" i="39"/>
  <c r="Z13" i="39" s="1"/>
  <c r="P13" i="39"/>
  <c r="O13" i="39"/>
  <c r="N13" i="39"/>
  <c r="M13" i="39"/>
  <c r="L13" i="39"/>
  <c r="L40" i="39" s="1"/>
  <c r="X12" i="39"/>
  <c r="W12" i="39"/>
  <c r="V12" i="39"/>
  <c r="U12" i="39"/>
  <c r="S12" i="39"/>
  <c r="R12" i="39"/>
  <c r="P12" i="39"/>
  <c r="O12" i="39"/>
  <c r="Q12" i="39" s="1"/>
  <c r="N12" i="39"/>
  <c r="M12" i="39"/>
  <c r="L12" i="39"/>
  <c r="X11" i="39"/>
  <c r="W11" i="39"/>
  <c r="V11" i="39"/>
  <c r="U11" i="39"/>
  <c r="S11" i="39"/>
  <c r="R11" i="39"/>
  <c r="P11" i="39"/>
  <c r="O11" i="39"/>
  <c r="N11" i="39"/>
  <c r="M11" i="39"/>
  <c r="L11" i="39"/>
  <c r="X10" i="39"/>
  <c r="W10" i="39"/>
  <c r="V10" i="39"/>
  <c r="U10" i="39"/>
  <c r="R10" i="39"/>
  <c r="Q10" i="39"/>
  <c r="P10" i="39"/>
  <c r="O10" i="39"/>
  <c r="N10" i="39"/>
  <c r="M10" i="39"/>
  <c r="L10" i="39"/>
  <c r="W9" i="39"/>
  <c r="X9" i="39" s="1"/>
  <c r="U9" i="39"/>
  <c r="V9" i="39" s="1"/>
  <c r="R9" i="39"/>
  <c r="P9" i="39"/>
  <c r="O9" i="39"/>
  <c r="N9" i="39"/>
  <c r="M9" i="39"/>
  <c r="L9" i="39"/>
  <c r="X8" i="39"/>
  <c r="W8" i="39"/>
  <c r="U8" i="39"/>
  <c r="S8" i="39"/>
  <c r="R8" i="39"/>
  <c r="T8" i="39" s="1"/>
  <c r="Q8" i="39"/>
  <c r="P8" i="39"/>
  <c r="O8" i="39"/>
  <c r="N8" i="39"/>
  <c r="M8" i="39"/>
  <c r="L8" i="39"/>
  <c r="X7" i="39"/>
  <c r="W7" i="39"/>
  <c r="V7" i="39"/>
  <c r="U7" i="39"/>
  <c r="R7" i="39"/>
  <c r="Q7" i="39"/>
  <c r="P7" i="39"/>
  <c r="O7" i="39"/>
  <c r="N7" i="39"/>
  <c r="M7" i="39"/>
  <c r="L7" i="39"/>
  <c r="W6" i="39"/>
  <c r="X6" i="39" s="1"/>
  <c r="U6" i="39"/>
  <c r="V6" i="39" s="1"/>
  <c r="R6" i="39"/>
  <c r="P6" i="39"/>
  <c r="O6" i="39"/>
  <c r="N6" i="39"/>
  <c r="M6" i="39"/>
  <c r="L6" i="39"/>
  <c r="W5" i="39"/>
  <c r="X5" i="39" s="1"/>
  <c r="U5" i="39"/>
  <c r="V5" i="39" s="1"/>
  <c r="S5" i="39"/>
  <c r="R5" i="39"/>
  <c r="P5" i="39"/>
  <c r="O5" i="39"/>
  <c r="N5" i="39"/>
  <c r="Q5" i="39" s="1"/>
  <c r="M5" i="39"/>
  <c r="L5" i="39"/>
  <c r="W4" i="39"/>
  <c r="X4" i="39" s="1"/>
  <c r="V4" i="39"/>
  <c r="U4" i="39"/>
  <c r="R4" i="39"/>
  <c r="P4" i="39"/>
  <c r="O4" i="39"/>
  <c r="N4" i="39"/>
  <c r="M4" i="39"/>
  <c r="L4" i="39"/>
  <c r="AD3" i="39"/>
  <c r="W3" i="39"/>
  <c r="V3" i="39"/>
  <c r="U3" i="39"/>
  <c r="R3" i="39"/>
  <c r="P3" i="39"/>
  <c r="O3" i="39"/>
  <c r="N3" i="39"/>
  <c r="M3" i="39"/>
  <c r="L3" i="39"/>
  <c r="M378" i="38"/>
  <c r="V351" i="38" s="1"/>
  <c r="L378" i="38"/>
  <c r="V352" i="38" s="1"/>
  <c r="K378" i="38"/>
  <c r="V350" i="38" s="1"/>
  <c r="J378" i="38"/>
  <c r="I378" i="38"/>
  <c r="H378" i="38"/>
  <c r="G378" i="38"/>
  <c r="S351" i="38" s="1"/>
  <c r="F378" i="38"/>
  <c r="S350" i="38" s="1"/>
  <c r="D378" i="38"/>
  <c r="S353" i="38"/>
  <c r="P350" i="38"/>
  <c r="M348" i="38"/>
  <c r="L348" i="38"/>
  <c r="K348" i="38"/>
  <c r="V320" i="38" s="1"/>
  <c r="J348" i="38"/>
  <c r="I348" i="38"/>
  <c r="S323" i="38" s="1"/>
  <c r="H348" i="38"/>
  <c r="G348" i="38"/>
  <c r="F348" i="38"/>
  <c r="S320" i="38" s="1"/>
  <c r="D348" i="38"/>
  <c r="V322" i="38"/>
  <c r="V321" i="38"/>
  <c r="S321" i="38"/>
  <c r="M318" i="38"/>
  <c r="V291" i="38" s="1"/>
  <c r="L318" i="38"/>
  <c r="V292" i="38" s="1"/>
  <c r="K318" i="38"/>
  <c r="J318" i="38"/>
  <c r="I318" i="38"/>
  <c r="S293" i="38" s="1"/>
  <c r="H318" i="38"/>
  <c r="G318" i="38"/>
  <c r="S291" i="38" s="1"/>
  <c r="F318" i="38"/>
  <c r="S290" i="38" s="1"/>
  <c r="P320" i="38" s="1"/>
  <c r="D318" i="38"/>
  <c r="V290" i="38"/>
  <c r="M288" i="38"/>
  <c r="V261" i="38" s="1"/>
  <c r="L288" i="38"/>
  <c r="V262" i="38" s="1"/>
  <c r="K288" i="38"/>
  <c r="J288" i="38"/>
  <c r="I288" i="38"/>
  <c r="S263" i="38" s="1"/>
  <c r="H288" i="38"/>
  <c r="G288" i="38"/>
  <c r="F288" i="38"/>
  <c r="D288" i="38"/>
  <c r="S261" i="38"/>
  <c r="V260" i="38"/>
  <c r="S260" i="38"/>
  <c r="P290" i="38" s="1"/>
  <c r="M258" i="38"/>
  <c r="L258" i="38"/>
  <c r="K258" i="38"/>
  <c r="J258" i="38"/>
  <c r="I258" i="38"/>
  <c r="S233" i="38" s="1"/>
  <c r="H258" i="38"/>
  <c r="G258" i="38"/>
  <c r="S231" i="38" s="1"/>
  <c r="X6" i="40" s="1"/>
  <c r="D38" i="40" s="1"/>
  <c r="F258" i="38"/>
  <c r="S230" i="38" s="1"/>
  <c r="D258" i="38"/>
  <c r="V232" i="38"/>
  <c r="S232" i="38"/>
  <c r="V231" i="38"/>
  <c r="V230" i="38"/>
  <c r="M228" i="38"/>
  <c r="L228" i="38"/>
  <c r="V202" i="38" s="1"/>
  <c r="K228" i="38"/>
  <c r="J228" i="38"/>
  <c r="I228" i="38"/>
  <c r="S203" i="38" s="1"/>
  <c r="H228" i="38"/>
  <c r="G228" i="38"/>
  <c r="S201" i="38" s="1"/>
  <c r="F228" i="38"/>
  <c r="S200" i="38" s="1"/>
  <c r="P230" i="38" s="1"/>
  <c r="D228" i="38"/>
  <c r="V201" i="38"/>
  <c r="V200" i="38"/>
  <c r="P200" i="38"/>
  <c r="M198" i="38"/>
  <c r="L198" i="38"/>
  <c r="V172" i="38" s="1"/>
  <c r="K198" i="38"/>
  <c r="V170" i="38" s="1"/>
  <c r="J198" i="38"/>
  <c r="I198" i="38"/>
  <c r="S173" i="38" s="1"/>
  <c r="H198" i="38"/>
  <c r="G198" i="38"/>
  <c r="F198" i="38"/>
  <c r="D198" i="38"/>
  <c r="V171" i="38"/>
  <c r="S171" i="38"/>
  <c r="S170" i="38"/>
  <c r="M168" i="38"/>
  <c r="V141" i="38" s="1"/>
  <c r="L168" i="38"/>
  <c r="V142" i="38" s="1"/>
  <c r="K168" i="38"/>
  <c r="V140" i="38" s="1"/>
  <c r="J168" i="38"/>
  <c r="I168" i="38"/>
  <c r="S143" i="38" s="1"/>
  <c r="H168" i="38"/>
  <c r="G168" i="38"/>
  <c r="F168" i="38"/>
  <c r="D168" i="38"/>
  <c r="S141" i="38"/>
  <c r="S140" i="38"/>
  <c r="P170" i="38" s="1"/>
  <c r="P140" i="38"/>
  <c r="M138" i="38"/>
  <c r="V111" i="38" s="1"/>
  <c r="L138" i="38"/>
  <c r="K138" i="38"/>
  <c r="V110" i="38" s="1"/>
  <c r="J138" i="38"/>
  <c r="I138" i="38"/>
  <c r="H138" i="38"/>
  <c r="G138" i="38"/>
  <c r="F138" i="38"/>
  <c r="S110" i="38" s="1"/>
  <c r="U5" i="40" s="1"/>
  <c r="C35" i="40" s="1"/>
  <c r="D138" i="38"/>
  <c r="S113" i="38"/>
  <c r="V112" i="38"/>
  <c r="S111" i="38"/>
  <c r="U6" i="40" s="1"/>
  <c r="D35" i="40" s="1"/>
  <c r="M108" i="38"/>
  <c r="L108" i="38"/>
  <c r="K108" i="38"/>
  <c r="V78" i="38" s="1"/>
  <c r="J108" i="38"/>
  <c r="I108" i="38"/>
  <c r="H108" i="38"/>
  <c r="G108" i="38"/>
  <c r="S79" i="38" s="1"/>
  <c r="T6" i="40" s="1"/>
  <c r="D34" i="40" s="1"/>
  <c r="F108" i="38"/>
  <c r="D108" i="38"/>
  <c r="S81" i="38"/>
  <c r="V80" i="38"/>
  <c r="V79" i="38"/>
  <c r="S78" i="38"/>
  <c r="T5" i="40" s="1"/>
  <c r="C34" i="40" s="1"/>
  <c r="M76" i="38"/>
  <c r="V41" i="38" s="1"/>
  <c r="L76" i="38"/>
  <c r="V42" i="38" s="1"/>
  <c r="K76" i="38"/>
  <c r="J76" i="38"/>
  <c r="I76" i="38"/>
  <c r="S43" i="38" s="1"/>
  <c r="H76" i="38"/>
  <c r="G76" i="38"/>
  <c r="S41" i="38" s="1"/>
  <c r="S6" i="40" s="1"/>
  <c r="D33" i="40" s="1"/>
  <c r="F76" i="38"/>
  <c r="D76" i="38"/>
  <c r="V40" i="38"/>
  <c r="S40" i="38"/>
  <c r="S5" i="40" s="1"/>
  <c r="C33" i="40" s="1"/>
  <c r="M38" i="38"/>
  <c r="L38" i="38"/>
  <c r="K38" i="38"/>
  <c r="V2" i="38" s="1"/>
  <c r="J38" i="38"/>
  <c r="I38" i="38"/>
  <c r="S5" i="38" s="1"/>
  <c r="H38" i="38"/>
  <c r="G38" i="38"/>
  <c r="S3" i="38" s="1"/>
  <c r="F38" i="38"/>
  <c r="D38" i="38"/>
  <c r="V4" i="38"/>
  <c r="V3" i="38"/>
  <c r="S2" i="38"/>
  <c r="R5" i="40" s="1"/>
  <c r="C32" i="40" s="1"/>
  <c r="G60" i="36"/>
  <c r="G59" i="36"/>
  <c r="G58" i="36"/>
  <c r="G57" i="36"/>
  <c r="G56" i="36"/>
  <c r="G55" i="36"/>
  <c r="G54" i="36"/>
  <c r="G53" i="36"/>
  <c r="G52" i="36"/>
  <c r="G51" i="36"/>
  <c r="G50" i="36"/>
  <c r="G49" i="36"/>
  <c r="H43" i="36"/>
  <c r="H42" i="36"/>
  <c r="C42" i="36"/>
  <c r="H41" i="36"/>
  <c r="H40" i="36"/>
  <c r="H39" i="36"/>
  <c r="H38" i="36"/>
  <c r="H37" i="36"/>
  <c r="H36" i="36"/>
  <c r="H35" i="36"/>
  <c r="H34" i="36"/>
  <c r="D34" i="36"/>
  <c r="H33" i="36"/>
  <c r="H32" i="36"/>
  <c r="Z9" i="36"/>
  <c r="Z8" i="36"/>
  <c r="D57" i="36" s="1"/>
  <c r="Z6" i="36"/>
  <c r="D40" i="36" s="1"/>
  <c r="Y6" i="36"/>
  <c r="D39" i="36" s="1"/>
  <c r="X6" i="36"/>
  <c r="D38" i="36" s="1"/>
  <c r="W6" i="36"/>
  <c r="D37" i="36" s="1"/>
  <c r="V6" i="36"/>
  <c r="D36" i="36" s="1"/>
  <c r="D6" i="36"/>
  <c r="U5" i="36"/>
  <c r="C35" i="36" s="1"/>
  <c r="T5" i="36"/>
  <c r="C34" i="36" s="1"/>
  <c r="K5" i="36"/>
  <c r="C5" i="36"/>
  <c r="X4" i="36"/>
  <c r="I4" i="36"/>
  <c r="E4" i="36"/>
  <c r="R3" i="36"/>
  <c r="M3" i="36"/>
  <c r="O132" i="35"/>
  <c r="M132" i="35"/>
  <c r="AA129" i="35" s="1"/>
  <c r="N8" i="36" s="1"/>
  <c r="H132" i="35"/>
  <c r="G132" i="35"/>
  <c r="F132" i="35"/>
  <c r="AA127" i="35" s="1"/>
  <c r="N6" i="36" s="1"/>
  <c r="E132" i="35"/>
  <c r="D132" i="35"/>
  <c r="C132" i="35"/>
  <c r="AA124" i="35" s="1"/>
  <c r="N3" i="36" s="1"/>
  <c r="N131" i="35"/>
  <c r="I131" i="35"/>
  <c r="Y131" i="35" s="1"/>
  <c r="N130" i="35"/>
  <c r="I130" i="35"/>
  <c r="Y130" i="35" s="1"/>
  <c r="U129" i="35"/>
  <c r="T129" i="35"/>
  <c r="R129" i="35"/>
  <c r="S129" i="35" s="1"/>
  <c r="P129" i="35"/>
  <c r="W129" i="35" s="1"/>
  <c r="O129" i="35"/>
  <c r="M129" i="35"/>
  <c r="L129" i="35"/>
  <c r="K129" i="35"/>
  <c r="J129" i="35"/>
  <c r="N129" i="35" s="1"/>
  <c r="I129" i="35"/>
  <c r="T128" i="35"/>
  <c r="U128" i="35" s="1"/>
  <c r="R128" i="35"/>
  <c r="S128" i="35" s="1"/>
  <c r="P128" i="35"/>
  <c r="W128" i="35" s="1"/>
  <c r="O128" i="35"/>
  <c r="M128" i="35"/>
  <c r="L128" i="35"/>
  <c r="K128" i="35"/>
  <c r="J128" i="35"/>
  <c r="I128" i="35"/>
  <c r="T127" i="35"/>
  <c r="U127" i="35" s="1"/>
  <c r="S127" i="35"/>
  <c r="R127" i="35"/>
  <c r="O127" i="35"/>
  <c r="M127" i="35"/>
  <c r="L127" i="35"/>
  <c r="K127" i="35"/>
  <c r="N127" i="35" s="1"/>
  <c r="J127" i="35"/>
  <c r="I127" i="35"/>
  <c r="AA126" i="35"/>
  <c r="U126" i="35"/>
  <c r="T126" i="35"/>
  <c r="R126" i="35"/>
  <c r="S126" i="35" s="1"/>
  <c r="O126" i="35"/>
  <c r="P126" i="35" s="1"/>
  <c r="M126" i="35"/>
  <c r="L126" i="35"/>
  <c r="K126" i="35"/>
  <c r="J126" i="35"/>
  <c r="N126" i="35" s="1"/>
  <c r="I126" i="35"/>
  <c r="AA125" i="35"/>
  <c r="N4" i="36" s="1"/>
  <c r="T125" i="35"/>
  <c r="U125" i="35" s="1"/>
  <c r="R125" i="35"/>
  <c r="S125" i="35" s="1"/>
  <c r="O125" i="35"/>
  <c r="M125" i="35"/>
  <c r="L125" i="35"/>
  <c r="K125" i="35"/>
  <c r="N125" i="35" s="1"/>
  <c r="J125" i="35"/>
  <c r="I125" i="35"/>
  <c r="T124" i="35"/>
  <c r="R124" i="35"/>
  <c r="O124" i="35"/>
  <c r="M124" i="35"/>
  <c r="L124" i="35"/>
  <c r="K124" i="35"/>
  <c r="J124" i="35"/>
  <c r="I124" i="35"/>
  <c r="R121" i="35"/>
  <c r="H121" i="35"/>
  <c r="G121" i="35"/>
  <c r="AA116" i="35" s="1"/>
  <c r="M6" i="36" s="1"/>
  <c r="F121" i="35"/>
  <c r="E121" i="35"/>
  <c r="AA115" i="35" s="1"/>
  <c r="M5" i="36" s="1"/>
  <c r="D121" i="35"/>
  <c r="C121" i="35"/>
  <c r="N120" i="35"/>
  <c r="I120" i="35"/>
  <c r="Y120" i="35" s="1"/>
  <c r="N119" i="35"/>
  <c r="I119" i="35"/>
  <c r="Y119" i="35" s="1"/>
  <c r="T118" i="35"/>
  <c r="U118" i="35" s="1"/>
  <c r="R118" i="35"/>
  <c r="S118" i="35" s="1"/>
  <c r="S121" i="35" s="1"/>
  <c r="P118" i="35"/>
  <c r="O118" i="35"/>
  <c r="M118" i="35"/>
  <c r="L118" i="35"/>
  <c r="K118" i="35"/>
  <c r="J118" i="35"/>
  <c r="N118" i="35" s="1"/>
  <c r="I118" i="35"/>
  <c r="T117" i="35"/>
  <c r="U117" i="35" s="1"/>
  <c r="U121" i="35" s="1"/>
  <c r="S117" i="35"/>
  <c r="R117" i="35"/>
  <c r="O117" i="35"/>
  <c r="P117" i="35" s="1"/>
  <c r="M117" i="35"/>
  <c r="L117" i="35"/>
  <c r="K117" i="35"/>
  <c r="J117" i="35"/>
  <c r="I117" i="35"/>
  <c r="U116" i="35"/>
  <c r="T116" i="35"/>
  <c r="R116" i="35"/>
  <c r="S116" i="35" s="1"/>
  <c r="P116" i="35"/>
  <c r="Q116" i="35" s="1"/>
  <c r="O116" i="35"/>
  <c r="M116" i="35"/>
  <c r="V116" i="35" s="1"/>
  <c r="L116" i="35"/>
  <c r="K116" i="35"/>
  <c r="J116" i="35"/>
  <c r="I116" i="35"/>
  <c r="T115" i="35"/>
  <c r="U115" i="35" s="1"/>
  <c r="R115" i="35"/>
  <c r="S115" i="35" s="1"/>
  <c r="O115" i="35"/>
  <c r="P115" i="35" s="1"/>
  <c r="M115" i="35"/>
  <c r="L115" i="35"/>
  <c r="K115" i="35"/>
  <c r="J115" i="35"/>
  <c r="N115" i="35" s="1"/>
  <c r="I115" i="35"/>
  <c r="AA114" i="35"/>
  <c r="M4" i="36" s="1"/>
  <c r="U114" i="35"/>
  <c r="T114" i="35"/>
  <c r="R114" i="35"/>
  <c r="S114" i="35" s="1"/>
  <c r="O114" i="35"/>
  <c r="M114" i="35"/>
  <c r="L114" i="35"/>
  <c r="K114" i="35"/>
  <c r="J114" i="35"/>
  <c r="N114" i="35" s="1"/>
  <c r="I114" i="35"/>
  <c r="AA113" i="35"/>
  <c r="U113" i="35"/>
  <c r="T113" i="35"/>
  <c r="R113" i="35"/>
  <c r="S113" i="35" s="1"/>
  <c r="O113" i="35"/>
  <c r="M113" i="35"/>
  <c r="L113" i="35"/>
  <c r="K113" i="35"/>
  <c r="J113" i="35"/>
  <c r="I113" i="35"/>
  <c r="H110" i="35"/>
  <c r="G110" i="35"/>
  <c r="AA105" i="35" s="1"/>
  <c r="L6" i="36" s="1"/>
  <c r="F110" i="35"/>
  <c r="E110" i="35"/>
  <c r="AA104" i="35" s="1"/>
  <c r="L5" i="36" s="1"/>
  <c r="D110" i="35"/>
  <c r="AA103" i="35" s="1"/>
  <c r="L4" i="36" s="1"/>
  <c r="C110" i="35"/>
  <c r="AA102" i="35" s="1"/>
  <c r="N109" i="35"/>
  <c r="I109" i="35"/>
  <c r="Y109" i="35" s="1"/>
  <c r="N108" i="35"/>
  <c r="Y108" i="35" s="1"/>
  <c r="I108" i="35"/>
  <c r="U107" i="35"/>
  <c r="T107" i="35"/>
  <c r="R107" i="35"/>
  <c r="S107" i="35" s="1"/>
  <c r="O107" i="35"/>
  <c r="P107" i="35" s="1"/>
  <c r="M107" i="35"/>
  <c r="L107" i="35"/>
  <c r="K107" i="35"/>
  <c r="J107" i="35"/>
  <c r="N107" i="35" s="1"/>
  <c r="I107" i="35"/>
  <c r="T106" i="35"/>
  <c r="U106" i="35" s="1"/>
  <c r="R106" i="35"/>
  <c r="S106" i="35" s="1"/>
  <c r="O106" i="35"/>
  <c r="N106" i="35"/>
  <c r="M106" i="35"/>
  <c r="L106" i="35"/>
  <c r="K106" i="35"/>
  <c r="J106" i="35"/>
  <c r="I106" i="35"/>
  <c r="T105" i="35"/>
  <c r="U105" i="35" s="1"/>
  <c r="R105" i="35"/>
  <c r="S105" i="35" s="1"/>
  <c r="O105" i="35"/>
  <c r="M105" i="35"/>
  <c r="L105" i="35"/>
  <c r="K105" i="35"/>
  <c r="J105" i="35"/>
  <c r="N105" i="35" s="1"/>
  <c r="I105" i="35"/>
  <c r="T104" i="35"/>
  <c r="U104" i="35" s="1"/>
  <c r="S104" i="35"/>
  <c r="R104" i="35"/>
  <c r="O104" i="35"/>
  <c r="M104" i="35"/>
  <c r="L104" i="35"/>
  <c r="L110" i="35" s="1"/>
  <c r="K104" i="35"/>
  <c r="J104" i="35"/>
  <c r="I104" i="35"/>
  <c r="T103" i="35"/>
  <c r="U103" i="35" s="1"/>
  <c r="R103" i="35"/>
  <c r="S103" i="35" s="1"/>
  <c r="P103" i="35"/>
  <c r="O103" i="35"/>
  <c r="M103" i="35"/>
  <c r="L103" i="35"/>
  <c r="K103" i="35"/>
  <c r="J103" i="35"/>
  <c r="I103" i="35"/>
  <c r="U102" i="35"/>
  <c r="U110" i="35" s="1"/>
  <c r="T102" i="35"/>
  <c r="T110" i="35" s="1"/>
  <c r="R102" i="35"/>
  <c r="S102" i="35" s="1"/>
  <c r="S110" i="35" s="1"/>
  <c r="O102" i="35"/>
  <c r="M102" i="35"/>
  <c r="L102" i="35"/>
  <c r="K102" i="35"/>
  <c r="K110" i="35" s="1"/>
  <c r="J102" i="35"/>
  <c r="I102" i="35"/>
  <c r="R99" i="35"/>
  <c r="K99" i="35"/>
  <c r="I99" i="35"/>
  <c r="H99" i="35"/>
  <c r="G99" i="35"/>
  <c r="F99" i="35"/>
  <c r="AA94" i="35" s="1"/>
  <c r="K6" i="36" s="1"/>
  <c r="E99" i="35"/>
  <c r="AA93" i="35" s="1"/>
  <c r="D99" i="35"/>
  <c r="AA92" i="35" s="1"/>
  <c r="K4" i="36" s="1"/>
  <c r="C99" i="35"/>
  <c r="N98" i="35"/>
  <c r="I98" i="35"/>
  <c r="Y98" i="35" s="1"/>
  <c r="Y97" i="35"/>
  <c r="N97" i="35"/>
  <c r="I97" i="35"/>
  <c r="T96" i="35"/>
  <c r="W96" i="35" s="1"/>
  <c r="R96" i="35"/>
  <c r="S96" i="35" s="1"/>
  <c r="O96" i="35"/>
  <c r="P96" i="35" s="1"/>
  <c r="Q96" i="35" s="1"/>
  <c r="M96" i="35"/>
  <c r="L96" i="35"/>
  <c r="K96" i="35"/>
  <c r="J96" i="35"/>
  <c r="N96" i="35" s="1"/>
  <c r="I96" i="35"/>
  <c r="T95" i="35"/>
  <c r="U95" i="35" s="1"/>
  <c r="R95" i="35"/>
  <c r="S95" i="35" s="1"/>
  <c r="O95" i="35"/>
  <c r="M95" i="35"/>
  <c r="L95" i="35"/>
  <c r="K95" i="35"/>
  <c r="J95" i="35"/>
  <c r="N95" i="35" s="1"/>
  <c r="I95" i="35"/>
  <c r="W94" i="35"/>
  <c r="U94" i="35"/>
  <c r="T94" i="35"/>
  <c r="R94" i="35"/>
  <c r="S94" i="35" s="1"/>
  <c r="P94" i="35"/>
  <c r="Q94" i="35" s="1"/>
  <c r="O94" i="35"/>
  <c r="M94" i="35"/>
  <c r="L94" i="35"/>
  <c r="L99" i="35" s="1"/>
  <c r="K94" i="35"/>
  <c r="J94" i="35"/>
  <c r="N94" i="35" s="1"/>
  <c r="I94" i="35"/>
  <c r="U93" i="35"/>
  <c r="T93" i="35"/>
  <c r="S93" i="35"/>
  <c r="R93" i="35"/>
  <c r="O93" i="35"/>
  <c r="M93" i="35"/>
  <c r="L93" i="35"/>
  <c r="K93" i="35"/>
  <c r="N93" i="35" s="1"/>
  <c r="J93" i="35"/>
  <c r="I93" i="35"/>
  <c r="T92" i="35"/>
  <c r="U92" i="35" s="1"/>
  <c r="S92" i="35"/>
  <c r="R92" i="35"/>
  <c r="O92" i="35"/>
  <c r="M92" i="35"/>
  <c r="L92" i="35"/>
  <c r="K92" i="35"/>
  <c r="J92" i="35"/>
  <c r="I92" i="35"/>
  <c r="AA91" i="35"/>
  <c r="W91" i="35"/>
  <c r="T91" i="35"/>
  <c r="T99" i="35" s="1"/>
  <c r="S91" i="35"/>
  <c r="R91" i="35"/>
  <c r="P91" i="35"/>
  <c r="O91" i="35"/>
  <c r="M91" i="35"/>
  <c r="M99" i="35" s="1"/>
  <c r="AA96" i="35" s="1"/>
  <c r="K8" i="36" s="1"/>
  <c r="L91" i="35"/>
  <c r="K91" i="35"/>
  <c r="J91" i="35"/>
  <c r="I91" i="35"/>
  <c r="T88" i="35"/>
  <c r="H88" i="35"/>
  <c r="G88" i="35"/>
  <c r="F88" i="35"/>
  <c r="AA83" i="35" s="1"/>
  <c r="J6" i="36" s="1"/>
  <c r="E88" i="35"/>
  <c r="AA82" i="35" s="1"/>
  <c r="J5" i="36" s="1"/>
  <c r="D88" i="35"/>
  <c r="AA81" i="35" s="1"/>
  <c r="J4" i="36" s="1"/>
  <c r="C88" i="35"/>
  <c r="AA80" i="35" s="1"/>
  <c r="N87" i="35"/>
  <c r="I87" i="35"/>
  <c r="Y87" i="35" s="1"/>
  <c r="N86" i="35"/>
  <c r="Y86" i="35" s="1"/>
  <c r="I86" i="35"/>
  <c r="T85" i="35"/>
  <c r="U85" i="35" s="1"/>
  <c r="S85" i="35"/>
  <c r="R85" i="35"/>
  <c r="O85" i="35"/>
  <c r="M85" i="35"/>
  <c r="L85" i="35"/>
  <c r="K85" i="35"/>
  <c r="J85" i="35"/>
  <c r="I85" i="35"/>
  <c r="T84" i="35"/>
  <c r="U84" i="35" s="1"/>
  <c r="S84" i="35"/>
  <c r="R84" i="35"/>
  <c r="P84" i="35"/>
  <c r="O84" i="35"/>
  <c r="M84" i="35"/>
  <c r="L84" i="35"/>
  <c r="K84" i="35"/>
  <c r="N84" i="35" s="1"/>
  <c r="J84" i="35"/>
  <c r="I84" i="35"/>
  <c r="U83" i="35"/>
  <c r="T83" i="35"/>
  <c r="R83" i="35"/>
  <c r="S83" i="35" s="1"/>
  <c r="P83" i="35"/>
  <c r="O83" i="35"/>
  <c r="M83" i="35"/>
  <c r="L83" i="35"/>
  <c r="K83" i="35"/>
  <c r="N83" i="35" s="1"/>
  <c r="J83" i="35"/>
  <c r="I83" i="35"/>
  <c r="U82" i="35"/>
  <c r="T82" i="35"/>
  <c r="S82" i="35"/>
  <c r="R82" i="35"/>
  <c r="O82" i="35"/>
  <c r="M82" i="35"/>
  <c r="L82" i="35"/>
  <c r="K82" i="35"/>
  <c r="J82" i="35"/>
  <c r="I82" i="35"/>
  <c r="U81" i="35"/>
  <c r="T81" i="35"/>
  <c r="R81" i="35"/>
  <c r="R88" i="35" s="1"/>
  <c r="O81" i="35"/>
  <c r="P81" i="35" s="1"/>
  <c r="M81" i="35"/>
  <c r="L81" i="35"/>
  <c r="K81" i="35"/>
  <c r="K88" i="35" s="1"/>
  <c r="J81" i="35"/>
  <c r="I81" i="35"/>
  <c r="U80" i="35"/>
  <c r="T80" i="35"/>
  <c r="R80" i="35"/>
  <c r="S80" i="35" s="1"/>
  <c r="O80" i="35"/>
  <c r="M80" i="35"/>
  <c r="L80" i="35"/>
  <c r="K80" i="35"/>
  <c r="J80" i="35"/>
  <c r="I80" i="35"/>
  <c r="J77" i="35"/>
  <c r="I77" i="35"/>
  <c r="H77" i="35"/>
  <c r="G77" i="35"/>
  <c r="AA72" i="35" s="1"/>
  <c r="I6" i="36" s="1"/>
  <c r="F77" i="35"/>
  <c r="E77" i="35"/>
  <c r="D77" i="35"/>
  <c r="AA70" i="35" s="1"/>
  <c r="C77" i="35"/>
  <c r="Y76" i="35"/>
  <c r="N76" i="35"/>
  <c r="I76" i="35"/>
  <c r="Y75" i="35"/>
  <c r="N75" i="35"/>
  <c r="I75" i="35"/>
  <c r="T74" i="35"/>
  <c r="U74" i="35" s="1"/>
  <c r="S74" i="35"/>
  <c r="R74" i="35"/>
  <c r="O74" i="35"/>
  <c r="M74" i="35"/>
  <c r="L74" i="35"/>
  <c r="K74" i="35"/>
  <c r="N74" i="35" s="1"/>
  <c r="J74" i="35"/>
  <c r="I74" i="35"/>
  <c r="T73" i="35"/>
  <c r="U73" i="35" s="1"/>
  <c r="R73" i="35"/>
  <c r="S73" i="35" s="1"/>
  <c r="P73" i="35"/>
  <c r="O73" i="35"/>
  <c r="M73" i="35"/>
  <c r="L73" i="35"/>
  <c r="K73" i="35"/>
  <c r="J73" i="35"/>
  <c r="I73" i="35"/>
  <c r="T72" i="35"/>
  <c r="U72" i="35" s="1"/>
  <c r="S72" i="35"/>
  <c r="R72" i="35"/>
  <c r="P72" i="35"/>
  <c r="O72" i="35"/>
  <c r="M72" i="35"/>
  <c r="N72" i="35" s="1"/>
  <c r="L72" i="35"/>
  <c r="K72" i="35"/>
  <c r="J72" i="35"/>
  <c r="I72" i="35"/>
  <c r="AA71" i="35"/>
  <c r="I5" i="36" s="1"/>
  <c r="U71" i="35"/>
  <c r="T71" i="35"/>
  <c r="R71" i="35"/>
  <c r="S71" i="35" s="1"/>
  <c r="P71" i="35"/>
  <c r="O71" i="35"/>
  <c r="M71" i="35"/>
  <c r="L71" i="35"/>
  <c r="K71" i="35"/>
  <c r="K77" i="35" s="1"/>
  <c r="J71" i="35"/>
  <c r="N71" i="35" s="1"/>
  <c r="I71" i="35"/>
  <c r="T70" i="35"/>
  <c r="U70" i="35" s="1"/>
  <c r="R70" i="35"/>
  <c r="S70" i="35" s="1"/>
  <c r="O70" i="35"/>
  <c r="M70" i="35"/>
  <c r="L70" i="35"/>
  <c r="K70" i="35"/>
  <c r="J70" i="35"/>
  <c r="I70" i="35"/>
  <c r="AA69" i="35"/>
  <c r="I3" i="36" s="1"/>
  <c r="U69" i="35"/>
  <c r="T69" i="35"/>
  <c r="R69" i="35"/>
  <c r="S69" i="35" s="1"/>
  <c r="O69" i="35"/>
  <c r="M69" i="35"/>
  <c r="L69" i="35"/>
  <c r="L77" i="35" s="1"/>
  <c r="K69" i="35"/>
  <c r="J69" i="35"/>
  <c r="I69" i="35"/>
  <c r="R66" i="35"/>
  <c r="O66" i="35"/>
  <c r="M66" i="35"/>
  <c r="K66" i="35"/>
  <c r="J66" i="35"/>
  <c r="AA62" i="35" s="1"/>
  <c r="H7" i="36" s="1"/>
  <c r="I66" i="35"/>
  <c r="H66" i="35"/>
  <c r="G66" i="35"/>
  <c r="F66" i="35"/>
  <c r="E66" i="35"/>
  <c r="D66" i="35"/>
  <c r="AA59" i="35" s="1"/>
  <c r="H4" i="36" s="1"/>
  <c r="C66" i="35"/>
  <c r="N65" i="35"/>
  <c r="Y65" i="35" s="1"/>
  <c r="I65" i="35"/>
  <c r="N64" i="35"/>
  <c r="I64" i="35"/>
  <c r="Y64" i="35" s="1"/>
  <c r="AA63" i="35"/>
  <c r="H8" i="36" s="1"/>
  <c r="T63" i="35"/>
  <c r="U63" i="35" s="1"/>
  <c r="R63" i="35"/>
  <c r="S63" i="35" s="1"/>
  <c r="O63" i="35"/>
  <c r="M63" i="35"/>
  <c r="L63" i="35"/>
  <c r="K63" i="35"/>
  <c r="J63" i="35"/>
  <c r="I63" i="35"/>
  <c r="U62" i="35"/>
  <c r="T62" i="35"/>
  <c r="S62" i="35"/>
  <c r="R62" i="35"/>
  <c r="O62" i="35"/>
  <c r="M62" i="35"/>
  <c r="L62" i="35"/>
  <c r="N62" i="35" s="1"/>
  <c r="K62" i="35"/>
  <c r="J62" i="35"/>
  <c r="I62" i="35"/>
  <c r="AA61" i="35"/>
  <c r="H6" i="36" s="1"/>
  <c r="T61" i="35"/>
  <c r="U61" i="35" s="1"/>
  <c r="R61" i="35"/>
  <c r="S61" i="35" s="1"/>
  <c r="O61" i="35"/>
  <c r="N61" i="35"/>
  <c r="M61" i="35"/>
  <c r="L61" i="35"/>
  <c r="K61" i="35"/>
  <c r="J61" i="35"/>
  <c r="I61" i="35"/>
  <c r="AA60" i="35"/>
  <c r="H5" i="36" s="1"/>
  <c r="W60" i="35"/>
  <c r="V60" i="35"/>
  <c r="T60" i="35"/>
  <c r="U60" i="35" s="1"/>
  <c r="R60" i="35"/>
  <c r="S60" i="35" s="1"/>
  <c r="O60" i="35"/>
  <c r="P60" i="35" s="1"/>
  <c r="Q60" i="35" s="1"/>
  <c r="M60" i="35"/>
  <c r="L60" i="35"/>
  <c r="K60" i="35"/>
  <c r="J60" i="35"/>
  <c r="I60" i="35"/>
  <c r="U59" i="35"/>
  <c r="T59" i="35"/>
  <c r="S59" i="35"/>
  <c r="R59" i="35"/>
  <c r="O59" i="35"/>
  <c r="M59" i="35"/>
  <c r="L59" i="35"/>
  <c r="K59" i="35"/>
  <c r="J59" i="35"/>
  <c r="N59" i="35" s="1"/>
  <c r="I59" i="35"/>
  <c r="AA58" i="35"/>
  <c r="W58" i="35"/>
  <c r="T58" i="35"/>
  <c r="U58" i="35" s="1"/>
  <c r="R58" i="35"/>
  <c r="S58" i="35" s="1"/>
  <c r="Q58" i="35"/>
  <c r="P58" i="35"/>
  <c r="O58" i="35"/>
  <c r="M58" i="35"/>
  <c r="V58" i="35" s="1"/>
  <c r="L58" i="35"/>
  <c r="L66" i="35" s="1"/>
  <c r="K58" i="35"/>
  <c r="J58" i="35"/>
  <c r="I58" i="35"/>
  <c r="T55" i="35"/>
  <c r="I55" i="35"/>
  <c r="H55" i="35"/>
  <c r="G55" i="35"/>
  <c r="F55" i="35"/>
  <c r="E55" i="35"/>
  <c r="D55" i="35"/>
  <c r="C55" i="35"/>
  <c r="Y54" i="35"/>
  <c r="N54" i="35"/>
  <c r="Y53" i="35"/>
  <c r="N53" i="35"/>
  <c r="U52" i="35"/>
  <c r="T52" i="35"/>
  <c r="S52" i="35"/>
  <c r="R52" i="35"/>
  <c r="O52" i="35"/>
  <c r="N52" i="35"/>
  <c r="M52" i="35"/>
  <c r="L52" i="35"/>
  <c r="K52" i="35"/>
  <c r="J52" i="35"/>
  <c r="U51" i="35"/>
  <c r="T51" i="35"/>
  <c r="S51" i="35"/>
  <c r="R51" i="35"/>
  <c r="O51" i="35"/>
  <c r="M51" i="35"/>
  <c r="L51" i="35"/>
  <c r="K51" i="35"/>
  <c r="N51" i="35" s="1"/>
  <c r="J51" i="35"/>
  <c r="T50" i="35"/>
  <c r="U50" i="35" s="1"/>
  <c r="R50" i="35"/>
  <c r="S50" i="35" s="1"/>
  <c r="O50" i="35"/>
  <c r="M50" i="35"/>
  <c r="L50" i="35"/>
  <c r="K50" i="35"/>
  <c r="J50" i="35"/>
  <c r="AA49" i="35"/>
  <c r="G5" i="36" s="1"/>
  <c r="U49" i="35"/>
  <c r="T49" i="35"/>
  <c r="R49" i="35"/>
  <c r="S49" i="35" s="1"/>
  <c r="P49" i="35"/>
  <c r="W49" i="35" s="1"/>
  <c r="O49" i="35"/>
  <c r="M49" i="35"/>
  <c r="L49" i="35"/>
  <c r="K49" i="35"/>
  <c r="J49" i="35"/>
  <c r="N49" i="35" s="1"/>
  <c r="AA48" i="35"/>
  <c r="G4" i="36" s="1"/>
  <c r="T48" i="35"/>
  <c r="U48" i="35" s="1"/>
  <c r="S48" i="35"/>
  <c r="R48" i="35"/>
  <c r="P48" i="35"/>
  <c r="Q48" i="35" s="1"/>
  <c r="O48" i="35"/>
  <c r="M48" i="35"/>
  <c r="L48" i="35"/>
  <c r="L55" i="35" s="1"/>
  <c r="K48" i="35"/>
  <c r="J48" i="35"/>
  <c r="N48" i="35" s="1"/>
  <c r="AA47" i="35"/>
  <c r="T47" i="35"/>
  <c r="U47" i="35" s="1"/>
  <c r="R47" i="35"/>
  <c r="R55" i="35" s="1"/>
  <c r="O47" i="35"/>
  <c r="M47" i="35"/>
  <c r="L47" i="35"/>
  <c r="K47" i="35"/>
  <c r="J47" i="35"/>
  <c r="N47" i="35" s="1"/>
  <c r="U44" i="35"/>
  <c r="T44" i="35"/>
  <c r="H44" i="35"/>
  <c r="G44" i="35"/>
  <c r="AA39" i="35" s="1"/>
  <c r="F6" i="36" s="1"/>
  <c r="F44" i="35"/>
  <c r="E44" i="35"/>
  <c r="AA38" i="35" s="1"/>
  <c r="F5" i="36" s="1"/>
  <c r="D44" i="35"/>
  <c r="AA37" i="35" s="1"/>
  <c r="F4" i="36" s="1"/>
  <c r="C44" i="35"/>
  <c r="AA36" i="35" s="1"/>
  <c r="J43" i="35"/>
  <c r="N43" i="35" s="1"/>
  <c r="I43" i="35"/>
  <c r="Y43" i="35" s="1"/>
  <c r="D43" i="35"/>
  <c r="J42" i="35"/>
  <c r="N42" i="35" s="1"/>
  <c r="I42" i="35"/>
  <c r="Y42" i="35" s="1"/>
  <c r="T41" i="35"/>
  <c r="U41" i="35" s="1"/>
  <c r="R41" i="35"/>
  <c r="S41" i="35" s="1"/>
  <c r="O41" i="35"/>
  <c r="M41" i="35"/>
  <c r="L41" i="35"/>
  <c r="K41" i="35"/>
  <c r="J41" i="35"/>
  <c r="I41" i="35"/>
  <c r="U40" i="35"/>
  <c r="T40" i="35"/>
  <c r="S40" i="35"/>
  <c r="R40" i="35"/>
  <c r="O40" i="35"/>
  <c r="M40" i="35"/>
  <c r="L40" i="35"/>
  <c r="N40" i="35" s="1"/>
  <c r="K40" i="35"/>
  <c r="J40" i="35"/>
  <c r="I40" i="35"/>
  <c r="T39" i="35"/>
  <c r="U39" i="35" s="1"/>
  <c r="R39" i="35"/>
  <c r="R44" i="35" s="1"/>
  <c r="P39" i="35"/>
  <c r="O39" i="35"/>
  <c r="M39" i="35"/>
  <c r="L39" i="35"/>
  <c r="K39" i="35"/>
  <c r="N39" i="35" s="1"/>
  <c r="J39" i="35"/>
  <c r="I39" i="35"/>
  <c r="T38" i="35"/>
  <c r="U38" i="35" s="1"/>
  <c r="S38" i="35"/>
  <c r="R38" i="35"/>
  <c r="O38" i="35"/>
  <c r="M38" i="35"/>
  <c r="L38" i="35"/>
  <c r="K38" i="35"/>
  <c r="J38" i="35"/>
  <c r="I38" i="35"/>
  <c r="T37" i="35"/>
  <c r="U37" i="35" s="1"/>
  <c r="S37" i="35"/>
  <c r="R37" i="35"/>
  <c r="O37" i="35"/>
  <c r="M37" i="35"/>
  <c r="L37" i="35"/>
  <c r="K37" i="35"/>
  <c r="J37" i="35"/>
  <c r="I37" i="35"/>
  <c r="T36" i="35"/>
  <c r="U36" i="35" s="1"/>
  <c r="R36" i="35"/>
  <c r="S36" i="35" s="1"/>
  <c r="O36" i="35"/>
  <c r="M36" i="35"/>
  <c r="L36" i="35"/>
  <c r="K36" i="35"/>
  <c r="K44" i="35" s="1"/>
  <c r="J36" i="35"/>
  <c r="I36" i="35"/>
  <c r="M33" i="35"/>
  <c r="AA30" i="35" s="1"/>
  <c r="E8" i="36" s="1"/>
  <c r="H33" i="35"/>
  <c r="G33" i="35"/>
  <c r="F33" i="35"/>
  <c r="E33" i="35"/>
  <c r="AA27" i="35" s="1"/>
  <c r="E5" i="36" s="1"/>
  <c r="D33" i="35"/>
  <c r="C33" i="35"/>
  <c r="J32" i="35"/>
  <c r="N32" i="35" s="1"/>
  <c r="Y32" i="35" s="1"/>
  <c r="I32" i="35"/>
  <c r="D32" i="35"/>
  <c r="J31" i="35"/>
  <c r="N31" i="35" s="1"/>
  <c r="I31" i="35"/>
  <c r="Y31" i="35" s="1"/>
  <c r="T30" i="35"/>
  <c r="U30" i="35" s="1"/>
  <c r="S30" i="35"/>
  <c r="R30" i="35"/>
  <c r="O30" i="35"/>
  <c r="M30" i="35"/>
  <c r="L30" i="35"/>
  <c r="K30" i="35"/>
  <c r="J30" i="35"/>
  <c r="N30" i="35" s="1"/>
  <c r="I30" i="35"/>
  <c r="T29" i="35"/>
  <c r="U29" i="35" s="1"/>
  <c r="R29" i="35"/>
  <c r="S29" i="35" s="1"/>
  <c r="O29" i="35"/>
  <c r="P29" i="35" s="1"/>
  <c r="M29" i="35"/>
  <c r="L29" i="35"/>
  <c r="K29" i="35"/>
  <c r="J29" i="35"/>
  <c r="N29" i="35" s="1"/>
  <c r="I29" i="35"/>
  <c r="U28" i="35"/>
  <c r="T28" i="35"/>
  <c r="R28" i="35"/>
  <c r="S28" i="35" s="1"/>
  <c r="O28" i="35"/>
  <c r="P28" i="35" s="1"/>
  <c r="N28" i="35"/>
  <c r="M28" i="35"/>
  <c r="L28" i="35"/>
  <c r="K28" i="35"/>
  <c r="J28" i="35"/>
  <c r="I28" i="35"/>
  <c r="T27" i="35"/>
  <c r="R27" i="35"/>
  <c r="S27" i="35" s="1"/>
  <c r="O27" i="35"/>
  <c r="N27" i="35"/>
  <c r="M27" i="35"/>
  <c r="L27" i="35"/>
  <c r="K27" i="35"/>
  <c r="J27" i="35"/>
  <c r="I27" i="35"/>
  <c r="AA26" i="35"/>
  <c r="W26" i="35"/>
  <c r="V26" i="35"/>
  <c r="U26" i="35"/>
  <c r="T26" i="35"/>
  <c r="R26" i="35"/>
  <c r="S26" i="35" s="1"/>
  <c r="P26" i="35"/>
  <c r="O26" i="35"/>
  <c r="Q26" i="35" s="1"/>
  <c r="M26" i="35"/>
  <c r="L26" i="35"/>
  <c r="K26" i="35"/>
  <c r="N26" i="35" s="1"/>
  <c r="J26" i="35"/>
  <c r="I26" i="35"/>
  <c r="AA25" i="35"/>
  <c r="U25" i="35"/>
  <c r="T25" i="35"/>
  <c r="S25" i="35"/>
  <c r="R25" i="35"/>
  <c r="Q25" i="35"/>
  <c r="V25" i="35" s="1"/>
  <c r="P25" i="35"/>
  <c r="W25" i="35" s="1"/>
  <c r="O25" i="35"/>
  <c r="M25" i="35"/>
  <c r="L25" i="35"/>
  <c r="L33" i="35" s="1"/>
  <c r="K25" i="35"/>
  <c r="J25" i="35"/>
  <c r="I25" i="35"/>
  <c r="H22" i="35"/>
  <c r="G22" i="35"/>
  <c r="F22" i="35"/>
  <c r="E22" i="35"/>
  <c r="C22" i="35"/>
  <c r="AA14" i="35" s="1"/>
  <c r="D3" i="36" s="1"/>
  <c r="N21" i="35"/>
  <c r="J21" i="35"/>
  <c r="D21" i="35"/>
  <c r="D22" i="35" s="1"/>
  <c r="AA15" i="35" s="1"/>
  <c r="J20" i="35"/>
  <c r="N20" i="35" s="1"/>
  <c r="Y20" i="35" s="1"/>
  <c r="I20" i="35"/>
  <c r="U19" i="35"/>
  <c r="T19" i="35"/>
  <c r="S19" i="35"/>
  <c r="R19" i="35"/>
  <c r="W19" i="35" s="1"/>
  <c r="Q19" i="35"/>
  <c r="P19" i="35"/>
  <c r="O19" i="35"/>
  <c r="M19" i="35"/>
  <c r="V19" i="35" s="1"/>
  <c r="L19" i="35"/>
  <c r="K19" i="35"/>
  <c r="J19" i="35"/>
  <c r="I19" i="35"/>
  <c r="T18" i="35"/>
  <c r="U18" i="35" s="1"/>
  <c r="S18" i="35"/>
  <c r="R18" i="35"/>
  <c r="O18" i="35"/>
  <c r="M18" i="35"/>
  <c r="L18" i="35"/>
  <c r="N18" i="35" s="1"/>
  <c r="K18" i="35"/>
  <c r="J18" i="35"/>
  <c r="I18" i="35"/>
  <c r="AA17" i="35"/>
  <c r="U17" i="35"/>
  <c r="T17" i="35"/>
  <c r="S17" i="35"/>
  <c r="R17" i="35"/>
  <c r="P17" i="35"/>
  <c r="Q17" i="35" s="1"/>
  <c r="O17" i="35"/>
  <c r="M17" i="35"/>
  <c r="V17" i="35" s="1"/>
  <c r="L17" i="35"/>
  <c r="K17" i="35"/>
  <c r="J17" i="35"/>
  <c r="N17" i="35" s="1"/>
  <c r="I17" i="35"/>
  <c r="AA16" i="35"/>
  <c r="D5" i="36" s="1"/>
  <c r="U16" i="35"/>
  <c r="T16" i="35"/>
  <c r="S16" i="35"/>
  <c r="R16" i="35"/>
  <c r="O16" i="35"/>
  <c r="M16" i="35"/>
  <c r="L16" i="35"/>
  <c r="N16" i="35" s="1"/>
  <c r="K16" i="35"/>
  <c r="J16" i="35"/>
  <c r="I16" i="35"/>
  <c r="T15" i="35"/>
  <c r="U15" i="35" s="1"/>
  <c r="S15" i="35"/>
  <c r="R15" i="35"/>
  <c r="O15" i="35"/>
  <c r="M15" i="35"/>
  <c r="L15" i="35"/>
  <c r="K15" i="35"/>
  <c r="J15" i="35"/>
  <c r="I15" i="35"/>
  <c r="T14" i="35"/>
  <c r="T22" i="35" s="1"/>
  <c r="R14" i="35"/>
  <c r="R22" i="35" s="1"/>
  <c r="P14" i="35"/>
  <c r="O14" i="35"/>
  <c r="Q14" i="35" s="1"/>
  <c r="M14" i="35"/>
  <c r="L14" i="35"/>
  <c r="K14" i="35"/>
  <c r="J14" i="35"/>
  <c r="I14" i="35"/>
  <c r="I11" i="35"/>
  <c r="H11" i="35"/>
  <c r="G11" i="35"/>
  <c r="F11" i="35"/>
  <c r="AA6" i="35" s="1"/>
  <c r="C6" i="36" s="1"/>
  <c r="E11" i="35"/>
  <c r="D11" i="35"/>
  <c r="C11" i="35"/>
  <c r="N10" i="35"/>
  <c r="J10" i="35"/>
  <c r="I10" i="35"/>
  <c r="Y10" i="35" s="1"/>
  <c r="D10" i="35"/>
  <c r="N9" i="35"/>
  <c r="Y9" i="35" s="1"/>
  <c r="J9" i="35"/>
  <c r="I9" i="35"/>
  <c r="T8" i="35"/>
  <c r="U8" i="35" s="1"/>
  <c r="R8" i="35"/>
  <c r="S8" i="35" s="1"/>
  <c r="P8" i="35"/>
  <c r="O8" i="35"/>
  <c r="M8" i="35"/>
  <c r="L8" i="35"/>
  <c r="K8" i="35"/>
  <c r="K11" i="35" s="1"/>
  <c r="J8" i="35"/>
  <c r="I8" i="35"/>
  <c r="U7" i="35"/>
  <c r="T7" i="35"/>
  <c r="S7" i="35"/>
  <c r="R7" i="35"/>
  <c r="O7" i="35"/>
  <c r="M7" i="35"/>
  <c r="L7" i="35"/>
  <c r="K7" i="35"/>
  <c r="J7" i="35"/>
  <c r="N7" i="35" s="1"/>
  <c r="I7" i="35"/>
  <c r="U6" i="35"/>
  <c r="T6" i="35"/>
  <c r="W6" i="35" s="1"/>
  <c r="S6" i="35"/>
  <c r="R6" i="35"/>
  <c r="O6" i="35"/>
  <c r="P6" i="35" s="1"/>
  <c r="M6" i="35"/>
  <c r="L6" i="35"/>
  <c r="K6" i="35"/>
  <c r="J6" i="35"/>
  <c r="N6" i="35" s="1"/>
  <c r="I6" i="35"/>
  <c r="AA5" i="35"/>
  <c r="U5" i="35"/>
  <c r="T5" i="35"/>
  <c r="S5" i="35"/>
  <c r="R5" i="35"/>
  <c r="P5" i="35"/>
  <c r="O5" i="35"/>
  <c r="N5" i="35"/>
  <c r="M5" i="35"/>
  <c r="L5" i="35"/>
  <c r="K5" i="35"/>
  <c r="J5" i="35"/>
  <c r="I5" i="35"/>
  <c r="AA4" i="35"/>
  <c r="C4" i="36" s="1"/>
  <c r="T4" i="35"/>
  <c r="U4" i="35" s="1"/>
  <c r="S4" i="35"/>
  <c r="R4" i="35"/>
  <c r="O4" i="35"/>
  <c r="N4" i="35"/>
  <c r="M4" i="35"/>
  <c r="L4" i="35"/>
  <c r="K4" i="35"/>
  <c r="J4" i="35"/>
  <c r="I4" i="35"/>
  <c r="AA3" i="35"/>
  <c r="C3" i="36" s="1"/>
  <c r="U3" i="35"/>
  <c r="U11" i="35" s="1"/>
  <c r="T3" i="35"/>
  <c r="R3" i="35"/>
  <c r="Q3" i="35"/>
  <c r="P3" i="35"/>
  <c r="O3" i="35"/>
  <c r="M3" i="35"/>
  <c r="L3" i="35"/>
  <c r="K3" i="35"/>
  <c r="J3" i="35"/>
  <c r="I3" i="35"/>
  <c r="B37" i="34"/>
  <c r="B35" i="34"/>
  <c r="B34" i="34"/>
  <c r="B33" i="34"/>
  <c r="B29" i="34"/>
  <c r="B23" i="34"/>
  <c r="C17" i="34"/>
  <c r="B17" i="34"/>
  <c r="B24" i="34" s="1"/>
  <c r="A17" i="34"/>
  <c r="D16" i="34"/>
  <c r="E15" i="34"/>
  <c r="D15" i="34"/>
  <c r="M11" i="34"/>
  <c r="K11" i="34"/>
  <c r="F11" i="34"/>
  <c r="B36" i="34" s="1"/>
  <c r="E11" i="34"/>
  <c r="D11" i="34"/>
  <c r="C11" i="34"/>
  <c r="B11" i="34"/>
  <c r="A11" i="34"/>
  <c r="M10" i="34"/>
  <c r="K10" i="34"/>
  <c r="I10" i="34"/>
  <c r="H10" i="34"/>
  <c r="J10" i="34" s="1"/>
  <c r="G10" i="34"/>
  <c r="M9" i="34"/>
  <c r="K9" i="34"/>
  <c r="L9" i="34" s="1"/>
  <c r="I9" i="34"/>
  <c r="H9" i="34"/>
  <c r="J9" i="34" s="1"/>
  <c r="G9" i="34"/>
  <c r="M8" i="34"/>
  <c r="K8" i="34"/>
  <c r="J8" i="34"/>
  <c r="I8" i="34"/>
  <c r="H8" i="34"/>
  <c r="G8" i="34"/>
  <c r="M7" i="34"/>
  <c r="L7" i="34"/>
  <c r="N7" i="34" s="1"/>
  <c r="O7" i="34" s="1"/>
  <c r="K7" i="34"/>
  <c r="I7" i="34"/>
  <c r="H7" i="34"/>
  <c r="J7" i="34" s="1"/>
  <c r="G7" i="34"/>
  <c r="P7" i="34" s="1"/>
  <c r="Q7" i="34" s="1"/>
  <c r="O6" i="34"/>
  <c r="M6" i="34"/>
  <c r="L6" i="34"/>
  <c r="K6" i="34"/>
  <c r="N6" i="34" s="1"/>
  <c r="I6" i="34"/>
  <c r="H6" i="34"/>
  <c r="J6" i="34" s="1"/>
  <c r="G6" i="34"/>
  <c r="N5" i="34"/>
  <c r="M5" i="34"/>
  <c r="L5" i="34"/>
  <c r="K5" i="34"/>
  <c r="I5" i="34"/>
  <c r="I11" i="34" s="1"/>
  <c r="H5" i="34"/>
  <c r="G5" i="34"/>
  <c r="B38" i="33"/>
  <c r="B37" i="33"/>
  <c r="B35" i="33"/>
  <c r="B33" i="33"/>
  <c r="B29" i="33"/>
  <c r="B25" i="33"/>
  <c r="B24" i="33"/>
  <c r="C17" i="33"/>
  <c r="B17" i="33"/>
  <c r="A17" i="33"/>
  <c r="E16" i="33"/>
  <c r="D16" i="33"/>
  <c r="V15" i="33"/>
  <c r="D15" i="33"/>
  <c r="V14" i="33"/>
  <c r="F11" i="33"/>
  <c r="E11" i="33"/>
  <c r="D11" i="33"/>
  <c r="B34" i="33" s="1"/>
  <c r="C11" i="33"/>
  <c r="B11" i="33"/>
  <c r="A11" i="33"/>
  <c r="M10" i="33"/>
  <c r="O10" i="33" s="1"/>
  <c r="L10" i="33"/>
  <c r="N10" i="33" s="1"/>
  <c r="K10" i="33"/>
  <c r="I10" i="33"/>
  <c r="J10" i="33" s="1"/>
  <c r="H10" i="33"/>
  <c r="G10" i="33"/>
  <c r="P10" i="33" s="1"/>
  <c r="Q10" i="33" s="1"/>
  <c r="M9" i="33"/>
  <c r="K9" i="33"/>
  <c r="L9" i="33" s="1"/>
  <c r="N9" i="33" s="1"/>
  <c r="I9" i="33"/>
  <c r="J9" i="33" s="1"/>
  <c r="H9" i="33"/>
  <c r="G9" i="33"/>
  <c r="M8" i="33"/>
  <c r="L8" i="33"/>
  <c r="K8" i="33"/>
  <c r="N8" i="33" s="1"/>
  <c r="J8" i="33"/>
  <c r="I8" i="33"/>
  <c r="H8" i="33"/>
  <c r="G8" i="33"/>
  <c r="O7" i="33"/>
  <c r="M7" i="33"/>
  <c r="L7" i="33"/>
  <c r="K7" i="33"/>
  <c r="N7" i="33" s="1"/>
  <c r="I7" i="33"/>
  <c r="I11" i="33" s="1"/>
  <c r="H7" i="33"/>
  <c r="J7" i="33" s="1"/>
  <c r="G7" i="33"/>
  <c r="M6" i="33"/>
  <c r="L6" i="33"/>
  <c r="K6" i="33"/>
  <c r="N6" i="33" s="1"/>
  <c r="O6" i="33" s="1"/>
  <c r="I6" i="33"/>
  <c r="H6" i="33"/>
  <c r="J6" i="33" s="1"/>
  <c r="G6" i="33"/>
  <c r="N5" i="33"/>
  <c r="O5" i="33" s="1"/>
  <c r="M5" i="33"/>
  <c r="M11" i="33" s="1"/>
  <c r="L5" i="33"/>
  <c r="L11" i="33" s="1"/>
  <c r="K5" i="33"/>
  <c r="K11" i="33" s="1"/>
  <c r="J5" i="33"/>
  <c r="I5" i="33"/>
  <c r="H5" i="33"/>
  <c r="G5" i="33"/>
  <c r="B36" i="32"/>
  <c r="B35" i="32"/>
  <c r="B33" i="32"/>
  <c r="B31" i="32"/>
  <c r="B27" i="32"/>
  <c r="B22" i="32"/>
  <c r="M4" i="15" s="1"/>
  <c r="C15" i="32"/>
  <c r="B23" i="32" s="1"/>
  <c r="B15" i="32"/>
  <c r="A15" i="32"/>
  <c r="E14" i="32"/>
  <c r="D14" i="32"/>
  <c r="D13" i="32"/>
  <c r="F9" i="32"/>
  <c r="B34" i="32" s="1"/>
  <c r="E9" i="32"/>
  <c r="D9" i="32"/>
  <c r="B32" i="32" s="1"/>
  <c r="V12" i="32" s="1"/>
  <c r="V13" i="32" s="1"/>
  <c r="C9" i="32"/>
  <c r="B9" i="32"/>
  <c r="A9" i="32"/>
  <c r="N8" i="32"/>
  <c r="O8" i="32" s="1"/>
  <c r="M8" i="32"/>
  <c r="L8" i="32"/>
  <c r="K8" i="32"/>
  <c r="I8" i="32"/>
  <c r="J8" i="32" s="1"/>
  <c r="P8" i="32" s="1"/>
  <c r="Q8" i="32" s="1"/>
  <c r="H8" i="32"/>
  <c r="G8" i="32"/>
  <c r="M7" i="32"/>
  <c r="K7" i="32"/>
  <c r="I7" i="32"/>
  <c r="H7" i="32"/>
  <c r="J7" i="32" s="1"/>
  <c r="G7" i="32"/>
  <c r="M6" i="32"/>
  <c r="L6" i="32"/>
  <c r="K6" i="32"/>
  <c r="I6" i="32"/>
  <c r="H6" i="32"/>
  <c r="J6" i="32" s="1"/>
  <c r="G6" i="32"/>
  <c r="N5" i="32"/>
  <c r="M5" i="32"/>
  <c r="M9" i="32" s="1"/>
  <c r="L5" i="32"/>
  <c r="K5" i="32"/>
  <c r="I5" i="32"/>
  <c r="H5" i="32"/>
  <c r="G5" i="32"/>
  <c r="G9" i="32" s="1"/>
  <c r="L108" i="31"/>
  <c r="U102" i="31" s="1"/>
  <c r="K108" i="31"/>
  <c r="J108" i="31"/>
  <c r="I108" i="31"/>
  <c r="H108" i="31"/>
  <c r="G108" i="31"/>
  <c r="F108" i="31"/>
  <c r="R102" i="31" s="1"/>
  <c r="AC6" i="36" s="1"/>
  <c r="D43" i="36" s="1"/>
  <c r="E108" i="31"/>
  <c r="R104" i="31"/>
  <c r="U103" i="31"/>
  <c r="U101" i="31"/>
  <c r="R101" i="31"/>
  <c r="AC5" i="36" s="1"/>
  <c r="C43" i="36" s="1"/>
  <c r="L99" i="31"/>
  <c r="K99" i="31"/>
  <c r="U94" i="31" s="1"/>
  <c r="J99" i="31"/>
  <c r="I99" i="31"/>
  <c r="H99" i="31"/>
  <c r="G99" i="31"/>
  <c r="F99" i="31"/>
  <c r="E99" i="31"/>
  <c r="R95" i="31"/>
  <c r="U93" i="31"/>
  <c r="R93" i="31"/>
  <c r="AB6" i="36" s="1"/>
  <c r="D42" i="36" s="1"/>
  <c r="U92" i="31"/>
  <c r="R92" i="31"/>
  <c r="AB5" i="36" s="1"/>
  <c r="L90" i="31"/>
  <c r="K90" i="31"/>
  <c r="U85" i="31" s="1"/>
  <c r="J90" i="31"/>
  <c r="I90" i="31"/>
  <c r="H90" i="31"/>
  <c r="R86" i="31" s="1"/>
  <c r="G90" i="31"/>
  <c r="F90" i="31"/>
  <c r="R84" i="31" s="1"/>
  <c r="AA6" i="36" s="1"/>
  <c r="D41" i="36" s="1"/>
  <c r="E90" i="31"/>
  <c r="R83" i="31" s="1"/>
  <c r="AA5" i="36" s="1"/>
  <c r="C41" i="36" s="1"/>
  <c r="U84" i="31"/>
  <c r="U83" i="31"/>
  <c r="L81" i="31"/>
  <c r="U75" i="31" s="1"/>
  <c r="K81" i="31"/>
  <c r="U76" i="31" s="1"/>
  <c r="AF75" i="31" s="1"/>
  <c r="AF76" i="31" s="1"/>
  <c r="AF78" i="31" s="1"/>
  <c r="J81" i="31"/>
  <c r="I81" i="31"/>
  <c r="H81" i="31"/>
  <c r="G81" i="31"/>
  <c r="F81" i="31"/>
  <c r="R75" i="31" s="1"/>
  <c r="E81" i="31"/>
  <c r="R77" i="31"/>
  <c r="AF77" i="31" s="1"/>
  <c r="AF79" i="31" s="1"/>
  <c r="U74" i="31"/>
  <c r="R74" i="31"/>
  <c r="Z5" i="36" s="1"/>
  <c r="C40" i="36" s="1"/>
  <c r="L72" i="31"/>
  <c r="K72" i="31"/>
  <c r="J72" i="31"/>
  <c r="I72" i="31"/>
  <c r="H72" i="31"/>
  <c r="G72" i="31"/>
  <c r="F72" i="31"/>
  <c r="E72" i="31"/>
  <c r="R65" i="31" s="1"/>
  <c r="Y5" i="36" s="1"/>
  <c r="C39" i="36" s="1"/>
  <c r="R68" i="31"/>
  <c r="U67" i="31"/>
  <c r="U66" i="31"/>
  <c r="R66" i="31"/>
  <c r="U65" i="31"/>
  <c r="L63" i="31"/>
  <c r="K63" i="31"/>
  <c r="U58" i="31" s="1"/>
  <c r="J63" i="31"/>
  <c r="U56" i="31" s="1"/>
  <c r="I63" i="31"/>
  <c r="H63" i="31"/>
  <c r="G63" i="31"/>
  <c r="F63" i="31"/>
  <c r="E63" i="31"/>
  <c r="R56" i="31" s="1"/>
  <c r="X5" i="36" s="1"/>
  <c r="C38" i="36" s="1"/>
  <c r="R59" i="31"/>
  <c r="U57" i="31"/>
  <c r="R57" i="31"/>
  <c r="L54" i="31"/>
  <c r="K54" i="31"/>
  <c r="U49" i="31" s="1"/>
  <c r="J54" i="31"/>
  <c r="U47" i="31" s="1"/>
  <c r="I54" i="31"/>
  <c r="H54" i="31"/>
  <c r="G54" i="31"/>
  <c r="F54" i="31"/>
  <c r="R48" i="31" s="1"/>
  <c r="E54" i="31"/>
  <c r="R50" i="31"/>
  <c r="U48" i="31"/>
  <c r="R47" i="31"/>
  <c r="W5" i="36" s="1"/>
  <c r="C37" i="36" s="1"/>
  <c r="L45" i="31"/>
  <c r="K45" i="31"/>
  <c r="J45" i="31"/>
  <c r="I45" i="31"/>
  <c r="H45" i="31"/>
  <c r="G45" i="31"/>
  <c r="F45" i="31"/>
  <c r="E45" i="31"/>
  <c r="R38" i="31" s="1"/>
  <c r="V5" i="36" s="1"/>
  <c r="C36" i="36" s="1"/>
  <c r="R41" i="31"/>
  <c r="U40" i="31"/>
  <c r="U39" i="31"/>
  <c r="V4" i="36" s="1"/>
  <c r="R39" i="31"/>
  <c r="U38" i="31"/>
  <c r="L36" i="31"/>
  <c r="K36" i="31"/>
  <c r="U31" i="31" s="1"/>
  <c r="J36" i="31"/>
  <c r="U29" i="31" s="1"/>
  <c r="I36" i="31"/>
  <c r="H36" i="31"/>
  <c r="R32" i="31" s="1"/>
  <c r="U4" i="36" s="1"/>
  <c r="G36" i="31"/>
  <c r="F36" i="31"/>
  <c r="R30" i="31" s="1"/>
  <c r="U6" i="36" s="1"/>
  <c r="D35" i="36" s="1"/>
  <c r="E36" i="31"/>
  <c r="U30" i="31"/>
  <c r="R29" i="31"/>
  <c r="L27" i="31"/>
  <c r="K27" i="31"/>
  <c r="J27" i="31"/>
  <c r="U20" i="31" s="1"/>
  <c r="I27" i="31"/>
  <c r="H27" i="31"/>
  <c r="R23" i="31" s="1"/>
  <c r="G27" i="31"/>
  <c r="F27" i="31"/>
  <c r="E27" i="31"/>
  <c r="R20" i="31" s="1"/>
  <c r="U22" i="31"/>
  <c r="U21" i="31"/>
  <c r="T4" i="36" s="1"/>
  <c r="R21" i="31"/>
  <c r="T6" i="36" s="1"/>
  <c r="L18" i="31"/>
  <c r="U12" i="31" s="1"/>
  <c r="K18" i="31"/>
  <c r="U13" i="31" s="1"/>
  <c r="J18" i="31"/>
  <c r="I18" i="31"/>
  <c r="H18" i="31"/>
  <c r="G18" i="31"/>
  <c r="F18" i="31"/>
  <c r="R12" i="31" s="1"/>
  <c r="S6" i="36" s="1"/>
  <c r="D33" i="36" s="1"/>
  <c r="E18" i="31"/>
  <c r="R11" i="31" s="1"/>
  <c r="S5" i="36" s="1"/>
  <c r="C33" i="36" s="1"/>
  <c r="R14" i="31"/>
  <c r="S4" i="36" s="1"/>
  <c r="U11" i="31"/>
  <c r="L9" i="31"/>
  <c r="U3" i="31" s="1"/>
  <c r="K9" i="31"/>
  <c r="J9" i="31"/>
  <c r="I9" i="31"/>
  <c r="H9" i="31"/>
  <c r="R5" i="31" s="1"/>
  <c r="G9" i="31"/>
  <c r="F9" i="31"/>
  <c r="E9" i="31"/>
  <c r="U4" i="31"/>
  <c r="R3" i="31"/>
  <c r="R6" i="36" s="1"/>
  <c r="D32" i="36" s="1"/>
  <c r="U2" i="31"/>
  <c r="R2" i="31"/>
  <c r="R4" i="31" s="1"/>
  <c r="Q9" i="30"/>
  <c r="U15" i="30" s="1"/>
  <c r="N9" i="30"/>
  <c r="U13" i="30" s="1"/>
  <c r="L9" i="30"/>
  <c r="U5" i="30"/>
  <c r="U9" i="30" s="1"/>
  <c r="Q7" i="29"/>
  <c r="U15" i="29" s="1"/>
  <c r="N7" i="29"/>
  <c r="U13" i="29" s="1"/>
  <c r="L7" i="29"/>
  <c r="U5" i="29"/>
  <c r="U9" i="29" s="1"/>
  <c r="U13" i="28"/>
  <c r="U9" i="28"/>
  <c r="Q8" i="28"/>
  <c r="U15" i="28" s="1"/>
  <c r="N8" i="28"/>
  <c r="L8" i="28"/>
  <c r="U5" i="28"/>
  <c r="U9" i="27"/>
  <c r="Q8" i="27"/>
  <c r="U15" i="27" s="1"/>
  <c r="N8" i="27"/>
  <c r="U13" i="27" s="1"/>
  <c r="L8" i="27"/>
  <c r="U5" i="27"/>
  <c r="Q8" i="26"/>
  <c r="U14" i="26" s="1"/>
  <c r="N8" i="26"/>
  <c r="U12" i="26" s="1"/>
  <c r="L8" i="26"/>
  <c r="U5" i="26"/>
  <c r="V9" i="15" s="1"/>
  <c r="W9" i="15" s="1"/>
  <c r="Q9" i="25"/>
  <c r="U14" i="25" s="1"/>
  <c r="N9" i="25"/>
  <c r="U12" i="25" s="1"/>
  <c r="L9" i="25"/>
  <c r="U14" i="24"/>
  <c r="U12" i="24"/>
  <c r="Q9" i="24"/>
  <c r="N9" i="24"/>
  <c r="L9" i="24"/>
  <c r="U8" i="24"/>
  <c r="U2" i="24"/>
  <c r="U5" i="24" s="1"/>
  <c r="U17" i="23"/>
  <c r="U14" i="23"/>
  <c r="U12" i="23"/>
  <c r="Q10" i="23"/>
  <c r="N10" i="23"/>
  <c r="L10" i="23"/>
  <c r="U11" i="23" s="1"/>
  <c r="U5" i="23"/>
  <c r="U8" i="23" s="1"/>
  <c r="U2" i="23"/>
  <c r="U13" i="22"/>
  <c r="Q11" i="22"/>
  <c r="U15" i="22" s="1"/>
  <c r="N11" i="22"/>
  <c r="L11" i="22"/>
  <c r="U12" i="22" s="1"/>
  <c r="U9" i="22"/>
  <c r="U6" i="22"/>
  <c r="V5" i="15" s="1"/>
  <c r="Q11" i="21"/>
  <c r="U15" i="21" s="1"/>
  <c r="N11" i="21"/>
  <c r="U13" i="21" s="1"/>
  <c r="L11" i="21"/>
  <c r="U12" i="21" s="1"/>
  <c r="U9" i="21"/>
  <c r="U6" i="21"/>
  <c r="U12" i="20"/>
  <c r="U9" i="20"/>
  <c r="Q9" i="20"/>
  <c r="U15" i="20" s="1"/>
  <c r="C8" i="2" s="1"/>
  <c r="N9" i="20"/>
  <c r="U13" i="20" s="1"/>
  <c r="L9" i="20"/>
  <c r="U6" i="20"/>
  <c r="T15" i="19"/>
  <c r="K6" i="19" s="1"/>
  <c r="N15" i="19"/>
  <c r="G15" i="19"/>
  <c r="E15" i="19"/>
  <c r="N14" i="19"/>
  <c r="G14" i="19"/>
  <c r="E14" i="19"/>
  <c r="U13" i="19"/>
  <c r="U15" i="19" s="1"/>
  <c r="K7" i="19" s="1"/>
  <c r="T13" i="19"/>
  <c r="S13" i="19"/>
  <c r="S15" i="19" s="1"/>
  <c r="R13" i="19"/>
  <c r="R15" i="19" s="1"/>
  <c r="K4" i="19" s="1"/>
  <c r="N13" i="19"/>
  <c r="G13" i="19"/>
  <c r="E13" i="19"/>
  <c r="N12" i="19"/>
  <c r="G12" i="19"/>
  <c r="E12" i="19"/>
  <c r="R11" i="19"/>
  <c r="R12" i="19" s="1"/>
  <c r="N11" i="19"/>
  <c r="G11" i="19"/>
  <c r="E11" i="19"/>
  <c r="N10" i="19"/>
  <c r="G10" i="19"/>
  <c r="E10" i="19"/>
  <c r="N9" i="19"/>
  <c r="G9" i="19"/>
  <c r="E9" i="19"/>
  <c r="N8" i="19"/>
  <c r="G8" i="19"/>
  <c r="E8" i="19"/>
  <c r="R7" i="19"/>
  <c r="N7" i="19"/>
  <c r="G7" i="19"/>
  <c r="E7" i="19"/>
  <c r="R6" i="19"/>
  <c r="R14" i="19" s="1"/>
  <c r="N6" i="19"/>
  <c r="G6" i="19"/>
  <c r="E6" i="19"/>
  <c r="N5" i="19"/>
  <c r="K5" i="19"/>
  <c r="G5" i="19"/>
  <c r="E5" i="19"/>
  <c r="N4" i="19"/>
  <c r="G4" i="19"/>
  <c r="E4" i="19"/>
  <c r="S2" i="19"/>
  <c r="S6" i="19" s="1"/>
  <c r="AI15" i="17"/>
  <c r="K15" i="17" s="1"/>
  <c r="AG15" i="17"/>
  <c r="AA15" i="17"/>
  <c r="Z15" i="17"/>
  <c r="Z17" i="17" s="1"/>
  <c r="Y15" i="17"/>
  <c r="Y17" i="17" s="1"/>
  <c r="N15" i="17"/>
  <c r="G15" i="17"/>
  <c r="E15" i="17"/>
  <c r="AH14" i="17"/>
  <c r="AG14" i="17"/>
  <c r="AG16" i="17" s="1"/>
  <c r="AB14" i="17"/>
  <c r="AB16" i="17" s="1"/>
  <c r="AA14" i="17"/>
  <c r="AA16" i="17" s="1"/>
  <c r="Z14" i="17"/>
  <c r="Z16" i="17" s="1"/>
  <c r="Y14" i="17"/>
  <c r="Y16" i="17" s="1"/>
  <c r="N14" i="17"/>
  <c r="L14" i="17"/>
  <c r="G14" i="17"/>
  <c r="E14" i="17"/>
  <c r="AI13" i="17"/>
  <c r="AH13" i="17"/>
  <c r="AH15" i="17" s="1"/>
  <c r="AG13" i="17"/>
  <c r="AF13" i="17"/>
  <c r="AF15" i="17" s="1"/>
  <c r="AF17" i="17" s="1"/>
  <c r="AE13" i="17"/>
  <c r="AE15" i="17" s="1"/>
  <c r="AD13" i="17"/>
  <c r="AD15" i="17" s="1"/>
  <c r="AC13" i="17"/>
  <c r="AC15" i="17" s="1"/>
  <c r="AB13" i="17"/>
  <c r="AB15" i="17" s="1"/>
  <c r="AB17" i="17" s="1"/>
  <c r="AA13" i="17"/>
  <c r="Z13" i="17"/>
  <c r="Y13" i="17"/>
  <c r="N13" i="17"/>
  <c r="L13" i="17"/>
  <c r="G13" i="17"/>
  <c r="E13" i="17"/>
  <c r="AH12" i="17"/>
  <c r="N12" i="17"/>
  <c r="L12" i="17"/>
  <c r="G12" i="17"/>
  <c r="F12" i="17"/>
  <c r="E12" i="17"/>
  <c r="N11" i="17"/>
  <c r="L11" i="17"/>
  <c r="G11" i="17"/>
  <c r="E11" i="17"/>
  <c r="N10" i="17"/>
  <c r="L10" i="17"/>
  <c r="G10" i="17"/>
  <c r="E10" i="17"/>
  <c r="X9" i="17"/>
  <c r="N9" i="17"/>
  <c r="L9" i="17"/>
  <c r="G9" i="17"/>
  <c r="E9" i="17"/>
  <c r="X8" i="17"/>
  <c r="X13" i="17" s="1"/>
  <c r="X15" i="17" s="1"/>
  <c r="N8" i="17"/>
  <c r="L8" i="17"/>
  <c r="G8" i="17"/>
  <c r="E8" i="17"/>
  <c r="AH7" i="17"/>
  <c r="AH11" i="17" s="1"/>
  <c r="AF7" i="17"/>
  <c r="AF11" i="17" s="1"/>
  <c r="AF12" i="17" s="1"/>
  <c r="AB7" i="17"/>
  <c r="AB11" i="17" s="1"/>
  <c r="AB12" i="17" s="1"/>
  <c r="AA7" i="17"/>
  <c r="AA11" i="17" s="1"/>
  <c r="AA12" i="17" s="1"/>
  <c r="Z7" i="17"/>
  <c r="Z11" i="17" s="1"/>
  <c r="Z12" i="17" s="1"/>
  <c r="Y7" i="17"/>
  <c r="Y11" i="17" s="1"/>
  <c r="Y12" i="17" s="1"/>
  <c r="X7" i="17"/>
  <c r="X11" i="17" s="1"/>
  <c r="N7" i="17"/>
  <c r="L7" i="17"/>
  <c r="G7" i="17"/>
  <c r="E7" i="17"/>
  <c r="AI6" i="17"/>
  <c r="AH6" i="17"/>
  <c r="AG6" i="17"/>
  <c r="AG7" i="17" s="1"/>
  <c r="AG11" i="17" s="1"/>
  <c r="AG12" i="17" s="1"/>
  <c r="AF6" i="17"/>
  <c r="AF14" i="17" s="1"/>
  <c r="AF16" i="17" s="1"/>
  <c r="AD6" i="17"/>
  <c r="AC6" i="17"/>
  <c r="AB6" i="17"/>
  <c r="AA6" i="17"/>
  <c r="Z6" i="17"/>
  <c r="Y6" i="17"/>
  <c r="X6" i="17"/>
  <c r="X14" i="17" s="1"/>
  <c r="N6" i="17"/>
  <c r="L6" i="17"/>
  <c r="G6" i="17"/>
  <c r="E6" i="17"/>
  <c r="N5" i="17"/>
  <c r="L5" i="17"/>
  <c r="G5" i="17"/>
  <c r="E5" i="17"/>
  <c r="N4" i="17"/>
  <c r="L4" i="17"/>
  <c r="M4" i="17" s="1"/>
  <c r="G4" i="17"/>
  <c r="F4" i="17"/>
  <c r="E4" i="17"/>
  <c r="U9" i="16"/>
  <c r="Q8" i="16"/>
  <c r="U15" i="16" s="1"/>
  <c r="N8" i="16"/>
  <c r="U13" i="16" s="1"/>
  <c r="L8" i="16"/>
  <c r="U5" i="16"/>
  <c r="L24" i="15"/>
  <c r="K24" i="15"/>
  <c r="H24" i="15"/>
  <c r="E24" i="15"/>
  <c r="N23" i="15"/>
  <c r="N24" i="15" s="1"/>
  <c r="L23" i="15"/>
  <c r="K23" i="15"/>
  <c r="I23" i="15"/>
  <c r="I24" i="15" s="1"/>
  <c r="H23" i="15"/>
  <c r="G23" i="15"/>
  <c r="G24" i="15" s="1"/>
  <c r="F23" i="15"/>
  <c r="F24" i="15" s="1"/>
  <c r="E23" i="15"/>
  <c r="N22" i="15"/>
  <c r="M22" i="15"/>
  <c r="O22" i="15" s="1"/>
  <c r="J22" i="15"/>
  <c r="N21" i="15"/>
  <c r="M21" i="15"/>
  <c r="J21" i="15"/>
  <c r="O21" i="15" s="1"/>
  <c r="N20" i="15"/>
  <c r="M20" i="15"/>
  <c r="J20" i="15"/>
  <c r="O19" i="15"/>
  <c r="N17" i="15"/>
  <c r="D17" i="15"/>
  <c r="C17" i="15"/>
  <c r="N16" i="15"/>
  <c r="N15" i="15"/>
  <c r="M15" i="15"/>
  <c r="O15" i="15" s="1"/>
  <c r="W14" i="15"/>
  <c r="T14" i="15"/>
  <c r="S14" i="15"/>
  <c r="W13" i="15"/>
  <c r="W12" i="15"/>
  <c r="S12" i="15"/>
  <c r="T12" i="15" s="1"/>
  <c r="N12" i="15"/>
  <c r="K12" i="15"/>
  <c r="W11" i="15"/>
  <c r="S11" i="15"/>
  <c r="T11" i="15" s="1"/>
  <c r="O11" i="15"/>
  <c r="G11" i="15"/>
  <c r="F11" i="15"/>
  <c r="E11" i="15"/>
  <c r="D11" i="15"/>
  <c r="C11" i="15"/>
  <c r="W10" i="15"/>
  <c r="H10" i="15"/>
  <c r="G10" i="15"/>
  <c r="F10" i="15"/>
  <c r="E10" i="15"/>
  <c r="D10" i="15"/>
  <c r="O10" i="15" s="1"/>
  <c r="C10" i="15"/>
  <c r="H9" i="15"/>
  <c r="G9" i="15"/>
  <c r="F9" i="15"/>
  <c r="E9" i="15"/>
  <c r="D9" i="15"/>
  <c r="C9" i="15"/>
  <c r="O9" i="15" s="1"/>
  <c r="H8" i="15"/>
  <c r="G8" i="15"/>
  <c r="F8" i="15"/>
  <c r="E8" i="15"/>
  <c r="D8" i="15"/>
  <c r="C8" i="15"/>
  <c r="O8" i="15" s="1"/>
  <c r="M7" i="15"/>
  <c r="L7" i="15"/>
  <c r="L12" i="15" s="1"/>
  <c r="K7" i="15"/>
  <c r="J7" i="15"/>
  <c r="I7" i="15"/>
  <c r="H7" i="15"/>
  <c r="G7" i="15"/>
  <c r="D7" i="15"/>
  <c r="V6" i="15"/>
  <c r="W6" i="15" s="1"/>
  <c r="H6" i="15"/>
  <c r="G6" i="15"/>
  <c r="O6" i="15" s="1"/>
  <c r="F6" i="15"/>
  <c r="E6" i="15"/>
  <c r="W5" i="15"/>
  <c r="H5" i="15"/>
  <c r="G5" i="15"/>
  <c r="F5" i="15"/>
  <c r="E5" i="15"/>
  <c r="D5" i="15"/>
  <c r="C5" i="15"/>
  <c r="V4" i="15"/>
  <c r="W4" i="15" s="1"/>
  <c r="J4" i="15"/>
  <c r="J12" i="15" s="1"/>
  <c r="S10" i="15" s="1"/>
  <c r="T10" i="15" s="1"/>
  <c r="I4" i="15"/>
  <c r="I12" i="15" s="1"/>
  <c r="S9" i="15" s="1"/>
  <c r="T9" i="15" s="1"/>
  <c r="H4" i="15"/>
  <c r="G4" i="15"/>
  <c r="G12" i="15" s="1"/>
  <c r="S7" i="15" s="1"/>
  <c r="T7" i="15" s="1"/>
  <c r="F4" i="15"/>
  <c r="E4" i="15"/>
  <c r="D4" i="15"/>
  <c r="D12" i="15" s="1"/>
  <c r="S4" i="15" s="1"/>
  <c r="T4" i="15" s="1"/>
  <c r="C4" i="15"/>
  <c r="V3" i="15"/>
  <c r="W3" i="15" s="1"/>
  <c r="H3" i="15"/>
  <c r="G3" i="15"/>
  <c r="F3" i="15"/>
  <c r="F7" i="15" s="1"/>
  <c r="E3" i="15"/>
  <c r="E7" i="15" s="1"/>
  <c r="D3" i="15"/>
  <c r="C3" i="15"/>
  <c r="U9" i="14"/>
  <c r="Q9" i="14"/>
  <c r="U15" i="14" s="1"/>
  <c r="N9" i="14"/>
  <c r="U13" i="14" s="1"/>
  <c r="L9" i="14"/>
  <c r="U12" i="14" s="1"/>
  <c r="U6" i="14"/>
  <c r="Q9" i="13"/>
  <c r="U15" i="13" s="1"/>
  <c r="N9" i="13"/>
  <c r="U13" i="13" s="1"/>
  <c r="U6" i="13"/>
  <c r="U9" i="13" s="1"/>
  <c r="L5" i="13"/>
  <c r="L4" i="13"/>
  <c r="L9" i="13" s="1"/>
  <c r="U12" i="13" s="1"/>
  <c r="Q9" i="12"/>
  <c r="U15" i="12" s="1"/>
  <c r="N9" i="12"/>
  <c r="U13" i="12" s="1"/>
  <c r="U6" i="12"/>
  <c r="U9" i="12" s="1"/>
  <c r="L5" i="12"/>
  <c r="L4" i="12"/>
  <c r="L9" i="12" s="1"/>
  <c r="U12" i="12" s="1"/>
  <c r="U9" i="11"/>
  <c r="Q8" i="11"/>
  <c r="U15" i="11" s="1"/>
  <c r="N8" i="11"/>
  <c r="U13" i="11" s="1"/>
  <c r="U6" i="11"/>
  <c r="L5" i="11"/>
  <c r="L3" i="11"/>
  <c r="L8" i="11" s="1"/>
  <c r="U12" i="11" s="1"/>
  <c r="U15" i="10"/>
  <c r="Q7" i="10"/>
  <c r="N7" i="10"/>
  <c r="U13" i="10" s="1"/>
  <c r="L7" i="10"/>
  <c r="U12" i="10" s="1"/>
  <c r="U6" i="10"/>
  <c r="U9" i="10" s="1"/>
  <c r="L3" i="10"/>
  <c r="U13" i="9"/>
  <c r="U9" i="9"/>
  <c r="Q7" i="9"/>
  <c r="U15" i="9" s="1"/>
  <c r="N7" i="9"/>
  <c r="L7" i="9"/>
  <c r="U12" i="9" s="1"/>
  <c r="U6" i="9"/>
  <c r="L3" i="9"/>
  <c r="U13" i="8"/>
  <c r="U9" i="8"/>
  <c r="U6" i="8"/>
  <c r="Q6" i="8"/>
  <c r="U15" i="8" s="1"/>
  <c r="N6" i="8"/>
  <c r="L3" i="8"/>
  <c r="L6" i="8" s="1"/>
  <c r="U12" i="8" s="1"/>
  <c r="U15" i="7"/>
  <c r="U13" i="7"/>
  <c r="U9" i="7"/>
  <c r="Q7" i="7"/>
  <c r="N7" i="7"/>
  <c r="U6" i="7"/>
  <c r="L4" i="7"/>
  <c r="L3" i="7"/>
  <c r="L7" i="7" s="1"/>
  <c r="U12" i="7" s="1"/>
  <c r="U6" i="6"/>
  <c r="U9" i="6" s="1"/>
  <c r="Q6" i="6"/>
  <c r="U15" i="6" s="1"/>
  <c r="N6" i="6"/>
  <c r="U13" i="6" s="1"/>
  <c r="L4" i="6"/>
  <c r="L6" i="6" s="1"/>
  <c r="U12" i="6" s="1"/>
  <c r="L3" i="6"/>
  <c r="U13" i="5"/>
  <c r="U6" i="5"/>
  <c r="U9" i="5" s="1"/>
  <c r="Q6" i="5"/>
  <c r="U15" i="5" s="1"/>
  <c r="N6" i="5"/>
  <c r="L5" i="5"/>
  <c r="L4" i="5"/>
  <c r="L3" i="5"/>
  <c r="L6" i="5" s="1"/>
  <c r="U12" i="5" s="1"/>
  <c r="U15" i="4"/>
  <c r="U13" i="4"/>
  <c r="U9" i="4"/>
  <c r="U6" i="4"/>
  <c r="Q6" i="4"/>
  <c r="N6" i="4"/>
  <c r="L4" i="4"/>
  <c r="L6" i="4" s="1"/>
  <c r="U12" i="4" s="1"/>
  <c r="U6" i="3"/>
  <c r="U9" i="3" s="1"/>
  <c r="Q6" i="3"/>
  <c r="U15" i="3" s="1"/>
  <c r="N6" i="3"/>
  <c r="U13" i="3" s="1"/>
  <c r="L5" i="3"/>
  <c r="L4" i="3"/>
  <c r="L3" i="3"/>
  <c r="L6" i="3" s="1"/>
  <c r="U12" i="3" s="1"/>
  <c r="N26" i="2"/>
  <c r="K26" i="2"/>
  <c r="C26" i="2"/>
  <c r="M25" i="2"/>
  <c r="M22" i="2" s="1"/>
  <c r="M26" i="2" s="1"/>
  <c r="I25" i="2"/>
  <c r="I22" i="2" s="1"/>
  <c r="I26" i="2" s="1"/>
  <c r="H25" i="2"/>
  <c r="G25" i="2"/>
  <c r="F25" i="2"/>
  <c r="E25" i="2"/>
  <c r="D25" i="2"/>
  <c r="C25" i="2"/>
  <c r="M24" i="2"/>
  <c r="I24" i="2"/>
  <c r="H24" i="2"/>
  <c r="H22" i="2" s="1"/>
  <c r="H26" i="2" s="1"/>
  <c r="G24" i="2"/>
  <c r="G22" i="2" s="1"/>
  <c r="G26" i="2" s="1"/>
  <c r="F24" i="2"/>
  <c r="F22" i="2" s="1"/>
  <c r="E24" i="2"/>
  <c r="D24" i="2"/>
  <c r="C24" i="2"/>
  <c r="O23" i="2"/>
  <c r="L22" i="2"/>
  <c r="L26" i="2" s="1"/>
  <c r="K22" i="2"/>
  <c r="J22" i="2"/>
  <c r="J26" i="2" s="1"/>
  <c r="D22" i="2"/>
  <c r="C22" i="2"/>
  <c r="J21" i="2"/>
  <c r="H21" i="2"/>
  <c r="M20" i="2"/>
  <c r="G20" i="2"/>
  <c r="G21" i="2" s="1"/>
  <c r="E20" i="2"/>
  <c r="C20" i="2"/>
  <c r="M19" i="2"/>
  <c r="G19" i="2"/>
  <c r="E19" i="2"/>
  <c r="C19" i="2"/>
  <c r="N18" i="2"/>
  <c r="O18" i="2" s="1"/>
  <c r="M18" i="2"/>
  <c r="L18" i="2"/>
  <c r="K18" i="2"/>
  <c r="J18" i="2"/>
  <c r="I18" i="2"/>
  <c r="H18" i="2"/>
  <c r="G18" i="2"/>
  <c r="F18" i="2"/>
  <c r="E18" i="2"/>
  <c r="D18" i="2"/>
  <c r="C18" i="2"/>
  <c r="N17" i="2"/>
  <c r="M17" i="2"/>
  <c r="J17" i="2"/>
  <c r="J16" i="2"/>
  <c r="L15" i="2"/>
  <c r="L17" i="2" s="1"/>
  <c r="I15" i="2"/>
  <c r="H15" i="2"/>
  <c r="H17" i="2" s="1"/>
  <c r="G15" i="2"/>
  <c r="G17" i="2" s="1"/>
  <c r="F15" i="2"/>
  <c r="F17" i="2" s="1"/>
  <c r="E15" i="2"/>
  <c r="E17" i="2" s="1"/>
  <c r="D15" i="2"/>
  <c r="J14" i="2"/>
  <c r="H14" i="2"/>
  <c r="F14" i="2"/>
  <c r="E14" i="2"/>
  <c r="D14" i="2"/>
  <c r="D16" i="2" s="1"/>
  <c r="C14" i="2"/>
  <c r="N13" i="2"/>
  <c r="N15" i="2" s="1"/>
  <c r="M13" i="2"/>
  <c r="M15" i="2" s="1"/>
  <c r="L13" i="2"/>
  <c r="K13" i="2"/>
  <c r="K15" i="2" s="1"/>
  <c r="J13" i="2"/>
  <c r="J15" i="2" s="1"/>
  <c r="I13" i="2"/>
  <c r="H13" i="2"/>
  <c r="G13" i="2"/>
  <c r="F13" i="2"/>
  <c r="E13" i="2"/>
  <c r="D13" i="2"/>
  <c r="L11" i="2"/>
  <c r="L12" i="2" s="1"/>
  <c r="J11" i="2"/>
  <c r="J12" i="2" s="1"/>
  <c r="H11" i="2"/>
  <c r="H12" i="2" s="1"/>
  <c r="O10" i="2"/>
  <c r="C10" i="2"/>
  <c r="O9" i="2"/>
  <c r="C9" i="2"/>
  <c r="N7" i="2"/>
  <c r="N11" i="2" s="1"/>
  <c r="N12" i="2" s="1"/>
  <c r="M7" i="2"/>
  <c r="M11" i="2" s="1"/>
  <c r="M12" i="2" s="1"/>
  <c r="L7" i="2"/>
  <c r="L21" i="2" s="1"/>
  <c r="J7" i="2"/>
  <c r="H7" i="2"/>
  <c r="G7" i="2"/>
  <c r="G11" i="2" s="1"/>
  <c r="G12" i="2" s="1"/>
  <c r="F7" i="2"/>
  <c r="F11" i="2" s="1"/>
  <c r="F12" i="2" s="1"/>
  <c r="C7" i="2"/>
  <c r="C11" i="2" s="1"/>
  <c r="O11" i="2" s="1"/>
  <c r="N6" i="2"/>
  <c r="N14" i="2" s="1"/>
  <c r="M6" i="2"/>
  <c r="M14" i="2" s="1"/>
  <c r="L6" i="2"/>
  <c r="L14" i="2" s="1"/>
  <c r="L16" i="2" s="1"/>
  <c r="K6" i="2"/>
  <c r="J6" i="2"/>
  <c r="I6" i="2"/>
  <c r="H6" i="2"/>
  <c r="G6" i="2"/>
  <c r="G14" i="2" s="1"/>
  <c r="F6" i="2"/>
  <c r="E6" i="2"/>
  <c r="E7" i="2" s="1"/>
  <c r="D6" i="2"/>
  <c r="D7" i="2" s="1"/>
  <c r="D11" i="2" s="1"/>
  <c r="D12" i="2" s="1"/>
  <c r="C6" i="2"/>
  <c r="O5" i="2"/>
  <c r="O4" i="2"/>
  <c r="O3" i="2"/>
  <c r="O2" i="2"/>
  <c r="O24" i="1"/>
  <c r="L24" i="1"/>
  <c r="K24" i="1"/>
  <c r="J24" i="1"/>
  <c r="I24" i="1"/>
  <c r="H24" i="1"/>
  <c r="F24" i="1"/>
  <c r="E24" i="1"/>
  <c r="D24" i="1"/>
  <c r="C24" i="1"/>
  <c r="O22" i="1"/>
  <c r="L22" i="1"/>
  <c r="K22" i="1"/>
  <c r="J22" i="1"/>
  <c r="I22" i="1"/>
  <c r="H22" i="1"/>
  <c r="F22" i="1"/>
  <c r="E22" i="1"/>
  <c r="D22" i="1"/>
  <c r="C22" i="1"/>
  <c r="L291" i="42"/>
  <c r="U222" i="42" s="1"/>
  <c r="K291" i="42"/>
  <c r="U223" i="42" s="1"/>
  <c r="J291" i="42"/>
  <c r="I291" i="42"/>
  <c r="H291" i="42"/>
  <c r="R224" i="42" s="1"/>
  <c r="U4" i="47" s="1"/>
  <c r="G291" i="42"/>
  <c r="F291" i="42"/>
  <c r="R222" i="42" s="1"/>
  <c r="U6" i="47" s="1"/>
  <c r="D35" i="47" s="1"/>
  <c r="E291" i="42"/>
  <c r="R221" i="42" s="1"/>
  <c r="U5" i="47" s="1"/>
  <c r="C35" i="47" s="1"/>
  <c r="U221" i="42"/>
  <c r="L219" i="42"/>
  <c r="U149" i="42" s="1"/>
  <c r="K219" i="42"/>
  <c r="J219" i="42"/>
  <c r="U148" i="42" s="1"/>
  <c r="I219" i="42"/>
  <c r="H219" i="42"/>
  <c r="R151" i="42" s="1"/>
  <c r="G219" i="42"/>
  <c r="F219" i="42"/>
  <c r="E219" i="42"/>
  <c r="R148" i="42" s="1"/>
  <c r="T5" i="47" s="1"/>
  <c r="C34" i="47" s="1"/>
  <c r="U150" i="42"/>
  <c r="R149" i="42"/>
  <c r="T6" i="47" s="1"/>
  <c r="D34" i="47" s="1"/>
  <c r="L146" i="42"/>
  <c r="K146" i="42"/>
  <c r="U74" i="42" s="1"/>
  <c r="J146" i="42"/>
  <c r="I146" i="42"/>
  <c r="U72" i="42" s="1"/>
  <c r="H146" i="42"/>
  <c r="G146" i="42"/>
  <c r="F146" i="42"/>
  <c r="E146" i="42"/>
  <c r="R75" i="42"/>
  <c r="S4" i="47" s="1"/>
  <c r="U73" i="42"/>
  <c r="R73" i="42"/>
  <c r="S6" i="47" s="1"/>
  <c r="D33" i="47" s="1"/>
  <c r="R72" i="42"/>
  <c r="S5" i="47" s="1"/>
  <c r="C33" i="47" s="1"/>
  <c r="L69" i="42"/>
  <c r="K69" i="42"/>
  <c r="U4" i="42" s="1"/>
  <c r="J69" i="42"/>
  <c r="U2" i="42" s="1"/>
  <c r="I69" i="42"/>
  <c r="H69" i="42"/>
  <c r="G69" i="42"/>
  <c r="F69" i="42"/>
  <c r="R3" i="42" s="1"/>
  <c r="R6" i="47" s="1"/>
  <c r="D32" i="47" s="1"/>
  <c r="E69" i="42"/>
  <c r="R5" i="42"/>
  <c r="U3" i="42"/>
  <c r="R2" i="42"/>
  <c r="O5" i="47" l="1"/>
  <c r="S7" i="46"/>
  <c r="P98" i="46"/>
  <c r="S98" i="46" s="1"/>
  <c r="T98" i="46" s="1"/>
  <c r="S172" i="46"/>
  <c r="T172" i="46" s="1"/>
  <c r="O4" i="47"/>
  <c r="O6" i="47"/>
  <c r="P160" i="46"/>
  <c r="S160" i="46" s="1"/>
  <c r="T160" i="46" s="1"/>
  <c r="O91" i="46"/>
  <c r="P91" i="46" s="1"/>
  <c r="P150" i="46"/>
  <c r="S150" i="46" s="1"/>
  <c r="T150" i="46" s="1"/>
  <c r="O84" i="46"/>
  <c r="P84" i="46" s="1"/>
  <c r="S84" i="46" s="1"/>
  <c r="T84" i="46" s="1"/>
  <c r="P101" i="46"/>
  <c r="S101" i="46" s="1"/>
  <c r="T101" i="46" s="1"/>
  <c r="T7" i="46"/>
  <c r="P16" i="46"/>
  <c r="S16" i="46" s="1"/>
  <c r="T16" i="46" s="1"/>
  <c r="P89" i="46"/>
  <c r="S89" i="46" s="1"/>
  <c r="T89" i="46" s="1"/>
  <c r="P174" i="46"/>
  <c r="S174" i="46" s="1"/>
  <c r="T174" i="46" s="1"/>
  <c r="P181" i="46"/>
  <c r="S181" i="46" s="1"/>
  <c r="T181" i="46" s="1"/>
  <c r="O96" i="46"/>
  <c r="P96" i="46" s="1"/>
  <c r="S96" i="46" s="1"/>
  <c r="T96" i="46" s="1"/>
  <c r="P151" i="46"/>
  <c r="S151" i="46" s="1"/>
  <c r="T151" i="46" s="1"/>
  <c r="P144" i="46"/>
  <c r="S144" i="46" s="1"/>
  <c r="T144" i="46" s="1"/>
  <c r="O102" i="46"/>
  <c r="P102" i="46" s="1"/>
  <c r="S102" i="46" s="1"/>
  <c r="T102" i="46" s="1"/>
  <c r="O103" i="46"/>
  <c r="Y7" i="46"/>
  <c r="P158" i="46"/>
  <c r="S158" i="46" s="1"/>
  <c r="T158" i="46" s="1"/>
  <c r="O87" i="46"/>
  <c r="P95" i="46"/>
  <c r="S95" i="46" s="1"/>
  <c r="T95" i="46" s="1"/>
  <c r="O164" i="46"/>
  <c r="P164" i="46" s="1"/>
  <c r="S164" i="46" s="1"/>
  <c r="T164" i="46" s="1"/>
  <c r="O180" i="46"/>
  <c r="P180" i="46" s="1"/>
  <c r="S180" i="46" s="1"/>
  <c r="T180" i="46" s="1"/>
  <c r="U27" i="35"/>
  <c r="T33" i="35"/>
  <c r="Z27" i="39"/>
  <c r="V27" i="39"/>
  <c r="Y27" i="39" s="1"/>
  <c r="AA27" i="39" s="1"/>
  <c r="X253" i="39"/>
  <c r="W279" i="39"/>
  <c r="O8" i="2"/>
  <c r="C12" i="2"/>
  <c r="O12" i="2" s="1"/>
  <c r="C13" i="2"/>
  <c r="R5" i="36"/>
  <c r="C32" i="36" s="1"/>
  <c r="V16" i="39"/>
  <c r="Z16" i="39"/>
  <c r="M8" i="17"/>
  <c r="M5" i="17"/>
  <c r="M11" i="17"/>
  <c r="G3" i="36"/>
  <c r="P52" i="35"/>
  <c r="W52" i="35" s="1"/>
  <c r="N70" i="35"/>
  <c r="S58" i="39"/>
  <c r="T58" i="39" s="1"/>
  <c r="Y58" i="39" s="1"/>
  <c r="Z58" i="39"/>
  <c r="B21" i="34"/>
  <c r="B30" i="34"/>
  <c r="AD7" i="17"/>
  <c r="AD11" i="17" s="1"/>
  <c r="AD12" i="17" s="1"/>
  <c r="AE2" i="17"/>
  <c r="AD14" i="17"/>
  <c r="AD16" i="17" s="1"/>
  <c r="V8" i="35"/>
  <c r="Q11" i="35"/>
  <c r="J5" i="34"/>
  <c r="J11" i="34" s="1"/>
  <c r="H11" i="34"/>
  <c r="S14" i="19"/>
  <c r="T2" i="19"/>
  <c r="L3" i="36"/>
  <c r="O24" i="2"/>
  <c r="E22" i="2"/>
  <c r="D23" i="15"/>
  <c r="D24" i="15" s="1"/>
  <c r="O17" i="15"/>
  <c r="X17" i="17"/>
  <c r="X16" i="17"/>
  <c r="S7" i="19"/>
  <c r="S11" i="19" s="1"/>
  <c r="S12" i="19" s="1"/>
  <c r="Q38" i="35"/>
  <c r="P38" i="35"/>
  <c r="W38" i="35"/>
  <c r="R10" i="36"/>
  <c r="U7" i="31"/>
  <c r="U8" i="31" s="1"/>
  <c r="AF4" i="31"/>
  <c r="O11" i="31"/>
  <c r="K9" i="32"/>
  <c r="L7" i="32"/>
  <c r="N7" i="32" s="1"/>
  <c r="V45" i="39"/>
  <c r="T4" i="47"/>
  <c r="O25" i="2"/>
  <c r="AD17" i="17"/>
  <c r="B30" i="33"/>
  <c r="B21" i="33"/>
  <c r="P105" i="35"/>
  <c r="W105" i="35"/>
  <c r="J11" i="33"/>
  <c r="Q105" i="35"/>
  <c r="X105" i="35" s="1"/>
  <c r="Y105" i="35" s="1"/>
  <c r="O20" i="15"/>
  <c r="J23" i="15"/>
  <c r="J24" i="15" s="1"/>
  <c r="F14" i="17"/>
  <c r="F15" i="17"/>
  <c r="F7" i="17"/>
  <c r="F6" i="17"/>
  <c r="F14" i="19"/>
  <c r="F8" i="19"/>
  <c r="F4" i="19"/>
  <c r="F11" i="19"/>
  <c r="F7" i="19"/>
  <c r="F5" i="19"/>
  <c r="F10" i="19"/>
  <c r="F12" i="19"/>
  <c r="F6" i="19"/>
  <c r="B36" i="33"/>
  <c r="B23" i="33"/>
  <c r="O6" i="36"/>
  <c r="P69" i="35"/>
  <c r="W69" i="35"/>
  <c r="O77" i="35"/>
  <c r="P85" i="35"/>
  <c r="Q85" i="35" s="1"/>
  <c r="V85" i="35" s="1"/>
  <c r="N104" i="35"/>
  <c r="X107" i="35"/>
  <c r="Y107" i="35" s="1"/>
  <c r="U124" i="35"/>
  <c r="U132" i="35" s="1"/>
  <c r="T132" i="35"/>
  <c r="O80" i="39"/>
  <c r="Z107" i="39"/>
  <c r="T107" i="39"/>
  <c r="Y107" i="39" s="1"/>
  <c r="G8" i="40"/>
  <c r="AD157" i="39"/>
  <c r="O3" i="15"/>
  <c r="C7" i="15"/>
  <c r="O7" i="15" s="1"/>
  <c r="AB4" i="36"/>
  <c r="O9" i="33"/>
  <c r="P9" i="33" s="1"/>
  <c r="Q9" i="33" s="1"/>
  <c r="AI7" i="17"/>
  <c r="AI11" i="17" s="1"/>
  <c r="AI12" i="17" s="1"/>
  <c r="AI14" i="17"/>
  <c r="F11" i="17"/>
  <c r="O5" i="32"/>
  <c r="M12" i="15"/>
  <c r="S13" i="15" s="1"/>
  <c r="T13" i="15" s="1"/>
  <c r="M18" i="15"/>
  <c r="M23" i="15" s="1"/>
  <c r="M24" i="15" s="1"/>
  <c r="O11" i="33"/>
  <c r="B32" i="33" s="1"/>
  <c r="J22" i="35"/>
  <c r="AA18" i="35" s="1"/>
  <c r="D7" i="36" s="1"/>
  <c r="E3" i="36"/>
  <c r="P37" i="35"/>
  <c r="Q37" i="35" s="1"/>
  <c r="V37" i="35" s="1"/>
  <c r="X58" i="35"/>
  <c r="Q69" i="35"/>
  <c r="V69" i="35" s="1"/>
  <c r="W73" i="35"/>
  <c r="Q73" i="35"/>
  <c r="V73" i="35" s="1"/>
  <c r="AA73" i="35"/>
  <c r="I7" i="36" s="1"/>
  <c r="U91" i="35"/>
  <c r="U96" i="35"/>
  <c r="W104" i="35"/>
  <c r="P104" i="35"/>
  <c r="Q104" i="35"/>
  <c r="Q107" i="35"/>
  <c r="V107" i="35" s="1"/>
  <c r="W118" i="35"/>
  <c r="X118" i="35" s="1"/>
  <c r="Y118" i="35" s="1"/>
  <c r="Q118" i="35"/>
  <c r="V118" i="35" s="1"/>
  <c r="AA66" i="39"/>
  <c r="AB66" i="39" s="1"/>
  <c r="X10" i="40"/>
  <c r="E38" i="40" s="1"/>
  <c r="AG232" i="38"/>
  <c r="T13" i="39"/>
  <c r="Y13" i="39" s="1"/>
  <c r="T21" i="39"/>
  <c r="AD7" i="39"/>
  <c r="C5" i="40"/>
  <c r="Y118" i="39"/>
  <c r="AA118" i="39" s="1"/>
  <c r="AB118" i="39" s="1"/>
  <c r="Q157" i="39"/>
  <c r="R16" i="19"/>
  <c r="J4" i="19"/>
  <c r="L9" i="32"/>
  <c r="R11" i="35"/>
  <c r="S3" i="35"/>
  <c r="S11" i="35" s="1"/>
  <c r="M22" i="35"/>
  <c r="AA19" i="35" s="1"/>
  <c r="D8" i="36" s="1"/>
  <c r="P41" i="35"/>
  <c r="Q41" i="35"/>
  <c r="V41" i="35" s="1"/>
  <c r="W41" i="35"/>
  <c r="X41" i="35"/>
  <c r="N81" i="35"/>
  <c r="J88" i="35"/>
  <c r="Y94" i="35"/>
  <c r="Q43" i="39"/>
  <c r="M80" i="39"/>
  <c r="Z67" i="39"/>
  <c r="AA67" i="39" s="1"/>
  <c r="AB67" i="39" s="1"/>
  <c r="E11" i="2"/>
  <c r="E12" i="2" s="1"/>
  <c r="E21" i="2"/>
  <c r="N14" i="35"/>
  <c r="M77" i="35"/>
  <c r="AA74" i="35" s="1"/>
  <c r="I8" i="36" s="1"/>
  <c r="T3" i="39"/>
  <c r="R40" i="39"/>
  <c r="AA3" i="39"/>
  <c r="Z3" i="39"/>
  <c r="S3" i="39"/>
  <c r="T44" i="39"/>
  <c r="Y44" i="39" s="1"/>
  <c r="AA44" i="39"/>
  <c r="AB44" i="39" s="1"/>
  <c r="W40" i="35"/>
  <c r="P40" i="35"/>
  <c r="S292" i="38"/>
  <c r="AG292" i="38" s="1"/>
  <c r="W40" i="39"/>
  <c r="X3" i="39"/>
  <c r="O14" i="2"/>
  <c r="F9" i="19"/>
  <c r="H3" i="36"/>
  <c r="I121" i="35"/>
  <c r="L10" i="34"/>
  <c r="N10" i="34" s="1"/>
  <c r="O10" i="34" s="1"/>
  <c r="P10" i="34" s="1"/>
  <c r="Q10" i="34" s="1"/>
  <c r="E17" i="34"/>
  <c r="J11" i="35"/>
  <c r="AA7" i="35" s="1"/>
  <c r="Y19" i="35"/>
  <c r="K33" i="35"/>
  <c r="N25" i="35"/>
  <c r="L44" i="35"/>
  <c r="N103" i="35"/>
  <c r="J121" i="35"/>
  <c r="AA117" i="35" s="1"/>
  <c r="N113" i="35"/>
  <c r="K7" i="2"/>
  <c r="K14" i="2"/>
  <c r="K16" i="2" s="1"/>
  <c r="E16" i="2"/>
  <c r="C16" i="15"/>
  <c r="O5" i="15"/>
  <c r="F13" i="19"/>
  <c r="U2" i="25"/>
  <c r="U5" i="25" s="1"/>
  <c r="V7" i="15"/>
  <c r="W7" i="15" s="1"/>
  <c r="U8" i="26"/>
  <c r="L11" i="35"/>
  <c r="N19" i="35"/>
  <c r="M44" i="35"/>
  <c r="AA41" i="35" s="1"/>
  <c r="F8" i="36" s="1"/>
  <c r="W72" i="35"/>
  <c r="Q72" i="35"/>
  <c r="V72" i="35" s="1"/>
  <c r="X72" i="35" s="1"/>
  <c r="Y72" i="35" s="1"/>
  <c r="L88" i="35"/>
  <c r="N80" i="35"/>
  <c r="N102" i="35"/>
  <c r="J110" i="35"/>
  <c r="AA106" i="35" s="1"/>
  <c r="K121" i="35"/>
  <c r="N128" i="35"/>
  <c r="S142" i="38"/>
  <c r="AG142" i="38" s="1"/>
  <c r="Y8" i="39"/>
  <c r="S21" i="39"/>
  <c r="Z21" i="39" s="1"/>
  <c r="T28" i="39"/>
  <c r="AA28" i="39" s="1"/>
  <c r="Z28" i="39"/>
  <c r="C6" i="40"/>
  <c r="AD4" i="39"/>
  <c r="R114" i="39"/>
  <c r="T83" i="39"/>
  <c r="S83" i="39"/>
  <c r="Z83" i="39"/>
  <c r="Z122" i="39"/>
  <c r="T122" i="39"/>
  <c r="Y122" i="39" s="1"/>
  <c r="AA129" i="39"/>
  <c r="AB129" i="39" s="1"/>
  <c r="S157" i="39"/>
  <c r="F16" i="2"/>
  <c r="C12" i="15"/>
  <c r="S3" i="15" s="1"/>
  <c r="T3" i="15" s="1"/>
  <c r="X12" i="17"/>
  <c r="R4" i="36"/>
  <c r="L8" i="34"/>
  <c r="N8" i="34" s="1"/>
  <c r="M11" i="35"/>
  <c r="AA8" i="35" s="1"/>
  <c r="C8" i="36" s="1"/>
  <c r="K22" i="35"/>
  <c r="D4" i="36"/>
  <c r="N36" i="35"/>
  <c r="W39" i="35"/>
  <c r="Q39" i="35"/>
  <c r="F3" i="36"/>
  <c r="P106" i="35"/>
  <c r="Q106" i="35" s="1"/>
  <c r="V106" i="35" s="1"/>
  <c r="W106" i="35"/>
  <c r="Q117" i="35"/>
  <c r="V117" i="35" s="1"/>
  <c r="X117" i="35" s="1"/>
  <c r="P40" i="39"/>
  <c r="Z20" i="39"/>
  <c r="AA60" i="39"/>
  <c r="V83" i="39"/>
  <c r="V114" i="39" s="1"/>
  <c r="U114" i="39"/>
  <c r="S102" i="39"/>
  <c r="Z102" i="39"/>
  <c r="T117" i="39"/>
  <c r="Z117" i="39"/>
  <c r="R147" i="39"/>
  <c r="F9" i="17"/>
  <c r="S235" i="39"/>
  <c r="T235" i="39" s="1"/>
  <c r="AB60" i="39"/>
  <c r="Y111" i="39"/>
  <c r="R5" i="47"/>
  <c r="C32" i="47" s="1"/>
  <c r="R4" i="42"/>
  <c r="S99" i="35"/>
  <c r="V104" i="35"/>
  <c r="X104" i="35" s="1"/>
  <c r="Y104" i="35" s="1"/>
  <c r="R6" i="40"/>
  <c r="D32" i="40" s="1"/>
  <c r="S4" i="38"/>
  <c r="N80" i="39"/>
  <c r="AA91" i="39"/>
  <c r="AB91" i="39" s="1"/>
  <c r="H12" i="15"/>
  <c r="S8" i="15" s="1"/>
  <c r="T8" i="15" s="1"/>
  <c r="AI17" i="17"/>
  <c r="G16" i="2"/>
  <c r="L22" i="35"/>
  <c r="I88" i="35"/>
  <c r="AA22" i="39"/>
  <c r="Z66" i="39"/>
  <c r="T66" i="39"/>
  <c r="Y66" i="39" s="1"/>
  <c r="I14" i="2"/>
  <c r="I16" i="2" s="1"/>
  <c r="I7" i="2"/>
  <c r="O7" i="2"/>
  <c r="H16" i="2"/>
  <c r="F15" i="19"/>
  <c r="P6" i="32"/>
  <c r="Q6" i="32" s="1"/>
  <c r="N11" i="33"/>
  <c r="AH17" i="17"/>
  <c r="AH16" i="17"/>
  <c r="M16" i="2"/>
  <c r="M21" i="2"/>
  <c r="D15" i="32"/>
  <c r="E13" i="32"/>
  <c r="E15" i="32" s="1"/>
  <c r="W5" i="35"/>
  <c r="X5" i="35"/>
  <c r="Y5" i="35" s="1"/>
  <c r="W71" i="35"/>
  <c r="N5" i="36"/>
  <c r="O5" i="36" s="1"/>
  <c r="X3" i="40"/>
  <c r="V235" i="38"/>
  <c r="V236" i="38" s="1"/>
  <c r="Y231" i="39"/>
  <c r="AA231" i="39" s="1"/>
  <c r="AB231" i="39" s="1"/>
  <c r="N16" i="2"/>
  <c r="L4" i="19"/>
  <c r="P5" i="33"/>
  <c r="O8" i="33"/>
  <c r="V3" i="35"/>
  <c r="P4" i="35"/>
  <c r="Q4" i="35" s="1"/>
  <c r="V4" i="35" s="1"/>
  <c r="Q5" i="35"/>
  <c r="V5" i="35" s="1"/>
  <c r="W33" i="35"/>
  <c r="Q27" i="35"/>
  <c r="Q71" i="35"/>
  <c r="X71" i="35" s="1"/>
  <c r="Y71" i="35" s="1"/>
  <c r="M110" i="35"/>
  <c r="AA107" i="35" s="1"/>
  <c r="L8" i="36" s="1"/>
  <c r="O121" i="35"/>
  <c r="Z7" i="36"/>
  <c r="C57" i="36" s="1"/>
  <c r="E57" i="36" s="1"/>
  <c r="T4" i="40"/>
  <c r="T7" i="39"/>
  <c r="Y7" i="39" s="1"/>
  <c r="S7" i="39"/>
  <c r="AA7" i="39" s="1"/>
  <c r="AB7" i="39" s="1"/>
  <c r="Z7" i="39"/>
  <c r="T20" i="39"/>
  <c r="Y37" i="39"/>
  <c r="AA37" i="39" s="1"/>
  <c r="AB37" i="39" s="1"/>
  <c r="Z49" i="39"/>
  <c r="AA49" i="39" s="1"/>
  <c r="T264" i="39"/>
  <c r="S264" i="39"/>
  <c r="Z264" i="39" s="1"/>
  <c r="D17" i="2"/>
  <c r="C21" i="2"/>
  <c r="O4" i="15"/>
  <c r="AC14" i="17"/>
  <c r="AC16" i="17" s="1"/>
  <c r="AC7" i="17"/>
  <c r="AC11" i="17" s="1"/>
  <c r="AC12" i="17" s="1"/>
  <c r="P7" i="33"/>
  <c r="Q7" i="33" s="1"/>
  <c r="G11" i="34"/>
  <c r="O11" i="35"/>
  <c r="W3" i="35"/>
  <c r="N8" i="35"/>
  <c r="O22" i="35"/>
  <c r="P15" i="35"/>
  <c r="J3" i="36"/>
  <c r="V105" i="35"/>
  <c r="Q18" i="39"/>
  <c r="Z45" i="39"/>
  <c r="S77" i="35"/>
  <c r="L121" i="35"/>
  <c r="O44" i="35"/>
  <c r="V115" i="35"/>
  <c r="X115" i="35" s="1"/>
  <c r="Y115" i="35" s="1"/>
  <c r="Z8" i="39"/>
  <c r="V8" i="39"/>
  <c r="S19" i="39"/>
  <c r="T19" i="39" s="1"/>
  <c r="X22" i="39"/>
  <c r="Z22" i="39"/>
  <c r="S76" i="39"/>
  <c r="T76" i="39" s="1"/>
  <c r="Y76" i="39" s="1"/>
  <c r="Y134" i="39"/>
  <c r="L213" i="39"/>
  <c r="AG17" i="17"/>
  <c r="Y4" i="36"/>
  <c r="L11" i="34"/>
  <c r="P16" i="35"/>
  <c r="J33" i="35"/>
  <c r="AA29" i="35" s="1"/>
  <c r="E7" i="36" s="1"/>
  <c r="O33" i="35"/>
  <c r="P36" i="35"/>
  <c r="V48" i="35"/>
  <c r="P51" i="35"/>
  <c r="W51" i="35" s="1"/>
  <c r="N58" i="35"/>
  <c r="N82" i="35"/>
  <c r="W84" i="35"/>
  <c r="Q84" i="35"/>
  <c r="P102" i="35"/>
  <c r="I132" i="35"/>
  <c r="Z4" i="36"/>
  <c r="S6" i="39"/>
  <c r="Z6" i="39" s="1"/>
  <c r="Z12" i="39"/>
  <c r="T12" i="39"/>
  <c r="Y12" i="39" s="1"/>
  <c r="AA12" i="39" s="1"/>
  <c r="AB12" i="39" s="1"/>
  <c r="U80" i="39"/>
  <c r="Q52" i="39"/>
  <c r="T109" i="39"/>
  <c r="Y109" i="39" s="1"/>
  <c r="S109" i="39"/>
  <c r="X111" i="39"/>
  <c r="AA111" i="39" s="1"/>
  <c r="AB111" i="39" s="1"/>
  <c r="Z134" i="39"/>
  <c r="AA134" i="39" s="1"/>
  <c r="AB134" i="39" s="1"/>
  <c r="V134" i="39"/>
  <c r="Z208" i="39"/>
  <c r="V238" i="39"/>
  <c r="Z238" i="39"/>
  <c r="P45" i="43"/>
  <c r="S45" i="43" s="1"/>
  <c r="T45" i="43" s="1"/>
  <c r="O6" i="2"/>
  <c r="F12" i="15"/>
  <c r="S6" i="15" s="1"/>
  <c r="T6" i="15" s="1"/>
  <c r="M9" i="17"/>
  <c r="M12" i="17"/>
  <c r="AA4" i="36"/>
  <c r="N6" i="32"/>
  <c r="O6" i="32" s="1"/>
  <c r="B21" i="32"/>
  <c r="O5" i="34"/>
  <c r="T11" i="35"/>
  <c r="P7" i="35"/>
  <c r="Q7" i="35" s="1"/>
  <c r="V7" i="35" s="1"/>
  <c r="W8" i="35"/>
  <c r="Q8" i="35"/>
  <c r="S14" i="35"/>
  <c r="S22" i="35" s="1"/>
  <c r="Q16" i="35"/>
  <c r="V16" i="35" s="1"/>
  <c r="P18" i="35"/>
  <c r="X19" i="35"/>
  <c r="I21" i="35"/>
  <c r="V29" i="35"/>
  <c r="S39" i="35"/>
  <c r="S44" i="35" s="1"/>
  <c r="N50" i="35"/>
  <c r="Q51" i="35"/>
  <c r="V51" i="35" s="1"/>
  <c r="N63" i="35"/>
  <c r="U77" i="35"/>
  <c r="O88" i="35"/>
  <c r="P80" i="35"/>
  <c r="Q81" i="35"/>
  <c r="W82" i="35"/>
  <c r="P82" i="35"/>
  <c r="W83" i="35"/>
  <c r="Q83" i="35"/>
  <c r="N91" i="35"/>
  <c r="Q103" i="35"/>
  <c r="Q115" i="35"/>
  <c r="Q126" i="35"/>
  <c r="V126" i="35" s="1"/>
  <c r="U4" i="40"/>
  <c r="X5" i="40"/>
  <c r="C38" i="40" s="1"/>
  <c r="F38" i="40" s="1"/>
  <c r="P260" i="38"/>
  <c r="S352" i="38"/>
  <c r="Q17" i="39"/>
  <c r="Y24" i="39"/>
  <c r="AA24" i="39" s="1"/>
  <c r="T25" i="39"/>
  <c r="Y25" i="39" s="1"/>
  <c r="T33" i="39"/>
  <c r="Y33" i="39" s="1"/>
  <c r="S33" i="39"/>
  <c r="AA33" i="39" s="1"/>
  <c r="AB33" i="39" s="1"/>
  <c r="Z33" i="39"/>
  <c r="V43" i="39"/>
  <c r="V80" i="39" s="1"/>
  <c r="AA75" i="39"/>
  <c r="AB75" i="39" s="1"/>
  <c r="Z86" i="39"/>
  <c r="T86" i="39"/>
  <c r="Y86" i="39" s="1"/>
  <c r="T90" i="39"/>
  <c r="AA90" i="39" s="1"/>
  <c r="AB90" i="39" s="1"/>
  <c r="AD117" i="39"/>
  <c r="T218" i="39"/>
  <c r="AA218" i="39" s="1"/>
  <c r="AB218" i="39" s="1"/>
  <c r="R246" i="39"/>
  <c r="AB360" i="39"/>
  <c r="AA17" i="17"/>
  <c r="P30" i="35"/>
  <c r="T56" i="39"/>
  <c r="AA56" i="39" s="1"/>
  <c r="AB56" i="39" s="1"/>
  <c r="S56" i="39"/>
  <c r="O180" i="39"/>
  <c r="Q150" i="39"/>
  <c r="S159" i="39"/>
  <c r="P246" i="39"/>
  <c r="Q216" i="39"/>
  <c r="R4" i="47"/>
  <c r="M6" i="17"/>
  <c r="M13" i="17"/>
  <c r="W4" i="36"/>
  <c r="H9" i="32"/>
  <c r="P6" i="33"/>
  <c r="Q6" i="33" s="1"/>
  <c r="P6" i="34"/>
  <c r="Q6" i="34" s="1"/>
  <c r="U14" i="35"/>
  <c r="U22" i="35" s="1"/>
  <c r="Q29" i="35"/>
  <c r="R33" i="35"/>
  <c r="Q49" i="35"/>
  <c r="X49" i="35" s="1"/>
  <c r="Y49" i="35" s="1"/>
  <c r="P50" i="35"/>
  <c r="Q50" i="35" s="1"/>
  <c r="V50" i="35" s="1"/>
  <c r="S81" i="35"/>
  <c r="S88" i="35" s="1"/>
  <c r="O110" i="35"/>
  <c r="P113" i="35"/>
  <c r="W116" i="35"/>
  <c r="X116" i="35" s="1"/>
  <c r="L132" i="35"/>
  <c r="Q128" i="35"/>
  <c r="Q129" i="35"/>
  <c r="N40" i="39"/>
  <c r="Q9" i="39"/>
  <c r="S10" i="39"/>
  <c r="S32" i="39"/>
  <c r="T32" i="39" s="1"/>
  <c r="Y32" i="39" s="1"/>
  <c r="Q36" i="39"/>
  <c r="Z47" i="39"/>
  <c r="T47" i="39"/>
  <c r="Y47" i="39" s="1"/>
  <c r="AA47" i="39" s="1"/>
  <c r="AB47" i="39" s="1"/>
  <c r="AA52" i="39"/>
  <c r="Y73" i="39"/>
  <c r="S85" i="39"/>
  <c r="S96" i="39"/>
  <c r="T96" i="39" s="1"/>
  <c r="T97" i="39"/>
  <c r="Y97" i="39" s="1"/>
  <c r="L114" i="39"/>
  <c r="T124" i="39"/>
  <c r="Y124" i="39" s="1"/>
  <c r="S124" i="39"/>
  <c r="AA124" i="39" s="1"/>
  <c r="AB124" i="39" s="1"/>
  <c r="Z124" i="39"/>
  <c r="T141" i="39"/>
  <c r="F4" i="40"/>
  <c r="AD120" i="39"/>
  <c r="Y203" i="39"/>
  <c r="AA203" i="39"/>
  <c r="Y320" i="39"/>
  <c r="AA320" i="39"/>
  <c r="AC4" i="36"/>
  <c r="I9" i="32"/>
  <c r="V24" i="48"/>
  <c r="S24" i="48"/>
  <c r="D17" i="33"/>
  <c r="E15" i="33"/>
  <c r="E17" i="33" s="1"/>
  <c r="E16" i="34"/>
  <c r="D17" i="34"/>
  <c r="S33" i="35"/>
  <c r="U88" i="35"/>
  <c r="W103" i="35"/>
  <c r="Q113" i="35"/>
  <c r="P114" i="35"/>
  <c r="W114" i="35"/>
  <c r="Q114" i="35"/>
  <c r="V114" i="35" s="1"/>
  <c r="W115" i="35"/>
  <c r="P125" i="35"/>
  <c r="Q125" i="35" s="1"/>
  <c r="S172" i="38"/>
  <c r="AG172" i="38" s="1"/>
  <c r="S202" i="38"/>
  <c r="Z19" i="39"/>
  <c r="AB28" i="39"/>
  <c r="Z51" i="39"/>
  <c r="T51" i="39"/>
  <c r="Y51" i="39" s="1"/>
  <c r="AA74" i="39"/>
  <c r="AB74" i="39" s="1"/>
  <c r="R80" i="39"/>
  <c r="Z109" i="39"/>
  <c r="X276" i="39"/>
  <c r="Z276" i="39"/>
  <c r="S47" i="35"/>
  <c r="S55" i="35" s="1"/>
  <c r="Q59" i="35"/>
  <c r="V59" i="35" s="1"/>
  <c r="P59" i="35"/>
  <c r="W61" i="35"/>
  <c r="P63" i="35"/>
  <c r="Q63" i="35" s="1"/>
  <c r="V63" i="35" s="1"/>
  <c r="S31" i="39"/>
  <c r="Z31" i="39" s="1"/>
  <c r="C4" i="40"/>
  <c r="AD6" i="39"/>
  <c r="Q46" i="39"/>
  <c r="AA55" i="39"/>
  <c r="AB55" i="39" s="1"/>
  <c r="S64" i="39"/>
  <c r="Z64" i="39" s="1"/>
  <c r="Z73" i="39"/>
  <c r="S73" i="39"/>
  <c r="AA73" i="39" s="1"/>
  <c r="AB73" i="39" s="1"/>
  <c r="P114" i="39"/>
  <c r="T89" i="39"/>
  <c r="Y89" i="39" s="1"/>
  <c r="Z89" i="39"/>
  <c r="S108" i="39"/>
  <c r="Y123" i="39"/>
  <c r="G11" i="33"/>
  <c r="P8" i="33"/>
  <c r="Q8" i="33" s="1"/>
  <c r="O9" i="34"/>
  <c r="P9" i="34" s="1"/>
  <c r="Q9" i="34" s="1"/>
  <c r="X17" i="35"/>
  <c r="Y17" i="35" s="1"/>
  <c r="U33" i="35"/>
  <c r="W29" i="35"/>
  <c r="X29" i="35" s="1"/>
  <c r="Y29" i="35" s="1"/>
  <c r="J44" i="35"/>
  <c r="AA40" i="35" s="1"/>
  <c r="N37" i="35"/>
  <c r="U55" i="35"/>
  <c r="P61" i="35"/>
  <c r="Q61" i="35" s="1"/>
  <c r="V61" i="35" s="1"/>
  <c r="P62" i="35"/>
  <c r="N73" i="35"/>
  <c r="P92" i="35"/>
  <c r="P99" i="35" s="1"/>
  <c r="Q93" i="35"/>
  <c r="V93" i="35" s="1"/>
  <c r="V94" i="35"/>
  <c r="X94" i="35" s="1"/>
  <c r="T121" i="35"/>
  <c r="P124" i="35"/>
  <c r="Q124" i="35" s="1"/>
  <c r="W126" i="35"/>
  <c r="O40" i="39"/>
  <c r="Y22" i="39"/>
  <c r="S23" i="39"/>
  <c r="Z25" i="39"/>
  <c r="S30" i="39"/>
  <c r="T46" i="39"/>
  <c r="Y46" i="39" s="1"/>
  <c r="S46" i="39"/>
  <c r="T55" i="39"/>
  <c r="Y55" i="39" s="1"/>
  <c r="Z56" i="39"/>
  <c r="T73" i="39"/>
  <c r="Y103" i="39"/>
  <c r="AA103" i="39" s="1"/>
  <c r="Q123" i="39"/>
  <c r="Z144" i="39"/>
  <c r="V144" i="39"/>
  <c r="Y144" i="39" s="1"/>
  <c r="S158" i="39"/>
  <c r="T158" i="39" s="1"/>
  <c r="Y158" i="39" s="1"/>
  <c r="S162" i="39"/>
  <c r="Z162" i="39" s="1"/>
  <c r="T162" i="39"/>
  <c r="Y162" i="39" s="1"/>
  <c r="O213" i="39"/>
  <c r="Y187" i="39"/>
  <c r="AA192" i="39"/>
  <c r="AB192" i="39" s="1"/>
  <c r="S192" i="39"/>
  <c r="T192" i="39" s="1"/>
  <c r="Y192" i="39" s="1"/>
  <c r="Z192" i="39"/>
  <c r="L312" i="39"/>
  <c r="J5" i="32"/>
  <c r="J9" i="32" s="1"/>
  <c r="J55" i="35"/>
  <c r="M55" i="35"/>
  <c r="AA52" i="35" s="1"/>
  <c r="G8" i="36" s="1"/>
  <c r="N69" i="35"/>
  <c r="P74" i="35"/>
  <c r="M88" i="35"/>
  <c r="AA85" i="35" s="1"/>
  <c r="J8" i="36" s="1"/>
  <c r="Q91" i="35"/>
  <c r="P93" i="35"/>
  <c r="W93" i="35" s="1"/>
  <c r="P95" i="35"/>
  <c r="W95" i="35"/>
  <c r="Q95" i="35"/>
  <c r="V95" i="35" s="1"/>
  <c r="K3" i="36"/>
  <c r="Y3" i="39"/>
  <c r="S9" i="39"/>
  <c r="Z9" i="39"/>
  <c r="AA9" i="39"/>
  <c r="T9" i="39"/>
  <c r="Y9" i="39" s="1"/>
  <c r="Q13" i="39"/>
  <c r="Y16" i="39"/>
  <c r="Z29" i="39"/>
  <c r="Q49" i="39"/>
  <c r="AB49" i="39" s="1"/>
  <c r="Y50" i="39"/>
  <c r="N114" i="39"/>
  <c r="Q83" i="39"/>
  <c r="S84" i="39"/>
  <c r="Z92" i="39"/>
  <c r="Z97" i="39"/>
  <c r="AA97" i="39" s="1"/>
  <c r="AB97" i="39" s="1"/>
  <c r="Q103" i="39"/>
  <c r="AB103" i="39" s="1"/>
  <c r="Y186" i="39"/>
  <c r="P213" i="39"/>
  <c r="S187" i="39"/>
  <c r="Z187" i="39"/>
  <c r="T187" i="39"/>
  <c r="AA187" i="39" s="1"/>
  <c r="Q198" i="39"/>
  <c r="T261" i="39"/>
  <c r="Y261" i="39" s="1"/>
  <c r="S270" i="39"/>
  <c r="T270" i="39" s="1"/>
  <c r="Y270" i="39" s="1"/>
  <c r="P5" i="32"/>
  <c r="X48" i="35"/>
  <c r="Y48" i="35" s="1"/>
  <c r="Q4" i="39"/>
  <c r="M40" i="39"/>
  <c r="Z11" i="39"/>
  <c r="T11" i="39"/>
  <c r="Y11" i="39" s="1"/>
  <c r="Z18" i="39"/>
  <c r="T18" i="39"/>
  <c r="Y18" i="39" s="1"/>
  <c r="AA32" i="39"/>
  <c r="AB32" i="39" s="1"/>
  <c r="Z32" i="39"/>
  <c r="W80" i="39"/>
  <c r="T70" i="39"/>
  <c r="Y70" i="39" s="1"/>
  <c r="S70" i="39"/>
  <c r="Z70" i="39" s="1"/>
  <c r="Z129" i="39"/>
  <c r="V129" i="39"/>
  <c r="Y129" i="39" s="1"/>
  <c r="E12" i="15"/>
  <c r="S5" i="15" s="1"/>
  <c r="T5" i="15" s="1"/>
  <c r="M14" i="17"/>
  <c r="W14" i="35"/>
  <c r="W17" i="35"/>
  <c r="P27" i="35"/>
  <c r="W27" i="35"/>
  <c r="W28" i="35"/>
  <c r="Q28" i="35"/>
  <c r="V28" i="35" s="1"/>
  <c r="R110" i="35"/>
  <c r="M121" i="35"/>
  <c r="AA118" i="35" s="1"/>
  <c r="M8" i="36" s="1"/>
  <c r="M7" i="17"/>
  <c r="M10" i="17"/>
  <c r="N9" i="34"/>
  <c r="B25" i="34"/>
  <c r="B38" i="34"/>
  <c r="W7" i="35"/>
  <c r="X7" i="35" s="1"/>
  <c r="Y7" i="35" s="1"/>
  <c r="S66" i="35"/>
  <c r="Q62" i="35"/>
  <c r="V62" i="35" s="1"/>
  <c r="F13" i="17"/>
  <c r="F10" i="17"/>
  <c r="F8" i="17"/>
  <c r="F5" i="17"/>
  <c r="N15" i="35"/>
  <c r="I33" i="35"/>
  <c r="W30" i="35"/>
  <c r="N41" i="35"/>
  <c r="W48" i="35"/>
  <c r="W50" i="35"/>
  <c r="N55" i="35"/>
  <c r="U66" i="35"/>
  <c r="N85" i="35"/>
  <c r="N116" i="35"/>
  <c r="N117" i="35"/>
  <c r="R132" i="35"/>
  <c r="S124" i="35"/>
  <c r="S132" i="35" s="1"/>
  <c r="Q3" i="39"/>
  <c r="U40" i="39"/>
  <c r="Y21" i="39"/>
  <c r="AA21" i="39" s="1"/>
  <c r="AB21" i="39" s="1"/>
  <c r="Y28" i="39"/>
  <c r="T29" i="39"/>
  <c r="Z36" i="39"/>
  <c r="T36" i="39"/>
  <c r="L80" i="39"/>
  <c r="S59" i="39"/>
  <c r="T59" i="39" s="1"/>
  <c r="Y59" i="39" s="1"/>
  <c r="S72" i="39"/>
  <c r="O114" i="39"/>
  <c r="Z96" i="39"/>
  <c r="Q190" i="39"/>
  <c r="S198" i="39"/>
  <c r="S261" i="39"/>
  <c r="Z261" i="39" s="1"/>
  <c r="X26" i="35"/>
  <c r="Y26" i="35" s="1"/>
  <c r="N38" i="35"/>
  <c r="O55" i="35"/>
  <c r="X60" i="35"/>
  <c r="W81" i="35"/>
  <c r="V91" i="35"/>
  <c r="W107" i="35"/>
  <c r="W117" i="35"/>
  <c r="S322" i="38"/>
  <c r="AG322" i="38" s="1"/>
  <c r="S4" i="39"/>
  <c r="T5" i="39"/>
  <c r="Y5" i="39" s="1"/>
  <c r="Z5" i="39"/>
  <c r="Y15" i="39"/>
  <c r="AA15" i="39" s="1"/>
  <c r="Y45" i="39"/>
  <c r="AA45" i="39" s="1"/>
  <c r="T48" i="39"/>
  <c r="T49" i="39"/>
  <c r="Y49" i="39" s="1"/>
  <c r="Z52" i="39"/>
  <c r="S53" i="39"/>
  <c r="T53" i="39" s="1"/>
  <c r="Y53" i="39" s="1"/>
  <c r="Q62" i="39"/>
  <c r="T67" i="39"/>
  <c r="N147" i="39"/>
  <c r="S133" i="39"/>
  <c r="F6" i="40"/>
  <c r="AD118" i="39"/>
  <c r="Y150" i="39"/>
  <c r="Z156" i="39"/>
  <c r="Z173" i="39"/>
  <c r="Y238" i="39"/>
  <c r="AA238" i="39" s="1"/>
  <c r="AB238" i="39" s="1"/>
  <c r="AB240" i="39"/>
  <c r="H11" i="33"/>
  <c r="X25" i="35"/>
  <c r="AA28" i="35"/>
  <c r="E6" i="36" s="1"/>
  <c r="K55" i="35"/>
  <c r="N60" i="35"/>
  <c r="J99" i="35"/>
  <c r="AA95" i="35" s="1"/>
  <c r="K7" i="36" s="1"/>
  <c r="I110" i="35"/>
  <c r="V40" i="39"/>
  <c r="S14" i="39"/>
  <c r="T14" i="39" s="1"/>
  <c r="Y14" i="39" s="1"/>
  <c r="Q34" i="39"/>
  <c r="Y35" i="39"/>
  <c r="S65" i="39"/>
  <c r="T65" i="39" s="1"/>
  <c r="Z65" i="39"/>
  <c r="AA65" i="39"/>
  <c r="AB65" i="39" s="1"/>
  <c r="Q77" i="39"/>
  <c r="Q93" i="39"/>
  <c r="Q142" i="39"/>
  <c r="Y155" i="39"/>
  <c r="AA155" i="39" s="1"/>
  <c r="Q200" i="39"/>
  <c r="Z209" i="39"/>
  <c r="X242" i="39"/>
  <c r="Z242" i="39"/>
  <c r="Y263" i="39"/>
  <c r="Q263" i="39"/>
  <c r="AB266" i="39"/>
  <c r="Z335" i="39"/>
  <c r="V335" i="39"/>
  <c r="V345" i="39" s="1"/>
  <c r="Y62" i="39"/>
  <c r="AA62" i="39" s="1"/>
  <c r="AB79" i="39"/>
  <c r="T88" i="39"/>
  <c r="Y88" i="39" s="1"/>
  <c r="Z88" i="39"/>
  <c r="O147" i="39"/>
  <c r="Q120" i="39"/>
  <c r="Z155" i="39"/>
  <c r="S165" i="39"/>
  <c r="T165" i="39" s="1"/>
  <c r="Y165" i="39" s="1"/>
  <c r="Z165" i="39"/>
  <c r="AA169" i="39"/>
  <c r="AB169" i="39" s="1"/>
  <c r="G5" i="40"/>
  <c r="AD154" i="39"/>
  <c r="Q208" i="39"/>
  <c r="AA225" i="39"/>
  <c r="L279" i="39"/>
  <c r="S256" i="39"/>
  <c r="T370" i="39"/>
  <c r="Y370" i="39" s="1"/>
  <c r="S370" i="39"/>
  <c r="L147" i="39"/>
  <c r="AB199" i="39"/>
  <c r="Z228" i="39"/>
  <c r="AA228" i="39" s="1"/>
  <c r="AB228" i="39" s="1"/>
  <c r="N3" i="35"/>
  <c r="N11" i="35" s="1"/>
  <c r="T66" i="35"/>
  <c r="V71" i="35"/>
  <c r="R77" i="35"/>
  <c r="N92" i="35"/>
  <c r="W127" i="35"/>
  <c r="P127" i="35"/>
  <c r="S4" i="40"/>
  <c r="Q27" i="39"/>
  <c r="AA57" i="39"/>
  <c r="AB57" i="39" s="1"/>
  <c r="Y77" i="39"/>
  <c r="AA77" i="39" s="1"/>
  <c r="AB77" i="39" s="1"/>
  <c r="Q85" i="39"/>
  <c r="M114" i="39"/>
  <c r="E4" i="40"/>
  <c r="AD86" i="39"/>
  <c r="M147" i="39"/>
  <c r="S120" i="39"/>
  <c r="Z120" i="39" s="1"/>
  <c r="Q131" i="39"/>
  <c r="S132" i="39"/>
  <c r="Z132" i="39" s="1"/>
  <c r="W180" i="39"/>
  <c r="T155" i="39"/>
  <c r="Y193" i="39"/>
  <c r="AB207" i="39"/>
  <c r="S228" i="39"/>
  <c r="T228" i="39" s="1"/>
  <c r="Y228" i="39" s="1"/>
  <c r="I44" i="35"/>
  <c r="P47" i="35"/>
  <c r="AA50" i="35"/>
  <c r="G6" i="36" s="1"/>
  <c r="P70" i="35"/>
  <c r="N124" i="35"/>
  <c r="N132" i="35" s="1"/>
  <c r="Q127" i="35"/>
  <c r="V127" i="35" s="1"/>
  <c r="J132" i="35"/>
  <c r="AA128" i="35" s="1"/>
  <c r="Z34" i="39"/>
  <c r="T34" i="39"/>
  <c r="Y34" i="39" s="1"/>
  <c r="X80" i="39"/>
  <c r="Y56" i="39"/>
  <c r="Z138" i="39"/>
  <c r="X180" i="39"/>
  <c r="S154" i="39"/>
  <c r="T154" i="39" s="1"/>
  <c r="Y154" i="39" s="1"/>
  <c r="AA154" i="39"/>
  <c r="AB154" i="39" s="1"/>
  <c r="Z154" i="39"/>
  <c r="S172" i="39"/>
  <c r="S227" i="39"/>
  <c r="Z236" i="39"/>
  <c r="Q319" i="39"/>
  <c r="Q6" i="35"/>
  <c r="V6" i="35" s="1"/>
  <c r="X6" i="35" s="1"/>
  <c r="Y6" i="35" s="1"/>
  <c r="V49" i="35"/>
  <c r="T77" i="35"/>
  <c r="O99" i="35"/>
  <c r="K132" i="35"/>
  <c r="Q6" i="39"/>
  <c r="AB22" i="39"/>
  <c r="Q24" i="39"/>
  <c r="S34" i="39"/>
  <c r="T57" i="39"/>
  <c r="Y57" i="39" s="1"/>
  <c r="Z68" i="39"/>
  <c r="AA68" i="39" s="1"/>
  <c r="AB68" i="39" s="1"/>
  <c r="AA69" i="39"/>
  <c r="AA88" i="39"/>
  <c r="AB88" i="39" s="1"/>
  <c r="Z93" i="39"/>
  <c r="Q95" i="39"/>
  <c r="Y96" i="39"/>
  <c r="AA96" i="39" s="1"/>
  <c r="AB96" i="39" s="1"/>
  <c r="Z104" i="39"/>
  <c r="E6" i="40"/>
  <c r="AD84" i="39"/>
  <c r="P147" i="39"/>
  <c r="Y119" i="39"/>
  <c r="T130" i="39"/>
  <c r="Q141" i="39"/>
  <c r="Q166" i="39"/>
  <c r="AB166" i="39" s="1"/>
  <c r="Q186" i="39"/>
  <c r="AB186" i="39" s="1"/>
  <c r="T188" i="39"/>
  <c r="Y188" i="39" s="1"/>
  <c r="S188" i="39"/>
  <c r="Z188" i="39" s="1"/>
  <c r="T193" i="39"/>
  <c r="AA193" i="39" s="1"/>
  <c r="AB193" i="39" s="1"/>
  <c r="AA209" i="39"/>
  <c r="T236" i="39"/>
  <c r="Y236" i="39" s="1"/>
  <c r="AA236" i="39" s="1"/>
  <c r="AB236" i="39" s="1"/>
  <c r="X4" i="40"/>
  <c r="AA8" i="39"/>
  <c r="AB8" i="39" s="1"/>
  <c r="Q15" i="39"/>
  <c r="AA16" i="39"/>
  <c r="AB16" i="39" s="1"/>
  <c r="AA35" i="39"/>
  <c r="AB35" i="39" s="1"/>
  <c r="S54" i="39"/>
  <c r="Z63" i="39"/>
  <c r="AA63" i="39" s="1"/>
  <c r="AB63" i="39" s="1"/>
  <c r="Z74" i="39"/>
  <c r="Q94" i="39"/>
  <c r="Z95" i="39"/>
  <c r="AA95" i="39" s="1"/>
  <c r="Q100" i="39"/>
  <c r="Y104" i="39"/>
  <c r="T105" i="39"/>
  <c r="Y105" i="39" s="1"/>
  <c r="AA105" i="39"/>
  <c r="AB105" i="39" s="1"/>
  <c r="Z105" i="39"/>
  <c r="Z123" i="39"/>
  <c r="T123" i="39"/>
  <c r="Q128" i="39"/>
  <c r="Q174" i="39"/>
  <c r="Y175" i="39"/>
  <c r="Z185" i="39"/>
  <c r="R213" i="39"/>
  <c r="AA207" i="39"/>
  <c r="Z207" i="39"/>
  <c r="M279" i="39"/>
  <c r="Y269" i="39"/>
  <c r="AA269" i="39" s="1"/>
  <c r="AB269" i="39" s="1"/>
  <c r="Z387" i="39"/>
  <c r="AA387" i="39" s="1"/>
  <c r="AB387" i="39" s="1"/>
  <c r="X387" i="39"/>
  <c r="Y166" i="39"/>
  <c r="AA167" i="39"/>
  <c r="S191" i="39"/>
  <c r="AA191" i="39" s="1"/>
  <c r="AB191" i="39" s="1"/>
  <c r="Z191" i="39"/>
  <c r="Q199" i="39"/>
  <c r="V202" i="39"/>
  <c r="Y202" i="39" s="1"/>
  <c r="T340" i="39"/>
  <c r="Y340" i="39" s="1"/>
  <c r="S340" i="39"/>
  <c r="Z119" i="39"/>
  <c r="S119" i="39"/>
  <c r="T119" i="39"/>
  <c r="T131" i="39"/>
  <c r="Y131" i="39" s="1"/>
  <c r="AA131" i="39" s="1"/>
  <c r="AB131" i="39" s="1"/>
  <c r="Q136" i="39"/>
  <c r="Y161" i="39"/>
  <c r="T184" i="39"/>
  <c r="Y184" i="39" s="1"/>
  <c r="T191" i="39"/>
  <c r="Y191" i="39" s="1"/>
  <c r="Q206" i="39"/>
  <c r="Y225" i="39"/>
  <c r="T171" i="39"/>
  <c r="Y171" i="39" s="1"/>
  <c r="Z171" i="39"/>
  <c r="AA171" i="39"/>
  <c r="AB171" i="39" s="1"/>
  <c r="S195" i="39"/>
  <c r="S229" i="39"/>
  <c r="S251" i="39"/>
  <c r="Z251" i="39" s="1"/>
  <c r="T251" i="39"/>
  <c r="Y251" i="39" s="1"/>
  <c r="P80" i="39"/>
  <c r="D6" i="40"/>
  <c r="AD44" i="39"/>
  <c r="V117" i="39"/>
  <c r="U147" i="39"/>
  <c r="Z128" i="39"/>
  <c r="AA128" i="39" s="1"/>
  <c r="Y136" i="39"/>
  <c r="Z183" i="39"/>
  <c r="L246" i="39"/>
  <c r="R279" i="39"/>
  <c r="Z249" i="39"/>
  <c r="T250" i="39"/>
  <c r="Y250" i="39" s="1"/>
  <c r="AA250" i="39" s="1"/>
  <c r="AB250" i="39" s="1"/>
  <c r="Z250" i="39"/>
  <c r="V279" i="39"/>
  <c r="M6" i="40"/>
  <c r="AD349" i="39"/>
  <c r="Q45" i="39"/>
  <c r="T50" i="39"/>
  <c r="Z50" i="39"/>
  <c r="AA50" i="39" s="1"/>
  <c r="AB50" i="39" s="1"/>
  <c r="S61" i="39"/>
  <c r="Q69" i="39"/>
  <c r="AB69" i="39" s="1"/>
  <c r="Q72" i="39"/>
  <c r="Y90" i="39"/>
  <c r="Q106" i="39"/>
  <c r="W147" i="39"/>
  <c r="X117" i="39"/>
  <c r="X121" i="39"/>
  <c r="Y121" i="39" s="1"/>
  <c r="AA121" i="39" s="1"/>
  <c r="AB121" i="39" s="1"/>
  <c r="S137" i="39"/>
  <c r="Z137" i="39" s="1"/>
  <c r="T139" i="39"/>
  <c r="Q144" i="39"/>
  <c r="AB144" i="39" s="1"/>
  <c r="V183" i="39"/>
  <c r="V213" i="39" s="1"/>
  <c r="U213" i="39"/>
  <c r="Y194" i="39"/>
  <c r="AA194" i="39" s="1"/>
  <c r="AB194" i="39" s="1"/>
  <c r="Z233" i="39"/>
  <c r="S233" i="39"/>
  <c r="AA233" i="39" s="1"/>
  <c r="AB233" i="39" s="1"/>
  <c r="T233" i="39"/>
  <c r="Y233" i="39" s="1"/>
  <c r="S375" i="39"/>
  <c r="T375" i="39" s="1"/>
  <c r="Y375" i="39" s="1"/>
  <c r="R4" i="40"/>
  <c r="Q11" i="39"/>
  <c r="S17" i="39"/>
  <c r="Z17" i="39" s="1"/>
  <c r="S26" i="39"/>
  <c r="T26" i="39" s="1"/>
  <c r="Y26" i="39" s="1"/>
  <c r="Y29" i="39"/>
  <c r="S43" i="39"/>
  <c r="Z43" i="39"/>
  <c r="S50" i="39"/>
  <c r="Y65" i="39"/>
  <c r="Y67" i="39"/>
  <c r="Z91" i="39"/>
  <c r="T92" i="39"/>
  <c r="Y92" i="39" s="1"/>
  <c r="Q108" i="39"/>
  <c r="S110" i="39"/>
  <c r="T110" i="39" s="1"/>
  <c r="Y110" i="39" s="1"/>
  <c r="Q125" i="39"/>
  <c r="AA127" i="39"/>
  <c r="AB127" i="39" s="1"/>
  <c r="Q135" i="39"/>
  <c r="S139" i="39"/>
  <c r="Z139" i="39" s="1"/>
  <c r="Q158" i="39"/>
  <c r="S160" i="39"/>
  <c r="Z160" i="39" s="1"/>
  <c r="AA166" i="39"/>
  <c r="Y173" i="39"/>
  <c r="AA173" i="39" s="1"/>
  <c r="AA175" i="39"/>
  <c r="AB175" i="39" s="1"/>
  <c r="AA176" i="39"/>
  <c r="W213" i="39"/>
  <c r="X183" i="39"/>
  <c r="X213" i="39" s="1"/>
  <c r="Z184" i="39"/>
  <c r="AA184" i="39" s="1"/>
  <c r="AB184" i="39" s="1"/>
  <c r="Y199" i="39"/>
  <c r="Y209" i="39"/>
  <c r="Z210" i="39"/>
  <c r="T210" i="39"/>
  <c r="Y210" i="39" s="1"/>
  <c r="AA232" i="39"/>
  <c r="T249" i="39"/>
  <c r="AB400" i="39"/>
  <c r="S11" i="44"/>
  <c r="T11" i="44" s="1"/>
  <c r="R11" i="44"/>
  <c r="Z87" i="39"/>
  <c r="Z103" i="39"/>
  <c r="L180" i="39"/>
  <c r="Z153" i="39"/>
  <c r="Z161" i="39"/>
  <c r="AA161" i="39" s="1"/>
  <c r="AB161" i="39" s="1"/>
  <c r="Q165" i="39"/>
  <c r="Z194" i="39"/>
  <c r="Y200" i="39"/>
  <c r="AA200" i="39" s="1"/>
  <c r="N246" i="39"/>
  <c r="Q217" i="39"/>
  <c r="S234" i="39"/>
  <c r="Z237" i="39"/>
  <c r="X237" i="39"/>
  <c r="AA237" i="39" s="1"/>
  <c r="AB237" i="39" s="1"/>
  <c r="Q239" i="39"/>
  <c r="Z336" i="39"/>
  <c r="T336" i="39"/>
  <c r="AA336" i="39" s="1"/>
  <c r="AB336" i="39" s="1"/>
  <c r="Y351" i="39"/>
  <c r="AA351" i="39" s="1"/>
  <c r="S398" i="39"/>
  <c r="Z62" i="39"/>
  <c r="S87" i="39"/>
  <c r="T93" i="39"/>
  <c r="Y93" i="39" s="1"/>
  <c r="S94" i="39"/>
  <c r="Z100" i="39"/>
  <c r="AA100" i="39" s="1"/>
  <c r="S106" i="39"/>
  <c r="T106" i="39" s="1"/>
  <c r="Y106" i="39" s="1"/>
  <c r="Q111" i="39"/>
  <c r="T135" i="39"/>
  <c r="Y135" i="39" s="1"/>
  <c r="AA135" i="39" s="1"/>
  <c r="AB135" i="39" s="1"/>
  <c r="M180" i="39"/>
  <c r="AA153" i="39"/>
  <c r="AB153" i="39" s="1"/>
  <c r="S168" i="39"/>
  <c r="Z169" i="39"/>
  <c r="T169" i="39"/>
  <c r="Y169" i="39" s="1"/>
  <c r="T170" i="39"/>
  <c r="Y170" i="39" s="1"/>
  <c r="Q187" i="39"/>
  <c r="Q188" i="39"/>
  <c r="Z193" i="39"/>
  <c r="O246" i="39"/>
  <c r="T230" i="39"/>
  <c r="Y230" i="39" s="1"/>
  <c r="AA262" i="39"/>
  <c r="AB262" i="39" s="1"/>
  <c r="Z262" i="39"/>
  <c r="S293" i="39"/>
  <c r="Z339" i="39"/>
  <c r="T339" i="39"/>
  <c r="Y339" i="39" s="1"/>
  <c r="T288" i="39"/>
  <c r="Z288" i="39"/>
  <c r="Y331" i="39"/>
  <c r="Z140" i="39"/>
  <c r="R180" i="39"/>
  <c r="Q173" i="39"/>
  <c r="Q183" i="39"/>
  <c r="M213" i="39"/>
  <c r="Z196" i="39"/>
  <c r="AA197" i="39"/>
  <c r="AB197" i="39" s="1"/>
  <c r="T197" i="39"/>
  <c r="Y197" i="39" s="1"/>
  <c r="U312" i="39"/>
  <c r="AB320" i="39"/>
  <c r="W114" i="39"/>
  <c r="S98" i="39"/>
  <c r="Z98" i="39" s="1"/>
  <c r="Z99" i="39"/>
  <c r="Y127" i="39"/>
  <c r="S140" i="39"/>
  <c r="S141" i="39"/>
  <c r="Z141" i="39" s="1"/>
  <c r="S143" i="39"/>
  <c r="T143" i="39"/>
  <c r="Y143" i="39" s="1"/>
  <c r="AA144" i="39"/>
  <c r="AA150" i="39"/>
  <c r="Z150" i="39"/>
  <c r="S151" i="39"/>
  <c r="Z151" i="39" s="1"/>
  <c r="Q155" i="39"/>
  <c r="Z174" i="39"/>
  <c r="T174" i="39"/>
  <c r="Y174" i="39" s="1"/>
  <c r="N213" i="39"/>
  <c r="S196" i="39"/>
  <c r="S197" i="39"/>
  <c r="Z197" i="39" s="1"/>
  <c r="S206" i="39"/>
  <c r="Z206" i="39" s="1"/>
  <c r="W246" i="39"/>
  <c r="V284" i="39"/>
  <c r="V312" i="39" s="1"/>
  <c r="Q361" i="39"/>
  <c r="S71" i="39"/>
  <c r="T71" i="39" s="1"/>
  <c r="Y71" i="39" s="1"/>
  <c r="X83" i="39"/>
  <c r="Z90" i="39"/>
  <c r="AB93" i="39"/>
  <c r="AA93" i="39"/>
  <c r="S99" i="39"/>
  <c r="T125" i="39"/>
  <c r="S126" i="39"/>
  <c r="T128" i="39"/>
  <c r="Y128" i="39" s="1"/>
  <c r="Z135" i="39"/>
  <c r="T140" i="39"/>
  <c r="Y140" i="39" s="1"/>
  <c r="T142" i="39"/>
  <c r="Y142" i="39" s="1"/>
  <c r="S142" i="39"/>
  <c r="U180" i="39"/>
  <c r="T151" i="39"/>
  <c r="Y151" i="39" s="1"/>
  <c r="S152" i="39"/>
  <c r="Y156" i="39"/>
  <c r="AA156" i="39" s="1"/>
  <c r="AB156" i="39" s="1"/>
  <c r="Q160" i="39"/>
  <c r="S163" i="39"/>
  <c r="T163" i="39" s="1"/>
  <c r="Y163" i="39" s="1"/>
  <c r="AB167" i="39"/>
  <c r="AB170" i="39"/>
  <c r="AA170" i="39"/>
  <c r="S174" i="39"/>
  <c r="T196" i="39"/>
  <c r="Y196" i="39" s="1"/>
  <c r="Q219" i="39"/>
  <c r="S222" i="39"/>
  <c r="P279" i="39"/>
  <c r="Q270" i="39"/>
  <c r="Z287" i="39"/>
  <c r="AA287" i="39" s="1"/>
  <c r="AB287" i="39" s="1"/>
  <c r="T287" i="39"/>
  <c r="Y287" i="39" s="1"/>
  <c r="S287" i="39"/>
  <c r="Q297" i="39"/>
  <c r="V362" i="39"/>
  <c r="Z362" i="39"/>
  <c r="Q185" i="39"/>
  <c r="AA186" i="39"/>
  <c r="Z186" i="39"/>
  <c r="S205" i="39"/>
  <c r="T205" i="39" s="1"/>
  <c r="Y205" i="39" s="1"/>
  <c r="Z205" i="39"/>
  <c r="AA205" i="39" s="1"/>
  <c r="AB205" i="39" s="1"/>
  <c r="Q209" i="39"/>
  <c r="Q240" i="39"/>
  <c r="Y243" i="39"/>
  <c r="AA243" i="39" s="1"/>
  <c r="AB243" i="39" s="1"/>
  <c r="N279" i="39"/>
  <c r="Y262" i="39"/>
  <c r="Q266" i="39"/>
  <c r="AA289" i="39"/>
  <c r="Q296" i="39"/>
  <c r="AB326" i="39"/>
  <c r="S384" i="39"/>
  <c r="T384" i="39" s="1"/>
  <c r="Y384" i="39" s="1"/>
  <c r="Z407" i="39"/>
  <c r="Q176" i="39"/>
  <c r="AB176" i="39" s="1"/>
  <c r="Y185" i="39"/>
  <c r="AA185" i="39" s="1"/>
  <c r="V246" i="39"/>
  <c r="U246" i="39"/>
  <c r="Q223" i="39"/>
  <c r="I6" i="40"/>
  <c r="AD217" i="39"/>
  <c r="O279" i="39"/>
  <c r="Q256" i="39"/>
  <c r="S257" i="39"/>
  <c r="AA263" i="39"/>
  <c r="Z263" i="39"/>
  <c r="S334" i="39"/>
  <c r="Z334" i="39" s="1"/>
  <c r="S338" i="39"/>
  <c r="U378" i="39"/>
  <c r="Z350" i="39"/>
  <c r="X400" i="39"/>
  <c r="Y400" i="39" s="1"/>
  <c r="AA400" i="39" s="1"/>
  <c r="Z400" i="39"/>
  <c r="S315" i="39"/>
  <c r="T374" i="39"/>
  <c r="Y374" i="39" s="1"/>
  <c r="Z374" i="39"/>
  <c r="Z254" i="39"/>
  <c r="Y388" i="39"/>
  <c r="AA388" i="39" s="1"/>
  <c r="AB388" i="39" s="1"/>
  <c r="S226" i="39"/>
  <c r="T254" i="39"/>
  <c r="Z295" i="39"/>
  <c r="Z296" i="39"/>
  <c r="V296" i="39"/>
  <c r="Y296" i="39" s="1"/>
  <c r="K6" i="40"/>
  <c r="AD287" i="39"/>
  <c r="L345" i="39"/>
  <c r="T319" i="39"/>
  <c r="Y319" i="39" s="1"/>
  <c r="Q322" i="39"/>
  <c r="T332" i="39"/>
  <c r="Y332" i="39" s="1"/>
  <c r="S332" i="39"/>
  <c r="Z332" i="39" s="1"/>
  <c r="Z341" i="39"/>
  <c r="O411" i="39"/>
  <c r="Q381" i="39"/>
  <c r="T101" i="39"/>
  <c r="Q122" i="39"/>
  <c r="T138" i="39"/>
  <c r="AD122" i="39"/>
  <c r="Z166" i="39"/>
  <c r="G6" i="40"/>
  <c r="AA199" i="39"/>
  <c r="Q203" i="39"/>
  <c r="AB203" i="39" s="1"/>
  <c r="AB204" i="39"/>
  <c r="AA204" i="39"/>
  <c r="Y207" i="39"/>
  <c r="T208" i="39"/>
  <c r="M246" i="39"/>
  <c r="AB217" i="39"/>
  <c r="T219" i="39"/>
  <c r="Y219" i="39" s="1"/>
  <c r="Z221" i="39"/>
  <c r="AA221" i="39" s="1"/>
  <c r="AB221" i="39" s="1"/>
  <c r="Q230" i="39"/>
  <c r="V255" i="39"/>
  <c r="Y255" i="39" s="1"/>
  <c r="AA255" i="39" s="1"/>
  <c r="AB255" i="39" s="1"/>
  <c r="Q258" i="39"/>
  <c r="T295" i="39"/>
  <c r="AA295" i="39" s="1"/>
  <c r="AB295" i="39" s="1"/>
  <c r="S341" i="39"/>
  <c r="T341" i="39" s="1"/>
  <c r="Z177" i="39"/>
  <c r="Q191" i="39"/>
  <c r="T216" i="39"/>
  <c r="Q225" i="39"/>
  <c r="AB225" i="39" s="1"/>
  <c r="Q232" i="39"/>
  <c r="U279" i="39"/>
  <c r="Z269" i="39"/>
  <c r="Q273" i="39"/>
  <c r="AB311" i="39"/>
  <c r="M345" i="39"/>
  <c r="Q317" i="39"/>
  <c r="Q324" i="39"/>
  <c r="U345" i="39"/>
  <c r="X378" i="39"/>
  <c r="Q360" i="39"/>
  <c r="S361" i="39"/>
  <c r="T361" i="39"/>
  <c r="Y361" i="39" s="1"/>
  <c r="AA361" i="39" s="1"/>
  <c r="Z361" i="39"/>
  <c r="N378" i="39"/>
  <c r="L411" i="39"/>
  <c r="Q393" i="39"/>
  <c r="Y218" i="39"/>
  <c r="Y223" i="39"/>
  <c r="AA223" i="39" s="1"/>
  <c r="Q224" i="39"/>
  <c r="Z285" i="39"/>
  <c r="Z286" i="39"/>
  <c r="S286" i="39"/>
  <c r="Y295" i="39"/>
  <c r="S302" i="39"/>
  <c r="Z330" i="39"/>
  <c r="T164" i="39"/>
  <c r="Y164" i="39" s="1"/>
  <c r="AA164" i="39" s="1"/>
  <c r="AB164" i="39" s="1"/>
  <c r="T177" i="39"/>
  <c r="Y177" i="39" s="1"/>
  <c r="T189" i="39"/>
  <c r="S219" i="39"/>
  <c r="S230" i="39"/>
  <c r="Q265" i="39"/>
  <c r="P312" i="39"/>
  <c r="T285" i="39"/>
  <c r="Y285" i="39" s="1"/>
  <c r="S291" i="39"/>
  <c r="Q295" i="39"/>
  <c r="Q323" i="39"/>
  <c r="Z329" i="39"/>
  <c r="T330" i="39"/>
  <c r="Q351" i="39"/>
  <c r="M378" i="39"/>
  <c r="Z369" i="39"/>
  <c r="Z383" i="39"/>
  <c r="AA383" i="39" s="1"/>
  <c r="AB383" i="39" s="1"/>
  <c r="T383" i="39"/>
  <c r="Y383" i="39" s="1"/>
  <c r="S393" i="39"/>
  <c r="T393" i="39" s="1"/>
  <c r="Y393" i="39" s="1"/>
  <c r="Z404" i="39"/>
  <c r="V404" i="39"/>
  <c r="N6" i="40"/>
  <c r="Z136" i="39"/>
  <c r="T183" i="39"/>
  <c r="T190" i="39"/>
  <c r="S201" i="39"/>
  <c r="Z202" i="39"/>
  <c r="Q205" i="39"/>
  <c r="H6" i="40"/>
  <c r="Z218" i="39"/>
  <c r="T220" i="39"/>
  <c r="Y220" i="39" s="1"/>
  <c r="Y237" i="39"/>
  <c r="Z268" i="39"/>
  <c r="T268" i="39"/>
  <c r="S268" i="39"/>
  <c r="Q271" i="39"/>
  <c r="S274" i="39"/>
  <c r="Z274" i="39" s="1"/>
  <c r="S305" i="39"/>
  <c r="Z305" i="39" s="1"/>
  <c r="Y317" i="39"/>
  <c r="AA317" i="39" s="1"/>
  <c r="T329" i="39"/>
  <c r="Y329" i="39" s="1"/>
  <c r="S337" i="39"/>
  <c r="L3" i="40"/>
  <c r="AD315" i="39"/>
  <c r="S356" i="39"/>
  <c r="T356" i="39" s="1"/>
  <c r="AA360" i="39"/>
  <c r="S369" i="39"/>
  <c r="T369" i="39" s="1"/>
  <c r="Y369" i="39" s="1"/>
  <c r="T403" i="39"/>
  <c r="AA403" i="39" s="1"/>
  <c r="AB403" i="39" s="1"/>
  <c r="AD386" i="39"/>
  <c r="K4" i="40"/>
  <c r="AD285" i="39"/>
  <c r="AB316" i="39"/>
  <c r="AB321" i="39"/>
  <c r="Z328" i="39"/>
  <c r="L378" i="39"/>
  <c r="Z355" i="39"/>
  <c r="R378" i="39"/>
  <c r="T364" i="39"/>
  <c r="Z364" i="39"/>
  <c r="Q368" i="39"/>
  <c r="Y382" i="39"/>
  <c r="AB392" i="39"/>
  <c r="Z403" i="39"/>
  <c r="Q406" i="39"/>
  <c r="F41" i="40"/>
  <c r="S12" i="43"/>
  <c r="T12" i="43" s="1"/>
  <c r="R12" i="43"/>
  <c r="R215" i="43" s="1"/>
  <c r="P31" i="43"/>
  <c r="O31" i="43"/>
  <c r="S31" i="43" s="1"/>
  <c r="T31" i="43" s="1"/>
  <c r="W312" i="39"/>
  <c r="T290" i="39"/>
  <c r="Y290" i="39" s="1"/>
  <c r="O345" i="39"/>
  <c r="Y341" i="39"/>
  <c r="S342" i="39"/>
  <c r="Z342" i="39"/>
  <c r="T355" i="39"/>
  <c r="Y381" i="39"/>
  <c r="Z164" i="39"/>
  <c r="AD155" i="39"/>
  <c r="Z189" i="39"/>
  <c r="Q251" i="39"/>
  <c r="Y264" i="39"/>
  <c r="X284" i="39"/>
  <c r="X312" i="39" s="1"/>
  <c r="S290" i="39"/>
  <c r="Z290" i="39" s="1"/>
  <c r="S294" i="39"/>
  <c r="Y300" i="39"/>
  <c r="Q307" i="39"/>
  <c r="Z308" i="39"/>
  <c r="T308" i="39"/>
  <c r="Y308" i="39" s="1"/>
  <c r="P345" i="39"/>
  <c r="T342" i="39"/>
  <c r="Y342" i="39" s="1"/>
  <c r="Z356" i="39"/>
  <c r="Q358" i="39"/>
  <c r="S363" i="39"/>
  <c r="Q366" i="39"/>
  <c r="V382" i="39"/>
  <c r="U411" i="39"/>
  <c r="N312" i="39"/>
  <c r="Z292" i="39"/>
  <c r="T303" i="39"/>
  <c r="Y303" i="39" s="1"/>
  <c r="AA303" i="39" s="1"/>
  <c r="AB303" i="39" s="1"/>
  <c r="S304" i="39"/>
  <c r="AA309" i="39"/>
  <c r="AB309" i="39" s="1"/>
  <c r="Q371" i="39"/>
  <c r="S372" i="39"/>
  <c r="T372" i="39" s="1"/>
  <c r="Y372" i="39" s="1"/>
  <c r="Z372" i="39"/>
  <c r="AA372" i="39" s="1"/>
  <c r="AB372" i="39" s="1"/>
  <c r="T382" i="39"/>
  <c r="Y406" i="39"/>
  <c r="P15" i="43"/>
  <c r="S15" i="43" s="1"/>
  <c r="T15" i="43" s="1"/>
  <c r="O15" i="43"/>
  <c r="P27" i="43"/>
  <c r="S27" i="43"/>
  <c r="T27" i="43" s="1"/>
  <c r="T271" i="39"/>
  <c r="M312" i="39"/>
  <c r="Z297" i="39"/>
  <c r="T301" i="39"/>
  <c r="Y301" i="39" s="1"/>
  <c r="Z301" i="39"/>
  <c r="Z318" i="39"/>
  <c r="T318" i="39"/>
  <c r="Y318" i="39" s="1"/>
  <c r="S318" i="39"/>
  <c r="Q325" i="39"/>
  <c r="Q353" i="39"/>
  <c r="S368" i="39"/>
  <c r="Z368" i="39" s="1"/>
  <c r="Z381" i="39"/>
  <c r="T381" i="39"/>
  <c r="R411" i="39"/>
  <c r="Z392" i="39"/>
  <c r="T392" i="39"/>
  <c r="Y392" i="39" s="1"/>
  <c r="O7" i="43"/>
  <c r="S68" i="44"/>
  <c r="T68" i="44" s="1"/>
  <c r="T258" i="39"/>
  <c r="Q260" i="39"/>
  <c r="T267" i="39"/>
  <c r="Y267" i="39" s="1"/>
  <c r="AA267" i="39"/>
  <c r="AB267" i="39" s="1"/>
  <c r="T269" i="39"/>
  <c r="Q282" i="39"/>
  <c r="T297" i="39"/>
  <c r="Z298" i="39"/>
  <c r="AA298" i="39"/>
  <c r="AB298" i="39" s="1"/>
  <c r="K5" i="40"/>
  <c r="AD286" i="39"/>
  <c r="Q350" i="39"/>
  <c r="W411" i="39"/>
  <c r="X382" i="39"/>
  <c r="Q390" i="39"/>
  <c r="AA275" i="39"/>
  <c r="AB275" i="39" s="1"/>
  <c r="AB289" i="39"/>
  <c r="Z299" i="39"/>
  <c r="Z304" i="39"/>
  <c r="X315" i="39"/>
  <c r="X345" i="39" s="1"/>
  <c r="W345" i="39"/>
  <c r="Y348" i="39"/>
  <c r="P378" i="39"/>
  <c r="S359" i="39"/>
  <c r="Z359" i="39"/>
  <c r="T359" i="39"/>
  <c r="Y359" i="39" s="1"/>
  <c r="AA359" i="39" s="1"/>
  <c r="AB359" i="39" s="1"/>
  <c r="Q364" i="39"/>
  <c r="Z382" i="39"/>
  <c r="S391" i="39"/>
  <c r="Z396" i="39"/>
  <c r="S220" i="39"/>
  <c r="S246" i="39" s="1"/>
  <c r="S224" i="39"/>
  <c r="Z224" i="39" s="1"/>
  <c r="Q227" i="39"/>
  <c r="S239" i="39"/>
  <c r="Z239" i="39"/>
  <c r="S252" i="39"/>
  <c r="S275" i="39"/>
  <c r="Z275" i="39" s="1"/>
  <c r="Q283" i="39"/>
  <c r="Q289" i="39"/>
  <c r="T298" i="39"/>
  <c r="Y298" i="39" s="1"/>
  <c r="S299" i="39"/>
  <c r="Z300" i="39"/>
  <c r="AA321" i="39"/>
  <c r="S322" i="39"/>
  <c r="S323" i="39"/>
  <c r="T324" i="39"/>
  <c r="Y324" i="39" s="1"/>
  <c r="S324" i="39"/>
  <c r="Q334" i="39"/>
  <c r="Z371" i="39"/>
  <c r="T371" i="39"/>
  <c r="Y371" i="39" s="1"/>
  <c r="AA371" i="39"/>
  <c r="T396" i="39"/>
  <c r="Z397" i="39"/>
  <c r="P4" i="43"/>
  <c r="S4" i="43" s="1"/>
  <c r="T4" i="43" s="1"/>
  <c r="O4" i="43"/>
  <c r="Z253" i="39"/>
  <c r="S259" i="39"/>
  <c r="T275" i="39"/>
  <c r="Y275" i="39" s="1"/>
  <c r="J4" i="40"/>
  <c r="AD252" i="39"/>
  <c r="S283" i="39"/>
  <c r="T283" i="39" s="1"/>
  <c r="AA292" i="39"/>
  <c r="AB292" i="39" s="1"/>
  <c r="T299" i="39"/>
  <c r="Z303" i="39"/>
  <c r="AA316" i="39"/>
  <c r="Z317" i="39"/>
  <c r="Y356" i="39"/>
  <c r="Z358" i="39"/>
  <c r="Q363" i="39"/>
  <c r="Q369" i="39"/>
  <c r="T36" i="43"/>
  <c r="P51" i="43"/>
  <c r="S51" i="43"/>
  <c r="T58" i="43"/>
  <c r="T60" i="43"/>
  <c r="S241" i="39"/>
  <c r="Z241" i="39" s="1"/>
  <c r="S253" i="39"/>
  <c r="S260" i="39"/>
  <c r="Z271" i="39"/>
  <c r="AA318" i="39"/>
  <c r="AB318" i="39" s="1"/>
  <c r="Z320" i="39"/>
  <c r="S327" i="39"/>
  <c r="AA328" i="39"/>
  <c r="AB328" i="39" s="1"/>
  <c r="Y330" i="39"/>
  <c r="AB344" i="39"/>
  <c r="S349" i="39"/>
  <c r="Z349" i="39" s="1"/>
  <c r="Z354" i="39"/>
  <c r="AA354" i="39" s="1"/>
  <c r="AB354" i="39" s="1"/>
  <c r="Q355" i="39"/>
  <c r="T357" i="39"/>
  <c r="T358" i="39"/>
  <c r="S365" i="39"/>
  <c r="Z365" i="39" s="1"/>
  <c r="AA392" i="39"/>
  <c r="Y395" i="39"/>
  <c r="N4" i="40"/>
  <c r="P8" i="43"/>
  <c r="S8" i="43" s="1"/>
  <c r="T8" i="43" s="1"/>
  <c r="O34" i="43"/>
  <c r="P34" i="43" s="1"/>
  <c r="P36" i="43"/>
  <c r="S36" i="43"/>
  <c r="S49" i="43"/>
  <c r="T49" i="43" s="1"/>
  <c r="Z395" i="39"/>
  <c r="T395" i="39"/>
  <c r="AA395" i="39" s="1"/>
  <c r="L215" i="43"/>
  <c r="S366" i="39"/>
  <c r="T367" i="39"/>
  <c r="Z367" i="39"/>
  <c r="T394" i="39"/>
  <c r="Y394" i="39" s="1"/>
  <c r="AA394" i="39" s="1"/>
  <c r="AB394" i="39" s="1"/>
  <c r="Z394" i="39"/>
  <c r="O13" i="43"/>
  <c r="P13" i="43" s="1"/>
  <c r="O25" i="43"/>
  <c r="P25" i="43" s="1"/>
  <c r="O29" i="43"/>
  <c r="P29" i="43" s="1"/>
  <c r="S29" i="43"/>
  <c r="T29" i="43" s="1"/>
  <c r="O53" i="43"/>
  <c r="P53" i="43"/>
  <c r="S53" i="43" s="1"/>
  <c r="T53" i="43" s="1"/>
  <c r="S272" i="39"/>
  <c r="T272" i="39"/>
  <c r="Y272" i="39" s="1"/>
  <c r="T325" i="39"/>
  <c r="Y325" i="39" s="1"/>
  <c r="Y336" i="39"/>
  <c r="Q338" i="39"/>
  <c r="Y350" i="39"/>
  <c r="AA350" i="39" s="1"/>
  <c r="AB350" i="39" s="1"/>
  <c r="T16" i="43"/>
  <c r="O41" i="43"/>
  <c r="P41" i="43" s="1"/>
  <c r="S41" i="43" s="1"/>
  <c r="T41" i="43" s="1"/>
  <c r="P60" i="43"/>
  <c r="S60" i="43" s="1"/>
  <c r="P47" i="44"/>
  <c r="S47" i="44" s="1"/>
  <c r="T47" i="44" s="1"/>
  <c r="S273" i="39"/>
  <c r="T273" i="39" s="1"/>
  <c r="Y273" i="39" s="1"/>
  <c r="Q291" i="39"/>
  <c r="S306" i="39"/>
  <c r="T307" i="39"/>
  <c r="Y307" i="39" s="1"/>
  <c r="S325" i="39"/>
  <c r="AA326" i="39"/>
  <c r="S333" i="39"/>
  <c r="T333" i="39" s="1"/>
  <c r="Y333" i="39" s="1"/>
  <c r="T335" i="39"/>
  <c r="L6" i="40"/>
  <c r="T353" i="39"/>
  <c r="M411" i="39"/>
  <c r="Q382" i="39"/>
  <c r="S385" i="39"/>
  <c r="Y387" i="39"/>
  <c r="Z388" i="39"/>
  <c r="S390" i="39"/>
  <c r="T390" i="39"/>
  <c r="Y390" i="39" s="1"/>
  <c r="AA390" i="39"/>
  <c r="Z390" i="39"/>
  <c r="Q398" i="39"/>
  <c r="X401" i="39"/>
  <c r="Y401" i="39" s="1"/>
  <c r="Z401" i="39"/>
  <c r="S23" i="43"/>
  <c r="T23" i="43" s="1"/>
  <c r="O60" i="43"/>
  <c r="Z265" i="39"/>
  <c r="T265" i="39"/>
  <c r="Y265" i="39" s="1"/>
  <c r="S284" i="39"/>
  <c r="Z284" i="39" s="1"/>
  <c r="N345" i="39"/>
  <c r="Z319" i="39"/>
  <c r="W378" i="39"/>
  <c r="S352" i="39"/>
  <c r="Z352" i="39" s="1"/>
  <c r="N411" i="39"/>
  <c r="S28" i="44"/>
  <c r="O28" i="44"/>
  <c r="P28" i="44" s="1"/>
  <c r="S389" i="39"/>
  <c r="Q397" i="39"/>
  <c r="Y403" i="39"/>
  <c r="Q407" i="39"/>
  <c r="Q408" i="39"/>
  <c r="P18" i="43"/>
  <c r="S18" i="43" s="1"/>
  <c r="O5" i="43"/>
  <c r="P5" i="43"/>
  <c r="T22" i="43"/>
  <c r="T30" i="44"/>
  <c r="T300" i="39"/>
  <c r="AA300" i="39" s="1"/>
  <c r="AB300" i="39" s="1"/>
  <c r="O378" i="39"/>
  <c r="Q373" i="39"/>
  <c r="S386" i="39"/>
  <c r="S399" i="39"/>
  <c r="T402" i="39"/>
  <c r="Y402" i="39" s="1"/>
  <c r="S402" i="39"/>
  <c r="P411" i="39"/>
  <c r="M215" i="43"/>
  <c r="V7" i="43" s="1"/>
  <c r="T33" i="43"/>
  <c r="O56" i="43"/>
  <c r="S58" i="43"/>
  <c r="P30" i="44"/>
  <c r="S30" i="44"/>
  <c r="S47" i="45"/>
  <c r="T47" i="45" s="1"/>
  <c r="P47" i="45"/>
  <c r="Q362" i="39"/>
  <c r="Z405" i="39"/>
  <c r="Z406" i="39"/>
  <c r="AA406" i="39" s="1"/>
  <c r="T407" i="39"/>
  <c r="O10" i="43"/>
  <c r="T26" i="43"/>
  <c r="S46" i="43"/>
  <c r="T46" i="43" s="1"/>
  <c r="S54" i="43"/>
  <c r="T54" i="43" s="1"/>
  <c r="S37" i="44"/>
  <c r="T37" i="44" s="1"/>
  <c r="R37" i="44"/>
  <c r="P42" i="44"/>
  <c r="O42" i="44"/>
  <c r="S42" i="44" s="1"/>
  <c r="T42" i="44" s="1"/>
  <c r="O215" i="43"/>
  <c r="T6" i="43"/>
  <c r="L205" i="44"/>
  <c r="Q268" i="39"/>
  <c r="AA282" i="39"/>
  <c r="AB282" i="39" s="1"/>
  <c r="Z331" i="39"/>
  <c r="AA331" i="39" s="1"/>
  <c r="AB331" i="39" s="1"/>
  <c r="AA348" i="39"/>
  <c r="AB348" i="39" s="1"/>
  <c r="T405" i="39"/>
  <c r="T406" i="39"/>
  <c r="Q215" i="43"/>
  <c r="P24" i="43"/>
  <c r="S24" i="43" s="1"/>
  <c r="T24" i="43" s="1"/>
  <c r="S33" i="43"/>
  <c r="S39" i="43"/>
  <c r="T39" i="43" s="1"/>
  <c r="M205" i="44"/>
  <c r="V7" i="44" s="1"/>
  <c r="S10" i="44"/>
  <c r="P6" i="43"/>
  <c r="S21" i="43"/>
  <c r="T21" i="43" s="1"/>
  <c r="T51" i="43"/>
  <c r="Q383" i="39"/>
  <c r="Q395" i="39"/>
  <c r="S6" i="43"/>
  <c r="T18" i="43"/>
  <c r="S37" i="43"/>
  <c r="T37" i="43" s="1"/>
  <c r="P43" i="43"/>
  <c r="O43" i="43"/>
  <c r="S51" i="44"/>
  <c r="T51" i="44" s="1"/>
  <c r="Y397" i="39"/>
  <c r="AA397" i="39" s="1"/>
  <c r="O3" i="47"/>
  <c r="Z373" i="39"/>
  <c r="T408" i="39"/>
  <c r="O28" i="43"/>
  <c r="P28" i="43" s="1"/>
  <c r="T30" i="43"/>
  <c r="O38" i="43"/>
  <c r="P38" i="43" s="1"/>
  <c r="S7" i="44"/>
  <c r="T7" i="44" s="1"/>
  <c r="P33" i="44"/>
  <c r="S33" i="44" s="1"/>
  <c r="T33" i="44" s="1"/>
  <c r="P48" i="43"/>
  <c r="S48" i="43"/>
  <c r="T48" i="43" s="1"/>
  <c r="O25" i="44"/>
  <c r="P25" i="44" s="1"/>
  <c r="S25" i="44" s="1"/>
  <c r="T25" i="44" s="1"/>
  <c r="S27" i="45"/>
  <c r="T27" i="45" s="1"/>
  <c r="T373" i="39"/>
  <c r="P20" i="43"/>
  <c r="S20" i="43" s="1"/>
  <c r="T20" i="43" s="1"/>
  <c r="P35" i="43"/>
  <c r="S35" i="43" s="1"/>
  <c r="T35" i="43" s="1"/>
  <c r="O48" i="43"/>
  <c r="T52" i="43"/>
  <c r="O57" i="43"/>
  <c r="T59" i="43"/>
  <c r="T6" i="44"/>
  <c r="O21" i="44"/>
  <c r="P21" i="44" s="1"/>
  <c r="S21" i="44" s="1"/>
  <c r="T21" i="44" s="1"/>
  <c r="S40" i="44"/>
  <c r="T40" i="44" s="1"/>
  <c r="S54" i="44"/>
  <c r="T54" i="44" s="1"/>
  <c r="R54" i="44"/>
  <c r="T63" i="44"/>
  <c r="O142" i="46"/>
  <c r="S6" i="44"/>
  <c r="S36" i="44"/>
  <c r="T36" i="44" s="1"/>
  <c r="O36" i="44"/>
  <c r="S18" i="45"/>
  <c r="T18" i="45" s="1"/>
  <c r="P32" i="43"/>
  <c r="S32" i="43" s="1"/>
  <c r="T32" i="43" s="1"/>
  <c r="S42" i="43"/>
  <c r="T42" i="43" s="1"/>
  <c r="S50" i="43"/>
  <c r="T50" i="43" s="1"/>
  <c r="O6" i="44"/>
  <c r="P6" i="44" s="1"/>
  <c r="S17" i="44"/>
  <c r="S19" i="44"/>
  <c r="T19" i="44" s="1"/>
  <c r="P36" i="44"/>
  <c r="P57" i="44"/>
  <c r="P59" i="44"/>
  <c r="O59" i="44"/>
  <c r="S59" i="44" s="1"/>
  <c r="T59" i="44" s="1"/>
  <c r="P34" i="44"/>
  <c r="S34" i="44"/>
  <c r="T34" i="44" s="1"/>
  <c r="P53" i="44"/>
  <c r="S53" i="44" s="1"/>
  <c r="T53" i="44" s="1"/>
  <c r="P146" i="46"/>
  <c r="S146" i="46" s="1"/>
  <c r="T146" i="46" s="1"/>
  <c r="T49" i="44"/>
  <c r="T202" i="44"/>
  <c r="T20" i="45"/>
  <c r="N215" i="43"/>
  <c r="P3" i="43"/>
  <c r="T14" i="43"/>
  <c r="T17" i="43"/>
  <c r="P55" i="43"/>
  <c r="S55" i="43" s="1"/>
  <c r="T55" i="43" s="1"/>
  <c r="T10" i="44"/>
  <c r="O15" i="44"/>
  <c r="P24" i="44"/>
  <c r="S24" i="44" s="1"/>
  <c r="T24" i="44" s="1"/>
  <c r="P45" i="44"/>
  <c r="S45" i="44" s="1"/>
  <c r="T45" i="44" s="1"/>
  <c r="P62" i="44"/>
  <c r="S62" i="44" s="1"/>
  <c r="T62" i="44" s="1"/>
  <c r="P202" i="44"/>
  <c r="S202" i="44" s="1"/>
  <c r="N199" i="46"/>
  <c r="P15" i="46"/>
  <c r="S15" i="46" s="1"/>
  <c r="T15" i="46" s="1"/>
  <c r="O17" i="46"/>
  <c r="P139" i="46"/>
  <c r="S139" i="46" s="1"/>
  <c r="T139" i="46" s="1"/>
  <c r="P31" i="45"/>
  <c r="S31" i="45"/>
  <c r="T31" i="45" s="1"/>
  <c r="S198" i="45"/>
  <c r="T198" i="45" s="1"/>
  <c r="P198" i="45"/>
  <c r="O198" i="45"/>
  <c r="P198" i="44"/>
  <c r="S198" i="44" s="1"/>
  <c r="T198" i="44" s="1"/>
  <c r="T10" i="45"/>
  <c r="P67" i="45"/>
  <c r="S67" i="45" s="1"/>
  <c r="T67" i="45" s="1"/>
  <c r="O175" i="46"/>
  <c r="T39" i="44"/>
  <c r="T52" i="44"/>
  <c r="R3" i="44"/>
  <c r="Q205" i="44"/>
  <c r="R16" i="44"/>
  <c r="S16" i="44" s="1"/>
  <c r="T16" i="44" s="1"/>
  <c r="O18" i="44"/>
  <c r="T50" i="44"/>
  <c r="S25" i="45"/>
  <c r="T25" i="45" s="1"/>
  <c r="O41" i="45"/>
  <c r="P41" i="45" s="1"/>
  <c r="S41" i="45" s="1"/>
  <c r="T41" i="45" s="1"/>
  <c r="S5" i="44"/>
  <c r="T5" i="44" s="1"/>
  <c r="P39" i="44"/>
  <c r="S39" i="44" s="1"/>
  <c r="O48" i="44"/>
  <c r="P48" i="44" s="1"/>
  <c r="S48" i="44" s="1"/>
  <c r="T48" i="44" s="1"/>
  <c r="S50" i="44"/>
  <c r="S61" i="44"/>
  <c r="T61" i="44" s="1"/>
  <c r="S67" i="44"/>
  <c r="T67" i="44" s="1"/>
  <c r="P67" i="44"/>
  <c r="O67" i="44"/>
  <c r="L200" i="45"/>
  <c r="R25" i="45"/>
  <c r="P63" i="45"/>
  <c r="S63" i="45" s="1"/>
  <c r="T63" i="45" s="1"/>
  <c r="T13" i="44"/>
  <c r="T58" i="44"/>
  <c r="M200" i="45"/>
  <c r="V7" i="45" s="1"/>
  <c r="E7" i="47" s="1"/>
  <c r="O27" i="44"/>
  <c r="P27" i="44" s="1"/>
  <c r="S31" i="44"/>
  <c r="T31" i="44" s="1"/>
  <c r="P35" i="44"/>
  <c r="S35" i="45"/>
  <c r="T35" i="45" s="1"/>
  <c r="O37" i="45"/>
  <c r="P37" i="45" s="1"/>
  <c r="S37" i="45" s="1"/>
  <c r="T37" i="45" s="1"/>
  <c r="P13" i="44"/>
  <c r="S13" i="44" s="1"/>
  <c r="Q200" i="45"/>
  <c r="R3" i="45"/>
  <c r="P10" i="45"/>
  <c r="S14" i="45"/>
  <c r="T14" i="45" s="1"/>
  <c r="S16" i="45"/>
  <c r="T16" i="45" s="1"/>
  <c r="P16" i="45"/>
  <c r="T43" i="45"/>
  <c r="T54" i="45"/>
  <c r="O58" i="45"/>
  <c r="S196" i="45"/>
  <c r="T196" i="45" s="1"/>
  <c r="S20" i="45"/>
  <c r="P24" i="45"/>
  <c r="S24" i="45" s="1"/>
  <c r="T24" i="45" s="1"/>
  <c r="T34" i="45"/>
  <c r="P43" i="45"/>
  <c r="S43" i="45"/>
  <c r="O52" i="45"/>
  <c r="S69" i="45"/>
  <c r="T69" i="45" s="1"/>
  <c r="S5" i="45"/>
  <c r="T5" i="45" s="1"/>
  <c r="S28" i="45"/>
  <c r="T28" i="45" s="1"/>
  <c r="S34" i="45"/>
  <c r="S50" i="45"/>
  <c r="T50" i="45" s="1"/>
  <c r="P60" i="45"/>
  <c r="S60" i="45" s="1"/>
  <c r="T60" i="45" s="1"/>
  <c r="P199" i="45"/>
  <c r="O199" i="45"/>
  <c r="S199" i="45" s="1"/>
  <c r="T199" i="45" s="1"/>
  <c r="O97" i="46"/>
  <c r="O11" i="50"/>
  <c r="P41" i="44"/>
  <c r="P55" i="44"/>
  <c r="S55" i="44" s="1"/>
  <c r="T55" i="44" s="1"/>
  <c r="P5" i="45"/>
  <c r="S10" i="45"/>
  <c r="R18" i="45"/>
  <c r="P28" i="45"/>
  <c r="S30" i="45"/>
  <c r="T30" i="45" s="1"/>
  <c r="P30" i="45"/>
  <c r="O38" i="45"/>
  <c r="S38" i="45" s="1"/>
  <c r="T38" i="45" s="1"/>
  <c r="O11" i="46"/>
  <c r="P11" i="46" s="1"/>
  <c r="S11" i="46" s="1"/>
  <c r="T11" i="46" s="1"/>
  <c r="S154" i="46"/>
  <c r="T154" i="46" s="1"/>
  <c r="S82" i="46"/>
  <c r="T82" i="46" s="1"/>
  <c r="O4" i="44"/>
  <c r="P4" i="44" s="1"/>
  <c r="P9" i="44"/>
  <c r="O32" i="44"/>
  <c r="O35" i="44"/>
  <c r="O38" i="44"/>
  <c r="O41" i="44"/>
  <c r="S52" i="44"/>
  <c r="O55" i="44"/>
  <c r="O30" i="45"/>
  <c r="P38" i="45"/>
  <c r="S48" i="45"/>
  <c r="T48" i="45" s="1"/>
  <c r="O64" i="45"/>
  <c r="P64" i="45" s="1"/>
  <c r="T14" i="44"/>
  <c r="T17" i="44"/>
  <c r="P17" i="45"/>
  <c r="M199" i="46"/>
  <c r="V7" i="46" s="1"/>
  <c r="O145" i="46"/>
  <c r="S41" i="44"/>
  <c r="T41" i="44" s="1"/>
  <c r="O57" i="44"/>
  <c r="O66" i="44"/>
  <c r="S66" i="44" s="1"/>
  <c r="T66" i="44" s="1"/>
  <c r="P199" i="44"/>
  <c r="S199" i="44" s="1"/>
  <c r="T199" i="44" s="1"/>
  <c r="O201" i="44"/>
  <c r="P201" i="44" s="1"/>
  <c r="S201" i="44" s="1"/>
  <c r="T201" i="44" s="1"/>
  <c r="O4" i="45"/>
  <c r="P7" i="45"/>
  <c r="S9" i="45"/>
  <c r="T9" i="45" s="1"/>
  <c r="O17" i="45"/>
  <c r="S32" i="45"/>
  <c r="T32" i="45" s="1"/>
  <c r="P42" i="45"/>
  <c r="P44" i="45"/>
  <c r="S44" i="45"/>
  <c r="T44" i="45" s="1"/>
  <c r="S46" i="45"/>
  <c r="T46" i="45" s="1"/>
  <c r="P66" i="45"/>
  <c r="S66" i="45" s="1"/>
  <c r="T66" i="45" s="1"/>
  <c r="O179" i="46"/>
  <c r="P179" i="46" s="1"/>
  <c r="S179" i="46" s="1"/>
  <c r="T179" i="46" s="1"/>
  <c r="P3" i="44"/>
  <c r="N205" i="44"/>
  <c r="S9" i="44"/>
  <c r="T9" i="44" s="1"/>
  <c r="P20" i="44"/>
  <c r="S20" i="44" s="1"/>
  <c r="T20" i="44" s="1"/>
  <c r="T28" i="44"/>
  <c r="P66" i="44"/>
  <c r="Y7" i="45"/>
  <c r="P40" i="45"/>
  <c r="S40" i="45" s="1"/>
  <c r="T40" i="45" s="1"/>
  <c r="S70" i="45"/>
  <c r="T70" i="45" s="1"/>
  <c r="T56" i="44"/>
  <c r="P21" i="45"/>
  <c r="S21" i="45" s="1"/>
  <c r="T21" i="45" s="1"/>
  <c r="P23" i="45"/>
  <c r="S23" i="45" s="1"/>
  <c r="T23" i="45" s="1"/>
  <c r="O55" i="45"/>
  <c r="P55" i="45" s="1"/>
  <c r="S88" i="46"/>
  <c r="T88" i="46" s="1"/>
  <c r="S83" i="46"/>
  <c r="T83" i="46" s="1"/>
  <c r="O9" i="46"/>
  <c r="S177" i="46"/>
  <c r="T177" i="46" s="1"/>
  <c r="O3" i="45"/>
  <c r="O13" i="45"/>
  <c r="P13" i="45" s="1"/>
  <c r="O20" i="45"/>
  <c r="P20" i="45" s="1"/>
  <c r="O27" i="45"/>
  <c r="P27" i="45" s="1"/>
  <c r="O34" i="45"/>
  <c r="P34" i="45" s="1"/>
  <c r="O49" i="45"/>
  <c r="P49" i="45" s="1"/>
  <c r="S156" i="46"/>
  <c r="T156" i="46" s="1"/>
  <c r="S80" i="46"/>
  <c r="T80" i="46" s="1"/>
  <c r="L199" i="46"/>
  <c r="O152" i="46"/>
  <c r="P152" i="46" s="1"/>
  <c r="O204" i="44"/>
  <c r="S204" i="44" s="1"/>
  <c r="T204" i="44" s="1"/>
  <c r="O8" i="45"/>
  <c r="P8" i="45" s="1"/>
  <c r="O12" i="45"/>
  <c r="P12" i="45" s="1"/>
  <c r="S12" i="45" s="1"/>
  <c r="T12" i="45" s="1"/>
  <c r="O19" i="45"/>
  <c r="P19" i="45" s="1"/>
  <c r="S19" i="45" s="1"/>
  <c r="T19" i="45" s="1"/>
  <c r="O26" i="45"/>
  <c r="P26" i="45" s="1"/>
  <c r="S26" i="45" s="1"/>
  <c r="T26" i="45" s="1"/>
  <c r="O33" i="45"/>
  <c r="S33" i="45" s="1"/>
  <c r="T33" i="45" s="1"/>
  <c r="P51" i="45"/>
  <c r="S51" i="45" s="1"/>
  <c r="T51" i="45" s="1"/>
  <c r="O57" i="45"/>
  <c r="P57" i="45" s="1"/>
  <c r="T59" i="45"/>
  <c r="T65" i="45"/>
  <c r="S71" i="45"/>
  <c r="T71" i="45" s="1"/>
  <c r="P71" i="45"/>
  <c r="O195" i="45"/>
  <c r="P195" i="45" s="1"/>
  <c r="O14" i="46"/>
  <c r="O94" i="46"/>
  <c r="P94" i="46" s="1"/>
  <c r="G15" i="48"/>
  <c r="D19" i="2" s="1"/>
  <c r="O19" i="2" s="1"/>
  <c r="P204" i="44"/>
  <c r="P33" i="45"/>
  <c r="O45" i="45"/>
  <c r="P45" i="45" s="1"/>
  <c r="O48" i="45"/>
  <c r="P48" i="45" s="1"/>
  <c r="O51" i="45"/>
  <c r="O90" i="46"/>
  <c r="P90" i="46" s="1"/>
  <c r="S90" i="46" s="1"/>
  <c r="T90" i="46" s="1"/>
  <c r="O138" i="46"/>
  <c r="O200" i="44"/>
  <c r="O7" i="45"/>
  <c r="O15" i="45"/>
  <c r="O22" i="45"/>
  <c r="O29" i="45"/>
  <c r="O36" i="45"/>
  <c r="O42" i="45"/>
  <c r="P65" i="45"/>
  <c r="S65" i="45" s="1"/>
  <c r="S193" i="45"/>
  <c r="T193" i="45" s="1"/>
  <c r="P3" i="46"/>
  <c r="S3" i="46" s="1"/>
  <c r="P10" i="46"/>
  <c r="S10" i="46" s="1"/>
  <c r="T10" i="46" s="1"/>
  <c r="O182" i="46"/>
  <c r="S198" i="46"/>
  <c r="T198" i="46" s="1"/>
  <c r="M15" i="48"/>
  <c r="F19" i="2" s="1"/>
  <c r="Q199" i="46"/>
  <c r="P157" i="46"/>
  <c r="S157" i="46" s="1"/>
  <c r="T157" i="46" s="1"/>
  <c r="S161" i="46"/>
  <c r="T161" i="46" s="1"/>
  <c r="O163" i="46"/>
  <c r="P163" i="46" s="1"/>
  <c r="S192" i="45"/>
  <c r="T192" i="45" s="1"/>
  <c r="R199" i="46"/>
  <c r="P50" i="45"/>
  <c r="O192" i="45"/>
  <c r="P192" i="45" s="1"/>
  <c r="T194" i="45"/>
  <c r="P143" i="46"/>
  <c r="S143" i="46" s="1"/>
  <c r="T143" i="46" s="1"/>
  <c r="S148" i="46"/>
  <c r="T148" i="46" s="1"/>
  <c r="O149" i="46"/>
  <c r="P153" i="46"/>
  <c r="S153" i="46" s="1"/>
  <c r="T153" i="46" s="1"/>
  <c r="O159" i="46"/>
  <c r="S176" i="46"/>
  <c r="T176" i="46" s="1"/>
  <c r="S137" i="46"/>
  <c r="T137" i="46" s="1"/>
  <c r="S78" i="46"/>
  <c r="T78" i="46" s="1"/>
  <c r="P8" i="46"/>
  <c r="S8" i="46" s="1"/>
  <c r="T8" i="46" s="1"/>
  <c r="P13" i="46"/>
  <c r="S13" i="46" s="1"/>
  <c r="T13" i="46" s="1"/>
  <c r="P86" i="46"/>
  <c r="S86" i="46" s="1"/>
  <c r="T86" i="46" s="1"/>
  <c r="P93" i="46"/>
  <c r="S93" i="46" s="1"/>
  <c r="T93" i="46" s="1"/>
  <c r="P100" i="46"/>
  <c r="S100" i="46" s="1"/>
  <c r="T100" i="46" s="1"/>
  <c r="P141" i="46"/>
  <c r="S141" i="46" s="1"/>
  <c r="T141" i="46" s="1"/>
  <c r="P147" i="46"/>
  <c r="S147" i="46" s="1"/>
  <c r="T147" i="46" s="1"/>
  <c r="P155" i="46"/>
  <c r="S155" i="46" s="1"/>
  <c r="T155" i="46" s="1"/>
  <c r="P162" i="46"/>
  <c r="S162" i="46" s="1"/>
  <c r="T162" i="46" s="1"/>
  <c r="P178" i="46"/>
  <c r="S178" i="46" s="1"/>
  <c r="T178" i="46" s="1"/>
  <c r="F11" i="50"/>
  <c r="S6" i="50" s="1"/>
  <c r="T6" i="50" s="1"/>
  <c r="G14" i="48"/>
  <c r="D20" i="2" s="1"/>
  <c r="P4" i="46"/>
  <c r="S4" i="46" s="1"/>
  <c r="T4" i="46" s="1"/>
  <c r="P12" i="46"/>
  <c r="S12" i="46" s="1"/>
  <c r="T12" i="46" s="1"/>
  <c r="P85" i="46"/>
  <c r="S85" i="46" s="1"/>
  <c r="T85" i="46" s="1"/>
  <c r="P92" i="46"/>
  <c r="S92" i="46" s="1"/>
  <c r="T92" i="46" s="1"/>
  <c r="P99" i="46"/>
  <c r="S99" i="46" s="1"/>
  <c r="T99" i="46" s="1"/>
  <c r="P140" i="46"/>
  <c r="S140" i="46" s="1"/>
  <c r="T140" i="46" s="1"/>
  <c r="M14" i="48"/>
  <c r="F20" i="2" s="1"/>
  <c r="F21" i="2" s="1"/>
  <c r="S163" i="46" l="1"/>
  <c r="T163" i="46" s="1"/>
  <c r="S91" i="46"/>
  <c r="T91" i="46" s="1"/>
  <c r="P103" i="46"/>
  <c r="S103" i="46" s="1"/>
  <c r="T103" i="46" s="1"/>
  <c r="S173" i="46"/>
  <c r="T173" i="46" s="1"/>
  <c r="S152" i="46"/>
  <c r="T152" i="46" s="1"/>
  <c r="P87" i="46"/>
  <c r="S87" i="46" s="1"/>
  <c r="T87" i="46" s="1"/>
  <c r="AA159" i="39"/>
  <c r="AB159" i="39" s="1"/>
  <c r="Z61" i="39"/>
  <c r="AA61" i="39" s="1"/>
  <c r="AB61" i="39" s="1"/>
  <c r="T61" i="39"/>
  <c r="Y61" i="39" s="1"/>
  <c r="AA104" i="39"/>
  <c r="AB104" i="39" s="1"/>
  <c r="X50" i="35"/>
  <c r="V27" i="35"/>
  <c r="V33" i="35" s="1"/>
  <c r="Y283" i="39"/>
  <c r="AA290" i="39"/>
  <c r="AB290" i="39" s="1"/>
  <c r="AB223" i="39"/>
  <c r="S213" i="39"/>
  <c r="X93" i="35"/>
  <c r="Y93" i="35" s="1"/>
  <c r="P22" i="35"/>
  <c r="W15" i="35"/>
  <c r="W22" i="35" s="1"/>
  <c r="Q15" i="35"/>
  <c r="AA264" i="39"/>
  <c r="AB264" i="39" s="1"/>
  <c r="Y117" i="39"/>
  <c r="AA117" i="39"/>
  <c r="P56" i="43"/>
  <c r="S56" i="43" s="1"/>
  <c r="T56" i="43" s="1"/>
  <c r="Z306" i="39"/>
  <c r="T306" i="39"/>
  <c r="Y306" i="39" s="1"/>
  <c r="O3" i="40"/>
  <c r="AA138" i="39"/>
  <c r="AB138" i="39" s="1"/>
  <c r="J8" i="40"/>
  <c r="AD256" i="39"/>
  <c r="T234" i="39"/>
  <c r="Y234" i="39" s="1"/>
  <c r="Z195" i="39"/>
  <c r="T195" i="39"/>
  <c r="Y195" i="39" s="1"/>
  <c r="T132" i="39"/>
  <c r="Y132" i="39" s="1"/>
  <c r="Z84" i="39"/>
  <c r="T84" i="39"/>
  <c r="Y19" i="39"/>
  <c r="AA19" i="39" s="1"/>
  <c r="AB19" i="39" s="1"/>
  <c r="L7" i="36"/>
  <c r="P149" i="46"/>
  <c r="S149" i="46" s="1"/>
  <c r="T149" i="46" s="1"/>
  <c r="S64" i="45"/>
  <c r="T64" i="45" s="1"/>
  <c r="Y189" i="39"/>
  <c r="AA189" i="39" s="1"/>
  <c r="AB189" i="39" s="1"/>
  <c r="Z222" i="39"/>
  <c r="T222" i="39"/>
  <c r="Y222" i="39" s="1"/>
  <c r="AB361" i="39"/>
  <c r="Z234" i="39"/>
  <c r="AA234" i="39" s="1"/>
  <c r="AB234" i="39" s="1"/>
  <c r="S80" i="39"/>
  <c r="T43" i="39"/>
  <c r="AB45" i="39"/>
  <c r="Z340" i="39"/>
  <c r="AA340" i="39"/>
  <c r="AB340" i="39" s="1"/>
  <c r="AA188" i="39"/>
  <c r="AB188" i="39" s="1"/>
  <c r="N7" i="36"/>
  <c r="Y48" i="39"/>
  <c r="AA48" i="39"/>
  <c r="AB48" i="39" s="1"/>
  <c r="Y73" i="35"/>
  <c r="X63" i="35"/>
  <c r="W63" i="35"/>
  <c r="Y141" i="39"/>
  <c r="AA141" i="39"/>
  <c r="AB141" i="39" s="1"/>
  <c r="P44" i="35"/>
  <c r="W36" i="35"/>
  <c r="Q36" i="35"/>
  <c r="N9" i="32"/>
  <c r="O7" i="32"/>
  <c r="P7" i="32" s="1"/>
  <c r="Q7" i="32" s="1"/>
  <c r="C15" i="2"/>
  <c r="O13" i="2"/>
  <c r="P97" i="46"/>
  <c r="S97" i="46" s="1"/>
  <c r="T97" i="46" s="1"/>
  <c r="Y299" i="39"/>
  <c r="AA299" i="39" s="1"/>
  <c r="AB299" i="39" s="1"/>
  <c r="AB155" i="39"/>
  <c r="AA256" i="39"/>
  <c r="AB256" i="39" s="1"/>
  <c r="T159" i="39"/>
  <c r="Y159" i="39" s="1"/>
  <c r="Z159" i="39"/>
  <c r="V295" i="38"/>
  <c r="V296" i="38" s="1"/>
  <c r="Q378" i="39"/>
  <c r="O4" i="36"/>
  <c r="E26" i="2"/>
  <c r="O22" i="2"/>
  <c r="P9" i="46"/>
  <c r="S9" i="46" s="1"/>
  <c r="AA385" i="39"/>
  <c r="AB385" i="39" s="1"/>
  <c r="Z385" i="39"/>
  <c r="AA363" i="39"/>
  <c r="AB363" i="39" s="1"/>
  <c r="Z363" i="39"/>
  <c r="Z378" i="39" s="1"/>
  <c r="T201" i="39"/>
  <c r="Y201" i="39" s="1"/>
  <c r="Z201" i="39"/>
  <c r="AA330" i="39"/>
  <c r="AB330" i="39" s="1"/>
  <c r="Y254" i="39"/>
  <c r="AA254" i="39"/>
  <c r="AB254" i="39" s="1"/>
  <c r="Y139" i="39"/>
  <c r="AA139" i="39" s="1"/>
  <c r="AB139" i="39" s="1"/>
  <c r="Z198" i="39"/>
  <c r="T30" i="39"/>
  <c r="Y30" i="39" s="1"/>
  <c r="Z30" i="39"/>
  <c r="W18" i="35"/>
  <c r="X18" i="35" s="1"/>
  <c r="Y18" i="35" s="1"/>
  <c r="Y20" i="39"/>
  <c r="AA20" i="39" s="1"/>
  <c r="AB20" i="39" s="1"/>
  <c r="AA58" i="39"/>
  <c r="AB58" i="39" s="1"/>
  <c r="Y271" i="39"/>
  <c r="AA271" i="39" s="1"/>
  <c r="AB271" i="39" s="1"/>
  <c r="F7" i="47"/>
  <c r="P38" i="44"/>
  <c r="S38" i="44"/>
  <c r="T38" i="44" s="1"/>
  <c r="P10" i="43"/>
  <c r="P215" i="43" s="1"/>
  <c r="T385" i="39"/>
  <c r="Y385" i="39" s="1"/>
  <c r="AA382" i="39"/>
  <c r="AB382" i="39" s="1"/>
  <c r="AA190" i="39"/>
  <c r="AB190" i="39" s="1"/>
  <c r="Y190" i="39"/>
  <c r="Z226" i="39"/>
  <c r="T226" i="39"/>
  <c r="Y226" i="39" s="1"/>
  <c r="AA226" i="39"/>
  <c r="AB226" i="39" s="1"/>
  <c r="AA54" i="39"/>
  <c r="AB54" i="39" s="1"/>
  <c r="T54" i="39"/>
  <c r="Y54" i="39" s="1"/>
  <c r="Z54" i="39"/>
  <c r="T198" i="39"/>
  <c r="Y198" i="39" s="1"/>
  <c r="AA162" i="39"/>
  <c r="AB162" i="39" s="1"/>
  <c r="V66" i="35"/>
  <c r="X129" i="35"/>
  <c r="Y129" i="35" s="1"/>
  <c r="V129" i="35"/>
  <c r="Q18" i="35"/>
  <c r="V18" i="35" s="1"/>
  <c r="AB3" i="39"/>
  <c r="X96" i="35"/>
  <c r="Y96" i="35" s="1"/>
  <c r="V96" i="35"/>
  <c r="S3" i="36"/>
  <c r="R13" i="31"/>
  <c r="U16" i="31"/>
  <c r="U17" i="31" s="1"/>
  <c r="O8" i="34"/>
  <c r="P8" i="34" s="1"/>
  <c r="Q8" i="34" s="1"/>
  <c r="N11" i="34"/>
  <c r="O6" i="40"/>
  <c r="X91" i="35"/>
  <c r="T338" i="39"/>
  <c r="Y338" i="39" s="1"/>
  <c r="Z338" i="39"/>
  <c r="AA381" i="39"/>
  <c r="T302" i="39"/>
  <c r="Y302" i="39" s="1"/>
  <c r="Z302" i="39"/>
  <c r="AA125" i="39"/>
  <c r="AB125" i="39" s="1"/>
  <c r="Y125" i="39"/>
  <c r="T398" i="39"/>
  <c r="Y398" i="39" s="1"/>
  <c r="AB128" i="39"/>
  <c r="AA242" i="39"/>
  <c r="AB242" i="39" s="1"/>
  <c r="F7" i="36"/>
  <c r="V81" i="35"/>
  <c r="X81" i="35"/>
  <c r="N121" i="35"/>
  <c r="S22" i="45"/>
  <c r="T22" i="45" s="1"/>
  <c r="P22" i="45"/>
  <c r="S81" i="46"/>
  <c r="T81" i="46" s="1"/>
  <c r="O205" i="44"/>
  <c r="S15" i="44"/>
  <c r="T15" i="44" s="1"/>
  <c r="Z398" i="39"/>
  <c r="Z133" i="39"/>
  <c r="T133" i="39"/>
  <c r="Y133" i="39" s="1"/>
  <c r="AA133" i="39"/>
  <c r="AB133" i="39" s="1"/>
  <c r="X8" i="35"/>
  <c r="Y8" i="35" s="1"/>
  <c r="M7" i="36"/>
  <c r="T352" i="39"/>
  <c r="Y352" i="39" s="1"/>
  <c r="S378" i="39"/>
  <c r="Z252" i="39"/>
  <c r="T252" i="39"/>
  <c r="Y252" i="39" s="1"/>
  <c r="S279" i="39"/>
  <c r="P36" i="45"/>
  <c r="S36" i="45" s="1"/>
  <c r="T36" i="45" s="1"/>
  <c r="P29" i="45"/>
  <c r="S29" i="45" s="1"/>
  <c r="T29" i="45" s="1"/>
  <c r="S35" i="44"/>
  <c r="T35" i="44" s="1"/>
  <c r="V128" i="35"/>
  <c r="X128" i="35"/>
  <c r="T363" i="39"/>
  <c r="Y363" i="39" s="1"/>
  <c r="T291" i="39"/>
  <c r="Y291" i="39" s="1"/>
  <c r="AA123" i="39"/>
  <c r="AB123" i="39" s="1"/>
  <c r="Q147" i="39"/>
  <c r="Y117" i="35"/>
  <c r="W74" i="35"/>
  <c r="Q74" i="35"/>
  <c r="V74" i="35" s="1"/>
  <c r="X74" i="35"/>
  <c r="Y74" i="35" s="1"/>
  <c r="Y276" i="39"/>
  <c r="AA276" i="39"/>
  <c r="AB276" i="39" s="1"/>
  <c r="P88" i="35"/>
  <c r="W80" i="35"/>
  <c r="Q80" i="35"/>
  <c r="S79" i="46"/>
  <c r="T79" i="46" s="1"/>
  <c r="P15" i="44"/>
  <c r="P205" i="44" s="1"/>
  <c r="AA355" i="39"/>
  <c r="AB355" i="39" s="1"/>
  <c r="Z291" i="39"/>
  <c r="AA332" i="39"/>
  <c r="AB332" i="39" s="1"/>
  <c r="Q279" i="39"/>
  <c r="Y362" i="39"/>
  <c r="AA362" i="39" s="1"/>
  <c r="AB362" i="39" s="1"/>
  <c r="V378" i="39"/>
  <c r="AB200" i="39"/>
  <c r="Y116" i="35"/>
  <c r="X114" i="35"/>
  <c r="Y114" i="35" s="1"/>
  <c r="T85" i="39"/>
  <c r="Y85" i="39" s="1"/>
  <c r="Z85" i="39"/>
  <c r="Z114" i="39" s="1"/>
  <c r="AG352" i="38"/>
  <c r="V355" i="38"/>
  <c r="V356" i="38" s="1"/>
  <c r="T366" i="39"/>
  <c r="Y366" i="39" s="1"/>
  <c r="Z366" i="39"/>
  <c r="AA76" i="39"/>
  <c r="AB76" i="39" s="1"/>
  <c r="Z76" i="39"/>
  <c r="AA157" i="39"/>
  <c r="AB157" i="39" s="1"/>
  <c r="Z157" i="39"/>
  <c r="T157" i="39"/>
  <c r="Y157" i="39" s="1"/>
  <c r="P4" i="45"/>
  <c r="S4" i="45" s="1"/>
  <c r="T4" i="45" s="1"/>
  <c r="D7" i="47"/>
  <c r="S180" i="39"/>
  <c r="Y128" i="35"/>
  <c r="T294" i="39"/>
  <c r="Y294" i="39" s="1"/>
  <c r="Z294" i="39"/>
  <c r="O199" i="46"/>
  <c r="Z323" i="39"/>
  <c r="T323" i="39"/>
  <c r="Y323" i="39" s="1"/>
  <c r="T368" i="39"/>
  <c r="Y368" i="39" s="1"/>
  <c r="AA368" i="39"/>
  <c r="AB368" i="39" s="1"/>
  <c r="Y407" i="39"/>
  <c r="AA407" i="39" s="1"/>
  <c r="AB407" i="39" s="1"/>
  <c r="Z391" i="39"/>
  <c r="T391" i="39"/>
  <c r="Y391" i="39" s="1"/>
  <c r="AA384" i="39"/>
  <c r="AB384" i="39" s="1"/>
  <c r="S411" i="39"/>
  <c r="Z384" i="39"/>
  <c r="V125" i="35"/>
  <c r="X125" i="35"/>
  <c r="Y125" i="35" s="1"/>
  <c r="S18" i="44"/>
  <c r="T18" i="44" s="1"/>
  <c r="P18" i="44"/>
  <c r="Y373" i="39"/>
  <c r="AA373" i="39" s="1"/>
  <c r="AB373" i="39" s="1"/>
  <c r="AA396" i="39"/>
  <c r="AB396" i="39" s="1"/>
  <c r="S7" i="43"/>
  <c r="T7" i="43" s="1"/>
  <c r="P7" i="43"/>
  <c r="Y268" i="39"/>
  <c r="AA268" i="39" s="1"/>
  <c r="AB268" i="39" s="1"/>
  <c r="Y288" i="39"/>
  <c r="AA288" i="39"/>
  <c r="AB288" i="39" s="1"/>
  <c r="Z168" i="39"/>
  <c r="AA168" i="39" s="1"/>
  <c r="AB168" i="39" s="1"/>
  <c r="T168" i="39"/>
  <c r="Y168" i="39" s="1"/>
  <c r="X279" i="39"/>
  <c r="AA251" i="39"/>
  <c r="AB251" i="39" s="1"/>
  <c r="Z370" i="39"/>
  <c r="AA370" i="39"/>
  <c r="AB370" i="39" s="1"/>
  <c r="Q132" i="35"/>
  <c r="V124" i="35"/>
  <c r="S262" i="38"/>
  <c r="AG262" i="38" s="1"/>
  <c r="Y235" i="39"/>
  <c r="AA235" i="39" s="1"/>
  <c r="AB235" i="39" s="1"/>
  <c r="X69" i="35"/>
  <c r="P17" i="46"/>
  <c r="S17" i="46" s="1"/>
  <c r="T17" i="46" s="1"/>
  <c r="T315" i="39"/>
  <c r="T152" i="39"/>
  <c r="H7" i="40"/>
  <c r="AD189" i="39"/>
  <c r="G7" i="40"/>
  <c r="AD156" i="39"/>
  <c r="J7" i="40"/>
  <c r="AD255" i="39"/>
  <c r="AB95" i="39"/>
  <c r="W70" i="35"/>
  <c r="AA18" i="39"/>
  <c r="Q5" i="32"/>
  <c r="Q9" i="32" s="1"/>
  <c r="P9" i="32"/>
  <c r="Q114" i="39"/>
  <c r="T23" i="39"/>
  <c r="Y23" i="39" s="1"/>
  <c r="AA89" i="39"/>
  <c r="AB89" i="39" s="1"/>
  <c r="W62" i="35"/>
  <c r="X62" i="35" s="1"/>
  <c r="Y62" i="35" s="1"/>
  <c r="B28" i="32"/>
  <c r="B19" i="32"/>
  <c r="B24" i="32" s="1"/>
  <c r="B29" i="32"/>
  <c r="B20" i="32"/>
  <c r="AA109" i="39"/>
  <c r="AB109" i="39" s="1"/>
  <c r="V84" i="35"/>
  <c r="X84" i="35" s="1"/>
  <c r="Y84" i="35" s="1"/>
  <c r="T102" i="39"/>
  <c r="Y102" i="39" s="1"/>
  <c r="X106" i="35"/>
  <c r="Y106" i="35" s="1"/>
  <c r="O8" i="36"/>
  <c r="N88" i="35"/>
  <c r="V103" i="35"/>
  <c r="X103" i="35" s="1"/>
  <c r="Y103" i="35" s="1"/>
  <c r="Q80" i="39"/>
  <c r="F26" i="2"/>
  <c r="AF3" i="31"/>
  <c r="AF5" i="31" s="1"/>
  <c r="R8" i="36" s="1"/>
  <c r="D49" i="36" s="1"/>
  <c r="AF2" i="31"/>
  <c r="AE6" i="17"/>
  <c r="AE14" i="17" s="1"/>
  <c r="S32" i="44"/>
  <c r="T32" i="44" s="1"/>
  <c r="T239" i="39"/>
  <c r="Y239" i="39" s="1"/>
  <c r="AA239" i="39"/>
  <c r="Q180" i="39"/>
  <c r="AB150" i="39"/>
  <c r="S15" i="45"/>
  <c r="T15" i="45" s="1"/>
  <c r="R205" i="44"/>
  <c r="N8" i="40"/>
  <c r="AD388" i="39"/>
  <c r="S25" i="43"/>
  <c r="T25" i="43" s="1"/>
  <c r="T327" i="39"/>
  <c r="Y327" i="39" s="1"/>
  <c r="Z327" i="39"/>
  <c r="T304" i="39"/>
  <c r="Y304" i="39" s="1"/>
  <c r="S7" i="45"/>
  <c r="T7" i="45" s="1"/>
  <c r="P14" i="46"/>
  <c r="S14" i="46" s="1"/>
  <c r="T14" i="46" s="1"/>
  <c r="S94" i="46"/>
  <c r="T94" i="46" s="1"/>
  <c r="S8" i="45"/>
  <c r="T8" i="45" s="1"/>
  <c r="R200" i="45"/>
  <c r="Z402" i="39"/>
  <c r="AA402" i="39"/>
  <c r="AB402" i="39" s="1"/>
  <c r="P32" i="44"/>
  <c r="AB397" i="39"/>
  <c r="N7" i="40"/>
  <c r="AD387" i="39"/>
  <c r="S13" i="43"/>
  <c r="T13" i="43" s="1"/>
  <c r="AB351" i="39"/>
  <c r="AA265" i="39"/>
  <c r="AA369" i="39"/>
  <c r="AB369" i="39" s="1"/>
  <c r="T286" i="39"/>
  <c r="Y286" i="39" s="1"/>
  <c r="AB232" i="39"/>
  <c r="AD222" i="39"/>
  <c r="I7" i="40"/>
  <c r="AA319" i="39"/>
  <c r="AB319" i="39" s="1"/>
  <c r="Z315" i="39"/>
  <c r="T334" i="39"/>
  <c r="AB209" i="39"/>
  <c r="Z152" i="39"/>
  <c r="Z180" i="39" s="1"/>
  <c r="Q213" i="39"/>
  <c r="T227" i="39"/>
  <c r="Y227" i="39" s="1"/>
  <c r="X127" i="35"/>
  <c r="Y127" i="35" s="1"/>
  <c r="AA177" i="39"/>
  <c r="AB177" i="39" s="1"/>
  <c r="T256" i="39"/>
  <c r="Y256" i="39" s="1"/>
  <c r="AA165" i="39"/>
  <c r="AB165" i="39" s="1"/>
  <c r="AB120" i="39"/>
  <c r="AA5" i="39"/>
  <c r="AB5" i="39" s="1"/>
  <c r="AA29" i="39"/>
  <c r="AB29" i="39" s="1"/>
  <c r="W102" i="35"/>
  <c r="W110" i="35" s="1"/>
  <c r="H8" i="40"/>
  <c r="AD190" i="39"/>
  <c r="N77" i="35"/>
  <c r="Y69" i="35"/>
  <c r="Z23" i="39"/>
  <c r="Z108" i="39"/>
  <c r="AA108" i="39" s="1"/>
  <c r="AB108" i="39" s="1"/>
  <c r="Q121" i="35"/>
  <c r="V113" i="35"/>
  <c r="V121" i="35" s="1"/>
  <c r="P121" i="35"/>
  <c r="AA119" i="35" s="1"/>
  <c r="X113" i="35"/>
  <c r="W113" i="35"/>
  <c r="W121" i="35" s="1"/>
  <c r="S147" i="39"/>
  <c r="AA122" i="39"/>
  <c r="AB122" i="39" s="1"/>
  <c r="U8" i="25"/>
  <c r="V8" i="15"/>
  <c r="W8" i="15" s="1"/>
  <c r="N33" i="35"/>
  <c r="Y25" i="35"/>
  <c r="AC17" i="17"/>
  <c r="E32" i="36"/>
  <c r="F32" i="36" s="1"/>
  <c r="G14" i="36"/>
  <c r="H14" i="36" s="1"/>
  <c r="Y183" i="39"/>
  <c r="Y213" i="39" s="1"/>
  <c r="AA183" i="39"/>
  <c r="W4" i="35"/>
  <c r="AA25" i="39"/>
  <c r="AB25" i="39" s="1"/>
  <c r="V14" i="35"/>
  <c r="O5" i="40"/>
  <c r="O9" i="32"/>
  <c r="B30" i="32" s="1"/>
  <c r="O12" i="15"/>
  <c r="V38" i="35"/>
  <c r="X38" i="35" s="1"/>
  <c r="Y38" i="35" s="1"/>
  <c r="Q66" i="35"/>
  <c r="Z273" i="39"/>
  <c r="AA273" i="39" s="1"/>
  <c r="AB273" i="39" s="1"/>
  <c r="S312" i="39"/>
  <c r="Z283" i="39"/>
  <c r="AB27" i="39"/>
  <c r="Z14" i="39"/>
  <c r="AA14" i="39" s="1"/>
  <c r="AB14" i="39" s="1"/>
  <c r="Y297" i="39"/>
  <c r="AA297" i="39" s="1"/>
  <c r="AB297" i="39" s="1"/>
  <c r="AB317" i="39"/>
  <c r="Y101" i="39"/>
  <c r="AA101" i="39" s="1"/>
  <c r="AB101" i="39" s="1"/>
  <c r="T99" i="39"/>
  <c r="Y99" i="39" s="1"/>
  <c r="AA99" i="39"/>
  <c r="AB99" i="39" s="1"/>
  <c r="AB173" i="39"/>
  <c r="AA110" i="39"/>
  <c r="AB110" i="39" s="1"/>
  <c r="Z110" i="39"/>
  <c r="Y138" i="39"/>
  <c r="D8" i="40"/>
  <c r="AD50" i="39"/>
  <c r="AB15" i="39"/>
  <c r="Z227" i="39"/>
  <c r="W47" i="35"/>
  <c r="W55" i="35" s="1"/>
  <c r="P55" i="35"/>
  <c r="Z256" i="39"/>
  <c r="Z279" i="39" s="1"/>
  <c r="W92" i="35"/>
  <c r="W99" i="35" s="1"/>
  <c r="O4" i="40"/>
  <c r="T108" i="39"/>
  <c r="Y108" i="39" s="1"/>
  <c r="AG202" i="38"/>
  <c r="V205" i="38"/>
  <c r="V206" i="38" s="1"/>
  <c r="S57" i="45"/>
  <c r="T57" i="45" s="1"/>
  <c r="S57" i="44"/>
  <c r="T57" i="44" s="1"/>
  <c r="S4" i="44"/>
  <c r="T4" i="44" s="1"/>
  <c r="S43" i="43"/>
  <c r="T43" i="43" s="1"/>
  <c r="AA401" i="39"/>
  <c r="AB401" i="39" s="1"/>
  <c r="Y353" i="39"/>
  <c r="AA353" i="39" s="1"/>
  <c r="AB353" i="39" s="1"/>
  <c r="Y364" i="39"/>
  <c r="AA364" i="39" s="1"/>
  <c r="AB364" i="39" s="1"/>
  <c r="Y355" i="39"/>
  <c r="Z220" i="39"/>
  <c r="AA220" i="39" s="1"/>
  <c r="AB220" i="39" s="1"/>
  <c r="Q312" i="39"/>
  <c r="AA342" i="39"/>
  <c r="AB342" i="39" s="1"/>
  <c r="T305" i="39"/>
  <c r="AA356" i="39"/>
  <c r="AB356" i="39" s="1"/>
  <c r="K8" i="40"/>
  <c r="AD289" i="39"/>
  <c r="L7" i="40"/>
  <c r="AD321" i="39"/>
  <c r="AA174" i="39"/>
  <c r="AB174" i="39" s="1"/>
  <c r="T98" i="39"/>
  <c r="AA339" i="39"/>
  <c r="AB339" i="39" s="1"/>
  <c r="X147" i="39"/>
  <c r="AA137" i="39"/>
  <c r="AB137" i="39" s="1"/>
  <c r="T229" i="39"/>
  <c r="Y229" i="39" s="1"/>
  <c r="AA202" i="39"/>
  <c r="AB202" i="39" s="1"/>
  <c r="AB263" i="39"/>
  <c r="Z4" i="39"/>
  <c r="Z40" i="39" s="1"/>
  <c r="T4" i="39"/>
  <c r="Z270" i="39"/>
  <c r="X126" i="35"/>
  <c r="Y126" i="35" s="1"/>
  <c r="AA51" i="35"/>
  <c r="G7" i="36" s="1"/>
  <c r="E8" i="40"/>
  <c r="AD90" i="39"/>
  <c r="X61" i="35"/>
  <c r="Y61" i="35" s="1"/>
  <c r="Y63" i="35"/>
  <c r="AB52" i="39"/>
  <c r="X4" i="35"/>
  <c r="Y4" i="35" s="1"/>
  <c r="I21" i="2"/>
  <c r="I11" i="2"/>
  <c r="I12" i="2" s="1"/>
  <c r="R10" i="40"/>
  <c r="E32" i="40" s="1"/>
  <c r="P40" i="38"/>
  <c r="V7" i="38"/>
  <c r="V8" i="38" s="1"/>
  <c r="AG4" i="38"/>
  <c r="Z235" i="39"/>
  <c r="V83" i="35"/>
  <c r="X83" i="35" s="1"/>
  <c r="Y83" i="35" s="1"/>
  <c r="Q40" i="35"/>
  <c r="V40" i="35" s="1"/>
  <c r="N22" i="35"/>
  <c r="X73" i="35"/>
  <c r="W85" i="35"/>
  <c r="X85" i="35" s="1"/>
  <c r="Y85" i="35" s="1"/>
  <c r="T6" i="19"/>
  <c r="T7" i="19"/>
  <c r="T11" i="19" s="1"/>
  <c r="T12" i="19" s="1"/>
  <c r="S3" i="44"/>
  <c r="P57" i="43"/>
  <c r="S57" i="43" s="1"/>
  <c r="T57" i="43" s="1"/>
  <c r="AA408" i="39"/>
  <c r="AB408" i="39" s="1"/>
  <c r="Y408" i="39"/>
  <c r="AA405" i="39"/>
  <c r="AB405" i="39" s="1"/>
  <c r="T284" i="39"/>
  <c r="Y284" i="39" s="1"/>
  <c r="AA284" i="39"/>
  <c r="AB284" i="39" s="1"/>
  <c r="Y358" i="39"/>
  <c r="AA358" i="39"/>
  <c r="AB358" i="39" s="1"/>
  <c r="AA327" i="39"/>
  <c r="AB327" i="39" s="1"/>
  <c r="Y405" i="39"/>
  <c r="AA329" i="39"/>
  <c r="AB329" i="39" s="1"/>
  <c r="M7" i="40"/>
  <c r="AD354" i="39"/>
  <c r="Q411" i="39"/>
  <c r="AB296" i="39"/>
  <c r="AA142" i="39"/>
  <c r="AB142" i="39" s="1"/>
  <c r="Z142" i="39"/>
  <c r="Z106" i="39"/>
  <c r="AA106" i="39" s="1"/>
  <c r="AB106" i="39" s="1"/>
  <c r="T17" i="39"/>
  <c r="Y17" i="39" s="1"/>
  <c r="Z26" i="39"/>
  <c r="AA136" i="39"/>
  <c r="Z229" i="39"/>
  <c r="AB136" i="39"/>
  <c r="Y208" i="39"/>
  <c r="AA208" i="39" s="1"/>
  <c r="AB208" i="39" s="1"/>
  <c r="T120" i="39"/>
  <c r="Y120" i="39" s="1"/>
  <c r="AA120" i="39"/>
  <c r="Y60" i="35"/>
  <c r="AA11" i="39"/>
  <c r="AB11" i="39" s="1"/>
  <c r="AA270" i="39"/>
  <c r="AB270" i="39" s="1"/>
  <c r="Z158" i="39"/>
  <c r="Q345" i="39"/>
  <c r="Q102" i="35"/>
  <c r="Y242" i="39"/>
  <c r="W11" i="35"/>
  <c r="V11" i="35"/>
  <c r="AA9" i="35" s="1"/>
  <c r="AG230" i="38"/>
  <c r="AG231" i="38"/>
  <c r="AG233" i="38" s="1"/>
  <c r="X8" i="40" s="1"/>
  <c r="D55" i="40" s="1"/>
  <c r="F32" i="40"/>
  <c r="C7" i="36"/>
  <c r="J5" i="19"/>
  <c r="L5" i="19" s="1"/>
  <c r="S16" i="19"/>
  <c r="B26" i="34"/>
  <c r="Q52" i="35"/>
  <c r="V52" i="35" s="1"/>
  <c r="S58" i="45"/>
  <c r="T58" i="45" s="1"/>
  <c r="Y335" i="39"/>
  <c r="AA335" i="39"/>
  <c r="AB335" i="39" s="1"/>
  <c r="AA357" i="39"/>
  <c r="AB357" i="39" s="1"/>
  <c r="Z259" i="39"/>
  <c r="M8" i="40"/>
  <c r="AD355" i="39"/>
  <c r="AB390" i="39"/>
  <c r="Y396" i="39"/>
  <c r="AB265" i="39"/>
  <c r="AA296" i="39"/>
  <c r="AA26" i="39"/>
  <c r="AB26" i="39" s="1"/>
  <c r="AB100" i="39"/>
  <c r="Y130" i="39"/>
  <c r="AA130" i="39" s="1"/>
  <c r="AB130" i="39" s="1"/>
  <c r="F7" i="40"/>
  <c r="AD123" i="39"/>
  <c r="AB62" i="39"/>
  <c r="T72" i="39"/>
  <c r="Z72" i="39"/>
  <c r="Y41" i="35"/>
  <c r="C7" i="40"/>
  <c r="AD9" i="39"/>
  <c r="AA261" i="39"/>
  <c r="AB261" i="39" s="1"/>
  <c r="AA158" i="39"/>
  <c r="AB158" i="39" s="1"/>
  <c r="X59" i="35"/>
  <c r="Y59" i="35" s="1"/>
  <c r="W59" i="35"/>
  <c r="W125" i="35"/>
  <c r="X246" i="39"/>
  <c r="Q246" i="39"/>
  <c r="N99" i="35"/>
  <c r="Y50" i="35"/>
  <c r="AB18" i="39"/>
  <c r="X3" i="35"/>
  <c r="S114" i="39"/>
  <c r="V145" i="38"/>
  <c r="V146" i="38" s="1"/>
  <c r="O16" i="15"/>
  <c r="O23" i="15" s="1"/>
  <c r="C23" i="15"/>
  <c r="C24" i="15" s="1"/>
  <c r="B31" i="34"/>
  <c r="V14" i="34"/>
  <c r="V15" i="34" s="1"/>
  <c r="B22" i="34"/>
  <c r="X52" i="35"/>
  <c r="Y52" i="35" s="1"/>
  <c r="AB187" i="39"/>
  <c r="Q40" i="39"/>
  <c r="Y216" i="39"/>
  <c r="X30" i="35"/>
  <c r="Y30" i="35" s="1"/>
  <c r="N66" i="35"/>
  <c r="Y58" i="35"/>
  <c r="Q5" i="33"/>
  <c r="Q11" i="33" s="1"/>
  <c r="P11" i="33"/>
  <c r="V39" i="35"/>
  <c r="Y83" i="39"/>
  <c r="J15" i="17"/>
  <c r="L15" i="17" s="1"/>
  <c r="M15" i="17" s="1"/>
  <c r="AI16" i="17"/>
  <c r="Z337" i="39"/>
  <c r="T337" i="39"/>
  <c r="R7" i="36"/>
  <c r="C49" i="36" s="1"/>
  <c r="AF6" i="31"/>
  <c r="R9" i="36" s="1"/>
  <c r="D21" i="2"/>
  <c r="O21" i="2" s="1" a="1"/>
  <c r="O21" i="2" s="1"/>
  <c r="O20" i="2"/>
  <c r="D26" i="2"/>
  <c r="T3" i="46"/>
  <c r="S45" i="45"/>
  <c r="T45" i="45" s="1"/>
  <c r="P138" i="46"/>
  <c r="S138" i="46" s="1"/>
  <c r="T138" i="46" s="1"/>
  <c r="P142" i="46"/>
  <c r="S142" i="46" s="1"/>
  <c r="T142" i="46" s="1"/>
  <c r="S5" i="43"/>
  <c r="T5" i="43" s="1"/>
  <c r="P159" i="46"/>
  <c r="S159" i="46" s="1"/>
  <c r="T159" i="46" s="1"/>
  <c r="S49" i="45"/>
  <c r="T49" i="45" s="1"/>
  <c r="Z389" i="39"/>
  <c r="Z260" i="39"/>
  <c r="T260" i="39"/>
  <c r="Y357" i="39"/>
  <c r="Z94" i="39"/>
  <c r="AA94" i="39" s="1"/>
  <c r="AB94" i="39" s="1"/>
  <c r="T94" i="39"/>
  <c r="Y94" i="39" s="1"/>
  <c r="T160" i="39"/>
  <c r="Y160" i="39" s="1"/>
  <c r="F8" i="40"/>
  <c r="AD124" i="39"/>
  <c r="T172" i="39"/>
  <c r="Y172" i="39" s="1"/>
  <c r="X28" i="35"/>
  <c r="Y28" i="35" s="1"/>
  <c r="AA70" i="39"/>
  <c r="AB70" i="39" s="1"/>
  <c r="X95" i="35"/>
  <c r="Y95" i="35" s="1"/>
  <c r="AA210" i="39"/>
  <c r="AB210" i="39" s="1"/>
  <c r="Z46" i="39"/>
  <c r="Z80" i="39" s="1"/>
  <c r="W124" i="35"/>
  <c r="W132" i="35" s="1"/>
  <c r="P132" i="35"/>
  <c r="P66" i="35"/>
  <c r="AA51" i="39"/>
  <c r="AB51" i="39" s="1"/>
  <c r="T10" i="39"/>
  <c r="Y10" i="39" s="1"/>
  <c r="Q47" i="35"/>
  <c r="I8" i="40"/>
  <c r="AD223" i="39"/>
  <c r="Q30" i="35"/>
  <c r="V30" i="35" s="1"/>
  <c r="P33" i="35"/>
  <c r="X51" i="35"/>
  <c r="Y51" i="35" s="1"/>
  <c r="Q92" i="35"/>
  <c r="V92" i="35" s="1"/>
  <c r="V99" i="35" s="1"/>
  <c r="AA84" i="35"/>
  <c r="AA13" i="39"/>
  <c r="AB13" i="39" s="1"/>
  <c r="W37" i="35"/>
  <c r="X37" i="35" s="1"/>
  <c r="Y37" i="35" s="1"/>
  <c r="AA107" i="39"/>
  <c r="AB107" i="39" s="1"/>
  <c r="K17" i="2"/>
  <c r="S3" i="43"/>
  <c r="S34" i="43"/>
  <c r="T34" i="43" s="1"/>
  <c r="X411" i="39"/>
  <c r="S17" i="45"/>
  <c r="T17" i="45" s="1"/>
  <c r="AB395" i="39"/>
  <c r="Z143" i="39"/>
  <c r="AA143" i="39"/>
  <c r="AB143" i="39" s="1"/>
  <c r="V325" i="38"/>
  <c r="V326" i="38" s="1"/>
  <c r="Z10" i="39"/>
  <c r="AA10" i="39" s="1"/>
  <c r="AB10" i="39" s="1"/>
  <c r="W16" i="35"/>
  <c r="X16" i="35" s="1"/>
  <c r="Y16" i="35" s="1"/>
  <c r="M4" i="19"/>
  <c r="X39" i="35"/>
  <c r="Y39" i="35" s="1"/>
  <c r="K21" i="2"/>
  <c r="K11" i="2"/>
  <c r="K12" i="2" s="1"/>
  <c r="Y81" i="35"/>
  <c r="W77" i="35"/>
  <c r="C7" i="47"/>
  <c r="S345" i="39"/>
  <c r="AA36" i="39"/>
  <c r="AB36" i="39" s="1"/>
  <c r="N110" i="35"/>
  <c r="S55" i="45"/>
  <c r="T55" i="45" s="1"/>
  <c r="P58" i="45"/>
  <c r="Z399" i="39"/>
  <c r="T399" i="39"/>
  <c r="T389" i="39"/>
  <c r="Y389" i="39" s="1"/>
  <c r="Z333" i="39"/>
  <c r="AA333" i="39" s="1"/>
  <c r="AB333" i="39" s="1"/>
  <c r="L8" i="40"/>
  <c r="AD322" i="39"/>
  <c r="O200" i="45"/>
  <c r="P3" i="45"/>
  <c r="P145" i="46"/>
  <c r="S145" i="46" s="1"/>
  <c r="T145" i="46" s="1"/>
  <c r="P52" i="45"/>
  <c r="S52" i="45" s="1"/>
  <c r="T52" i="45" s="1"/>
  <c r="AA386" i="39"/>
  <c r="AB386" i="39" s="1"/>
  <c r="Z386" i="39"/>
  <c r="T274" i="39"/>
  <c r="Y274" i="39" s="1"/>
  <c r="X114" i="39"/>
  <c r="Z53" i="39"/>
  <c r="Z325" i="39"/>
  <c r="AA325" i="39" s="1"/>
  <c r="AB325" i="39" s="1"/>
  <c r="Z322" i="39"/>
  <c r="AA258" i="39"/>
  <c r="AB258" i="39" s="1"/>
  <c r="T411" i="39"/>
  <c r="AA285" i="39"/>
  <c r="AB285" i="39" s="1"/>
  <c r="T206" i="39"/>
  <c r="Y206" i="39" s="1"/>
  <c r="Z172" i="39"/>
  <c r="AA34" i="39"/>
  <c r="AB34" i="39" s="1"/>
  <c r="B31" i="33"/>
  <c r="B39" i="33" s="1"/>
  <c r="B22" i="33"/>
  <c r="B26" i="33" s="1"/>
  <c r="AA53" i="39"/>
  <c r="AB53" i="39" s="1"/>
  <c r="Z59" i="39"/>
  <c r="AA59" i="39" s="1"/>
  <c r="AB59" i="39" s="1"/>
  <c r="S27" i="44"/>
  <c r="T27" i="44" s="1"/>
  <c r="P175" i="46"/>
  <c r="S175" i="46" s="1"/>
  <c r="T175" i="46" s="1"/>
  <c r="S38" i="43"/>
  <c r="T38" i="43" s="1"/>
  <c r="S28" i="43"/>
  <c r="T28" i="43" s="1"/>
  <c r="Y404" i="39"/>
  <c r="AA404" i="39" s="1"/>
  <c r="AB404" i="39" s="1"/>
  <c r="Y367" i="39"/>
  <c r="AA367" i="39"/>
  <c r="AB367" i="39" s="1"/>
  <c r="T349" i="39"/>
  <c r="T224" i="39"/>
  <c r="Y224" i="39" s="1"/>
  <c r="AB371" i="39"/>
  <c r="AA308" i="39"/>
  <c r="AB308" i="39" s="1"/>
  <c r="Z393" i="39"/>
  <c r="AA393" i="39" s="1"/>
  <c r="AB393" i="39" s="1"/>
  <c r="AA374" i="39"/>
  <c r="AB374" i="39" s="1"/>
  <c r="Z257" i="39"/>
  <c r="Z126" i="39"/>
  <c r="T126" i="39"/>
  <c r="Y126" i="39" s="1"/>
  <c r="AA206" i="39"/>
  <c r="AB206" i="39" s="1"/>
  <c r="Z293" i="39"/>
  <c r="AA87" i="39"/>
  <c r="AB87" i="39" s="1"/>
  <c r="T87" i="39"/>
  <c r="Y87" i="39" s="1"/>
  <c r="AA375" i="39"/>
  <c r="AB375" i="39" s="1"/>
  <c r="V147" i="39"/>
  <c r="Y258" i="39"/>
  <c r="AA119" i="39"/>
  <c r="AB119" i="39" s="1"/>
  <c r="E7" i="40"/>
  <c r="AD89" i="39"/>
  <c r="AA92" i="39"/>
  <c r="AB92" i="39" s="1"/>
  <c r="AA64" i="39"/>
  <c r="AB64" i="39" s="1"/>
  <c r="AA151" i="39"/>
  <c r="AB151" i="39" s="1"/>
  <c r="AB9" i="39"/>
  <c r="T6" i="39"/>
  <c r="T40" i="39" s="1"/>
  <c r="Q82" i="35"/>
  <c r="V82" i="35" s="1"/>
  <c r="X82" i="35"/>
  <c r="Y82" i="35" s="1"/>
  <c r="Y21" i="35"/>
  <c r="I22" i="35"/>
  <c r="P5" i="34"/>
  <c r="I17" i="2"/>
  <c r="R10" i="47"/>
  <c r="U7" i="42"/>
  <c r="U8" i="42" s="1"/>
  <c r="O72" i="42"/>
  <c r="AF4" i="42"/>
  <c r="C8" i="40"/>
  <c r="AD10" i="39"/>
  <c r="N44" i="35"/>
  <c r="X40" i="39"/>
  <c r="Q70" i="35"/>
  <c r="V70" i="35" s="1"/>
  <c r="V77" i="35" s="1"/>
  <c r="Z71" i="39"/>
  <c r="AA71" i="39" s="1"/>
  <c r="AB71" i="39" s="1"/>
  <c r="P77" i="35"/>
  <c r="P110" i="35"/>
  <c r="D7" i="40"/>
  <c r="AD49" i="39"/>
  <c r="U99" i="35"/>
  <c r="Z272" i="39"/>
  <c r="AA272" i="39"/>
  <c r="AB272" i="39" s="1"/>
  <c r="T322" i="39"/>
  <c r="Y322" i="39" s="1"/>
  <c r="T259" i="39"/>
  <c r="Y259" i="39" s="1"/>
  <c r="AB185" i="39"/>
  <c r="T386" i="39"/>
  <c r="Y386" i="39" s="1"/>
  <c r="T253" i="39"/>
  <c r="Y253" i="39" s="1"/>
  <c r="AA253" i="39"/>
  <c r="AB253" i="39" s="1"/>
  <c r="AB406" i="39"/>
  <c r="AA274" i="39"/>
  <c r="AB274" i="39" s="1"/>
  <c r="Z230" i="39"/>
  <c r="AA230" i="39" s="1"/>
  <c r="AB230" i="39" s="1"/>
  <c r="AA341" i="39"/>
  <c r="AB341" i="39" s="1"/>
  <c r="T257" i="39"/>
  <c r="Y257" i="39" s="1"/>
  <c r="T293" i="39"/>
  <c r="Y293" i="39" s="1"/>
  <c r="AB239" i="39"/>
  <c r="T137" i="39"/>
  <c r="Y137" i="39" s="1"/>
  <c r="Z375" i="39"/>
  <c r="P182" i="46"/>
  <c r="S182" i="46" s="1"/>
  <c r="T182" i="46" s="1"/>
  <c r="P15" i="45"/>
  <c r="S42" i="45"/>
  <c r="T42" i="45" s="1"/>
  <c r="S195" i="45"/>
  <c r="T195" i="45" s="1"/>
  <c r="S13" i="45"/>
  <c r="T13" i="45" s="1"/>
  <c r="P200" i="44"/>
  <c r="S200" i="44" s="1"/>
  <c r="T200" i="44" s="1"/>
  <c r="AA307" i="39"/>
  <c r="AB307" i="39" s="1"/>
  <c r="T241" i="39"/>
  <c r="T365" i="39"/>
  <c r="AA301" i="39"/>
  <c r="AB301" i="39" s="1"/>
  <c r="Z324" i="39"/>
  <c r="AA324" i="39" s="1"/>
  <c r="AB324" i="39" s="1"/>
  <c r="K7" i="40"/>
  <c r="AD288" i="39"/>
  <c r="V411" i="39"/>
  <c r="Z219" i="39"/>
  <c r="Y249" i="39"/>
  <c r="Z163" i="39"/>
  <c r="AA163" i="39" s="1"/>
  <c r="AB163" i="39" s="1"/>
  <c r="AA126" i="39"/>
  <c r="AB126" i="39" s="1"/>
  <c r="AA196" i="39"/>
  <c r="AB196" i="39" s="1"/>
  <c r="AA140" i="39"/>
  <c r="AB140" i="39" s="1"/>
  <c r="Z213" i="39"/>
  <c r="AB24" i="39"/>
  <c r="Y36" i="39"/>
  <c r="T31" i="39"/>
  <c r="Y31" i="39" s="1"/>
  <c r="T64" i="39"/>
  <c r="Y64" i="39" s="1"/>
  <c r="AA86" i="39"/>
  <c r="AB86" i="39" s="1"/>
  <c r="V175" i="38"/>
  <c r="V176" i="38" s="1"/>
  <c r="Z147" i="39"/>
  <c r="S40" i="39"/>
  <c r="X7" i="40"/>
  <c r="C55" i="40" s="1"/>
  <c r="AG234" i="38"/>
  <c r="X9" i="40" s="1"/>
  <c r="O3" i="36"/>
  <c r="P11" i="35"/>
  <c r="X47" i="35" l="1"/>
  <c r="C9" i="36"/>
  <c r="AA10" i="35"/>
  <c r="T9" i="46"/>
  <c r="T199" i="46" s="1"/>
  <c r="S199" i="46"/>
  <c r="V8" i="46" s="1"/>
  <c r="M9" i="36"/>
  <c r="M10" i="36" s="1"/>
  <c r="D24" i="36" s="1"/>
  <c r="AA120" i="35"/>
  <c r="Y365" i="39"/>
  <c r="AA365" i="39" s="1"/>
  <c r="AB365" i="39" s="1"/>
  <c r="Y246" i="39"/>
  <c r="AA216" i="39"/>
  <c r="AA17" i="39"/>
  <c r="AB17" i="39" s="1"/>
  <c r="Y84" i="39"/>
  <c r="AA84" i="39" s="1"/>
  <c r="AB84" i="39" s="1"/>
  <c r="Y241" i="39"/>
  <c r="AA241" i="39"/>
  <c r="AB241" i="39" s="1"/>
  <c r="AG320" i="38"/>
  <c r="AG321" i="38"/>
  <c r="AG323" i="38" s="1"/>
  <c r="AG324" i="38" s="1"/>
  <c r="T213" i="39"/>
  <c r="B37" i="32"/>
  <c r="AF13" i="31"/>
  <c r="O20" i="31"/>
  <c r="S10" i="36"/>
  <c r="AG140" i="38"/>
  <c r="AG141" i="38"/>
  <c r="AG143" i="38" s="1"/>
  <c r="AG144" i="38" s="1"/>
  <c r="G32" i="40"/>
  <c r="X121" i="35"/>
  <c r="Y121" i="35" s="1"/>
  <c r="Y113" i="35"/>
  <c r="Y279" i="39"/>
  <c r="AA249" i="39"/>
  <c r="X11" i="35"/>
  <c r="Y11" i="35" s="1"/>
  <c r="Y3" i="35"/>
  <c r="O7" i="40"/>
  <c r="AA323" i="39"/>
  <c r="AB323" i="39" s="1"/>
  <c r="AG350" i="38"/>
  <c r="AG351" i="38"/>
  <c r="AG353" i="38" s="1"/>
  <c r="AG354" i="38" s="1"/>
  <c r="AA286" i="39"/>
  <c r="AB286" i="39" s="1"/>
  <c r="AA229" i="39"/>
  <c r="AB229" i="39" s="1"/>
  <c r="M5" i="19"/>
  <c r="T114" i="39"/>
  <c r="AD91" i="39" s="1"/>
  <c r="AD92" i="39" s="1"/>
  <c r="G32" i="36"/>
  <c r="V265" i="38"/>
  <c r="V266" i="38" s="1"/>
  <c r="AA23" i="39"/>
  <c r="AB23" i="39" s="1"/>
  <c r="AA227" i="39"/>
  <c r="AB227" i="39" s="1"/>
  <c r="T80" i="39"/>
  <c r="Y43" i="39"/>
  <c r="AA132" i="39"/>
  <c r="AB132" i="39" s="1"/>
  <c r="P200" i="45"/>
  <c r="O8" i="40"/>
  <c r="J7" i="36"/>
  <c r="AA64" i="35"/>
  <c r="AA322" i="39"/>
  <c r="AB322" i="39" s="1"/>
  <c r="V132" i="35"/>
  <c r="AA130" i="35" s="1"/>
  <c r="AA172" i="39"/>
  <c r="AB172" i="39" s="1"/>
  <c r="AA85" i="39"/>
  <c r="AB85" i="39" s="1"/>
  <c r="AA306" i="39"/>
  <c r="AB306" i="39" s="1"/>
  <c r="AG170" i="38"/>
  <c r="AG171" i="38" s="1"/>
  <c r="AG173" i="38" s="1"/>
  <c r="AG174" i="38" s="1"/>
  <c r="Z246" i="39"/>
  <c r="Y6" i="39"/>
  <c r="AA6" i="39"/>
  <c r="AB6" i="39" s="1"/>
  <c r="Z411" i="39"/>
  <c r="AA219" i="39"/>
  <c r="AB219" i="39" s="1"/>
  <c r="S3" i="45"/>
  <c r="T246" i="39"/>
  <c r="Y72" i="39"/>
  <c r="AA72" i="39" s="1"/>
  <c r="AB72" i="39" s="1"/>
  <c r="AA305" i="39"/>
  <c r="AB305" i="39" s="1"/>
  <c r="Y305" i="39"/>
  <c r="Y152" i="39"/>
  <c r="T180" i="39"/>
  <c r="AA398" i="39"/>
  <c r="AB398" i="39" s="1"/>
  <c r="S10" i="43"/>
  <c r="T10" i="43" s="1"/>
  <c r="AA304" i="39"/>
  <c r="AB304" i="39" s="1"/>
  <c r="AA257" i="39"/>
  <c r="AB257" i="39" s="1"/>
  <c r="AA338" i="39"/>
  <c r="AB338" i="39" s="1"/>
  <c r="O15" i="2"/>
  <c r="C17" i="2"/>
  <c r="O17" i="2" s="1"/>
  <c r="C16" i="2"/>
  <c r="O16" i="2" s="1"/>
  <c r="AA46" i="39"/>
  <c r="AB46" i="39" s="1"/>
  <c r="AA391" i="39"/>
  <c r="AB391" i="39" s="1"/>
  <c r="T345" i="39"/>
  <c r="L9" i="40" s="1"/>
  <c r="L10" i="40" s="1"/>
  <c r="D23" i="40" s="1"/>
  <c r="Y315" i="39"/>
  <c r="Y345" i="39" s="1"/>
  <c r="AD323" i="39" s="1"/>
  <c r="AD324" i="39" s="1"/>
  <c r="S205" i="44"/>
  <c r="V8" i="44" s="1"/>
  <c r="T3" i="44"/>
  <c r="T205" i="44" s="1"/>
  <c r="R7" i="40"/>
  <c r="C49" i="40" s="1"/>
  <c r="AA224" i="39"/>
  <c r="AB224" i="39" s="1"/>
  <c r="AG200" i="38"/>
  <c r="AG201" i="38" s="1"/>
  <c r="AG203" i="38" s="1"/>
  <c r="AG204" i="38" s="1"/>
  <c r="V22" i="35"/>
  <c r="AE7" i="17"/>
  <c r="AE11" i="17" s="1"/>
  <c r="AE12" i="17" s="1"/>
  <c r="AA293" i="39"/>
  <c r="AB293" i="39" s="1"/>
  <c r="AA147" i="39"/>
  <c r="AB117" i="39"/>
  <c r="AB147" i="39" s="1"/>
  <c r="Y312" i="39"/>
  <c r="AD290" i="39" s="1"/>
  <c r="AD291" i="39" s="1"/>
  <c r="Q55" i="35"/>
  <c r="AA53" i="35" s="1"/>
  <c r="V47" i="35"/>
  <c r="V55" i="35" s="1"/>
  <c r="G14" i="47"/>
  <c r="H14" i="47" s="1"/>
  <c r="E32" i="47"/>
  <c r="F32" i="47" s="1"/>
  <c r="Y399" i="39"/>
  <c r="Y411" i="39" s="1"/>
  <c r="AD389" i="39" s="1"/>
  <c r="AD390" i="39" s="1"/>
  <c r="O11" i="34"/>
  <c r="B32" i="34" s="1"/>
  <c r="Y260" i="39"/>
  <c r="AA260" i="39" s="1"/>
  <c r="AB260" i="39" s="1"/>
  <c r="B39" i="34"/>
  <c r="Q77" i="35"/>
  <c r="AA75" i="35" s="1"/>
  <c r="AG2" i="38"/>
  <c r="AG3" i="38" s="1"/>
  <c r="AG5" i="38" s="1"/>
  <c r="Y334" i="39"/>
  <c r="AA334" i="39" s="1"/>
  <c r="AB334" i="39" s="1"/>
  <c r="AA291" i="39"/>
  <c r="AB291" i="39" s="1"/>
  <c r="Y91" i="35"/>
  <c r="AA30" i="39"/>
  <c r="AB30" i="39" s="1"/>
  <c r="AG290" i="38"/>
  <c r="AG291" i="38" s="1"/>
  <c r="AG293" i="38" s="1"/>
  <c r="AG294" i="38" s="1"/>
  <c r="T147" i="39"/>
  <c r="T312" i="39"/>
  <c r="AA195" i="39"/>
  <c r="AB195" i="39" s="1"/>
  <c r="U2" i="19"/>
  <c r="T14" i="19"/>
  <c r="AF11" i="31"/>
  <c r="AF12" i="31" s="1"/>
  <c r="AF14" i="31" s="1"/>
  <c r="S8" i="36" s="1"/>
  <c r="D50" i="36" s="1"/>
  <c r="Y349" i="39"/>
  <c r="Y378" i="39" s="1"/>
  <c r="T378" i="39"/>
  <c r="O7" i="47"/>
  <c r="Q110" i="35"/>
  <c r="AA108" i="35" s="1"/>
  <c r="V102" i="35"/>
  <c r="V110" i="35" s="1"/>
  <c r="X92" i="35"/>
  <c r="Y92" i="35" s="1"/>
  <c r="AE16" i="17"/>
  <c r="AE17" i="17"/>
  <c r="P199" i="46"/>
  <c r="S3" i="40"/>
  <c r="S42" i="38"/>
  <c r="X14" i="35"/>
  <c r="AA283" i="39"/>
  <c r="Z345" i="39"/>
  <c r="AA366" i="39"/>
  <c r="AB366" i="39" s="1"/>
  <c r="Q88" i="35"/>
  <c r="V80" i="35"/>
  <c r="AA252" i="39"/>
  <c r="AB252" i="39" s="1"/>
  <c r="AA302" i="39"/>
  <c r="AB302" i="39" s="1"/>
  <c r="AA102" i="39"/>
  <c r="AB102" i="39" s="1"/>
  <c r="AA222" i="39"/>
  <c r="AB222" i="39" s="1"/>
  <c r="Y147" i="39"/>
  <c r="E55" i="40"/>
  <c r="R7" i="47"/>
  <c r="C49" i="47" s="1"/>
  <c r="O26" i="2"/>
  <c r="AA160" i="39"/>
  <c r="AB160" i="39" s="1"/>
  <c r="AB183" i="39"/>
  <c r="X66" i="35"/>
  <c r="Y66" i="35" s="1"/>
  <c r="X27" i="35"/>
  <c r="S215" i="43"/>
  <c r="V8" i="43" s="1"/>
  <c r="T3" i="43"/>
  <c r="T215" i="43" s="1"/>
  <c r="Y337" i="39"/>
  <c r="AA337" i="39"/>
  <c r="AB337" i="39" s="1"/>
  <c r="W66" i="35"/>
  <c r="AA31" i="39"/>
  <c r="AB31" i="39" s="1"/>
  <c r="Y4" i="39"/>
  <c r="AA4" i="39"/>
  <c r="Z312" i="39"/>
  <c r="E49" i="36"/>
  <c r="X70" i="35"/>
  <c r="Y70" i="35" s="1"/>
  <c r="W88" i="35"/>
  <c r="AA198" i="39"/>
  <c r="AB198" i="39" s="1"/>
  <c r="Q44" i="35"/>
  <c r="V36" i="35"/>
  <c r="X40" i="35"/>
  <c r="Y40" i="35" s="1"/>
  <c r="AA201" i="39"/>
  <c r="AB201" i="39" s="1"/>
  <c r="AB381" i="39"/>
  <c r="S3" i="47"/>
  <c r="R74" i="42"/>
  <c r="U77" i="42"/>
  <c r="U78" i="42" s="1"/>
  <c r="X124" i="35"/>
  <c r="T279" i="39"/>
  <c r="AA294" i="39"/>
  <c r="AB294" i="39" s="1"/>
  <c r="AF3" i="42"/>
  <c r="AF5" i="42" s="1"/>
  <c r="R8" i="47" s="1"/>
  <c r="D49" i="47" s="1"/>
  <c r="E49" i="47" s="1"/>
  <c r="AF2" i="42"/>
  <c r="Q99" i="35"/>
  <c r="AA97" i="35" s="1"/>
  <c r="Q5" i="34"/>
  <c r="Q11" i="34" s="1"/>
  <c r="P11" i="34"/>
  <c r="AA83" i="39"/>
  <c r="AA259" i="39"/>
  <c r="AB259" i="39" s="1"/>
  <c r="AA389" i="39"/>
  <c r="AB389" i="39" s="1"/>
  <c r="Y98" i="39"/>
  <c r="Y114" i="39" s="1"/>
  <c r="E9" i="40" s="1"/>
  <c r="E10" i="40" s="1"/>
  <c r="D16" i="40" s="1"/>
  <c r="AA98" i="39"/>
  <c r="AB98" i="39" s="1"/>
  <c r="AA352" i="39"/>
  <c r="AB352" i="39" s="1"/>
  <c r="W44" i="35"/>
  <c r="V15" i="35"/>
  <c r="X15" i="35" s="1"/>
  <c r="Y15" i="35" s="1"/>
  <c r="Q22" i="35"/>
  <c r="Q33" i="35"/>
  <c r="AA31" i="35" s="1"/>
  <c r="E9" i="36" l="1"/>
  <c r="E10" i="36" s="1"/>
  <c r="D16" i="36" s="1"/>
  <c r="E16" i="36" s="1"/>
  <c r="AA32" i="35"/>
  <c r="H23" i="40"/>
  <c r="E23" i="40"/>
  <c r="G9" i="36"/>
  <c r="G10" i="36" s="1"/>
  <c r="D18" i="36" s="1"/>
  <c r="AA54" i="35"/>
  <c r="H16" i="40"/>
  <c r="E16" i="40"/>
  <c r="R8" i="40"/>
  <c r="D49" i="40" s="1"/>
  <c r="E49" i="40" s="1"/>
  <c r="AG6" i="38"/>
  <c r="R9" i="40" s="1"/>
  <c r="N9" i="36"/>
  <c r="N10" i="36" s="1"/>
  <c r="D25" i="36" s="1"/>
  <c r="AA131" i="35"/>
  <c r="C8" i="47"/>
  <c r="V9" i="43"/>
  <c r="AA246" i="39"/>
  <c r="AB216" i="39"/>
  <c r="AB246" i="39" s="1"/>
  <c r="F49" i="47"/>
  <c r="X77" i="35"/>
  <c r="Y77" i="35" s="1"/>
  <c r="Y27" i="35"/>
  <c r="X33" i="35"/>
  <c r="Y33" i="35" s="1"/>
  <c r="G9" i="40"/>
  <c r="G10" i="40" s="1"/>
  <c r="D18" i="40" s="1"/>
  <c r="AD158" i="39"/>
  <c r="AD159" i="39" s="1"/>
  <c r="H9" i="36"/>
  <c r="H10" i="36" s="1"/>
  <c r="D19" i="36" s="1"/>
  <c r="AA65" i="35"/>
  <c r="G15" i="36"/>
  <c r="H15" i="36" s="1"/>
  <c r="E33" i="36"/>
  <c r="F33" i="36" s="1"/>
  <c r="AD257" i="39"/>
  <c r="AD258" i="39" s="1"/>
  <c r="J9" i="40"/>
  <c r="J10" i="40" s="1"/>
  <c r="D21" i="40" s="1"/>
  <c r="AA152" i="39"/>
  <c r="Y180" i="39"/>
  <c r="AA213" i="39"/>
  <c r="T3" i="36"/>
  <c r="R22" i="31"/>
  <c r="U25" i="31" s="1"/>
  <c r="U26" i="31" s="1"/>
  <c r="N9" i="40"/>
  <c r="N10" i="40" s="1"/>
  <c r="D25" i="40" s="1"/>
  <c r="V88" i="35"/>
  <c r="X80" i="35"/>
  <c r="K9" i="40"/>
  <c r="K10" i="40" s="1"/>
  <c r="D22" i="40" s="1"/>
  <c r="X132" i="35"/>
  <c r="Y132" i="35" s="1"/>
  <c r="Y124" i="35"/>
  <c r="F49" i="36"/>
  <c r="AA86" i="35"/>
  <c r="AB213" i="39"/>
  <c r="AF15" i="31"/>
  <c r="S9" i="36" s="1"/>
  <c r="S7" i="36"/>
  <c r="C50" i="36" s="1"/>
  <c r="E50" i="36" s="1"/>
  <c r="F8" i="47"/>
  <c r="F9" i="47" s="1"/>
  <c r="D17" i="47" s="1"/>
  <c r="E17" i="47" s="1"/>
  <c r="V9" i="46"/>
  <c r="AF72" i="42"/>
  <c r="AF73" i="42" s="1"/>
  <c r="AF75" i="42" s="1"/>
  <c r="S8" i="47" s="1"/>
  <c r="D50" i="47" s="1"/>
  <c r="Y40" i="39"/>
  <c r="AD191" i="39"/>
  <c r="AD192" i="39" s="1"/>
  <c r="H9" i="40"/>
  <c r="H10" i="40" s="1"/>
  <c r="D19" i="40" s="1"/>
  <c r="X55" i="35"/>
  <c r="Y55" i="35" s="1"/>
  <c r="Y47" i="35"/>
  <c r="AF6" i="42"/>
  <c r="R9" i="47" s="1"/>
  <c r="F9" i="40"/>
  <c r="F10" i="40" s="1"/>
  <c r="D17" i="40" s="1"/>
  <c r="AD125" i="39"/>
  <c r="AD126" i="39" s="1"/>
  <c r="L9" i="36"/>
  <c r="L10" i="36" s="1"/>
  <c r="D23" i="36" s="1"/>
  <c r="AA109" i="35"/>
  <c r="AB4" i="39"/>
  <c r="AB40" i="39" s="1"/>
  <c r="AA40" i="39"/>
  <c r="AD356" i="39"/>
  <c r="AD357" i="39" s="1"/>
  <c r="M9" i="40"/>
  <c r="M10" i="40" s="1"/>
  <c r="D24" i="40" s="1"/>
  <c r="AB283" i="39"/>
  <c r="AB312" i="39" s="1"/>
  <c r="AA312" i="39"/>
  <c r="X22" i="35"/>
  <c r="Y22" i="35" s="1"/>
  <c r="Y14" i="35"/>
  <c r="Y80" i="39"/>
  <c r="AD51" i="39" s="1"/>
  <c r="AD52" i="39" s="1"/>
  <c r="AA43" i="39"/>
  <c r="AA114" i="39"/>
  <c r="AB83" i="39"/>
  <c r="AB114" i="39" s="1"/>
  <c r="O7" i="36"/>
  <c r="AA349" i="39"/>
  <c r="C10" i="36"/>
  <c r="D14" i="36" s="1"/>
  <c r="E14" i="36" s="1"/>
  <c r="S10" i="40"/>
  <c r="E33" i="40" s="1"/>
  <c r="F33" i="40" s="1"/>
  <c r="P78" i="38"/>
  <c r="AG42" i="38"/>
  <c r="I9" i="40"/>
  <c r="I10" i="40" s="1"/>
  <c r="D20" i="40" s="1"/>
  <c r="AD224" i="39"/>
  <c r="AD225" i="39" s="1"/>
  <c r="V45" i="38"/>
  <c r="V46" i="38" s="1"/>
  <c r="T16" i="19"/>
  <c r="J6" i="19"/>
  <c r="L6" i="19" s="1"/>
  <c r="U6" i="19"/>
  <c r="X102" i="35"/>
  <c r="V44" i="35"/>
  <c r="AA42" i="35" s="1"/>
  <c r="X36" i="35"/>
  <c r="D9" i="40"/>
  <c r="D10" i="40" s="1"/>
  <c r="D15" i="40" s="1"/>
  <c r="X99" i="35"/>
  <c r="Y99" i="35" s="1"/>
  <c r="S10" i="47"/>
  <c r="O148" i="42"/>
  <c r="AF74" i="42"/>
  <c r="AA399" i="39"/>
  <c r="AB399" i="39" s="1"/>
  <c r="AB411" i="39" s="1"/>
  <c r="G32" i="47"/>
  <c r="AA20" i="35"/>
  <c r="D8" i="47"/>
  <c r="D9" i="47" s="1"/>
  <c r="D15" i="47" s="1"/>
  <c r="E15" i="47" s="1"/>
  <c r="V9" i="44"/>
  <c r="S200" i="45"/>
  <c r="V8" i="45" s="1"/>
  <c r="T3" i="45"/>
  <c r="T200" i="45" s="1"/>
  <c r="K9" i="36"/>
  <c r="K10" i="36" s="1"/>
  <c r="D22" i="36" s="1"/>
  <c r="AA98" i="35"/>
  <c r="I9" i="36"/>
  <c r="I10" i="36" s="1"/>
  <c r="D20" i="36" s="1"/>
  <c r="AA76" i="35"/>
  <c r="AG260" i="38"/>
  <c r="AG261" i="38"/>
  <c r="AG263" i="38" s="1"/>
  <c r="AG264" i="38" s="1"/>
  <c r="AA279" i="39"/>
  <c r="AB249" i="39"/>
  <c r="AB279" i="39" s="1"/>
  <c r="AA315" i="39"/>
  <c r="AF20" i="31" l="1"/>
  <c r="AF21" i="31"/>
  <c r="AF23" i="31" s="1"/>
  <c r="T8" i="36" s="1"/>
  <c r="D51" i="36" s="1"/>
  <c r="F50" i="36"/>
  <c r="H22" i="40"/>
  <c r="E22" i="40"/>
  <c r="F49" i="40"/>
  <c r="G33" i="36"/>
  <c r="D9" i="36"/>
  <c r="AA21" i="35"/>
  <c r="H18" i="40"/>
  <c r="E18" i="40"/>
  <c r="E8" i="47"/>
  <c r="E9" i="47" s="1"/>
  <c r="D16" i="47" s="1"/>
  <c r="E16" i="47" s="1"/>
  <c r="V9" i="45"/>
  <c r="AG40" i="38"/>
  <c r="AG41" i="38" s="1"/>
  <c r="AG43" i="38" s="1"/>
  <c r="E20" i="40"/>
  <c r="H20" i="40"/>
  <c r="T3" i="47"/>
  <c r="R150" i="42"/>
  <c r="U153" i="42" s="1"/>
  <c r="U154" i="42" s="1"/>
  <c r="E19" i="40"/>
  <c r="H19" i="40"/>
  <c r="H25" i="40"/>
  <c r="E25" i="40"/>
  <c r="H24" i="40"/>
  <c r="E24" i="40"/>
  <c r="G33" i="40"/>
  <c r="C9" i="40"/>
  <c r="AD11" i="39"/>
  <c r="AD12" i="39" s="1"/>
  <c r="AA411" i="39"/>
  <c r="S7" i="47"/>
  <c r="C50" i="47" s="1"/>
  <c r="E50" i="47" s="1"/>
  <c r="AF76" i="42"/>
  <c r="S9" i="47" s="1"/>
  <c r="M6" i="19"/>
  <c r="T10" i="36"/>
  <c r="O29" i="31"/>
  <c r="AF22" i="31"/>
  <c r="X44" i="35"/>
  <c r="Y44" i="35" s="1"/>
  <c r="Y36" i="35"/>
  <c r="AA80" i="39"/>
  <c r="AB43" i="39"/>
  <c r="AB80" i="39" s="1"/>
  <c r="J9" i="36"/>
  <c r="J10" i="36" s="1"/>
  <c r="D21" i="36" s="1"/>
  <c r="AA87" i="35"/>
  <c r="T3" i="40"/>
  <c r="S80" i="38"/>
  <c r="H17" i="40"/>
  <c r="E17" i="40"/>
  <c r="AA345" i="39"/>
  <c r="AB315" i="39"/>
  <c r="AB345" i="39" s="1"/>
  <c r="AB349" i="39"/>
  <c r="AB378" i="39" s="1"/>
  <c r="AA378" i="39"/>
  <c r="X110" i="35"/>
  <c r="Y110" i="35" s="1"/>
  <c r="Y102" i="35"/>
  <c r="H15" i="40"/>
  <c r="E15" i="40"/>
  <c r="F9" i="36"/>
  <c r="F10" i="36" s="1"/>
  <c r="D17" i="36" s="1"/>
  <c r="E17" i="36" s="1"/>
  <c r="AA43" i="35"/>
  <c r="U14" i="19"/>
  <c r="V2" i="19"/>
  <c r="X88" i="35"/>
  <c r="Y88" i="35" s="1"/>
  <c r="Y80" i="35"/>
  <c r="S7" i="40"/>
  <c r="C50" i="40" s="1"/>
  <c r="G15" i="47"/>
  <c r="H15" i="47" s="1"/>
  <c r="E33" i="47"/>
  <c r="F33" i="47" s="1"/>
  <c r="AB152" i="39"/>
  <c r="AB180" i="39" s="1"/>
  <c r="AA180" i="39"/>
  <c r="O8" i="47"/>
  <c r="O9" i="47" s="1"/>
  <c r="C9" i="47"/>
  <c r="D14" i="47" s="1"/>
  <c r="E14" i="47" s="1"/>
  <c r="U7" i="19"/>
  <c r="U11" i="19" s="1"/>
  <c r="U12" i="19" s="1"/>
  <c r="E21" i="40"/>
  <c r="H21" i="40"/>
  <c r="S8" i="40" l="1"/>
  <c r="D50" i="40" s="1"/>
  <c r="E50" i="40" s="1"/>
  <c r="AG44" i="38"/>
  <c r="S9" i="40" s="1"/>
  <c r="AF148" i="42"/>
  <c r="AF149" i="42"/>
  <c r="AF151" i="42" s="1"/>
  <c r="T8" i="47" s="1"/>
  <c r="D51" i="47" s="1"/>
  <c r="F50" i="47"/>
  <c r="U16" i="19"/>
  <c r="J7" i="19"/>
  <c r="L7" i="19" s="1"/>
  <c r="D10" i="36"/>
  <c r="D15" i="36" s="1"/>
  <c r="E15" i="36" s="1"/>
  <c r="O9" i="36"/>
  <c r="O10" i="36" s="1"/>
  <c r="T10" i="40"/>
  <c r="E34" i="40" s="1"/>
  <c r="F34" i="40" s="1"/>
  <c r="AG80" i="38"/>
  <c r="P110" i="38"/>
  <c r="V83" i="38"/>
  <c r="V84" i="38" s="1"/>
  <c r="O9" i="40"/>
  <c r="O10" i="40" s="1"/>
  <c r="C10" i="40"/>
  <c r="D14" i="40" s="1"/>
  <c r="T10" i="47"/>
  <c r="AF150" i="42"/>
  <c r="O221" i="42"/>
  <c r="T7" i="36"/>
  <c r="C51" i="36" s="1"/>
  <c r="AF24" i="31"/>
  <c r="T9" i="36" s="1"/>
  <c r="E51" i="36"/>
  <c r="V6" i="19"/>
  <c r="W2" i="19" s="1"/>
  <c r="G33" i="47"/>
  <c r="R31" i="31"/>
  <c r="U34" i="31"/>
  <c r="U35" i="31" s="1"/>
  <c r="U3" i="36"/>
  <c r="G16" i="36"/>
  <c r="H16" i="36" s="1"/>
  <c r="E34" i="36"/>
  <c r="F34" i="36" s="1"/>
  <c r="T7" i="47" l="1"/>
  <c r="C51" i="47" s="1"/>
  <c r="AF152" i="42"/>
  <c r="T9" i="47" s="1"/>
  <c r="E34" i="47"/>
  <c r="F34" i="47" s="1"/>
  <c r="G16" i="47"/>
  <c r="H16" i="47" s="1"/>
  <c r="AG78" i="38"/>
  <c r="AG79" i="38"/>
  <c r="AG81" i="38" s="1"/>
  <c r="T8" i="40" s="1"/>
  <c r="D51" i="40" s="1"/>
  <c r="E51" i="40" s="1"/>
  <c r="F51" i="40" s="1"/>
  <c r="E51" i="47"/>
  <c r="U3" i="47"/>
  <c r="R223" i="42"/>
  <c r="U226" i="42" s="1"/>
  <c r="U227" i="42" s="1"/>
  <c r="E14" i="40"/>
  <c r="H14" i="40"/>
  <c r="U3" i="40"/>
  <c r="V115" i="38"/>
  <c r="V116" i="38" s="1"/>
  <c r="S112" i="38"/>
  <c r="G34" i="36"/>
  <c r="T7" i="40"/>
  <c r="C51" i="40" s="1"/>
  <c r="G34" i="40"/>
  <c r="W6" i="19"/>
  <c r="X2" i="19" s="1"/>
  <c r="AF29" i="31"/>
  <c r="AF30" i="31" s="1"/>
  <c r="AF32" i="31" s="1"/>
  <c r="U8" i="36" s="1"/>
  <c r="D52" i="36" s="1"/>
  <c r="V7" i="19"/>
  <c r="U10" i="36"/>
  <c r="O38" i="31"/>
  <c r="AF31" i="31"/>
  <c r="F51" i="36"/>
  <c r="M13" i="19"/>
  <c r="M9" i="19"/>
  <c r="M14" i="19"/>
  <c r="M12" i="19"/>
  <c r="M10" i="19"/>
  <c r="M15" i="19"/>
  <c r="M11" i="19"/>
  <c r="M7" i="19"/>
  <c r="M8" i="19"/>
  <c r="F50" i="40"/>
  <c r="AF221" i="42" l="1"/>
  <c r="AF222" i="42" s="1"/>
  <c r="AF224" i="42" s="1"/>
  <c r="U8" i="47" s="1"/>
  <c r="D52" i="47" s="1"/>
  <c r="AG82" i="38"/>
  <c r="T9" i="40" s="1"/>
  <c r="AG110" i="38"/>
  <c r="AG111" i="38" s="1"/>
  <c r="AG113" i="38" s="1"/>
  <c r="U8" i="40" s="1"/>
  <c r="D52" i="40" s="1"/>
  <c r="W7" i="19"/>
  <c r="X7" i="19"/>
  <c r="X6" i="19"/>
  <c r="Y2" i="19" s="1"/>
  <c r="U10" i="47"/>
  <c r="AF223" i="42"/>
  <c r="F51" i="47"/>
  <c r="G34" i="47"/>
  <c r="AF33" i="31"/>
  <c r="U9" i="36" s="1"/>
  <c r="U7" i="36"/>
  <c r="C52" i="36" s="1"/>
  <c r="E52" i="36" s="1"/>
  <c r="V3" i="36"/>
  <c r="R40" i="31"/>
  <c r="G17" i="36"/>
  <c r="H17" i="36" s="1"/>
  <c r="E35" i="36"/>
  <c r="F35" i="36" s="1"/>
  <c r="U10" i="40"/>
  <c r="E35" i="40" s="1"/>
  <c r="F35" i="40" s="1"/>
  <c r="AG112" i="38"/>
  <c r="F52" i="36" l="1"/>
  <c r="E52" i="40"/>
  <c r="U7" i="47"/>
  <c r="C52" i="47" s="1"/>
  <c r="E52" i="47" s="1"/>
  <c r="AF225" i="42"/>
  <c r="U9" i="47" s="1"/>
  <c r="U7" i="40"/>
  <c r="C52" i="40" s="1"/>
  <c r="AG114" i="38"/>
  <c r="U9" i="40" s="1"/>
  <c r="E35" i="47"/>
  <c r="F35" i="47" s="1"/>
  <c r="G17" i="47"/>
  <c r="H17" i="47" s="1"/>
  <c r="G42" i="40"/>
  <c r="G41" i="40"/>
  <c r="G38" i="40"/>
  <c r="G40" i="40"/>
  <c r="G43" i="40"/>
  <c r="G36" i="40"/>
  <c r="G35" i="40"/>
  <c r="G39" i="40"/>
  <c r="G37" i="40"/>
  <c r="G35" i="36"/>
  <c r="V10" i="36"/>
  <c r="E36" i="36" s="1"/>
  <c r="F36" i="36" s="1"/>
  <c r="G36" i="36" s="1"/>
  <c r="O47" i="31"/>
  <c r="AF40" i="31"/>
  <c r="U43" i="31"/>
  <c r="U44" i="31" s="1"/>
  <c r="Y6" i="19"/>
  <c r="Z2" i="19" s="1"/>
  <c r="F56" i="47" l="1"/>
  <c r="F55" i="47"/>
  <c r="F54" i="47"/>
  <c r="F60" i="47"/>
  <c r="F58" i="47"/>
  <c r="F59" i="47"/>
  <c r="F52" i="47"/>
  <c r="F57" i="47"/>
  <c r="F53" i="47"/>
  <c r="F59" i="40"/>
  <c r="F58" i="40"/>
  <c r="F54" i="40"/>
  <c r="F57" i="40"/>
  <c r="F53" i="40"/>
  <c r="F52" i="40"/>
  <c r="F56" i="40"/>
  <c r="F55" i="40"/>
  <c r="F60" i="40"/>
  <c r="AF38" i="31"/>
  <c r="AF39" i="31" s="1"/>
  <c r="AF41" i="31" s="1"/>
  <c r="W3" i="36"/>
  <c r="R49" i="31"/>
  <c r="Y7" i="19"/>
  <c r="V7" i="36"/>
  <c r="C53" i="36" s="1"/>
  <c r="Z6" i="19"/>
  <c r="AA2" i="19" s="1"/>
  <c r="G39" i="47"/>
  <c r="G36" i="47"/>
  <c r="G35" i="47"/>
  <c r="G41" i="47"/>
  <c r="G37" i="47"/>
  <c r="G43" i="47"/>
  <c r="G42" i="47"/>
  <c r="G40" i="47"/>
  <c r="G38" i="47"/>
  <c r="V8" i="36" l="1"/>
  <c r="D53" i="36" s="1"/>
  <c r="E53" i="36" s="1"/>
  <c r="AF42" i="31"/>
  <c r="V9" i="36" s="1"/>
  <c r="AA6" i="19"/>
  <c r="AB2" i="19" s="1"/>
  <c r="W10" i="36"/>
  <c r="E37" i="36" s="1"/>
  <c r="F37" i="36" s="1"/>
  <c r="AF49" i="31"/>
  <c r="O56" i="31"/>
  <c r="Z7" i="19"/>
  <c r="U52" i="31"/>
  <c r="U53" i="31" s="1"/>
  <c r="X3" i="36" l="1"/>
  <c r="R58" i="31"/>
  <c r="U61" i="31"/>
  <c r="U62" i="31" s="1"/>
  <c r="W7" i="36"/>
  <c r="C54" i="36" s="1"/>
  <c r="AF47" i="31"/>
  <c r="AF48" i="31"/>
  <c r="AF50" i="31" s="1"/>
  <c r="W8" i="36" s="1"/>
  <c r="D54" i="36" s="1"/>
  <c r="G37" i="36"/>
  <c r="AB6" i="19"/>
  <c r="AC2" i="19" s="1"/>
  <c r="AA7" i="19"/>
  <c r="F53" i="36"/>
  <c r="AC6" i="19" l="1"/>
  <c r="AC7" i="19" s="1"/>
  <c r="AB7" i="19"/>
  <c r="E54" i="36"/>
  <c r="F54" i="36" s="1"/>
  <c r="AF51" i="31"/>
  <c r="W9" i="36" s="1"/>
  <c r="AF56" i="31"/>
  <c r="AF57" i="31" s="1"/>
  <c r="AF59" i="31" s="1"/>
  <c r="X8" i="36" s="1"/>
  <c r="D55" i="36" s="1"/>
  <c r="O65" i="31"/>
  <c r="AF58" i="31"/>
  <c r="X10" i="36"/>
  <c r="E38" i="36" s="1"/>
  <c r="F38" i="36" s="1"/>
  <c r="G38" i="36" s="1"/>
  <c r="X7" i="36" l="1"/>
  <c r="C55" i="36" s="1"/>
  <c r="E55" i="36" s="1"/>
  <c r="F55" i="36" s="1"/>
  <c r="AF60" i="31"/>
  <c r="X9" i="36" s="1"/>
  <c r="Y3" i="36"/>
  <c r="R67" i="31"/>
  <c r="Y10" i="36" l="1"/>
  <c r="E39" i="36" s="1"/>
  <c r="F39" i="36" s="1"/>
  <c r="G39" i="36" s="1"/>
  <c r="O74" i="31"/>
  <c r="AF67" i="31"/>
  <c r="U70" i="31"/>
  <c r="U71" i="31" s="1"/>
  <c r="AF65" i="31" l="1"/>
  <c r="AF66" i="31"/>
  <c r="AF68" i="31" s="1"/>
  <c r="Y8" i="36" s="1"/>
  <c r="D56" i="36" s="1"/>
  <c r="Y7" i="36"/>
  <c r="C56" i="36" s="1"/>
  <c r="AF69" i="31"/>
  <c r="Y9" i="36" s="1"/>
  <c r="Z3" i="36"/>
  <c r="R76" i="31"/>
  <c r="Z10" i="36" l="1"/>
  <c r="E40" i="36" s="1"/>
  <c r="F40" i="36" s="1"/>
  <c r="G40" i="36" s="1"/>
  <c r="O83" i="31"/>
  <c r="U79" i="31"/>
  <c r="U80" i="31" s="1"/>
  <c r="E56" i="36"/>
  <c r="F56" i="36" l="1"/>
  <c r="F57" i="36"/>
  <c r="AA3" i="36"/>
  <c r="R85" i="31"/>
  <c r="U88" i="31"/>
  <c r="U89" i="31" s="1"/>
  <c r="AF83" i="31" l="1"/>
  <c r="AF84" i="31"/>
  <c r="AF86" i="31" s="1"/>
  <c r="AA8" i="36" s="1"/>
  <c r="D58" i="36" s="1"/>
  <c r="AA10" i="36"/>
  <c r="E41" i="36" s="1"/>
  <c r="F41" i="36" s="1"/>
  <c r="G41" i="36" s="1"/>
  <c r="AF85" i="31"/>
  <c r="O92" i="31"/>
  <c r="AB3" i="36" l="1"/>
  <c r="R94" i="31"/>
  <c r="AA7" i="36"/>
  <c r="C58" i="36" s="1"/>
  <c r="AF87" i="31"/>
  <c r="AA9" i="36" s="1"/>
  <c r="E58" i="36"/>
  <c r="F58" i="36" s="1"/>
  <c r="AB10" i="36" l="1"/>
  <c r="E42" i="36" s="1"/>
  <c r="F42" i="36" s="1"/>
  <c r="G42" i="36" s="1"/>
  <c r="O101" i="31"/>
  <c r="AF94" i="31"/>
  <c r="U97" i="31"/>
  <c r="U98" i="31" s="1"/>
  <c r="AF92" i="31" l="1"/>
  <c r="AF93" i="31"/>
  <c r="AF95" i="31" s="1"/>
  <c r="AB8" i="36" s="1"/>
  <c r="D59" i="36" s="1"/>
  <c r="AB7" i="36"/>
  <c r="C59" i="36" s="1"/>
  <c r="AF96" i="31"/>
  <c r="AB9" i="36" s="1"/>
  <c r="AC3" i="36"/>
  <c r="R103" i="31"/>
  <c r="AC10" i="36" l="1"/>
  <c r="E43" i="36" s="1"/>
  <c r="F43" i="36" s="1"/>
  <c r="G43" i="36" s="1"/>
  <c r="AF103" i="31"/>
  <c r="U106" i="31"/>
  <c r="U107" i="31" s="1"/>
  <c r="E59" i="36"/>
  <c r="F59" i="36" s="1"/>
  <c r="AF101" i="31" l="1"/>
  <c r="AF102" i="31" s="1"/>
  <c r="AF104" i="31" s="1"/>
  <c r="AC7" i="36"/>
  <c r="C60" i="36" s="1"/>
  <c r="AC8" i="36" l="1"/>
  <c r="D60" i="36" s="1"/>
  <c r="E60" i="36" s="1"/>
  <c r="F60" i="36" s="1"/>
  <c r="AF105" i="31"/>
  <c r="AC9" i="3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7" authorId="0" shapeId="0" xr:uid="{00000000-0006-0000-0000-000001000000}">
      <text>
        <r>
          <rPr>
            <sz val="10"/>
            <rFont val="Arial"/>
            <family val="2"/>
          </rPr>
          <t xml:space="preserve">Absenteísmo: Usado para medir a soma de ausências dos colaboradores durante o expediente de trabalho. O absenteísmo pode ser por faltas, atrasos ou saídas adiantadas.
</t>
        </r>
      </text>
    </comment>
    <comment ref="A18" authorId="0" shapeId="0" xr:uid="{00000000-0006-0000-0000-000002000000}">
      <text>
        <r>
          <rPr>
            <sz val="10"/>
            <rFont val="Arial"/>
            <family val="2"/>
          </rPr>
          <t xml:space="preserve">Turnover: Calcula a quantidade de colaboradores que saem e entram e, diferente de outras taxas, quanto maior elas aparecem, mais atenção deve receber.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7" authorId="0" shapeId="0" xr:uid="{00000000-0006-0000-0100-000001000000}">
      <text>
        <r>
          <rPr>
            <sz val="10"/>
            <rFont val="Arial"/>
            <family val="2"/>
          </rPr>
          <t xml:space="preserve">Absenteísmo: Usado para medir a soma de ausências dos colaboradores durante o expediente de trabalho. O absenteísmo pode ser por faltas, atrasos ou saídas adiantadas.
</t>
        </r>
      </text>
    </comment>
    <comment ref="A18" authorId="0" shapeId="0" xr:uid="{00000000-0006-0000-0100-000002000000}">
      <text>
        <r>
          <rPr>
            <sz val="10"/>
            <rFont val="Arial"/>
            <family val="2"/>
          </rPr>
          <t xml:space="preserve">Turnover: Calcula a quantidade de colaboradores que saem e entram e, diferente de outras taxas, quanto maior elas aparecem, mais atenção deve receber.
</t>
        </r>
      </text>
    </comment>
    <comment ref="M19" authorId="0" shapeId="0" xr:uid="{00000000-0006-0000-0100-000003000000}">
      <text>
        <r>
          <rPr>
            <sz val="10"/>
            <rFont val="Arial"/>
            <family val="2"/>
          </rPr>
          <t>RH Digi Soluções:
somei folha 13ª</t>
        </r>
      </text>
    </comment>
    <comment ref="M24" authorId="0" shapeId="0" xr:uid="{00000000-0006-0000-0100-000004000000}">
      <text>
        <r>
          <rPr>
            <sz val="10"/>
            <rFont val="Arial"/>
            <family val="2"/>
          </rPr>
          <t xml:space="preserve">RH Digi Soluções:
soma 13º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1000-000001000000}">
      <text>
        <r>
          <rPr>
            <sz val="10"/>
            <rFont val="Arial"/>
            <family val="2"/>
          </rPr>
          <t>Definição: O turnover mede a taxa na qual os funcionários saem e são substituídos em uma empresa durante um período.
Impactos: A saída de um profissional administrativo pode causar interrupções em processos críticos (como faturamento, folha de pagamento, compras), perda de conhecimento especializado sobre sistemas e procedimentos internos, além dos custos tradicionais de recrutamento e treinamento. A estabilidade nesta área é fundamental para a saúde organizacional.
Realidade do Setor: O turnover em áreas administrativas tende a ser o mais baixo dentro de uma organização. Espera-se maior estabilidade e retenção. Um turnover alto aqui é um forte indicativo de problemas mais profundos na cultura da empresa, na liderança ou na política de remuneração e benefícios.
Meta Ideal para a Equipe Administrativa:
Até 3%: Excelente. Um índice baixíssimo que reflete alta satisfação, bom clima organizacional, segurança e um pacote de remuneração e benefícios competitivo.
3% a 7%: Aceitável. Esta faixa ainda é considerada saudável para a maioria das empresas. As saídas podem ser atribuídas a movimentações naturais de carreira, aposentadorias ou questões pontuais.
Acima de 7%: Sinal de alerta. Um turnover se aproximando dos dois dígitos na área administrativa é preocupante. Exige uma investigação imediata sobre as causas, que podem incluir falta de oportunidades de crescimento, gestão inadequada, salários defasados em relação ao mercado ou sobrecarga de trabalho.</t>
        </r>
      </text>
    </comment>
    <comment ref="I1" authorId="0" shapeId="0" xr:uid="{00000000-0006-0000-1000-000002000000}">
      <text>
        <r>
          <rPr>
            <sz val="10"/>
            <rFont val="Arial"/>
            <family val="2"/>
          </rPr>
          <t xml:space="preserve">Definição: O absenteísmo mede a taxa de ausências não planejadas dos funcionários (faltas, atrasos, licenças médicas curtas) durante o horário de trabalho.
Impactos: Embora uma única ausência possa ser mais facilmente coberta por outros membros da equipe em comparação com a linha de produção, o absenteísmo recorrente atrasa projetos, sobrecarrega colegas e pode criar gargalos em processos que dependem de poucas pessoas.
Realidade do Setor: Assim como o turnover, o absenteísmo no administrativo tende a ser menor. O ambiente de trabalho é, em geral, mais controlado e menos propenso a acidentes de trabalho ou desgaste físico extremo.
Meta Ideal para a Equipe Administrativa:
Até 2%: Excelente. Demonstra uma equipe saudável, comprometida e um ambiente de trabalho positivo.
2% a 4%: Aceitável. Uma faixa normal que acomoda ausências pontuais por motivos de saúde ou questões pessoais, sem indicar um problema crônico.
Acima de 4%: Sinal de alerta. Se o índice de faltas (principalmente as não justificadas ou com atestados de curta duração frequentes) ultrapassa esse patamar, vale a pena investigar. As causas podem variar de problemas de saúde (física ou mental, como estresse e burnout) a um baixo engajamento com a empresa e o trabalho.
</t>
        </r>
      </text>
    </comment>
    <comment ref="V17" authorId="0" shapeId="0" xr:uid="{00000000-0006-0000-1000-000003000000}">
      <text>
        <r>
          <rPr>
            <sz val="10"/>
            <rFont val="Arial"/>
            <family val="2"/>
          </rPr>
          <t xml:space="preserve">Absenteísmo: Usado para medir a soma de ausências dos colaboradores durante o expediente de trabalho. O absenteísmo pode ser por faltas, atrasos ou saídas adiantadas.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1200-000001000000}">
      <text>
        <r>
          <rPr>
            <sz val="10"/>
            <rFont val="Arial"/>
            <family val="2"/>
          </rPr>
          <t>Definição: O turnover mede a taxa na qual os funcionários saem e são substituídos em uma empresa durante um período.
Impactos: A saída de um profissional administrativo pode causar interrupções em processos críticos (como faturamento, folha de pagamento, compras), perda de conhecimento especializado sobre sistemas e procedimentos internos, além dos custos tradicionais de recrutamento e treinamento. A estabilidade nesta área é fundamental para a saúde organizacional.
Realidade do Setor: O turnover em áreas administrativas tende a ser o mais baixo dentro de uma organização. Espera-se maior estabilidade e retenção. Um turnover alto aqui é um forte indicativo de problemas mais profundos na cultura da empresa, na liderança ou na política de remuneração e benefícios.
Meta Ideal para a Equipe Administrativa:
Até 3%: Excelente. Um índice baixíssimo que reflete alta satisfação, bom clima organizacional, segurança e um pacote de remuneração e benefícios competitivo.
3% a 7%: Aceitável. Esta faixa ainda é considerada saudável para a maioria das empresas. As saídas podem ser atribuídas a movimentações naturais de carreira, aposentadorias ou questões pontuais.
Acima de 7%: Sinal de alerta. Um turnover se aproximando dos dois dígitos na área administrativa é preocupante. Exige uma investigação imediata sobre as causas, que podem incluir falta de oportunidades de crescimento, gestão inadequada, salários defasados em relação ao mercado ou sobrecarga de trabalho.</t>
        </r>
      </text>
    </comment>
    <comment ref="I1" authorId="0" shapeId="0" xr:uid="{00000000-0006-0000-1200-000002000000}">
      <text>
        <r>
          <rPr>
            <sz val="10"/>
            <rFont val="Arial"/>
            <family val="2"/>
          </rPr>
          <t xml:space="preserve">Definição: O absenteísmo mede a taxa de ausências não planejadas dos funcionários (faltas, atrasos, licenças médicas curtas) durante o horário de trabalho.
Impactos: Embora uma única ausência possa ser mais facilmente coberta por outros membros da equipe em comparação com a linha de produção, o absenteísmo recorrente atrasa projetos, sobrecarrega colegas e pode criar gargalos em processos que dependem de poucas pessoas.
Realidade do Setor: Assim como o turnover, o absenteísmo no administrativo tende a ser menor. O ambiente de trabalho é, em geral, mais controlado e menos propenso a acidentes de trabalho ou desgaste físico extremo.
Meta Ideal para a Equipe Administrativa:
Até 2%: Excelente. Demonstra uma equipe saudável, comprometida e um ambiente de trabalho positivo.
2% a 4%: Aceitável. Uma faixa normal que acomoda ausências pontuais por motivos de saúde ou questões pessoais, sem indicar um problema crônico.
Acima de 4%: Sinal de alerta. Se o índice de faltas (principalmente as não justificadas ou com atestados de curta duração frequentes) ultrapassa esse patamar, vale a pena investigar. As causas podem variar de problemas de saúde (física ou mental, como estresse e burnout) a um baixo engajamento com a empresa e o trabalho.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A4" authorId="0" shapeId="0" xr:uid="{00000000-0006-0000-1E00-000009000000}">
      <text>
        <r>
          <rPr>
            <sz val="10"/>
            <rFont val="Arial"/>
            <family val="2"/>
          </rPr>
          <t>Ano Novo</t>
        </r>
      </text>
    </comment>
    <comment ref="X15" authorId="0" shapeId="0" xr:uid="{00000000-0006-0000-1E00-000002000000}">
      <text>
        <r>
          <rPr>
            <sz val="10"/>
            <rFont val="Arial"/>
            <family val="2"/>
          </rPr>
          <t>Carnaval (Segunda-Feira)</t>
        </r>
      </text>
    </comment>
    <comment ref="Y15" authorId="0" shapeId="0" xr:uid="{00000000-0006-0000-1E00-000006000000}">
      <text>
        <r>
          <rPr>
            <sz val="10"/>
            <rFont val="Arial"/>
            <family val="2"/>
          </rPr>
          <t>Carnaval (Terça-Feira)</t>
        </r>
      </text>
    </comment>
    <comment ref="AB31" authorId="0" shapeId="0" xr:uid="{00000000-0006-0000-1E00-00000C000000}">
      <text>
        <r>
          <rPr>
            <sz val="10"/>
            <rFont val="Arial"/>
            <family val="2"/>
          </rPr>
          <t>Sexta-Feira Santa</t>
        </r>
      </text>
    </comment>
    <comment ref="Y34" authorId="0" shapeId="0" xr:uid="{00000000-0006-0000-1E00-000007000000}">
      <text>
        <r>
          <rPr>
            <sz val="10"/>
            <rFont val="Arial"/>
            <family val="2"/>
          </rPr>
          <t>Tiradentes</t>
        </r>
      </text>
    </comment>
    <comment ref="AB40" authorId="0" shapeId="0" xr:uid="{00000000-0006-0000-1E00-00000D000000}">
      <text>
        <r>
          <rPr>
            <sz val="10"/>
            <rFont val="Arial"/>
            <family val="2"/>
          </rPr>
          <t>Dia do Trabalho</t>
        </r>
      </text>
    </comment>
    <comment ref="AA49" authorId="0" shapeId="0" xr:uid="{00000000-0006-0000-1E00-00000A000000}">
      <text>
        <r>
          <rPr>
            <sz val="10"/>
            <rFont val="Arial"/>
            <family val="2"/>
          </rPr>
          <t>Corpus Christi</t>
        </r>
      </text>
    </comment>
    <comment ref="X78" authorId="0" shapeId="0" xr:uid="{00000000-0006-0000-1E00-000003000000}">
      <text>
        <r>
          <rPr>
            <sz val="10"/>
            <rFont val="Arial"/>
            <family val="2"/>
          </rPr>
          <t>Independência do Brasil</t>
        </r>
      </text>
    </comment>
    <comment ref="X87" authorId="0" shapeId="0" xr:uid="{00000000-0006-0000-1E00-000004000000}">
      <text>
        <r>
          <rPr>
            <sz val="10"/>
            <rFont val="Arial"/>
            <family val="2"/>
          </rPr>
          <t>Nossa Senhora de Aparecida</t>
        </r>
      </text>
    </comment>
    <comment ref="Z89" authorId="0" shapeId="0" xr:uid="{00000000-0006-0000-1E00-000008000000}">
      <text>
        <r>
          <rPr>
            <sz val="10"/>
            <rFont val="Arial"/>
            <family val="2"/>
          </rPr>
          <t>Dia do Servidor Público</t>
        </r>
      </text>
    </comment>
    <comment ref="X94" authorId="0" shapeId="0" xr:uid="{00000000-0006-0000-1E00-000005000000}">
      <text>
        <r>
          <rPr>
            <sz val="10"/>
            <rFont val="Arial"/>
            <family val="2"/>
          </rPr>
          <t>Finados (Dia dos Mortos)</t>
        </r>
      </text>
    </comment>
    <comment ref="W96" authorId="0" shapeId="0" xr:uid="{00000000-0006-0000-1E00-000001000000}">
      <text>
        <r>
          <rPr>
            <sz val="10"/>
            <rFont val="Arial"/>
            <family val="2"/>
          </rPr>
          <t>Proclamação da República</t>
        </r>
      </text>
    </comment>
    <comment ref="AA96" authorId="0" shapeId="0" xr:uid="{00000000-0006-0000-1E00-00000B000000}">
      <text>
        <r>
          <rPr>
            <sz val="10"/>
            <rFont val="Arial"/>
            <family val="2"/>
          </rPr>
          <t>Dia da Bandeira</t>
        </r>
      </text>
    </comment>
    <comment ref="AB96" authorId="0" shapeId="0" xr:uid="{00000000-0006-0000-1E00-00000E000000}">
      <text>
        <r>
          <rPr>
            <sz val="10"/>
            <rFont val="Arial"/>
            <family val="2"/>
          </rPr>
          <t>Consciência Negra</t>
        </r>
      </text>
    </comment>
    <comment ref="AB106" authorId="0" shapeId="0" xr:uid="{00000000-0006-0000-1E00-00000F000000}">
      <text>
        <r>
          <rPr>
            <sz val="10"/>
            <rFont val="Arial"/>
            <family val="2"/>
          </rPr>
          <t>Natal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29" authorId="0" shapeId="0" xr:uid="{00000000-0006-0000-2300-000001000000}">
      <text>
        <r>
          <rPr>
            <sz val="10"/>
            <rFont val="Arial"/>
            <family val="2"/>
          </rPr>
          <t>Definição: O turnover mede a taxa na qual os funcionários saem e são substituídos em uma empresa durante um período.
Impactos: A saída de um profissional administrativo pode causar interrupções em processos críticos (como faturamento, folha de pagamento, compras), perda de conhecimento especializado sobre sistemas e procedimentos internos, além dos custos tradicionais de recrutamento e treinamento. A estabilidade nesta área é fundamental para a saúde organizacional.
Realidade do Setor: O turnover em áreas administrativas tende a ser o mais baixo dentro de uma organização. Espera-se maior estabilidade e retenção. Um turnover alto aqui é um forte indicativo de problemas mais profundos na cultura da empresa, na liderança ou na política de remuneração e benefícios.
Meta Ideal para a Equipe Administrativa:
Até 3%: Excelente. Um índice baixíssimo que reflete alta satisfação, bom clima organizacional, segurança e um pacote de remuneração e benefícios competitivo.
3% a 7%: Aceitável. Esta faixa ainda é considerada saudável para a maioria das empresas. As saídas podem ser atribuídas a movimentações naturais de carreira, aposentadorias ou questões pontuais.
Acima de 7%: Sinal de alerta. Um turnover se aproximando dos dois dígitos na área administrativa é preocupante. Exige uma investigação imediata sobre as causas, que podem incluir falta de oportunidades de crescimento, gestão inadequada, salários defasados em relação ao mercado ou sobrecarga de trabalho.</t>
        </r>
      </text>
    </comment>
    <comment ref="B46" authorId="0" shapeId="0" xr:uid="{00000000-0006-0000-2300-000002000000}">
      <text>
        <r>
          <rPr>
            <sz val="10"/>
            <rFont val="Arial"/>
            <family val="2"/>
          </rPr>
          <t xml:space="preserve">Definição: O absenteísmo mede a taxa de ausências não planejadas dos funcionários (faltas, atrasos, licenças médicas curtas) durante o horário de trabalho.
Impactos: Embora uma única ausência possa ser mais facilmente coberta por outros membros da equipe em comparação com a linha de produção, o absenteísmo recorrente atrasa projetos, sobrecarrega colegas e pode criar gargalos em processos que dependem de poucas pessoas.
Realidade do Setor: Assim como o turnover, o absenteísmo no administrativo tende a ser menor. O ambiente de trabalho é, em geral, mais controlado e menos propenso a acidentes de trabalho ou desgaste físico extremo.
Meta Ideal para a Equipe Administrativa:
Até 2%: Excelente. Demonstra uma equipe saudável, comprometida e um ambiente de trabalho positivo.
2% a 4%: Aceitável. Uma faixa normal que acomoda ausências pontuais por motivos de saúde ou questões pessoais, sem indicar um problema crônico.
Acima de 4%: Sinal de alerta. Se o índice de faltas (principalmente as não justificadas ou com atestados de curta duração frequentes) ultrapassa esse patamar, vale a pena investigar. As causas podem variar de problemas de saúde (física ou mental, como estresse e burnout) a um baixo engajamento com a empresa e o trabalho.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B4" authorId="0" shapeId="0" xr:uid="{00000000-0006-0000-2500-000009000000}">
      <text>
        <r>
          <rPr>
            <sz val="10"/>
            <rFont val="Arial"/>
            <family val="2"/>
          </rPr>
          <t>Ano Novo</t>
        </r>
      </text>
    </comment>
    <comment ref="Y44" authorId="0" shapeId="0" xr:uid="{00000000-0006-0000-2500-000002000000}">
      <text>
        <r>
          <rPr>
            <sz val="10"/>
            <rFont val="Arial"/>
            <family val="2"/>
          </rPr>
          <t>Carnaval (Segunda-Feira)</t>
        </r>
      </text>
    </comment>
    <comment ref="Z44" authorId="0" shapeId="0" xr:uid="{00000000-0006-0000-2500-000006000000}">
      <text>
        <r>
          <rPr>
            <sz val="10"/>
            <rFont val="Arial"/>
            <family val="2"/>
          </rPr>
          <t>Carnaval (Terça-Feira)</t>
        </r>
      </text>
    </comment>
    <comment ref="AC112" authorId="0" shapeId="0" xr:uid="{00000000-0006-0000-2500-00000C000000}">
      <text>
        <r>
          <rPr>
            <sz val="10"/>
            <rFont val="Arial"/>
            <family val="2"/>
          </rPr>
          <t>Sexta-Feira Santa</t>
        </r>
      </text>
    </comment>
    <comment ref="Z115" authorId="0" shapeId="0" xr:uid="{00000000-0006-0000-2500-000007000000}">
      <text>
        <r>
          <rPr>
            <sz val="10"/>
            <rFont val="Arial"/>
            <family val="2"/>
          </rPr>
          <t>Tiradentes</t>
        </r>
      </text>
    </comment>
    <comment ref="AC142" authorId="0" shapeId="0" xr:uid="{00000000-0006-0000-2500-00000D000000}">
      <text>
        <r>
          <rPr>
            <sz val="10"/>
            <rFont val="Arial"/>
            <family val="2"/>
          </rPr>
          <t>Dia do Trabalho</t>
        </r>
      </text>
    </comment>
    <comment ref="AB172" authorId="0" shapeId="0" xr:uid="{00000000-0006-0000-2500-00000A000000}">
      <text>
        <r>
          <rPr>
            <sz val="10"/>
            <rFont val="Arial"/>
            <family val="2"/>
          </rPr>
          <t>Corpus Christi</t>
        </r>
      </text>
    </comment>
    <comment ref="Y263" authorId="0" shapeId="0" xr:uid="{00000000-0006-0000-2500-000003000000}">
      <text>
        <r>
          <rPr>
            <sz val="10"/>
            <rFont val="Arial"/>
            <family val="2"/>
          </rPr>
          <t>Independência do Brasil</t>
        </r>
      </text>
    </comment>
    <comment ref="Y294" authorId="0" shapeId="0" xr:uid="{00000000-0006-0000-2500-000004000000}">
      <text>
        <r>
          <rPr>
            <sz val="10"/>
            <rFont val="Arial"/>
            <family val="2"/>
          </rPr>
          <t>Nossa Senhora de Aparecida</t>
        </r>
      </text>
    </comment>
    <comment ref="AA296" authorId="0" shapeId="0" xr:uid="{00000000-0006-0000-2500-000008000000}">
      <text>
        <r>
          <rPr>
            <sz val="10"/>
            <rFont val="Arial"/>
            <family val="2"/>
          </rPr>
          <t>Dia do Servidor Público</t>
        </r>
      </text>
    </comment>
    <comment ref="Y322" authorId="0" shapeId="0" xr:uid="{00000000-0006-0000-2500-000005000000}">
      <text>
        <r>
          <rPr>
            <sz val="10"/>
            <rFont val="Arial"/>
            <family val="2"/>
          </rPr>
          <t>Finados (Dia dos Mortos)</t>
        </r>
      </text>
    </comment>
    <comment ref="X324" authorId="0" shapeId="0" xr:uid="{00000000-0006-0000-2500-000001000000}">
      <text>
        <r>
          <rPr>
            <sz val="10"/>
            <rFont val="Arial"/>
            <family val="2"/>
          </rPr>
          <t>Proclamação da República</t>
        </r>
      </text>
    </comment>
    <comment ref="AB324" authorId="0" shapeId="0" xr:uid="{00000000-0006-0000-2500-00000B000000}">
      <text>
        <r>
          <rPr>
            <sz val="10"/>
            <rFont val="Arial"/>
            <family val="2"/>
          </rPr>
          <t>Dia da Bandeira</t>
        </r>
      </text>
    </comment>
    <comment ref="AC324" authorId="0" shapeId="0" xr:uid="{00000000-0006-0000-2500-00000E000000}">
      <text>
        <r>
          <rPr>
            <sz val="10"/>
            <rFont val="Arial"/>
            <family val="2"/>
          </rPr>
          <t>Consciência Negra</t>
        </r>
      </text>
    </comment>
    <comment ref="AC355" authorId="0" shapeId="0" xr:uid="{00000000-0006-0000-2500-00000F000000}">
      <text>
        <r>
          <rPr>
            <sz val="10"/>
            <rFont val="Arial"/>
            <family val="2"/>
          </rPr>
          <t>Natal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29" authorId="0" shapeId="0" xr:uid="{00000000-0006-0000-2700-000001000000}">
      <text>
        <r>
          <rPr>
            <sz val="10"/>
            <rFont val="Arial"/>
            <family val="2"/>
          </rPr>
          <t>Definição: O turnover mede a taxa na qual os funcionários saem e são substituídos em uma empresa durante um período.
Impactos: A saída de um profissional administrativo pode causar interrupções em processos críticos (como faturamento, folha de pagamento, compras), perda de conhecimento especializado sobre sistemas e procedimentos internos, além dos custos tradicionais de recrutamento e treinamento. A estabilidade nesta área é fundamental para a saúde organizacional.
Realidade do Setor: O turnover em áreas administrativas tende a ser o mais baixo dentro de uma organização. Espera-se maior estabilidade e retenção. Um turnover alto aqui é um forte indicativo de problemas mais profundos na cultura da empresa, na liderança ou na política de remuneração e benefícios.
Meta Ideal para a Equipe Administrativa:
Até 3%: Excelente. Um índice baixíssimo que reflete alta satisfação, bom clima organizacional, segurança e um pacote de remuneração e benefícios competitivo.
3% a 7%: Aceitável. Esta faixa ainda é considerada saudável para a maioria das empresas. As saídas podem ser atribuídas a movimentações naturais de carreira, aposentadorias ou questões pontuais.
Acima de 7%: Sinal de alerta. Um turnover se aproximando dos dois dígitos na área administrativa é preocupante. Exige uma investigação imediata sobre as causas, que podem incluir falta de oportunidades de crescimento, gestão inadequada, salários defasados em relação ao mercado ou sobrecarga de trabalho.</t>
        </r>
      </text>
    </comment>
    <comment ref="B46" authorId="0" shapeId="0" xr:uid="{00000000-0006-0000-2700-000002000000}">
      <text>
        <r>
          <rPr>
            <sz val="10"/>
            <rFont val="Arial"/>
            <family val="2"/>
          </rPr>
          <t xml:space="preserve">Definição: O absenteísmo mede a taxa de ausências não planejadas dos funcionários (faltas, atrasos, licenças médicas curtas) durante o horário de trabalho.
Impactos: Embora uma única ausência possa ser mais facilmente coberta por outros membros da equipe em comparação com a linha de produção, o absenteísmo recorrente atrasa projetos, sobrecarrega colegas e pode criar gargalos em processos que dependem de poucas pessoas.
Realidade do Setor: Assim como o turnover, o absenteísmo no administrativo tende a ser menor. O ambiente de trabalho é, em geral, mais controlado e menos propenso a acidentes de trabalho ou desgaste físico extremo.
Meta Ideal para a Equipe Administrativa:
Até 2%: Excelente. Demonstra uma equipe saudável, comprometida e um ambiente de trabalho positivo.
2% a 4%: Aceitável. Uma faixa normal que acomoda ausências pontuais por motivos de saúde ou questões pessoais, sem indicar um problema crônico.
Acima de 4%: Sinal de alerta. Se o índice de faltas (principalmente as não justificadas ou com atestados de curta duração frequentes) ultrapassa esse patamar, vale a pena investigar. As causas podem variar de problemas de saúde (física ou mental, como estresse e burnout) a um baixo engajamento com a empresa e o trabalho.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A4" authorId="0" shapeId="0" xr:uid="{00000000-0006-0000-2900-000002000000}">
      <text>
        <r>
          <rPr>
            <sz val="10"/>
            <rFont val="Arial"/>
            <family val="2"/>
          </rPr>
          <t>Ano Novo</t>
        </r>
      </text>
    </comment>
    <comment ref="AB223" authorId="0" shapeId="0" xr:uid="{00000000-0006-0000-2900-000003000000}">
      <text>
        <r>
          <rPr>
            <sz val="10"/>
            <rFont val="Arial"/>
            <family val="2"/>
          </rPr>
          <t>Sexta-Feira Santa</t>
        </r>
      </text>
    </comment>
    <comment ref="Y226" authorId="0" shapeId="0" xr:uid="{00000000-0006-0000-2900-000001000000}">
      <text>
        <r>
          <rPr>
            <sz val="10"/>
            <rFont val="Arial"/>
            <family val="2"/>
          </rPr>
          <t>Tiradentes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4" authorId="0" shapeId="0" xr:uid="{00000000-0006-0000-2E00-000001000000}">
      <text>
        <r>
          <rPr>
            <sz val="10"/>
            <rFont val="Arial"/>
            <family val="2"/>
          </rPr>
          <t>Faturamento total da empresa (mesmo valor usado em ADM/IND). Fonte: arquivos Comercial 01-04, aba Fopag, célula F2.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0" authorId="0" shapeId="0" xr:uid="{00000000-0006-0000-2F00-000001000000}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INSS e IRRF</t>
        </r>
      </text>
    </comment>
    <comment ref="F10" authorId="0" shapeId="0" xr:uid="{00000000-0006-0000-2F00-000002000000}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INSS e IRRF</t>
        </r>
      </text>
    </comment>
    <comment ref="I10" authorId="0" shapeId="0" xr:uid="{00000000-0006-0000-2F00-000003000000}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INSS e IRRF</t>
        </r>
      </text>
    </comment>
    <comment ref="L10" authorId="0" shapeId="0" xr:uid="{00000000-0006-0000-2F00-000004000000}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INSS e IRRF</t>
        </r>
      </text>
    </comment>
    <comment ref="O10" authorId="0" shapeId="0" xr:uid="{00000000-0006-0000-2F00-000005000000}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INSS e IRRF</t>
        </r>
      </text>
    </comment>
    <comment ref="R10" authorId="0" shapeId="0" xr:uid="{00000000-0006-0000-2F00-000006000000}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INSS e IRRF</t>
        </r>
      </text>
    </comment>
    <comment ref="U10" authorId="0" shapeId="0" xr:uid="{00000000-0006-0000-2F00-000007000000}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Desconto INSS e IRRF</t>
        </r>
      </text>
    </comment>
  </commentList>
</comments>
</file>

<file path=xl/sharedStrings.xml><?xml version="1.0" encoding="utf-8"?>
<sst xmlns="http://schemas.openxmlformats.org/spreadsheetml/2006/main" count="10897" uniqueCount="906">
  <si>
    <t>Análise de indicadores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</si>
  <si>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</si>
  <si>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</si>
  <si>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</si>
  <si>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</si>
  <si>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</si>
  <si>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</si>
  <si>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</si>
  <si>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</si>
  <si>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</si>
  <si>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</si>
  <si>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</si>
  <si>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</si>
  <si>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</si>
  <si>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Efetivo Inicial (Un)</t>
  </si>
  <si>
    <t>Afastamentos + Faltas (dias)</t>
  </si>
  <si>
    <t>Novas Contratações (Un)</t>
  </si>
  <si>
    <t>Desligamentos (Un)</t>
  </si>
  <si>
    <t>Efetivo Final (Un)</t>
  </si>
  <si>
    <t>Efetivo Médio</t>
  </si>
  <si>
    <t>Férias (dias não produtivos)</t>
  </si>
  <si>
    <t>Colaboradores de Férias (Un)</t>
  </si>
  <si>
    <t>Dias Úteis</t>
  </si>
  <si>
    <t>Dias Programados</t>
  </si>
  <si>
    <t>Dias Produtivos</t>
  </si>
  <si>
    <t>Dias não Produtivos</t>
  </si>
  <si>
    <t>Horas Programadas</t>
  </si>
  <si>
    <t>Horas não Produtivas</t>
  </si>
  <si>
    <t>Efetivo Pessoal Mês</t>
  </si>
  <si>
    <t>Taxa de Absenteísmo</t>
  </si>
  <si>
    <t>Taxa de Turnover</t>
  </si>
  <si>
    <t>Folha Líquida (R$)</t>
  </si>
  <si>
    <t>Folha Bruta (R$)</t>
  </si>
  <si>
    <t>Salário Per Capto (R$)</t>
  </si>
  <si>
    <t>Valor de Tributos</t>
  </si>
  <si>
    <t>INSS Patronal</t>
  </si>
  <si>
    <t>FGTS</t>
  </si>
  <si>
    <t>Encargos sobre a Folha (%)</t>
  </si>
  <si>
    <t>Atestados</t>
  </si>
  <si>
    <t>Faltas</t>
  </si>
  <si>
    <t>Férias</t>
  </si>
  <si>
    <t>Funcionário</t>
  </si>
  <si>
    <t>Nome do Funcionário</t>
  </si>
  <si>
    <t>Departamento</t>
  </si>
  <si>
    <t>Admissão</t>
  </si>
  <si>
    <t>Demissão</t>
  </si>
  <si>
    <t>Afastamento</t>
  </si>
  <si>
    <t>Início</t>
  </si>
  <si>
    <t>Fim</t>
  </si>
  <si>
    <t>Dias</t>
  </si>
  <si>
    <t>Observação</t>
  </si>
  <si>
    <t>LEANDRO PINHEIRO DOS SANTO</t>
  </si>
  <si>
    <t>PRODUCAO</t>
  </si>
  <si>
    <t>Início Colab</t>
  </si>
  <si>
    <t>LUCAS ANDRADE SILVA</t>
  </si>
  <si>
    <t>SAMY HERCULANO PINTO</t>
  </si>
  <si>
    <t>Fim Colab</t>
  </si>
  <si>
    <t>Sócio</t>
  </si>
  <si>
    <t>Afastamentos</t>
  </si>
  <si>
    <t>Colaboradores</t>
  </si>
  <si>
    <t>ADM</t>
  </si>
  <si>
    <t>Termino do aviso 31/05/2024</t>
  </si>
  <si>
    <t>GABRIELLY LOPES MACHADO</t>
  </si>
  <si>
    <t>GABRIEL FONSECA DA SILVA</t>
  </si>
  <si>
    <t>Desligamento 02/08/2024</t>
  </si>
  <si>
    <t>MAXSUEL MOREIRA REZENDE</t>
  </si>
  <si>
    <t>AUGUSTO CESAR DA SILVA FILHO</t>
  </si>
  <si>
    <t>RAFAELA REGINA TAMANHONI</t>
  </si>
  <si>
    <t>LORENA DIAS ALMEIDA</t>
  </si>
  <si>
    <t>Telamassas Adm 2025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</si>
  <si>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</si>
  <si>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</si>
  <si>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</si>
  <si>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</si>
  <si>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</si>
  <si>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</si>
  <si>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</si>
  <si>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</si>
  <si>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</si>
  <si>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</si>
  <si>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</si>
  <si>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</si>
  <si>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Período</t>
  </si>
  <si>
    <t>Faturamento</t>
  </si>
  <si>
    <t>Custo</t>
  </si>
  <si>
    <t>%</t>
  </si>
  <si>
    <t>Meta</t>
  </si>
  <si>
    <t>Colab</t>
  </si>
  <si>
    <t>Fat x Colab</t>
  </si>
  <si>
    <t>Salário</t>
  </si>
  <si>
    <t>Pro Labore</t>
  </si>
  <si>
    <t>INSS+RAT+Terceiros</t>
  </si>
  <si>
    <t>Provisões</t>
  </si>
  <si>
    <t>Aj. Custo Diretoria</t>
  </si>
  <si>
    <t>Alimentação</t>
  </si>
  <si>
    <t>Transporte</t>
  </si>
  <si>
    <t>Plano Saúde</t>
  </si>
  <si>
    <t>Folha Líquida</t>
  </si>
  <si>
    <t>SAMUEL APOLINÁRIO</t>
  </si>
  <si>
    <t xml:space="preserve">SILVANIA BARBOSA ALVES </t>
  </si>
  <si>
    <t>TATIANI COOK</t>
  </si>
  <si>
    <t xml:space="preserve">VIVIANE DA COSTA </t>
  </si>
  <si>
    <t>Turnover  (Rotatividade de Pessoal)</t>
  </si>
  <si>
    <t>Absenteísmo (Ausências no Trabalho)</t>
  </si>
  <si>
    <t>Ano:</t>
  </si>
  <si>
    <t>Meta:</t>
  </si>
  <si>
    <t>Mês</t>
  </si>
  <si>
    <t>Admissões</t>
  </si>
  <si>
    <t>Desligamentos</t>
  </si>
  <si>
    <t>Turnover</t>
  </si>
  <si>
    <t>Média</t>
  </si>
  <si>
    <t>H Program</t>
  </si>
  <si>
    <t>H. N. Prod.</t>
  </si>
  <si>
    <t>Absenteísmo</t>
  </si>
  <si>
    <t xml:space="preserve">Cálculo: [(Nº de desligados + Nº de admitidos) / 2] / (Nº total de colaboradores). </t>
  </si>
  <si>
    <t xml:space="preserve">MANOELA SILVA </t>
  </si>
  <si>
    <t xml:space="preserve">FELIPE ROCHA </t>
  </si>
  <si>
    <t xml:space="preserve">HENRIQUE CAZEDEI </t>
  </si>
  <si>
    <t>JOSE OLIVEIRA JUNIOR</t>
  </si>
  <si>
    <t>MARLY DA SILVA VALANDRO</t>
  </si>
  <si>
    <t>pedido de demissão</t>
  </si>
  <si>
    <t>VINICIUS ABRAO SACRAMENTO</t>
  </si>
  <si>
    <t xml:space="preserve">DIOGO GAVA </t>
  </si>
  <si>
    <t>FERNANDO DA SILVA SALARINI</t>
  </si>
  <si>
    <t xml:space="preserve">TATIANI </t>
  </si>
  <si>
    <t>Início Colab.</t>
  </si>
  <si>
    <t>Janeiro 2026</t>
  </si>
  <si>
    <t>D. Produtivo</t>
  </si>
  <si>
    <t>Dom</t>
  </si>
  <si>
    <t>Seg</t>
  </si>
  <si>
    <t>Ter</t>
  </si>
  <si>
    <t>Qua</t>
  </si>
  <si>
    <t>Qui</t>
  </si>
  <si>
    <t>Sex</t>
  </si>
  <si>
    <t>Sáb</t>
  </si>
  <si>
    <t>D. N. Produt.</t>
  </si>
  <si>
    <t>Horas Program.</t>
  </si>
  <si>
    <t>Afastam.</t>
  </si>
  <si>
    <t>H. N. Produtiva</t>
  </si>
  <si>
    <t>01 a 20</t>
  </si>
  <si>
    <t>Efetivo Pessoal</t>
  </si>
  <si>
    <t>Efet. Méd.</t>
  </si>
  <si>
    <t>Não Úteis</t>
  </si>
  <si>
    <t>D. Program.</t>
  </si>
  <si>
    <t>Fevereiro 2026</t>
  </si>
  <si>
    <t>16 e 17</t>
  </si>
  <si>
    <t>Março 2026</t>
  </si>
  <si>
    <t>Abril 2026</t>
  </si>
  <si>
    <t>Até a saída</t>
  </si>
  <si>
    <t>Maio 2026</t>
  </si>
  <si>
    <t>Junho 2026</t>
  </si>
  <si>
    <t>Julho 2026</t>
  </si>
  <si>
    <t>Agosto 2026</t>
  </si>
  <si>
    <t>Setembro 2026</t>
  </si>
  <si>
    <t>Outubro 2026</t>
  </si>
  <si>
    <t>Novembro 2026</t>
  </si>
  <si>
    <t>Dezembro 2026</t>
  </si>
  <si>
    <t>FATURAMENTO</t>
  </si>
  <si>
    <t>COLABORADOR</t>
  </si>
  <si>
    <t>SALÁRIO</t>
  </si>
  <si>
    <t>PREMIOS</t>
  </si>
  <si>
    <t>AJ. CUSTO</t>
  </si>
  <si>
    <t>ALIMENTAÇÃO</t>
  </si>
  <si>
    <t>PLANO SAÚDE</t>
  </si>
  <si>
    <t>SUB. TOT.</t>
  </si>
  <si>
    <t>ENCARGOS</t>
  </si>
  <si>
    <t>PROJEÇÃO 13º / FÉRIAS</t>
  </si>
  <si>
    <t>TOTAL</t>
  </si>
  <si>
    <t>INSS</t>
  </si>
  <si>
    <t>1/3 Férias</t>
  </si>
  <si>
    <t>13º SALÁRIO</t>
  </si>
  <si>
    <t xml:space="preserve">FÉRIAS + 1/3 </t>
  </si>
  <si>
    <t>GERAL</t>
  </si>
  <si>
    <t>CUSTO</t>
  </si>
  <si>
    <t>Leandro dos Santos Pinheiro</t>
  </si>
  <si>
    <t xml:space="preserve">Manoela Siolva Caldeira </t>
  </si>
  <si>
    <t>Samuel Rodrigues de Souza</t>
  </si>
  <si>
    <t>Silvania Barbosa Alves</t>
  </si>
  <si>
    <t>INSS - Confirmação</t>
  </si>
  <si>
    <t>Empregado</t>
  </si>
  <si>
    <t>Empresa</t>
  </si>
  <si>
    <t>Edmundo Vale</t>
  </si>
  <si>
    <t>Ricardo Oliveira</t>
  </si>
  <si>
    <t>Desembolso Mensal</t>
  </si>
  <si>
    <t>Salário Líquido</t>
  </si>
  <si>
    <t>Fopag</t>
  </si>
  <si>
    <t>INSS+RAT+TERC</t>
  </si>
  <si>
    <t>Beneficios</t>
  </si>
  <si>
    <t>Ajuda de Custo Diretoria</t>
  </si>
  <si>
    <t>Custo Total</t>
  </si>
  <si>
    <t>Salários</t>
  </si>
  <si>
    <t>INSS Patronal (INSS+RAT+Terceiros)</t>
  </si>
  <si>
    <t>Premiação</t>
  </si>
  <si>
    <t>Plano de Saúde</t>
  </si>
  <si>
    <t>Prolabore</t>
  </si>
  <si>
    <t xml:space="preserve">Felipe Rocha </t>
  </si>
  <si>
    <t xml:space="preserve">Henrique Cazedey </t>
  </si>
  <si>
    <t>Dist. Lucro</t>
  </si>
  <si>
    <t>Aj. Custo</t>
  </si>
  <si>
    <t>Sub. Total</t>
  </si>
  <si>
    <t>RAT</t>
  </si>
  <si>
    <t>Terceiros</t>
  </si>
  <si>
    <t>T. Encargos</t>
  </si>
  <si>
    <t>FGTS Férias</t>
  </si>
  <si>
    <t>13º Sal</t>
  </si>
  <si>
    <t>FGTS 13º Sal</t>
  </si>
  <si>
    <t>Aviso Prévio</t>
  </si>
  <si>
    <t>FGTS Av.</t>
  </si>
  <si>
    <t>Multa FGTS</t>
  </si>
  <si>
    <t>Patronal</t>
  </si>
  <si>
    <t>T. Provisão</t>
  </si>
  <si>
    <t>Benefício</t>
  </si>
  <si>
    <t>Provisão</t>
  </si>
  <si>
    <t>Prêmio</t>
  </si>
  <si>
    <t>Custo Total (+ Provisões)</t>
  </si>
  <si>
    <t>ADM 2026</t>
  </si>
  <si>
    <t>Efetivo Final</t>
  </si>
  <si>
    <t>Faturam.</t>
  </si>
  <si>
    <t>CPF</t>
  </si>
  <si>
    <t>AMANDA BEATRIZ ALVES DA SILVA</t>
  </si>
  <si>
    <t>Telemassas</t>
  </si>
  <si>
    <t>11/04/2025</t>
  </si>
  <si>
    <t>25/02/2026</t>
  </si>
  <si>
    <t>ANAILSON DA CONCEICAO RICARTE</t>
  </si>
  <si>
    <t>15/04/2024</t>
  </si>
  <si>
    <t>BRENO BERUDIO BARBOZA</t>
  </si>
  <si>
    <t>11/03/2026</t>
  </si>
  <si>
    <t>CASSIA COELHO RAMOS</t>
  </si>
  <si>
    <t>17/10/2024</t>
  </si>
  <si>
    <t>CASSIO PEREIRA TOMAS</t>
  </si>
  <si>
    <t>01/12/2025</t>
  </si>
  <si>
    <t>31/03/2026</t>
  </si>
  <si>
    <t>DAYSA GREGORIO VENANCIO</t>
  </si>
  <si>
    <t>15/10/2024</t>
  </si>
  <si>
    <t>DENIZE MOREIRA COELHO MARTINS</t>
  </si>
  <si>
    <t>Yup</t>
  </si>
  <si>
    <t>17/03/2023</t>
  </si>
  <si>
    <t>EDINEIA MARIA LOPES DA SILVA</t>
  </si>
  <si>
    <t>03/01/2022</t>
  </si>
  <si>
    <t>EDSON JOSE DE SOUZA</t>
  </si>
  <si>
    <t>20/02/2025</t>
  </si>
  <si>
    <t>ERMINDA MARIA LOPES FACCINI</t>
  </si>
  <si>
    <t>FELIPE SANSAO POLETTO</t>
  </si>
  <si>
    <t>22/04/2025</t>
  </si>
  <si>
    <t>18/02/2026</t>
  </si>
  <si>
    <t>GIORDANO BRUNO GARIBALDI</t>
  </si>
  <si>
    <t>19/11/2025</t>
  </si>
  <si>
    <t>HUGO BERUDIO AMORIM</t>
  </si>
  <si>
    <t>14/08/2023</t>
  </si>
  <si>
    <t>JAMAICA PENA ALIPIO</t>
  </si>
  <si>
    <t>09/02/2026</t>
  </si>
  <si>
    <t>JOSE GUILHERME TEIXEIRA BRAGA</t>
  </si>
  <si>
    <t>18/05/2023</t>
  </si>
  <si>
    <t>LILIANE APARECIDA CANDIDA DA SILVA</t>
  </si>
  <si>
    <t>22/10/2024</t>
  </si>
  <si>
    <t>12/02/2026</t>
  </si>
  <si>
    <t>LORENA BARBOSA BOEQUE</t>
  </si>
  <si>
    <t>23/06/2025</t>
  </si>
  <si>
    <t>LORENA DE OLIVEIRA LUZORIO</t>
  </si>
  <si>
    <t>10/10/2024</t>
  </si>
  <si>
    <t>04/03/2026</t>
  </si>
  <si>
    <t>LOSAINE LOPES DE OLIVEIRA</t>
  </si>
  <si>
    <t>11/09/2025</t>
  </si>
  <si>
    <t>LOURDINHA COELHO BERUDIO</t>
  </si>
  <si>
    <t>21/03/2022</t>
  </si>
  <si>
    <t>LUCIENE MENEGUETTI TEDESCO</t>
  </si>
  <si>
    <t>01/11/2024</t>
  </si>
  <si>
    <t>LUIZ ZANAO</t>
  </si>
  <si>
    <t>28/04/2025</t>
  </si>
  <si>
    <t>MARCOS EDUARDO DE SOUZA GOMES</t>
  </si>
  <si>
    <t>13/03/2025</t>
  </si>
  <si>
    <t>MARIA APARECIDA DANIEL</t>
  </si>
  <si>
    <t>10/04/2023</t>
  </si>
  <si>
    <t>MARIA APARECIDA LOPES</t>
  </si>
  <si>
    <t>MARIA DA PENHA SILVA VIANA</t>
  </si>
  <si>
    <t>MARIA ESTER DA ROCHA GARIBALDI</t>
  </si>
  <si>
    <t>MARIA JOSE DE SOUZA BRAGA SCHROEDER</t>
  </si>
  <si>
    <t>NATAN ALVES DE OLIVEIRA</t>
  </si>
  <si>
    <t>RUAN MOREIRA MARTINS</t>
  </si>
  <si>
    <t>SANDRA DANIEL</t>
  </si>
  <si>
    <t>SARIDIA RAMOS BROEDEL</t>
  </si>
  <si>
    <t>TEREZINHA DE LOURDES OLIVEIRA</t>
  </si>
  <si>
    <t>12/09/2025</t>
  </si>
  <si>
    <t>15/01/2026</t>
  </si>
  <si>
    <t>THAIS FRANCELI LOPES DE SOUZA GOMES</t>
  </si>
  <si>
    <t>23/02/2026</t>
  </si>
  <si>
    <t>VANUZA DE OLIVEIRA GOMES</t>
  </si>
  <si>
    <t>18/02/2025</t>
  </si>
  <si>
    <t>ZILNEIDE DA CONCEICAO</t>
  </si>
  <si>
    <t>ZIRLENE APARECIDA DE OLIVEIRA TOMAS DA SILVA</t>
  </si>
  <si>
    <t>01 a 04</t>
  </si>
  <si>
    <t>01 a 18</t>
  </si>
  <si>
    <t>01 a 14</t>
  </si>
  <si>
    <t>01 a 10</t>
  </si>
  <si>
    <t xml:space="preserve"> 16 a31</t>
  </si>
  <si>
    <t>11 a 26</t>
  </si>
  <si>
    <t>01 a 28</t>
  </si>
  <si>
    <t>26 a28</t>
  </si>
  <si>
    <t>09 a 24</t>
  </si>
  <si>
    <t>1 a 6</t>
  </si>
  <si>
    <t>31</t>
  </si>
  <si>
    <t>05 a 31</t>
  </si>
  <si>
    <t>7 a 21</t>
  </si>
  <si>
    <t>01 a 16</t>
  </si>
  <si>
    <t>29 e 30</t>
  </si>
  <si>
    <t>22 a 30</t>
  </si>
  <si>
    <t>Anuênio</t>
  </si>
  <si>
    <t>HE+ DSR</t>
  </si>
  <si>
    <t>Assiduidade</t>
  </si>
  <si>
    <t>C. Básica</t>
  </si>
  <si>
    <t>Seguro</t>
  </si>
  <si>
    <t>Pl. Odonto</t>
  </si>
  <si>
    <t xml:space="preserve">Amanda Beatriz Alves </t>
  </si>
  <si>
    <t>Anailson da Conceição Ricarte</t>
  </si>
  <si>
    <t>Cassia Coelho Ramos</t>
  </si>
  <si>
    <t>H. Extra</t>
  </si>
  <si>
    <t xml:space="preserve">Cassio Pereira Tomas </t>
  </si>
  <si>
    <t>Daysa Gregorio Venancio</t>
  </si>
  <si>
    <t>Edineia Maria Lopes da Silva</t>
  </si>
  <si>
    <t>Erminda Maria Lopes</t>
  </si>
  <si>
    <t xml:space="preserve">Felipe Sanção </t>
  </si>
  <si>
    <t>Hugo Berudio Amorim</t>
  </si>
  <si>
    <t>Jamaica Pena Alipio</t>
  </si>
  <si>
    <t>José Guilherme Teixeira Braga</t>
  </si>
  <si>
    <t>Liliane Aparecida Candida da Silva</t>
  </si>
  <si>
    <t xml:space="preserve">Lorena Barbosa Boeque </t>
  </si>
  <si>
    <t>Lorena de Oliveira Luzorio</t>
  </si>
  <si>
    <t xml:space="preserve">Losaine Lopes </t>
  </si>
  <si>
    <t>Lourdinha Coelho Berudio</t>
  </si>
  <si>
    <t>Luciene Meneguetti Tedesco</t>
  </si>
  <si>
    <t xml:space="preserve">Marcos Eduardo de Souza Gomes </t>
  </si>
  <si>
    <t>Maria Aparecida Daniel</t>
  </si>
  <si>
    <t>Maria Aparecida Lopes</t>
  </si>
  <si>
    <t>Maria da Penha Silva Viana</t>
  </si>
  <si>
    <t>Maria Ester da Rocha Garibaldi</t>
  </si>
  <si>
    <t>Maria Jose de Souza</t>
  </si>
  <si>
    <t>Natan Alves</t>
  </si>
  <si>
    <t xml:space="preserve">Ruan Moreira Martins </t>
  </si>
  <si>
    <t>Sandra Daniel</t>
  </si>
  <si>
    <t xml:space="preserve">Terezinha de Lourdes </t>
  </si>
  <si>
    <t>Vanuza de Oliveira Gomes</t>
  </si>
  <si>
    <t>Zilneide da Conceição</t>
  </si>
  <si>
    <t>Zirlene Aparecida de Oliveira Tomaz da Silva</t>
  </si>
  <si>
    <t>Denize Moreira Coelho Martins</t>
  </si>
  <si>
    <t>Edson Jose de Souza</t>
  </si>
  <si>
    <t xml:space="preserve">Giordano Bruno Garibaldi </t>
  </si>
  <si>
    <t>Luiz Zanão</t>
  </si>
  <si>
    <t>Sarídia Ramos Broedel</t>
  </si>
  <si>
    <t>Vanias Schneider</t>
  </si>
  <si>
    <t>Henrique Gazzinelli Tanure Teixeira</t>
  </si>
  <si>
    <t>Amanda Beatriz Alves da Silva</t>
  </si>
  <si>
    <t>Daysa Gregório Venancio</t>
  </si>
  <si>
    <t xml:space="preserve">Flipe Sansão </t>
  </si>
  <si>
    <t xml:space="preserve">Jamaica Pena </t>
  </si>
  <si>
    <t xml:space="preserve">Liliane Aparecida Candido </t>
  </si>
  <si>
    <t xml:space="preserve">Lousaine Lopes </t>
  </si>
  <si>
    <t xml:space="preserve">Maria Jose de Souza </t>
  </si>
  <si>
    <t>Thais Franceli Lopes de Souza Gomes</t>
  </si>
  <si>
    <t xml:space="preserve">Breno Beridio Barboza </t>
  </si>
  <si>
    <t xml:space="preserve">Maria Aparecida Daniel </t>
  </si>
  <si>
    <t>IND 2026</t>
  </si>
  <si>
    <t>Prod. KG</t>
  </si>
  <si>
    <t>Custo/KG</t>
  </si>
  <si>
    <t>Cargo</t>
  </si>
  <si>
    <t>Admitido</t>
  </si>
  <si>
    <t>Demitido</t>
  </si>
  <si>
    <t xml:space="preserve"> At / Desl</t>
  </si>
  <si>
    <t>ADENICE DOS SANTOS DE SOUZA</t>
  </si>
  <si>
    <t>ES</t>
  </si>
  <si>
    <t>Freelancer</t>
  </si>
  <si>
    <t>ADRIANA APARECIDA FERREIRA</t>
  </si>
  <si>
    <t>MG</t>
  </si>
  <si>
    <t>Encarregado</t>
  </si>
  <si>
    <t>ADRIANA FERREIRA FIGUEIREDO</t>
  </si>
  <si>
    <t>SP</t>
  </si>
  <si>
    <t>ADRIANA GOMES DE ABREU SILVA</t>
  </si>
  <si>
    <t>RJ</t>
  </si>
  <si>
    <t>Promotor</t>
  </si>
  <si>
    <t>MEI</t>
  </si>
  <si>
    <t>ADRIANA PEDRA SOUZA SIMOES</t>
  </si>
  <si>
    <t>ADRIANE CRISTIANA APARECIDA DUARTE</t>
  </si>
  <si>
    <t>ALESSANDRA FERREIRA LIMA</t>
  </si>
  <si>
    <t>ALESSANDRA GOMES DA SILVA</t>
  </si>
  <si>
    <t>ALEXSANDRA DAMIANA CANCELA MELGACO</t>
  </si>
  <si>
    <t>ALINE DE PAULO SIMAO</t>
  </si>
  <si>
    <t>ALINE FERNANDA BARBOSA DE LIRA</t>
  </si>
  <si>
    <t>AMELIA RAYMUNDO DA SILVA</t>
  </si>
  <si>
    <t>ANA CAROLINA DA SILVA</t>
  </si>
  <si>
    <t>ANA CAROLINA FIRMINO</t>
  </si>
  <si>
    <t>ANA CLARA LIMA DA SILVA</t>
  </si>
  <si>
    <t>ANA CLECIA VASCONCELOS DOS SANTOS</t>
  </si>
  <si>
    <t>ANA LUIZA ANANIAS SOARES SILVA</t>
  </si>
  <si>
    <t>ANA PAULA FERREIRA</t>
  </si>
  <si>
    <t>ANA PAULA GOMES RIBEIRO</t>
  </si>
  <si>
    <t>ANAIR GONCALVES LORDEIRO</t>
  </si>
  <si>
    <t>ANDREIA DOS SANTOS</t>
  </si>
  <si>
    <t>ANTONIO RAIMUNDO ALVES DE FREITAS</t>
  </si>
  <si>
    <t>ARIANA REGINA</t>
  </si>
  <si>
    <t>ARTHUR FARIA DA COSTA</t>
  </si>
  <si>
    <t>BALBINA MARIA DOS SANTOS</t>
  </si>
  <si>
    <t>BARBARA ALVES SANTOS MOURA</t>
  </si>
  <si>
    <t>BARBARA CAMILA RODRIGUES DE OLIVEIRA</t>
  </si>
  <si>
    <t>BRUNA MOREIRA BORGES</t>
  </si>
  <si>
    <t>CAMILA RIBEIRO COSTA DE ALMEIDA</t>
  </si>
  <si>
    <t>CARLA PEREIRA DA SILVA</t>
  </si>
  <si>
    <t>CATIA MARTINS</t>
  </si>
  <si>
    <t>Gestor</t>
  </si>
  <si>
    <t>CINTIA DIAS FREIRE DA SILVA</t>
  </si>
  <si>
    <t>CLARICE LIMA FRANCA</t>
  </si>
  <si>
    <t>CLAUDETE APARECIDA DE FATIMA RODRIGUES</t>
  </si>
  <si>
    <t>CLAUDIA MARIA SILVA DOS SANTOS</t>
  </si>
  <si>
    <t>CLAUDIA REGINA FERREIRA MARINHO DA SILVA</t>
  </si>
  <si>
    <t>CLEBSON BARBOSA CARVALHO</t>
  </si>
  <si>
    <t>CLEIDE SILVA BRAVIM</t>
  </si>
  <si>
    <t>CRIATIVA</t>
  </si>
  <si>
    <t>Merchandising</t>
  </si>
  <si>
    <t>15.702.429/0001-06</t>
  </si>
  <si>
    <t>DANIELA BARBOSA NUNES</t>
  </si>
  <si>
    <t>DANIELA COELHO</t>
  </si>
  <si>
    <t>DANIELA PEREIRA ALMEIDA</t>
  </si>
  <si>
    <t>DEBORA CAMARGO</t>
  </si>
  <si>
    <t>DEBORA FERREIRA</t>
  </si>
  <si>
    <t>DEBORA HELENA BARBOSA</t>
  </si>
  <si>
    <t>DEUSILENE DE FATIMA BATISTA FERREIRA</t>
  </si>
  <si>
    <t>EDIANE QUEIROZ DA COSTA</t>
  </si>
  <si>
    <t>EDILENE SOUZA EVANGELISTA</t>
  </si>
  <si>
    <t>EDILSON ALVES DA SILVA JR</t>
  </si>
  <si>
    <t>ELAINE CRISTINA</t>
  </si>
  <si>
    <t>ELAINE CRISTINA VIANNA DOS SANTOS MACHADO</t>
  </si>
  <si>
    <t>ELIANA JOSE DA SILVA</t>
  </si>
  <si>
    <t>ELIENE SANTOS DA SILVA</t>
  </si>
  <si>
    <t>ELISA OLIVEIRA</t>
  </si>
  <si>
    <t>ELISABETE TEIXEIRA LEMES SOUZA</t>
  </si>
  <si>
    <t>ELIZETE SANTOS</t>
  </si>
  <si>
    <t>ELYVANIA FELIX DA SILVA</t>
  </si>
  <si>
    <t>EMANOELLY DA COSTA ROSA SOBRINHO</t>
  </si>
  <si>
    <t>ENILZA DAS GRACAS NOBRE SIMOURA BATISTA</t>
  </si>
  <si>
    <t>ERICA MARIA</t>
  </si>
  <si>
    <t>ERIKA DE JESUS AMARAL</t>
  </si>
  <si>
    <t>ERLAINE SAMPAIO NASCIMENTO</t>
  </si>
  <si>
    <t>ESLEANDRA CARNEIRO DA SILVA</t>
  </si>
  <si>
    <t>ESTER MEURE</t>
  </si>
  <si>
    <t>FABRICIA ROSSI DA SILVA</t>
  </si>
  <si>
    <t>FRANCIELE DA SILVA ALMEIDA</t>
  </si>
  <si>
    <t>BA</t>
  </si>
  <si>
    <t>GABRIELA JONAS LIMA</t>
  </si>
  <si>
    <t>GABRIELLA MACHADO RODRIGUES</t>
  </si>
  <si>
    <t>GEIZIMAR VICENCIA DE FREITAS</t>
  </si>
  <si>
    <t>GISELE SANTOS COSTA</t>
  </si>
  <si>
    <t>GISELE SANTOS MACHADO</t>
  </si>
  <si>
    <t>GRAZIELA PEGO</t>
  </si>
  <si>
    <t>HENRIQUE MENDES</t>
  </si>
  <si>
    <t>IAGO VIANA DA SILVA</t>
  </si>
  <si>
    <t>ILA REGINA</t>
  </si>
  <si>
    <t>INGRID MARY FANTONE</t>
  </si>
  <si>
    <t>IRIS MARCOS PACHECO DE OLIVEIRA</t>
  </si>
  <si>
    <t>ISABEL CRISTINA UCHOA DE GUSMAO GOMES</t>
  </si>
  <si>
    <t>ISABELA DA SILVA FELIPE DE BRITO</t>
  </si>
  <si>
    <t>ISABELA LORRANE</t>
  </si>
  <si>
    <t>ISABELLE CRISTINA FELIX</t>
  </si>
  <si>
    <t>ISNERIA FRANCISCA NOGUEIRA</t>
  </si>
  <si>
    <t>IVANI BORGES</t>
  </si>
  <si>
    <t>IVETE MARIA DA ROCHA</t>
  </si>
  <si>
    <t>IZABELLA LORRAINE DOMINGOS DOS SANTOS</t>
  </si>
  <si>
    <t>JANAINA DA SILVA NASCIMENTO</t>
  </si>
  <si>
    <t>JANICE LIMA SANTOS</t>
  </si>
  <si>
    <t>JESSE DA MOTA FERREIRA MOREIRA</t>
  </si>
  <si>
    <t>JESSICA BERNARDO FONSECA FIGUEIREDO</t>
  </si>
  <si>
    <t>JESSICA CERQUEIRA SILVA</t>
  </si>
  <si>
    <t>JESSICA FERREIRA</t>
  </si>
  <si>
    <t>JESSICAFERREIRA</t>
  </si>
  <si>
    <t>JOAO PEDRO BARBOSA LIMA</t>
  </si>
  <si>
    <t>JOAO VICTOR COELHO DOS SANTOS</t>
  </si>
  <si>
    <t>JOCILENE ALMEIDA DOS SANTOS</t>
  </si>
  <si>
    <t>JORDANIA MARCELA LIMA OLIVEIRA</t>
  </si>
  <si>
    <t>JOSE CARLOS MARQUES FIGUEIREDO BERNARDO</t>
  </si>
  <si>
    <t>JOSELINA FERREIRA DE LIMA</t>
  </si>
  <si>
    <t>JOSENILDO GOMES FERREIRA DA SILVA</t>
  </si>
  <si>
    <t>JOSIANE RANGEL NASCIMENTO PIGNATON</t>
  </si>
  <si>
    <t>JOSIARA SANTOS MAIA ANGELA</t>
  </si>
  <si>
    <t>JOSILAINE SILVA DA PAIXAO</t>
  </si>
  <si>
    <t>JULIANA CTISTINA</t>
  </si>
  <si>
    <t>JULIANA DA SILVA FERREIRA</t>
  </si>
  <si>
    <t>KAMILA MOTTI</t>
  </si>
  <si>
    <t>KAMILA PEREIRA PINTO</t>
  </si>
  <si>
    <t>KARINE FERNANDES MATIAS</t>
  </si>
  <si>
    <t>KAROLINE PEREIRA DA SILVA</t>
  </si>
  <si>
    <t>KAROLINY DA SILVA RIBEIRO</t>
  </si>
  <si>
    <t>KELTON DE MESQUITA</t>
  </si>
  <si>
    <t>KETELYN GOMES SILVA</t>
  </si>
  <si>
    <t>KETHELEN OLIVEIRA DOS SANTOS</t>
  </si>
  <si>
    <t>KEVEN EDUARDO MACHADO MOTA</t>
  </si>
  <si>
    <t>KLEITON LELLIS DOS SANTOS</t>
  </si>
  <si>
    <t>LAISLA SILVA</t>
  </si>
  <si>
    <t>LAYANDRA DE OLIVEIRA</t>
  </si>
  <si>
    <t>LEIDIANE DA SILVA</t>
  </si>
  <si>
    <t>LILIA CRISTINA SOARES</t>
  </si>
  <si>
    <t>156.547.917-37</t>
  </si>
  <si>
    <t>LORENA GABRIELA DOS SANTOS SELES</t>
  </si>
  <si>
    <t>LORRAINE GORONCI DA SILVA</t>
  </si>
  <si>
    <t>LORRANA MIRUABA</t>
  </si>
  <si>
    <t>LORRAYNE MENDES FERREIRA</t>
  </si>
  <si>
    <t>LUANA APARECIDA DE JESUS</t>
  </si>
  <si>
    <t>LUANA BETSE DA SILVA</t>
  </si>
  <si>
    <t>LUANA NOBRE MACEDO</t>
  </si>
  <si>
    <t>LUANDA LUIZ DE SOUZA</t>
  </si>
  <si>
    <t>LUCAS DE SOUZA ROSA</t>
  </si>
  <si>
    <t>LUCAS SANTOS TRINDADE</t>
  </si>
  <si>
    <t>Vendedor</t>
  </si>
  <si>
    <t>LUCIANA CASSIA CORREIA</t>
  </si>
  <si>
    <t>LUCIANA DO CARMO DA SILVA</t>
  </si>
  <si>
    <t>LUCIENE DA SILVA AGOSTINHO</t>
  </si>
  <si>
    <t>LUCIENE QUIRINO GONCALVES</t>
  </si>
  <si>
    <t>LUCILENE ALVES LIMA</t>
  </si>
  <si>
    <t>LUCILENE DA SILVA</t>
  </si>
  <si>
    <t>LUCILENE SANTOS TEIXEIRA</t>
  </si>
  <si>
    <t>LUCIMARI GABRIELLI DO NASCIMENTO</t>
  </si>
  <si>
    <t>LUIZA IANNE RESENDE PIRES</t>
  </si>
  <si>
    <t>LUZIA AMARAL</t>
  </si>
  <si>
    <t>LUZIVANIA AEAGAO</t>
  </si>
  <si>
    <t>LUZIVANIA ARAGAO DOS SANTOS</t>
  </si>
  <si>
    <t>MADALENA PERCI GENAZIO GREGORIO</t>
  </si>
  <si>
    <t>MANUELA MAGALHAES</t>
  </si>
  <si>
    <t>MARCIA ALVES DE OLIVEIRA</t>
  </si>
  <si>
    <t>MARCIA ELAINE SIMOES FERRO RIBEIRO</t>
  </si>
  <si>
    <t>MARCIO LEMOS DA SILVA</t>
  </si>
  <si>
    <t>MARIA AUXILIADORA FERREIRA MANDU SANTOS</t>
  </si>
  <si>
    <t>MARIA DA CONCEICAO FERREIRA VILELA</t>
  </si>
  <si>
    <t>MARIA DA PENHA DOS SANTOS CORREA</t>
  </si>
  <si>
    <t>MARIA DAS DORES BATISTA COSTA</t>
  </si>
  <si>
    <t>MARIA EUNICE SANTOS</t>
  </si>
  <si>
    <t>64.790.057/0001-14</t>
  </si>
  <si>
    <t>MARIANA CALDEIRA SANTOS COUTO</t>
  </si>
  <si>
    <t>MARILEIDE SOARES</t>
  </si>
  <si>
    <t>MARILENE VIEIRA PEREIRA</t>
  </si>
  <si>
    <t>MARILENE VIEIRA PEREIRA DE MATOS</t>
  </si>
  <si>
    <t>MARILIA DA SILVA</t>
  </si>
  <si>
    <t>MARLON BRENO</t>
  </si>
  <si>
    <t>MARTA LEANDRO VASCONVELOS</t>
  </si>
  <si>
    <t>MAYSSA SANTOS DA COSTA</t>
  </si>
  <si>
    <t>MICAELLEN DE SOUZA NOGUEIRA</t>
  </si>
  <si>
    <t>MICHELE SOUZA ROSA</t>
  </si>
  <si>
    <t>MILENA PRISCILA</t>
  </si>
  <si>
    <t>MIRIAN NUNES BERMUDES</t>
  </si>
  <si>
    <t>MONALISA SOUZA OLIVEIRA</t>
  </si>
  <si>
    <t>MONICA ALVES DOS SANTOS</t>
  </si>
  <si>
    <t>MONIQUE VIANA DA SILVA</t>
  </si>
  <si>
    <t>NATALIA MASS</t>
  </si>
  <si>
    <t>NATALIA MASS MIRANDA</t>
  </si>
  <si>
    <t>NEIDE CANDIDO BUENO DOS SANTOS</t>
  </si>
  <si>
    <t>NILZA DE CARVALHO</t>
  </si>
  <si>
    <t>NIVIA DORTE</t>
  </si>
  <si>
    <t>OLIVEIRA REPRESENTACOES</t>
  </si>
  <si>
    <t>PALOMA ALVES DA SILVA</t>
  </si>
  <si>
    <t>PALOMA LIMIRO AUGUSTO</t>
  </si>
  <si>
    <t>PALOMA SILVA DOS SANTOS</t>
  </si>
  <si>
    <t>PEDRO VILELA</t>
  </si>
  <si>
    <t>PHILIPE ALMEIDA DOS SANTOS</t>
  </si>
  <si>
    <t>Diretor</t>
  </si>
  <si>
    <t>POLYANA CRISTINA RIBEIRO DE SOUZA</t>
  </si>
  <si>
    <t>PRISCILA DA SILVA ARAUJO</t>
  </si>
  <si>
    <t>PRISCILA FRANCISCO</t>
  </si>
  <si>
    <t>QUEIRUANA SOBREIRA</t>
  </si>
  <si>
    <t>RAFAELA FERREIRA DE OLIVEIRA</t>
  </si>
  <si>
    <t>RAISSA DA SILVA INACIO</t>
  </si>
  <si>
    <t>RAQUEL CHAGAS</t>
  </si>
  <si>
    <t>REBECA SANTOS DA COSTA</t>
  </si>
  <si>
    <t>REGIANE DOS SANTOS CAETANO</t>
  </si>
  <si>
    <t>RENATA CONCEICAO COSTA</t>
  </si>
  <si>
    <t>RENATA FLAVIO DE OLIVEIRA PAULO</t>
  </si>
  <si>
    <t>RICARDO FACIOLI</t>
  </si>
  <si>
    <t>RODRIGO DE OLIVEIRA AMORIM</t>
  </si>
  <si>
    <t>ROGERIA DE SOUZA RAMOS</t>
  </si>
  <si>
    <t>RONISE MUNIZ PEREIRA</t>
  </si>
  <si>
    <t>ROSANE POUBELL FIGUEIREDO</t>
  </si>
  <si>
    <t>ROSEMARY CASTRO DO NASCIMENTO</t>
  </si>
  <si>
    <t>ROSEMARY DO NASCIMENTO COUTINHO</t>
  </si>
  <si>
    <t>ROSIELI PEREIRA BARBOSA TEOTONIO</t>
  </si>
  <si>
    <t>SAMARIA LOPES</t>
  </si>
  <si>
    <t>SARA FIGUEIREDO DE OLIVEIRA</t>
  </si>
  <si>
    <t>SARA TEIXEIRA</t>
  </si>
  <si>
    <t>SARAH RODRIGUES SALOMAO</t>
  </si>
  <si>
    <t>SHAYANNE CAMARA DE BARROS</t>
  </si>
  <si>
    <t>SHEILA GALVAO ALMEIDA</t>
  </si>
  <si>
    <t>SILVANA CRUZ DE SOUZA NUNES</t>
  </si>
  <si>
    <t>SILVIA LARA RESSUDE LIMA</t>
  </si>
  <si>
    <t>SIMONE RODRIGUES DOS SANTOS</t>
  </si>
  <si>
    <t>SIRLENE DAS DORES MARTINS SOUZA</t>
  </si>
  <si>
    <t>SOLANGE EDUARDO DA SILVA</t>
  </si>
  <si>
    <t>SONIA MARIA DE FREIRE DE OLIVEIRA</t>
  </si>
  <si>
    <t>SORAYA FERNANDES DA SILVA</t>
  </si>
  <si>
    <t>SUELEN LINS FELIX</t>
  </si>
  <si>
    <t>TALITA OLIVEIRA BRANDAO</t>
  </si>
  <si>
    <t>TAYNARA BARBOSA</t>
  </si>
  <si>
    <t>TAYNARA BARBOSA DE SOUZA</t>
  </si>
  <si>
    <t>TAYRONE ANSELMO ARAUJO</t>
  </si>
  <si>
    <t>THACYANE SANTOS</t>
  </si>
  <si>
    <t>THACYANE SANTOS CHAGAS</t>
  </si>
  <si>
    <t>THAIS CRISTINA SANTOS DE PAULA</t>
  </si>
  <si>
    <t>TIAGO ALEXANDRE SILVA</t>
  </si>
  <si>
    <t>VALDETE DE JESUS</t>
  </si>
  <si>
    <t>VANDERLY GONCALVES DE SOUZA</t>
  </si>
  <si>
    <t>VANEIDE MACIEL DA SILVA</t>
  </si>
  <si>
    <t>VANESSA DIAS FREIRE PIO</t>
  </si>
  <si>
    <t>VANESSA GONCALVES LUSTOSA</t>
  </si>
  <si>
    <t>VANILDA DA SILVA FERREIRA</t>
  </si>
  <si>
    <t>VANILZA DOS SANTOS MELO</t>
  </si>
  <si>
    <t>VERONICA FERREIRA</t>
  </si>
  <si>
    <t>VICTOR ALVES MELO</t>
  </si>
  <si>
    <t>Suipervisor</t>
  </si>
  <si>
    <t>VINICIO HENRIQUE DE AZEVEDO GOMES</t>
  </si>
  <si>
    <t>VIVIAN DOS SANTOS</t>
  </si>
  <si>
    <t>WASHINGTON DE JESUS FERREIRA</t>
  </si>
  <si>
    <t>WELIGNTON CARVALHO DOS SANTOS</t>
  </si>
  <si>
    <t>WENDELL BARROS DE LIMA</t>
  </si>
  <si>
    <t>ZENEIDE MARIA SANTANA</t>
  </si>
  <si>
    <t>ZENILDE GONCALVES FERREIRA DA COSTA</t>
  </si>
  <si>
    <t>ADRIANA GOMES DE ABREU</t>
  </si>
  <si>
    <t>RIO DE JANEIRO</t>
  </si>
  <si>
    <t>ALINE DE PAULO</t>
  </si>
  <si>
    <t>ANA PAULA MENDES DA SILVA</t>
  </si>
  <si>
    <t>BARBARA ALVES SANTOS DE MOURA</t>
  </si>
  <si>
    <t>2</t>
  </si>
  <si>
    <t>CINTIA DIAS FREIRE</t>
  </si>
  <si>
    <t>ISABELA DA SILVA FELIPE</t>
  </si>
  <si>
    <t>ISNERIA FRANCISCA</t>
  </si>
  <si>
    <t>KETHELLEN OLIVEIRA DOS SANTOS</t>
  </si>
  <si>
    <t>MANUELA MAGALHAES 00974360</t>
  </si>
  <si>
    <t>MARIANNA CRISTINA</t>
  </si>
  <si>
    <t>RAISSA SLVA INACIO</t>
  </si>
  <si>
    <t>24</t>
  </si>
  <si>
    <t>SHEILA DIAS FREIRE DA SILVA</t>
  </si>
  <si>
    <t>SILVANA CRUZ</t>
  </si>
  <si>
    <t>THAMIRES LOHANA OLIVEIRA DA COSTA</t>
  </si>
  <si>
    <t>5</t>
  </si>
  <si>
    <t xml:space="preserve">BELO HORIZONTE </t>
  </si>
  <si>
    <t>5 a 31</t>
  </si>
  <si>
    <t>ADRIANA PEDRA</t>
  </si>
  <si>
    <t>CAMBORIU</t>
  </si>
  <si>
    <t>ANDRESSA BIA DA LUZ</t>
  </si>
  <si>
    <t>BARBARA CAMILA</t>
  </si>
  <si>
    <t xml:space="preserve">VESPASIANO </t>
  </si>
  <si>
    <t>BARBARA MARIA</t>
  </si>
  <si>
    <t xml:space="preserve">UBERLANDIA </t>
  </si>
  <si>
    <t xml:space="preserve">JANUARIA </t>
  </si>
  <si>
    <t>ISABELLE CRISTINA FELIX BORGES</t>
  </si>
  <si>
    <t>LORENA GABRIELA</t>
  </si>
  <si>
    <t xml:space="preserve">PRUDENTE DE MORAIS </t>
  </si>
  <si>
    <t>LUANA APARECIDA</t>
  </si>
  <si>
    <t xml:space="preserve">CURVELO </t>
  </si>
  <si>
    <t>LUCIENE DA SILVA</t>
  </si>
  <si>
    <t>PEDRO LEOPOLDO</t>
  </si>
  <si>
    <t xml:space="preserve">SETE LAGOAS </t>
  </si>
  <si>
    <t xml:space="preserve">BRASILIA DE MINAS </t>
  </si>
  <si>
    <t>THAIS CRISTINA</t>
  </si>
  <si>
    <t>VANEIDE MACIEL</t>
  </si>
  <si>
    <t xml:space="preserve">MONTES CLAROS </t>
  </si>
  <si>
    <t xml:space="preserve">JUIZ DE FORA </t>
  </si>
  <si>
    <t>CLAUDIA REGINA FERREIRA MARINHO</t>
  </si>
  <si>
    <t>SAO PAULO</t>
  </si>
  <si>
    <t>NEIDE CANDIDO BUENO</t>
  </si>
  <si>
    <t>ESPIRITO SANTO</t>
  </si>
  <si>
    <t>ESTER MEURE DOS SANTOS</t>
  </si>
  <si>
    <t>JANAINA NASCIMENTO</t>
  </si>
  <si>
    <t>MIDIAKELE DA CONCEICAO</t>
  </si>
  <si>
    <t>BAHIA</t>
  </si>
  <si>
    <t>NOME DO FUNCIONARIO</t>
  </si>
  <si>
    <t>9, 11 a 14</t>
  </si>
  <si>
    <t>Saída</t>
  </si>
  <si>
    <t>23 a 24</t>
  </si>
  <si>
    <t>JOSE CARLOS</t>
  </si>
  <si>
    <t>11 e 12</t>
  </si>
  <si>
    <t>LUANA BETSE</t>
  </si>
  <si>
    <t>MONIQUE VIANA</t>
  </si>
  <si>
    <t>10 a 28</t>
  </si>
  <si>
    <t>20 e 21</t>
  </si>
  <si>
    <t>23 a 28</t>
  </si>
  <si>
    <t>DANILO DE SOUZA</t>
  </si>
  <si>
    <t>IGOR FERREIRA</t>
  </si>
  <si>
    <t>LEANDRO LOPES</t>
  </si>
  <si>
    <t>IPATINGA</t>
  </si>
  <si>
    <t>1 e 2</t>
  </si>
  <si>
    <t>LIVIA MARIA</t>
  </si>
  <si>
    <t>1</t>
  </si>
  <si>
    <t>12 a 14 e 25</t>
  </si>
  <si>
    <t>24 e 25</t>
  </si>
  <si>
    <t>MARILENE VIEIRA</t>
  </si>
  <si>
    <t>RENATA FLACIO DE OLIVEIRA PAULO</t>
  </si>
  <si>
    <t xml:space="preserve">UBERABA </t>
  </si>
  <si>
    <t>ANA CLARA LIMA</t>
  </si>
  <si>
    <t>CAROLINA LIMA</t>
  </si>
  <si>
    <t>PORTUS FERREIRA</t>
  </si>
  <si>
    <t>2 a 31</t>
  </si>
  <si>
    <t>EMILIA FIGUEIREDO</t>
  </si>
  <si>
    <t>25 a 27</t>
  </si>
  <si>
    <t>ELZA MARIA</t>
  </si>
  <si>
    <t>5,13,23</t>
  </si>
  <si>
    <t>ERICA MARIA ISMAR</t>
  </si>
  <si>
    <t xml:space="preserve">RIBEIRÃO DAS NEVES </t>
  </si>
  <si>
    <t>14 e 15</t>
  </si>
  <si>
    <t>17 a 20, 25 a 27</t>
  </si>
  <si>
    <t xml:space="preserve">23 dias </t>
  </si>
  <si>
    <t>9,11,13,16,17</t>
  </si>
  <si>
    <t>13 a 27</t>
  </si>
  <si>
    <t>2 a 30</t>
  </si>
  <si>
    <t>30 e 31</t>
  </si>
  <si>
    <t>JOELMA BORGES</t>
  </si>
  <si>
    <t>WASHINTON DE JESUS</t>
  </si>
  <si>
    <t>01 a 30</t>
  </si>
  <si>
    <t>saída</t>
  </si>
  <si>
    <t>22 e 23</t>
  </si>
  <si>
    <t>18 e 19</t>
  </si>
  <si>
    <t>23 a 25, 26 e 28</t>
  </si>
  <si>
    <t>28 a 30</t>
  </si>
  <si>
    <t>10;11;14;18;24;27</t>
  </si>
  <si>
    <t>14 e 15, 20 a 30</t>
  </si>
  <si>
    <t>22 a 26</t>
  </si>
  <si>
    <t>6 e 7</t>
  </si>
  <si>
    <t>VINICIO HENRIQUE</t>
  </si>
  <si>
    <t>14 a 16</t>
  </si>
  <si>
    <t>ANGELICA BISPO</t>
  </si>
  <si>
    <t>ELIENE SANTOS SILVA</t>
  </si>
  <si>
    <t>10;11;16;18;20;23;27;28</t>
  </si>
  <si>
    <t>LUZIVANIA ARAGAO</t>
  </si>
  <si>
    <t>10;11;13;14;18;20;23;29</t>
  </si>
  <si>
    <t>ROSEMARY DE CASTRO NASCIMENTO</t>
  </si>
  <si>
    <t>09;11</t>
  </si>
  <si>
    <t>9 e 10</t>
  </si>
  <si>
    <t>9, 15 a 17</t>
  </si>
  <si>
    <t>TIPO</t>
  </si>
  <si>
    <t>CARGO</t>
  </si>
  <si>
    <t>UF</t>
  </si>
  <si>
    <t>Qtd. Pessoas</t>
  </si>
  <si>
    <t>CLT</t>
  </si>
  <si>
    <t>FREE</t>
  </si>
  <si>
    <t xml:space="preserve">Promotor </t>
  </si>
  <si>
    <t>PJ</t>
  </si>
  <si>
    <t xml:space="preserve">Suipervisor </t>
  </si>
  <si>
    <t>DANIELA BRABOSA NUNES</t>
  </si>
  <si>
    <t>LORENA GABIELA</t>
  </si>
  <si>
    <t>MARIA AUXILIADORA FERREIRA</t>
  </si>
  <si>
    <t>ELISABETE TEIXEIRA LEMES</t>
  </si>
  <si>
    <t>ISNERIA FRNCISCA NOGUEIRA</t>
  </si>
  <si>
    <t>RODRIGO DE O. AMORIM</t>
  </si>
  <si>
    <t>ALESSANDRA FERREIRA</t>
  </si>
  <si>
    <t>ALEXSSANDRA DAMIANA CANCELA MELGACO</t>
  </si>
  <si>
    <t>ARILSON SENA</t>
  </si>
  <si>
    <t>BALBINA MARIA DOS S.</t>
  </si>
  <si>
    <t>CLEIDE SILVA</t>
  </si>
  <si>
    <t>DEUSILENE DE FATIMA</t>
  </si>
  <si>
    <t>ESLEANDRA CARNEIRO</t>
  </si>
  <si>
    <t>JOCILENE ALMEIDA</t>
  </si>
  <si>
    <t>JOSIANE RANGEL NASCIMENTO</t>
  </si>
  <si>
    <t>JOSIARA SANTOS MAIA ANGELO</t>
  </si>
  <si>
    <t>KLEITON LELIS DOS SANTOS</t>
  </si>
  <si>
    <t>LAYANDRA DE OLIVEITRA</t>
  </si>
  <si>
    <t>LORRAINE GPRONCI</t>
  </si>
  <si>
    <t>MARCIA ALVES</t>
  </si>
  <si>
    <t>MARIA DAS DORES BATISTA</t>
  </si>
  <si>
    <t>MIRIAN NUNES</t>
  </si>
  <si>
    <t>POLYANA CRISTINA RIBEIRO</t>
  </si>
  <si>
    <t>SIMONE RODRIGUES</t>
  </si>
  <si>
    <t>CAMILA KENIA SOARES G.</t>
  </si>
  <si>
    <t>CAMILA RIBEIRO COSTA</t>
  </si>
  <si>
    <t>CRISTINA PEREIRA</t>
  </si>
  <si>
    <t>EVANDRO EVANGELISTA</t>
  </si>
  <si>
    <t>JORDANIA MARCELA LIMA</t>
  </si>
  <si>
    <t>JULIANA DA SILVA FEREEIRA</t>
  </si>
  <si>
    <t>KARINE FERNANDES</t>
  </si>
  <si>
    <t>MONALISA SOUZA</t>
  </si>
  <si>
    <t>RENATA FLAVIO</t>
  </si>
  <si>
    <t>RONISE MUNIZ</t>
  </si>
  <si>
    <t>SOLANGE EDUARDO DA SIVA</t>
  </si>
  <si>
    <t>THACIANE SANTOS</t>
  </si>
  <si>
    <t>WELINGTON CARVALHO</t>
  </si>
  <si>
    <t>PRISCILA DA SILVA</t>
  </si>
  <si>
    <t>ADRIANA NEVES</t>
  </si>
  <si>
    <t>ALEXANDRE TORRES</t>
  </si>
  <si>
    <t>ANGELICA MUNIZ</t>
  </si>
  <si>
    <t>MARCIA ELAINE SIMOES</t>
  </si>
  <si>
    <t xml:space="preserve">Freelancer </t>
  </si>
  <si>
    <t>ADENICE DOS SANTOS</t>
  </si>
  <si>
    <t>ALESSANDRA ALLVES DA SILVA</t>
  </si>
  <si>
    <t>ANA APAREIDA</t>
  </si>
  <si>
    <t>IRIS DE FATIMA</t>
  </si>
  <si>
    <t>LORRAYNE MENDES</t>
  </si>
  <si>
    <t>SARAH RODRIGUES</t>
  </si>
  <si>
    <t>IAGO VIANA</t>
  </si>
  <si>
    <t>ANA CLECIA VASCONCELOS DOS S.</t>
  </si>
  <si>
    <t>SUELEN LINS</t>
  </si>
  <si>
    <t>Merchandisign</t>
  </si>
  <si>
    <t>CAROLINA LIMA NOGUEIRA</t>
  </si>
  <si>
    <t>DEBORA SILVA CAMARGO</t>
  </si>
  <si>
    <t>LUIZA IANNE</t>
  </si>
  <si>
    <t>PORTUS FERREIRA TREIKEL</t>
  </si>
  <si>
    <t>VICTOR ALVES DE MELO</t>
  </si>
  <si>
    <t>Promotor II</t>
  </si>
  <si>
    <t>DANIELA BARBOSA</t>
  </si>
  <si>
    <t>LIVIA MARIA ISMAR</t>
  </si>
  <si>
    <t>MARIA AUXILIADORA</t>
  </si>
  <si>
    <t>Supervisor</t>
  </si>
  <si>
    <t>SORAYA FERNANDES</t>
  </si>
  <si>
    <t>ALESSANDRA ALVES</t>
  </si>
  <si>
    <t>MARIANA CALDEIRA</t>
  </si>
  <si>
    <t>KEVEN EDUARDO MACHADO</t>
  </si>
  <si>
    <t>ADRIANA CRISTINA DANTAS</t>
  </si>
  <si>
    <t>BIANCA VICTORIA XAVIER</t>
  </si>
  <si>
    <t>JUSSARA CROISTINA RODRIGUES</t>
  </si>
  <si>
    <t>LIDIA ROSA DE OLIVEIRA</t>
  </si>
  <si>
    <t>JOSE RICARDO</t>
  </si>
  <si>
    <t>VANESSA VIEIRA</t>
  </si>
  <si>
    <t>KEVIN EDUARDO</t>
  </si>
  <si>
    <t>GESTOR</t>
  </si>
  <si>
    <t>VENDEDOR</t>
  </si>
  <si>
    <t>MERCHANDISING</t>
  </si>
  <si>
    <t>WASHINGTON DE JESUS</t>
  </si>
  <si>
    <t>LORRAINE GORONCI</t>
  </si>
  <si>
    <t>IZABELLA LORRAINE DOMINGOS</t>
  </si>
  <si>
    <t>KETLEN SILVA SANTOS</t>
  </si>
  <si>
    <t>GISLENE CRISTRINA</t>
  </si>
  <si>
    <t>EUDISLAYNY DE FATIMA CAETANO</t>
  </si>
  <si>
    <t>JANICE LIMA</t>
  </si>
  <si>
    <t>LUCILENE SILVA</t>
  </si>
  <si>
    <t>MONICA ALVES</t>
  </si>
  <si>
    <t>PALOMA SILVA</t>
  </si>
  <si>
    <t>PAOLA PASSOS</t>
  </si>
  <si>
    <t>DANIELA FERNANDA ROSA</t>
  </si>
  <si>
    <t>DEBORA FERREIRA SANTOS</t>
  </si>
  <si>
    <t>ELIANE GARCIA</t>
  </si>
  <si>
    <t>EDILSON</t>
  </si>
  <si>
    <t>ZENILDE GONCALVE</t>
  </si>
  <si>
    <t>AGATHA EMILI DE ALMEIDA</t>
  </si>
  <si>
    <t>EMANOELLY DA COSTA</t>
  </si>
  <si>
    <t>ROSANE POUBELL</t>
  </si>
  <si>
    <t>ELIANE SANTOS</t>
  </si>
  <si>
    <t>LUCIENE QUIRINO</t>
  </si>
  <si>
    <t>MAYSSA SANTOS</t>
  </si>
  <si>
    <t>EDILSON ALVES</t>
  </si>
  <si>
    <t>COM 2026</t>
  </si>
  <si>
    <t>JANEIRO</t>
  </si>
  <si>
    <t>FEVEREIRO</t>
  </si>
  <si>
    <t>MARÇO</t>
  </si>
  <si>
    <t>ABRIL</t>
  </si>
  <si>
    <t>MAIO</t>
  </si>
  <si>
    <t>JUNHO</t>
  </si>
  <si>
    <t>JUlHO</t>
  </si>
  <si>
    <t>Proventos</t>
  </si>
  <si>
    <t>Descontos</t>
  </si>
  <si>
    <t>Repasse</t>
  </si>
  <si>
    <t>Apuração</t>
  </si>
  <si>
    <t>F. Bruta</t>
  </si>
  <si>
    <t>F. Líquida</t>
  </si>
  <si>
    <t>Benefícios</t>
  </si>
  <si>
    <t>Aliment.</t>
  </si>
  <si>
    <t>P. Saúde</t>
  </si>
  <si>
    <t>CEO</t>
  </si>
  <si>
    <t>CFO</t>
  </si>
  <si>
    <t>Digi 2023</t>
  </si>
  <si>
    <t>Remuneração</t>
  </si>
  <si>
    <t>Provisão 13º</t>
  </si>
  <si>
    <t>Provisão Férias</t>
  </si>
  <si>
    <t>Caju</t>
  </si>
  <si>
    <t>Digi 2024</t>
  </si>
  <si>
    <t xml:space="preserve">Zaut </t>
  </si>
  <si>
    <t>Folha Bruta</t>
  </si>
  <si>
    <t xml:space="preserve">FRANCIELE DA SILVA ALMEIDA </t>
  </si>
  <si>
    <t xml:space="preserve">IRIS DE FATIMA MATIAS  DE JESUS </t>
  </si>
  <si>
    <t xml:space="preserve">AGATHA EMILI DIAS DE ALMEIDA </t>
  </si>
  <si>
    <t xml:space="preserve">ANA APARECIDA AGRA DIONISIO </t>
  </si>
  <si>
    <t xml:space="preserve">DEBORA HELENA BARBOSA </t>
  </si>
  <si>
    <t xml:space="preserve">JOSELINA FERREIRA DE LIMA </t>
  </si>
  <si>
    <t xml:space="preserve">KAROLINE PEREIRA DA SILVA </t>
  </si>
  <si>
    <t xml:space="preserve">LUANDA LUIZ DE SOUZA </t>
  </si>
  <si>
    <t xml:space="preserve">PALOMA SILVA DOS SANTOS </t>
  </si>
  <si>
    <t xml:space="preserve">ALESSANDRA ALVES DA SILVA </t>
  </si>
  <si>
    <t xml:space="preserve">ARILSON SENA BARBOSA </t>
  </si>
  <si>
    <t xml:space="preserve">GISELE DOS SANTOS MACHADO </t>
  </si>
  <si>
    <t xml:space="preserve">LUCILENE ALVES LIMA </t>
  </si>
  <si>
    <t xml:space="preserve">CRIATIVA </t>
  </si>
  <si>
    <t xml:space="preserve">DEBORA SILVA CAMARGO DOS SANTOS </t>
  </si>
  <si>
    <t xml:space="preserve">JOELMA SILVA BORGES SANTOS </t>
  </si>
  <si>
    <t xml:space="preserve">GISLENE CRISTINA GARCIA NEVES </t>
  </si>
  <si>
    <t xml:space="preserve">TAYRONE ANSELMO ARAUJO </t>
  </si>
  <si>
    <t xml:space="preserve">CAMILA KENIA SOARES GANDRA </t>
  </si>
  <si>
    <t xml:space="preserve">CRISTINA PEREIRA DE ARAUJO </t>
  </si>
  <si>
    <t xml:space="preserve">EVANDRO EVANGELISTA GOMES </t>
  </si>
  <si>
    <t xml:space="preserve">JULIANA DA SILVA FERREIRA </t>
  </si>
  <si>
    <t xml:space="preserve">DANILO DE SOUZA CASTRO </t>
  </si>
  <si>
    <t xml:space="preserve">ELZA MARIA DA SILVA PEREIRA </t>
  </si>
  <si>
    <t xml:space="preserve">IGOR DE SOUZA FERREIRA </t>
  </si>
  <si>
    <t xml:space="preserve">ADRIANA NEVES FERREIRA </t>
  </si>
  <si>
    <t xml:space="preserve">ALEXANDRE TORRES NEVES </t>
  </si>
  <si>
    <t xml:space="preserve">ANGELICA MUNIZ MATOS </t>
  </si>
  <si>
    <t xml:space="preserve">EMILIA FIGUEIREDO DE OLIVEIRA </t>
  </si>
  <si>
    <t xml:space="preserve">RAFAELA FERREIRA DE OLIVEIRA </t>
  </si>
  <si>
    <t xml:space="preserve">ELIENE SANTOS DA SILVA </t>
  </si>
  <si>
    <t xml:space="preserve">MARTA LEANDRO VASCONVELOS </t>
  </si>
  <si>
    <t xml:space="preserve">ANTONIO RAIMUNDO ALVES DE FREITAS </t>
  </si>
  <si>
    <t xml:space="preserve">ANGELICA BISPO DA CRUZ </t>
  </si>
  <si>
    <t xml:space="preserve">GISELE  SANTOS COSTA </t>
  </si>
  <si>
    <t/>
  </si>
  <si>
    <t xml:space="preserve">OLIVEIRA REPRESENTACOES </t>
  </si>
  <si>
    <t xml:space="preserve">ERICA MARIA ISMAR DA SILVA LOURENCO </t>
  </si>
  <si>
    <t>Linha</t>
  </si>
  <si>
    <t>Nome (Fopag_Abr)</t>
  </si>
  <si>
    <t>CPF/CNPJ (preencher)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</si>
</sst>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164" formatCode="#,##0_ ;\-#,##0\ "/>
    <numFmt numFmtId="165" formatCode="#,##0.0_ ;\-#,##0.0\ "/>
    <numFmt numFmtId="166" formatCode="_-* #,##0_-;\-* #,##0_-;_-* \-_-;_-@_-"/>
    <numFmt numFmtId="167" formatCode="_-* #,##0.00_-;\-* #,##0.00_-;_-* \-??_-;_-@_-"/>
    <numFmt numFmtId="168" formatCode="0000"/>
    <numFmt numFmtId="169" formatCode="m/d/yyyy"/>
    <numFmt numFmtId="170" formatCode="00"/>
    <numFmt numFmtId="171" formatCode="mm/yyyy"/>
    <numFmt numFmtId="172" formatCode="_-* #,##0_-;\-* #,##0_-;_-* \-??_-;_-@_-"/>
    <numFmt numFmtId="173" formatCode="mmmm\ yyyy"/>
    <numFmt numFmtId="174" formatCode="ddd"/>
    <numFmt numFmtId="175" formatCode="00.0"/>
    <numFmt numFmtId="176" formatCode="0.0"/>
    <numFmt numFmtId="177" formatCode="d"/>
    <numFmt numFmtId="178" formatCode="_(* #,##0.00_);_(* \(#,##0.00\);_(* \-??_);_(@_)"/>
    <numFmt numFmtId="179" formatCode="&quot;FATURADO.:  &quot;#,##0.00"/>
    <numFmt numFmtId="180" formatCode="_-* #,##0.00_-;\-* #,##0.00_-;_-* \-_-;_-@_-"/>
    <numFmt numFmtId="181" formatCode="mmm\-yy"/>
    <numFmt numFmtId="182" formatCode="_-* #,##0.0_-;\-* #,##0.0_-;_-* \-?_-;_-@_-"/>
    <numFmt numFmtId="183" formatCode="_-* #,##0.0_-;\-* #,##0.0_-;_-* \-_-;_-@_-"/>
    <numFmt numFmtId="184" formatCode="000"/>
    <numFmt numFmtId="185" formatCode="000\.000\.000\-00"/>
    <numFmt numFmtId="186" formatCode="[&gt;99999999999]00\.000\.000\/0000\-00;000\.000\.000\-00"/>
    <numFmt numFmtId="187" formatCode="_-* #,##0.00_-;\-* #,##0.00_-;_-* \-??_-;_-@"/>
    <numFmt numFmtId="191" formatCode="[&gt;99999999999]00&quot;.&quot;000&quot;.&quot;000&quot;/&quot;0000&quot;-&quot;00;000&quot;.&quot;000&quot;.&quot;000&quot;-&quot;00"/>
  </numFmts>
  <fonts count="59" x14ac:knownFonts="1">
    <font>
      <sz val="11"/>
      <color theme="1"/>
      <name val="Aptos Narrow"/>
      <family val="2"/>
      <charset val="1"/>
    </font>
    <font>
      <sz val="10"/>
      <color theme="1"/>
      <name val="Century Gothic"/>
      <family val="2"/>
      <charset val="1"/>
    </font>
    <font>
      <sz val="10"/>
      <name val="Arial"/>
      <family val="2"/>
      <charset val="1"/>
    </font>
    <font>
      <sz val="10"/>
      <color rgb="FF000000"/>
      <name val="Aptos Narrow"/>
      <family val="2"/>
      <charset val="1"/>
    </font>
    <font>
      <sz val="9"/>
      <color rgb="FF000000"/>
      <name val="Arial Narrow"/>
      <family val="2"/>
      <charset val="1"/>
    </font>
    <font>
      <b/>
      <sz val="10"/>
      <color theme="1"/>
      <name val="Arial"/>
      <family val="2"/>
      <charset val="1"/>
    </font>
    <font>
      <b/>
      <sz val="8"/>
      <color theme="1"/>
      <name val="Arial"/>
      <family val="2"/>
      <charset val="1"/>
    </font>
    <font>
      <sz val="10"/>
      <name val="Aptos Narrow"/>
      <family val="2"/>
      <charset val="1"/>
    </font>
    <font>
      <b/>
      <sz val="11"/>
      <color theme="0"/>
      <name val="Aptos Narrow"/>
      <family val="2"/>
      <charset val="1"/>
    </font>
    <font>
      <b/>
      <sz val="10"/>
      <color theme="0"/>
      <name val="Aptos Narrow"/>
      <family val="2"/>
      <charset val="1"/>
    </font>
    <font>
      <sz val="11"/>
      <color theme="0"/>
      <name val="Aptos Narrow"/>
      <family val="2"/>
      <charset val="1"/>
    </font>
    <font>
      <b/>
      <sz val="10"/>
      <name val="Aptos Narrow"/>
      <family val="2"/>
      <charset val="1"/>
    </font>
    <font>
      <b/>
      <sz val="10"/>
      <color rgb="FFFFFF00"/>
      <name val="Aptos Narrow"/>
      <family val="2"/>
      <charset val="1"/>
    </font>
    <font>
      <sz val="10"/>
      <name val="Arial"/>
      <family val="2"/>
    </font>
    <font>
      <sz val="10"/>
      <color theme="1"/>
      <name val="Calibri"/>
      <family val="2"/>
      <charset val="1"/>
    </font>
    <font>
      <b/>
      <sz val="10"/>
      <color theme="1"/>
      <name val="Calibri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sz val="10"/>
      <color rgb="FFFF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0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name val="Calibri"/>
      <family val="2"/>
      <charset val="1"/>
    </font>
    <font>
      <b/>
      <sz val="12"/>
      <color theme="1"/>
      <name val="Aptos Narrow"/>
      <family val="2"/>
      <charset val="1"/>
    </font>
    <font>
      <sz val="12"/>
      <color rgb="FF000000"/>
      <name val="Aptos Narrow"/>
      <family val="2"/>
      <charset val="1"/>
    </font>
    <font>
      <b/>
      <sz val="10"/>
      <color theme="1"/>
      <name val="Aptos Narrow"/>
      <family val="2"/>
      <charset val="1"/>
    </font>
    <font>
      <sz val="10"/>
      <color theme="1"/>
      <name val="Aptos Narrow"/>
      <family val="2"/>
      <charset val="1"/>
    </font>
    <font>
      <b/>
      <sz val="12"/>
      <name val="Aptos Narrow"/>
      <family val="2"/>
      <charset val="1"/>
    </font>
    <font>
      <sz val="14"/>
      <color rgb="FF000000"/>
      <name val="Aptos Narrow"/>
      <family val="2"/>
      <charset val="1"/>
    </font>
    <font>
      <b/>
      <sz val="10"/>
      <color rgb="FF000000"/>
      <name val="Aptos Narrow"/>
      <family val="2"/>
      <charset val="1"/>
    </font>
    <font>
      <sz val="10"/>
      <color rgb="FFFF0000"/>
      <name val="Aptos Narrow"/>
      <family val="2"/>
      <charset val="1"/>
    </font>
    <font>
      <b/>
      <sz val="11"/>
      <name val="Aptos Narrow"/>
      <family val="2"/>
      <charset val="1"/>
    </font>
    <font>
      <sz val="11"/>
      <name val="Aptos Narrow"/>
      <family val="2"/>
      <charset val="1"/>
    </font>
    <font>
      <sz val="11"/>
      <color rgb="FFFF0000"/>
      <name val="Aptos Narrow"/>
      <family val="2"/>
      <charset val="1"/>
    </font>
    <font>
      <sz val="10"/>
      <color rgb="FFEE0000"/>
      <name val="Calibri"/>
      <family val="2"/>
      <charset val="1"/>
    </font>
    <font>
      <b/>
      <sz val="10"/>
      <color rgb="FF263E74"/>
      <name val="Calibri"/>
      <family val="2"/>
      <charset val="1"/>
    </font>
    <font>
      <b/>
      <sz val="10"/>
      <color rgb="FFFFFFFF"/>
      <name val="Calibri"/>
      <family val="2"/>
      <charset val="1"/>
    </font>
    <font>
      <b/>
      <sz val="10"/>
      <color rgb="FFFF0000"/>
      <name val="Calibri"/>
      <family val="2"/>
      <charset val="1"/>
    </font>
    <font>
      <b/>
      <sz val="10"/>
      <color rgb="FFFFFFCC"/>
      <name val="Calibri"/>
      <family val="2"/>
      <charset val="1"/>
    </font>
    <font>
      <sz val="10"/>
      <color rgb="FF263E74"/>
      <name val="Calibri"/>
      <family val="2"/>
      <charset val="1"/>
    </font>
    <font>
      <b/>
      <sz val="10"/>
      <color rgb="FF641A1A"/>
      <name val="Calibri"/>
      <family val="2"/>
      <charset val="1"/>
    </font>
    <font>
      <b/>
      <sz val="10"/>
      <color rgb="FF003366"/>
      <name val="Calibri"/>
      <family val="2"/>
      <charset val="1"/>
    </font>
    <font>
      <b/>
      <sz val="10"/>
      <color rgb="FF000080"/>
      <name val="Calibri"/>
      <family val="2"/>
      <charset val="1"/>
    </font>
    <font>
      <sz val="10"/>
      <color rgb="FF000080"/>
      <name val="Calibri"/>
      <family val="2"/>
      <charset val="1"/>
    </font>
    <font>
      <b/>
      <sz val="10"/>
      <color theme="0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0070C0"/>
      <name val="Calibri"/>
      <family val="2"/>
      <charset val="1"/>
    </font>
    <font>
      <b/>
      <sz val="10"/>
      <color rgb="FFFFC000"/>
      <name val="Calibri"/>
      <family val="2"/>
      <charset val="1"/>
    </font>
    <font>
      <sz val="10"/>
      <color rgb="FFFFC000"/>
      <name val="Calibri"/>
      <family val="2"/>
      <charset val="1"/>
    </font>
    <font>
      <b/>
      <sz val="10"/>
      <color rgb="FF0070C0"/>
      <name val="Calibri"/>
      <family val="2"/>
      <charset val="1"/>
    </font>
    <font>
      <b/>
      <sz val="11"/>
      <color theme="1"/>
      <name val="Aptos Narrow"/>
      <family val="2"/>
      <charset val="1"/>
    </font>
    <font>
      <b/>
      <sz val="10"/>
      <name val="Arial"/>
      <family val="2"/>
      <charset val="1"/>
    </font>
    <font>
      <b/>
      <sz val="11"/>
      <name val="Arial"/>
      <family val="2"/>
      <charset val="1"/>
    </font>
    <font>
      <sz val="11"/>
      <color theme="1"/>
      <name val="Arial"/>
      <family val="2"/>
      <charset val="1"/>
    </font>
    <font>
      <sz val="10"/>
      <color theme="1"/>
      <name val="Arial"/>
      <family val="2"/>
      <charset val="1"/>
    </font>
    <font>
      <b/>
      <sz val="11"/>
      <color rgb="FFFFFFFF"/>
      <name val="Aptos Narrow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D9D9D9"/>
        <bgColor rgb="FFD8D8D8"/>
      </patternFill>
    </fill>
    <fill>
      <patternFill patternType="solid">
        <fgColor theme="3" tint="0.74987029633472702"/>
        <bgColor rgb="FFABBCD5"/>
      </patternFill>
    </fill>
    <fill>
      <patternFill patternType="solid">
        <fgColor theme="3" tint="0.24988555558946501"/>
        <bgColor rgb="FF156082"/>
      </patternFill>
    </fill>
    <fill>
      <patternFill patternType="solid">
        <fgColor theme="0" tint="-4.9989318521683403E-2"/>
        <bgColor rgb="FFDDEBF7"/>
      </patternFill>
    </fill>
    <fill>
      <patternFill patternType="solid">
        <fgColor theme="9" tint="0.79989013336588644"/>
        <bgColor rgb="FFDAF2D0"/>
      </patternFill>
    </fill>
    <fill>
      <patternFill patternType="solid">
        <fgColor theme="3" tint="0.89989928891872917"/>
        <bgColor rgb="FFDDEBF7"/>
      </patternFill>
    </fill>
    <fill>
      <patternFill patternType="solid">
        <fgColor theme="5" tint="0.79989013336588644"/>
        <bgColor rgb="FFFBE2D5"/>
      </patternFill>
    </fill>
    <fill>
      <patternFill patternType="solid">
        <fgColor rgb="FFFFFF00"/>
        <bgColor rgb="FFFFC000"/>
      </patternFill>
    </fill>
    <fill>
      <patternFill patternType="solid">
        <fgColor theme="0"/>
        <bgColor rgb="FFF2F2F2"/>
      </patternFill>
    </fill>
    <fill>
      <patternFill patternType="solid">
        <fgColor theme="1"/>
        <bgColor rgb="FF0E2841"/>
      </patternFill>
    </fill>
    <fill>
      <patternFill patternType="solid">
        <fgColor theme="0" tint="-0.34998626667073579"/>
        <bgColor rgb="FFABBCD5"/>
      </patternFill>
    </fill>
    <fill>
      <patternFill patternType="solid">
        <fgColor rgb="FF0070C0"/>
        <bgColor rgb="FF215F9A"/>
      </patternFill>
    </fill>
    <fill>
      <patternFill patternType="solid">
        <fgColor rgb="FFDEE3EA"/>
        <bgColor rgb="FFD6DDEE"/>
      </patternFill>
    </fill>
    <fill>
      <patternFill patternType="solid">
        <fgColor rgb="FF415D8B"/>
        <bgColor rgb="FF215F9A"/>
      </patternFill>
    </fill>
    <fill>
      <patternFill patternType="solid">
        <fgColor rgb="FFCCFFFF"/>
        <bgColor rgb="FFCAEEFB"/>
      </patternFill>
    </fill>
    <fill>
      <patternFill patternType="solid">
        <fgColor theme="3"/>
        <bgColor rgb="FF003366"/>
      </patternFill>
    </fill>
    <fill>
      <patternFill patternType="solid">
        <fgColor rgb="FF00B050"/>
        <bgColor rgb="FF0F9ED5"/>
      </patternFill>
    </fill>
    <fill>
      <patternFill patternType="solid">
        <fgColor theme="5" tint="-0.249977111117893"/>
        <bgColor rgb="FFE97132"/>
      </patternFill>
    </fill>
    <fill>
      <patternFill patternType="solid">
        <fgColor rgb="FFFFC000"/>
        <bgColor rgb="FFFFFF00"/>
      </patternFill>
    </fill>
    <fill>
      <patternFill patternType="solid">
        <fgColor rgb="FFD8D8D8"/>
        <bgColor rgb="FFD9D9D9"/>
      </patternFill>
    </fill>
    <fill>
      <patternFill patternType="solid">
        <fgColor theme="6" tint="0.79989013336588644"/>
        <bgColor rgb="FFD9F2D0"/>
      </patternFill>
    </fill>
    <fill>
      <patternFill patternType="solid">
        <fgColor theme="0" tint="-0.249977111117893"/>
        <bgColor rgb="FFC5C5C5"/>
      </patternFill>
    </fill>
    <fill>
      <patternFill patternType="solid">
        <fgColor rgb="FF0E2841"/>
        <bgColor indexed="64"/>
      </patternFill>
    </fill>
  </fills>
  <borders count="8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rgb="FF718DB7"/>
      </left>
      <right/>
      <top style="thin">
        <color rgb="FF718DB7"/>
      </top>
      <bottom/>
      <diagonal/>
    </border>
    <border>
      <left/>
      <right/>
      <top style="thin">
        <color rgb="FF718DB7"/>
      </top>
      <bottom/>
      <diagonal/>
    </border>
    <border>
      <left/>
      <right style="thin">
        <color rgb="FF718DB7"/>
      </right>
      <top style="thin">
        <color rgb="FF718DB7"/>
      </top>
      <bottom/>
      <diagonal/>
    </border>
    <border>
      <left style="thin">
        <color rgb="FF718DB7"/>
      </left>
      <right style="thin">
        <color rgb="FFDDEBF7"/>
      </right>
      <top style="thin">
        <color rgb="FF666699"/>
      </top>
      <bottom/>
      <diagonal/>
    </border>
    <border>
      <left style="thin">
        <color rgb="FFDDEBF7"/>
      </left>
      <right style="thin">
        <color rgb="FFDDEBF7"/>
      </right>
      <top style="thin">
        <color rgb="FF666699"/>
      </top>
      <bottom/>
      <diagonal/>
    </border>
    <border>
      <left style="thin">
        <color rgb="FFDDEBF7"/>
      </left>
      <right style="thin">
        <color rgb="FF718DB7"/>
      </right>
      <top style="thin">
        <color rgb="FF666699"/>
      </top>
      <bottom/>
      <diagonal/>
    </border>
    <border>
      <left style="thin">
        <color rgb="FF718DB7"/>
      </left>
      <right style="thin">
        <color rgb="FFABBCD5"/>
      </right>
      <top style="thin">
        <color rgb="FF7C808A"/>
      </top>
      <bottom style="thin">
        <color rgb="FFC9C9C9"/>
      </bottom>
      <diagonal/>
    </border>
    <border>
      <left style="thin">
        <color rgb="FFABBCD5"/>
      </left>
      <right style="thin">
        <color rgb="FFABBCD5"/>
      </right>
      <top style="thin">
        <color rgb="FF7C808A"/>
      </top>
      <bottom style="thin">
        <color rgb="FFC9C9C9"/>
      </bottom>
      <diagonal/>
    </border>
    <border>
      <left style="thin">
        <color rgb="FFABBCD5"/>
      </left>
      <right style="thin">
        <color rgb="FFC9C9C9"/>
      </right>
      <top style="thin">
        <color rgb="FF7C808A"/>
      </top>
      <bottom style="thin">
        <color rgb="FFC9C9C9"/>
      </bottom>
      <diagonal/>
    </border>
    <border>
      <left/>
      <right style="thin">
        <color rgb="FFD6DDEE"/>
      </right>
      <top style="thin">
        <color rgb="FF7C808A"/>
      </top>
      <bottom style="thin">
        <color rgb="FFD6DDEE"/>
      </bottom>
      <diagonal/>
    </border>
    <border>
      <left style="thin">
        <color rgb="FFD6DDEE"/>
      </left>
      <right style="thin">
        <color rgb="FFD6DDEE"/>
      </right>
      <top style="thin">
        <color rgb="FF7C808A"/>
      </top>
      <bottom style="thin">
        <color rgb="FFD6DDEE"/>
      </bottom>
      <diagonal/>
    </border>
    <border>
      <left style="thin">
        <color rgb="FFD6DDEE"/>
      </left>
      <right style="thin">
        <color rgb="FF718DB7"/>
      </right>
      <top style="thin">
        <color rgb="FF7C808A"/>
      </top>
      <bottom style="thin">
        <color rgb="FFD6DDEE"/>
      </bottom>
      <diagonal/>
    </border>
    <border>
      <left/>
      <right/>
      <top style="thin">
        <color auto="1"/>
      </top>
      <bottom/>
      <diagonal/>
    </border>
    <border>
      <left style="thin">
        <color rgb="FF718DB7"/>
      </left>
      <right style="thin">
        <color rgb="FFD6DDEE"/>
      </right>
      <top/>
      <bottom style="thin">
        <color rgb="FFD6DDEE"/>
      </bottom>
      <diagonal/>
    </border>
    <border>
      <left style="thin">
        <color rgb="FFD6DDEE"/>
      </left>
      <right style="thin">
        <color rgb="FFD6DDEE"/>
      </right>
      <top/>
      <bottom style="thin">
        <color rgb="FFD6DDEE"/>
      </bottom>
      <diagonal/>
    </border>
    <border>
      <left style="thin">
        <color rgb="FFD6DDEE"/>
      </left>
      <right style="thin">
        <color rgb="FF718DB7"/>
      </right>
      <top/>
      <bottom style="thin">
        <color rgb="FFD6DDEE"/>
      </bottom>
      <diagonal/>
    </border>
    <border>
      <left style="thin">
        <color rgb="FF718DB7"/>
      </left>
      <right style="thin">
        <color rgb="FFD6DDEE"/>
      </right>
      <top style="thin">
        <color rgb="FFD6DDEE"/>
      </top>
      <bottom style="thin">
        <color rgb="FFD6DDEE"/>
      </bottom>
      <diagonal/>
    </border>
    <border>
      <left style="thin">
        <color rgb="FFD6DDEE"/>
      </left>
      <right style="thin">
        <color rgb="FFD6DDEE"/>
      </right>
      <top style="thin">
        <color rgb="FFD6DDEE"/>
      </top>
      <bottom style="thin">
        <color rgb="FFD6DDEE"/>
      </bottom>
      <diagonal/>
    </border>
    <border>
      <left style="thin">
        <color rgb="FFD6DDEE"/>
      </left>
      <right style="thin">
        <color rgb="FF718DB7"/>
      </right>
      <top style="thin">
        <color rgb="FFD6DDEE"/>
      </top>
      <bottom style="thin">
        <color rgb="FFD6DDEE"/>
      </bottom>
      <diagonal/>
    </border>
    <border>
      <left style="thin">
        <color rgb="FF718DB7"/>
      </left>
      <right style="thin">
        <color rgb="FFD6DDEE"/>
      </right>
      <top style="thin">
        <color rgb="FFD6DDEE"/>
      </top>
      <bottom/>
      <diagonal/>
    </border>
    <border>
      <left style="thin">
        <color rgb="FFD6DDEE"/>
      </left>
      <right style="thin">
        <color rgb="FFD6DDEE"/>
      </right>
      <top style="thin">
        <color rgb="FFD6DDEE"/>
      </top>
      <bottom/>
      <diagonal/>
    </border>
    <border>
      <left style="thin">
        <color rgb="FFD6DDEE"/>
      </left>
      <right style="thin">
        <color rgb="FF718DB7"/>
      </right>
      <top style="thin">
        <color rgb="FFD6DDEE"/>
      </top>
      <bottom/>
      <diagonal/>
    </border>
    <border>
      <left style="thin">
        <color rgb="FF718DB7"/>
      </left>
      <right style="thin">
        <color rgb="FFD6DDEE"/>
      </right>
      <top style="thin">
        <color rgb="FFD6DDEE"/>
      </top>
      <bottom style="thin">
        <color rgb="FF718DB7"/>
      </bottom>
      <diagonal/>
    </border>
    <border>
      <left style="thin">
        <color rgb="FFD6DDEE"/>
      </left>
      <right style="thin">
        <color rgb="FFD6DDEE"/>
      </right>
      <top style="thin">
        <color rgb="FFD6DDEE"/>
      </top>
      <bottom style="thin">
        <color rgb="FF718DB7"/>
      </bottom>
      <diagonal/>
    </border>
    <border>
      <left style="thin">
        <color rgb="FFD6DDEE"/>
      </left>
      <right style="thin">
        <color rgb="FF718DB7"/>
      </right>
      <top style="thin">
        <color rgb="FFD6DDEE"/>
      </top>
      <bottom style="thin">
        <color rgb="FF718DB7"/>
      </bottom>
      <diagonal/>
    </border>
    <border>
      <left/>
      <right/>
      <top/>
      <bottom style="dashDotDot">
        <color auto="1"/>
      </bottom>
      <diagonal/>
    </border>
    <border>
      <left style="thin">
        <color rgb="FF718DB7"/>
      </left>
      <right style="thin">
        <color rgb="FFD6DDEE"/>
      </right>
      <top style="thin">
        <color rgb="FF7C808A"/>
      </top>
      <bottom style="thin">
        <color rgb="FFD6DDEE"/>
      </bottom>
      <diagonal/>
    </border>
    <border>
      <left style="thin">
        <color rgb="FFD6DDEE"/>
      </left>
      <right/>
      <top style="thin">
        <color rgb="FFD6DDEE"/>
      </top>
      <bottom style="thin">
        <color rgb="FF718DB7"/>
      </bottom>
      <diagonal/>
    </border>
    <border>
      <left style="thin">
        <color rgb="FFBFBFBF"/>
      </left>
      <right/>
      <top style="thin">
        <color rgb="FFBFBFBF"/>
      </top>
      <bottom style="thin">
        <color rgb="FF718DB7"/>
      </bottom>
      <diagonal/>
    </border>
    <border>
      <left/>
      <right/>
      <top style="thin">
        <color rgb="FFBFBFBF"/>
      </top>
      <bottom style="thin">
        <color rgb="FF718DB7"/>
      </bottom>
      <diagonal/>
    </border>
    <border>
      <left/>
      <right style="thin">
        <color rgb="FF718DB7"/>
      </right>
      <top style="thin">
        <color rgb="FFBFBFBF"/>
      </top>
      <bottom style="thin">
        <color rgb="FF718DB7"/>
      </bottom>
      <diagonal/>
    </border>
    <border>
      <left style="thin">
        <color rgb="FF718DB7"/>
      </left>
      <right/>
      <top style="thin">
        <color rgb="FFD6DDEE"/>
      </top>
      <bottom style="thin">
        <color rgb="FF718DB7"/>
      </bottom>
      <diagonal/>
    </border>
    <border>
      <left style="thin">
        <color rgb="FF718DB7"/>
      </left>
      <right style="thin">
        <color rgb="FFC9C9C9"/>
      </right>
      <top style="thin">
        <color rgb="FF7C808A"/>
      </top>
      <bottom style="thin">
        <color rgb="FFC9C9C9"/>
      </bottom>
      <diagonal/>
    </border>
    <border>
      <left style="thin">
        <color rgb="FFBFBFBF"/>
      </left>
      <right style="thin">
        <color rgb="FF718DB7"/>
      </right>
      <top style="thin">
        <color rgb="FFBFBFBF"/>
      </top>
      <bottom style="thin">
        <color rgb="FF718DB7"/>
      </bottom>
      <diagonal/>
    </border>
    <border>
      <left/>
      <right style="thin">
        <color rgb="FF718DB7"/>
      </right>
      <top style="thin">
        <color rgb="FF7C808A"/>
      </top>
      <bottom style="thin">
        <color rgb="FFD6DDEE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718DB7"/>
      </left>
      <right style="thin">
        <color rgb="FF718DB7"/>
      </right>
      <top style="thin">
        <color rgb="FF718DB7"/>
      </top>
      <bottom style="thin">
        <color rgb="FF666699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0" fontId="3" fillId="0" borderId="0"/>
    <xf numFmtId="9" fontId="2" fillId="0" borderId="0"/>
    <xf numFmtId="49" fontId="4" fillId="2" borderId="0">
      <alignment horizontal="left" vertical="top" wrapText="1"/>
    </xf>
  </cellStyleXfs>
  <cellXfs count="841">
    <xf numFmtId="0" fontId="0" fillId="0" borderId="0" xfId="0"/>
    <xf numFmtId="178" fontId="37" fillId="17" borderId="7" xfId="0" applyNumberFormat="1" applyFont="1" applyFill="1" applyBorder="1" applyAlignment="1">
      <alignment horizontal="center" vertical="center"/>
    </xf>
    <xf numFmtId="0" fontId="37" fillId="17" borderId="7" xfId="0" applyFont="1" applyFill="1" applyBorder="1" applyAlignment="1">
      <alignment horizontal="center" vertical="center"/>
    </xf>
    <xf numFmtId="0" fontId="5" fillId="0" borderId="1" xfId="0" applyFont="1" applyBorder="1"/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7" fillId="3" borderId="5" xfId="0" applyFont="1" applyFill="1" applyBorder="1" applyAlignment="1" applyProtection="1">
      <alignment horizontal="left" vertical="center"/>
      <protection locked="0"/>
    </xf>
    <xf numFmtId="1" fontId="7" fillId="3" borderId="6" xfId="0" applyNumberFormat="1" applyFont="1" applyFill="1" applyBorder="1" applyAlignment="1" applyProtection="1">
      <alignment horizontal="center" vertical="center" wrapText="1"/>
      <protection hidden="1"/>
    </xf>
    <xf numFmtId="1" fontId="7" fillId="3" borderId="7" xfId="0" applyNumberFormat="1" applyFont="1" applyFill="1" applyBorder="1" applyAlignment="1" applyProtection="1">
      <alignment horizontal="center" vertical="center" wrapText="1"/>
      <protection hidden="1"/>
    </xf>
    <xf numFmtId="1" fontId="8" fillId="3" borderId="8" xfId="0" applyNumberFormat="1" applyFont="1" applyFill="1" applyBorder="1" applyAlignment="1">
      <alignment horizontal="center"/>
    </xf>
    <xf numFmtId="1" fontId="0" fillId="0" borderId="0" xfId="0" applyNumberFormat="1"/>
    <xf numFmtId="1" fontId="9" fillId="4" borderId="6" xfId="0" applyNumberFormat="1" applyFont="1" applyFill="1" applyBorder="1" applyAlignment="1" applyProtection="1">
      <alignment horizontal="center" vertical="center" wrapText="1"/>
      <protection locked="0" hidden="1"/>
    </xf>
    <xf numFmtId="1" fontId="9" fillId="4" borderId="7" xfId="0" applyNumberFormat="1" applyFont="1" applyFill="1" applyBorder="1" applyAlignment="1" applyProtection="1">
      <alignment horizontal="center" vertical="center" wrapText="1"/>
      <protection locked="0" hidden="1"/>
    </xf>
    <xf numFmtId="1" fontId="10" fillId="4" borderId="8" xfId="0" applyNumberFormat="1" applyFont="1" applyFill="1" applyBorder="1" applyAlignment="1">
      <alignment horizontal="center"/>
    </xf>
    <xf numFmtId="164" fontId="7" fillId="3" borderId="6" xfId="0" applyNumberFormat="1" applyFont="1" applyFill="1" applyBorder="1" applyAlignment="1" applyProtection="1">
      <alignment horizontal="center" vertical="center" wrapText="1"/>
      <protection locked="0" hidden="1"/>
    </xf>
    <xf numFmtId="164" fontId="7" fillId="3" borderId="7" xfId="0" applyNumberFormat="1" applyFont="1" applyFill="1" applyBorder="1" applyAlignment="1" applyProtection="1">
      <alignment horizontal="center" vertical="center" wrapText="1"/>
      <protection locked="0" hidden="1"/>
    </xf>
    <xf numFmtId="3" fontId="7" fillId="3" borderId="6" xfId="0" applyNumberFormat="1" applyFont="1" applyFill="1" applyBorder="1" applyAlignment="1" applyProtection="1">
      <alignment horizontal="center" vertical="center" wrapText="1"/>
      <protection locked="0" hidden="1"/>
    </xf>
    <xf numFmtId="3" fontId="7" fillId="3" borderId="7" xfId="0" applyNumberFormat="1" applyFont="1" applyFill="1" applyBorder="1" applyAlignment="1" applyProtection="1">
      <alignment horizontal="center" vertical="center" wrapText="1"/>
      <protection locked="0" hidden="1"/>
    </xf>
    <xf numFmtId="3" fontId="11" fillId="3" borderId="7" xfId="0" applyNumberFormat="1" applyFont="1" applyFill="1" applyBorder="1" applyAlignment="1" applyProtection="1">
      <alignment horizontal="center" vertical="center" wrapText="1"/>
      <protection locked="0" hidden="1"/>
    </xf>
    <xf numFmtId="3" fontId="9" fillId="4" borderId="6" xfId="0" applyNumberFormat="1" applyFont="1" applyFill="1" applyBorder="1" applyAlignment="1" applyProtection="1">
      <alignment horizontal="center" vertical="center" wrapText="1"/>
      <protection locked="0" hidden="1"/>
    </xf>
    <xf numFmtId="3" fontId="9" fillId="4" borderId="7" xfId="0" applyNumberFormat="1" applyFont="1" applyFill="1" applyBorder="1" applyAlignment="1" applyProtection="1">
      <alignment horizontal="center" vertical="center" wrapText="1"/>
      <protection locked="0" hidden="1"/>
    </xf>
    <xf numFmtId="3" fontId="9" fillId="4" borderId="6" xfId="0" applyNumberFormat="1" applyFont="1" applyFill="1" applyBorder="1" applyAlignment="1">
      <alignment horizontal="center"/>
    </xf>
    <xf numFmtId="3" fontId="9" fillId="4" borderId="7" xfId="0" applyNumberFormat="1" applyFont="1" applyFill="1" applyBorder="1" applyAlignment="1">
      <alignment horizontal="center"/>
    </xf>
    <xf numFmtId="164" fontId="9" fillId="4" borderId="6" xfId="0" applyNumberFormat="1" applyFont="1" applyFill="1" applyBorder="1" applyAlignment="1" applyProtection="1">
      <alignment horizontal="center" vertical="center" wrapText="1"/>
      <protection locked="0" hidden="1"/>
    </xf>
    <xf numFmtId="164" fontId="9" fillId="4" borderId="7" xfId="0" applyNumberFormat="1" applyFont="1" applyFill="1" applyBorder="1" applyAlignment="1" applyProtection="1">
      <alignment horizontal="center" vertical="center" wrapText="1"/>
      <protection locked="0" hidden="1"/>
    </xf>
    <xf numFmtId="165" fontId="9" fillId="4" borderId="6" xfId="0" applyNumberFormat="1" applyFont="1" applyFill="1" applyBorder="1" applyAlignment="1" applyProtection="1">
      <alignment horizontal="center" vertical="center" wrapText="1"/>
      <protection locked="0" hidden="1"/>
    </xf>
    <xf numFmtId="165" fontId="9" fillId="4" borderId="7" xfId="0" applyNumberFormat="1" applyFont="1" applyFill="1" applyBorder="1" applyAlignment="1" applyProtection="1">
      <alignment horizontal="center" vertical="center" wrapText="1"/>
      <protection locked="0" hidden="1"/>
    </xf>
    <xf numFmtId="10" fontId="12" fillId="4" borderId="6" xfId="0" applyNumberFormat="1" applyFont="1" applyFill="1" applyBorder="1" applyAlignment="1" applyProtection="1">
      <alignment horizontal="center" vertical="center" wrapText="1"/>
      <protection hidden="1"/>
    </xf>
    <xf numFmtId="10" fontId="12" fillId="4" borderId="7" xfId="0" applyNumberFormat="1" applyFont="1" applyFill="1" applyBorder="1" applyAlignment="1" applyProtection="1">
      <alignment horizontal="center" vertical="center" wrapText="1"/>
      <protection hidden="1"/>
    </xf>
    <xf numFmtId="10" fontId="12" fillId="4" borderId="8" xfId="0" applyNumberFormat="1" applyFont="1" applyFill="1" applyBorder="1" applyAlignment="1" applyProtection="1">
      <alignment horizontal="center" vertical="center" wrapText="1"/>
      <protection hidden="1"/>
    </xf>
    <xf numFmtId="166" fontId="9" fillId="4" borderId="6" xfId="0" applyNumberFormat="1" applyFont="1" applyFill="1" applyBorder="1" applyAlignment="1" applyProtection="1">
      <alignment horizontal="center" vertical="center" wrapText="1"/>
      <protection hidden="1"/>
    </xf>
    <xf numFmtId="167" fontId="9" fillId="4" borderId="8" xfId="0" applyNumberFormat="1" applyFont="1" applyFill="1" applyBorder="1" applyAlignment="1" applyProtection="1">
      <alignment horizontal="center" vertical="center" wrapText="1"/>
      <protection hidden="1"/>
    </xf>
    <xf numFmtId="167" fontId="9" fillId="4" borderId="6" xfId="0" applyNumberFormat="1" applyFont="1" applyFill="1" applyBorder="1" applyAlignment="1" applyProtection="1">
      <alignment horizontal="center" vertical="center" wrapText="1"/>
      <protection locked="0" hidden="1"/>
    </xf>
    <xf numFmtId="4" fontId="9" fillId="4" borderId="6" xfId="0" applyNumberFormat="1" applyFont="1" applyFill="1" applyBorder="1" applyAlignment="1" applyProtection="1">
      <alignment horizontal="center" vertical="center" wrapText="1"/>
      <protection locked="0" hidden="1"/>
    </xf>
    <xf numFmtId="4" fontId="9" fillId="4" borderId="7" xfId="0" applyNumberFormat="1" applyFont="1" applyFill="1" applyBorder="1" applyAlignment="1" applyProtection="1">
      <alignment horizontal="center" vertical="center" wrapText="1"/>
      <protection locked="0" hidden="1"/>
    </xf>
    <xf numFmtId="4" fontId="9" fillId="4" borderId="8" xfId="0" applyNumberFormat="1" applyFont="1" applyFill="1" applyBorder="1" applyAlignment="1" applyProtection="1">
      <alignment horizontal="center" vertical="center" wrapText="1"/>
      <protection locked="0" hidden="1"/>
    </xf>
    <xf numFmtId="0" fontId="11" fillId="3" borderId="5" xfId="0" applyFont="1" applyFill="1" applyBorder="1" applyAlignment="1" applyProtection="1">
      <alignment horizontal="left" vertical="center"/>
      <protection locked="0"/>
    </xf>
    <xf numFmtId="4" fontId="9" fillId="4" borderId="6" xfId="0" applyNumberFormat="1" applyFont="1" applyFill="1" applyBorder="1" applyAlignment="1" applyProtection="1">
      <alignment horizontal="center" vertical="center" wrapText="1"/>
      <protection hidden="1"/>
    </xf>
    <xf numFmtId="4" fontId="9" fillId="4" borderId="7" xfId="0" applyNumberFormat="1" applyFont="1" applyFill="1" applyBorder="1" applyAlignment="1" applyProtection="1">
      <alignment horizontal="center" vertical="center" wrapText="1"/>
      <protection hidden="1"/>
    </xf>
    <xf numFmtId="167" fontId="7" fillId="0" borderId="6" xfId="0" applyNumberFormat="1" applyFont="1" applyBorder="1" applyAlignment="1" applyProtection="1">
      <alignment horizontal="center" vertical="center" wrapText="1"/>
      <protection locked="0" hidden="1"/>
    </xf>
    <xf numFmtId="167" fontId="7" fillId="0" borderId="7" xfId="0" applyNumberFormat="1" applyFont="1" applyBorder="1" applyAlignment="1" applyProtection="1">
      <alignment horizontal="center" vertical="center" wrapText="1"/>
      <protection locked="0" hidden="1"/>
    </xf>
    <xf numFmtId="167" fontId="11" fillId="0" borderId="8" xfId="0" applyNumberFormat="1" applyFont="1" applyBorder="1" applyAlignment="1" applyProtection="1">
      <alignment horizontal="center" vertical="center" wrapText="1"/>
      <protection hidden="1"/>
    </xf>
    <xf numFmtId="2" fontId="9" fillId="4" borderId="6" xfId="0" applyNumberFormat="1" applyFont="1" applyFill="1" applyBorder="1" applyAlignment="1" applyProtection="1">
      <alignment horizontal="center" vertical="center" wrapText="1"/>
      <protection locked="0" hidden="1"/>
    </xf>
    <xf numFmtId="2" fontId="9" fillId="4" borderId="7" xfId="0" applyNumberFormat="1" applyFont="1" applyFill="1" applyBorder="1" applyAlignment="1" applyProtection="1">
      <alignment horizontal="center" vertical="center" wrapText="1"/>
      <protection locked="0" hidden="1"/>
    </xf>
    <xf numFmtId="167" fontId="9" fillId="4" borderId="7" xfId="0" applyNumberFormat="1" applyFont="1" applyFill="1" applyBorder="1" applyAlignment="1" applyProtection="1">
      <alignment horizontal="center" vertical="center" wrapText="1"/>
      <protection locked="0" hidden="1"/>
    </xf>
    <xf numFmtId="4" fontId="9" fillId="4" borderId="8" xfId="0" applyNumberFormat="1" applyFont="1" applyFill="1" applyBorder="1" applyAlignment="1" applyProtection="1">
      <alignment horizontal="center" vertical="center" wrapText="1"/>
      <protection hidden="1"/>
    </xf>
    <xf numFmtId="0" fontId="7" fillId="3" borderId="9" xfId="0" applyFont="1" applyFill="1" applyBorder="1" applyAlignment="1" applyProtection="1">
      <alignment horizontal="left" vertical="center"/>
      <protection locked="0"/>
    </xf>
    <xf numFmtId="10" fontId="9" fillId="4" borderId="10" xfId="0" applyNumberFormat="1" applyFont="1" applyFill="1" applyBorder="1" applyAlignment="1" applyProtection="1">
      <alignment horizontal="center" vertical="center" wrapText="1"/>
      <protection locked="0" hidden="1"/>
    </xf>
    <xf numFmtId="10" fontId="9" fillId="4" borderId="11" xfId="0" applyNumberFormat="1" applyFont="1" applyFill="1" applyBorder="1" applyAlignment="1" applyProtection="1">
      <alignment horizontal="center" vertical="center" wrapText="1"/>
      <protection locked="0" hidden="1"/>
    </xf>
    <xf numFmtId="10" fontId="9" fillId="4" borderId="12" xfId="0" applyNumberFormat="1" applyFont="1" applyFill="1" applyBorder="1" applyAlignment="1" applyProtection="1">
      <alignment horizontal="center" vertical="center" wrapText="1"/>
      <protection hidden="1"/>
    </xf>
    <xf numFmtId="1" fontId="10" fillId="4" borderId="7" xfId="0" applyNumberFormat="1" applyFont="1" applyFill="1" applyBorder="1" applyAlignment="1">
      <alignment horizontal="center"/>
    </xf>
    <xf numFmtId="167" fontId="9" fillId="4" borderId="7" xfId="0" applyNumberFormat="1" applyFont="1" applyFill="1" applyBorder="1" applyAlignment="1" applyProtection="1">
      <alignment horizontal="center" vertical="center" wrapText="1"/>
      <protection hidden="1"/>
    </xf>
    <xf numFmtId="167" fontId="11" fillId="0" borderId="7" xfId="0" applyNumberFormat="1" applyFont="1" applyBorder="1" applyAlignment="1" applyProtection="1">
      <alignment horizontal="center" vertical="center" wrapText="1"/>
      <protection hidden="1"/>
    </xf>
    <xf numFmtId="0" fontId="7" fillId="3" borderId="13" xfId="0" applyFont="1" applyFill="1" applyBorder="1" applyAlignment="1" applyProtection="1">
      <alignment horizontal="left" vertical="center"/>
      <protection locked="0"/>
    </xf>
    <xf numFmtId="10" fontId="9" fillId="4" borderId="7" xfId="0" applyNumberFormat="1" applyFont="1" applyFill="1" applyBorder="1" applyAlignment="1" applyProtection="1">
      <alignment horizontal="center" vertical="center" wrapText="1"/>
      <protection locked="0" hidden="1"/>
    </xf>
    <xf numFmtId="10" fontId="9" fillId="4" borderId="7" xfId="0" applyNumberFormat="1" applyFont="1" applyFill="1" applyBorder="1" applyAlignment="1" applyProtection="1">
      <alignment horizontal="center" vertical="center" wrapText="1"/>
      <protection hidden="1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5" borderId="2" xfId="0" applyFont="1" applyFill="1" applyBorder="1" applyAlignment="1">
      <alignment horizontal="center" vertical="center" wrapText="1"/>
    </xf>
    <xf numFmtId="0" fontId="16" fillId="5" borderId="3" xfId="0" applyFont="1" applyFill="1" applyBorder="1" applyAlignment="1">
      <alignment horizontal="center" vertical="center" wrapText="1"/>
    </xf>
    <xf numFmtId="0" fontId="16" fillId="5" borderId="17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/>
    </xf>
    <xf numFmtId="0" fontId="16" fillId="5" borderId="18" xfId="0" applyFont="1" applyFill="1" applyBorder="1" applyAlignment="1">
      <alignment horizontal="center" vertical="center"/>
    </xf>
    <xf numFmtId="168" fontId="17" fillId="0" borderId="6" xfId="0" applyNumberFormat="1" applyFont="1" applyBorder="1" applyAlignment="1">
      <alignment horizontal="center" vertical="center" wrapText="1"/>
    </xf>
    <xf numFmtId="0" fontId="17" fillId="0" borderId="7" xfId="0" applyFont="1" applyBorder="1" applyAlignment="1">
      <alignment horizontal="left" vertical="center" wrapText="1"/>
    </xf>
    <xf numFmtId="169" fontId="17" fillId="0" borderId="7" xfId="0" applyNumberFormat="1" applyFont="1" applyBorder="1" applyAlignment="1">
      <alignment horizontal="center" vertical="center" wrapText="1"/>
    </xf>
    <xf numFmtId="0" fontId="17" fillId="0" borderId="19" xfId="0" applyFont="1" applyBorder="1" applyAlignment="1">
      <alignment horizontal="left" vertical="center" wrapText="1"/>
    </xf>
    <xf numFmtId="169" fontId="17" fillId="6" borderId="6" xfId="0" applyNumberFormat="1" applyFont="1" applyFill="1" applyBorder="1" applyAlignment="1">
      <alignment vertical="center"/>
    </xf>
    <xf numFmtId="169" fontId="17" fillId="6" borderId="7" xfId="0" applyNumberFormat="1" applyFont="1" applyFill="1" applyBorder="1" applyAlignment="1">
      <alignment vertical="center"/>
    </xf>
    <xf numFmtId="169" fontId="17" fillId="6" borderId="19" xfId="0" applyNumberFormat="1" applyFont="1" applyFill="1" applyBorder="1" applyAlignment="1">
      <alignment vertical="center"/>
    </xf>
    <xf numFmtId="170" fontId="17" fillId="6" borderId="8" xfId="0" applyNumberFormat="1" applyFont="1" applyFill="1" applyBorder="1" applyAlignment="1">
      <alignment horizontal="center" vertical="center"/>
    </xf>
    <xf numFmtId="0" fontId="17" fillId="7" borderId="6" xfId="0" applyFont="1" applyFill="1" applyBorder="1" applyAlignment="1">
      <alignment horizontal="center" vertical="center"/>
    </xf>
    <xf numFmtId="170" fontId="17" fillId="7" borderId="8" xfId="0" applyNumberFormat="1" applyFont="1" applyFill="1" applyBorder="1" applyAlignment="1">
      <alignment horizontal="center" vertical="center"/>
    </xf>
    <xf numFmtId="170" fontId="17" fillId="8" borderId="6" xfId="0" applyNumberFormat="1" applyFont="1" applyFill="1" applyBorder="1" applyAlignment="1">
      <alignment horizontal="center" vertical="center"/>
    </xf>
    <xf numFmtId="170" fontId="17" fillId="8" borderId="7" xfId="0" applyNumberFormat="1" applyFont="1" applyFill="1" applyBorder="1" applyAlignment="1">
      <alignment horizontal="center" vertical="center"/>
    </xf>
    <xf numFmtId="170" fontId="17" fillId="8" borderId="8" xfId="0" applyNumberFormat="1" applyFont="1" applyFill="1" applyBorder="1" applyAlignment="1">
      <alignment horizontal="center" vertical="center"/>
    </xf>
    <xf numFmtId="0" fontId="17" fillId="0" borderId="20" xfId="0" applyFont="1" applyBorder="1" applyAlignment="1">
      <alignment vertical="center"/>
    </xf>
    <xf numFmtId="0" fontId="15" fillId="0" borderId="2" xfId="0" applyFont="1" applyBorder="1" applyAlignment="1">
      <alignment vertical="center"/>
    </xf>
    <xf numFmtId="0" fontId="14" fillId="0" borderId="4" xfId="0" applyFont="1" applyBorder="1" applyAlignment="1">
      <alignment horizontal="center" vertical="center"/>
    </xf>
    <xf numFmtId="0" fontId="15" fillId="0" borderId="6" xfId="0" applyFont="1" applyBorder="1" applyAlignment="1">
      <alignment vertical="center"/>
    </xf>
    <xf numFmtId="0" fontId="14" fillId="0" borderId="8" xfId="0" applyFont="1" applyBorder="1" applyAlignment="1">
      <alignment horizontal="center" vertical="center"/>
    </xf>
    <xf numFmtId="168" fontId="17" fillId="0" borderId="10" xfId="0" applyNumberFormat="1" applyFont="1" applyBorder="1" applyAlignment="1">
      <alignment horizontal="center" vertical="center" wrapText="1"/>
    </xf>
    <xf numFmtId="0" fontId="17" fillId="0" borderId="11" xfId="0" applyFont="1" applyBorder="1" applyAlignment="1">
      <alignment horizontal="left" vertical="center" wrapText="1"/>
    </xf>
    <xf numFmtId="169" fontId="17" fillId="0" borderId="11" xfId="0" applyNumberFormat="1" applyFont="1" applyBorder="1" applyAlignment="1">
      <alignment horizontal="center" vertical="center" wrapText="1"/>
    </xf>
    <xf numFmtId="0" fontId="17" fillId="0" borderId="21" xfId="0" applyFont="1" applyBorder="1" applyAlignment="1">
      <alignment horizontal="left" vertical="center" wrapText="1"/>
    </xf>
    <xf numFmtId="169" fontId="17" fillId="6" borderId="10" xfId="0" applyNumberFormat="1" applyFont="1" applyFill="1" applyBorder="1" applyAlignment="1">
      <alignment vertical="center"/>
    </xf>
    <xf numFmtId="169" fontId="17" fillId="6" borderId="11" xfId="0" applyNumberFormat="1" applyFont="1" applyFill="1" applyBorder="1" applyAlignment="1">
      <alignment vertical="center"/>
    </xf>
    <xf numFmtId="169" fontId="17" fillId="6" borderId="21" xfId="0" applyNumberFormat="1" applyFont="1" applyFill="1" applyBorder="1" applyAlignment="1">
      <alignment vertical="center"/>
    </xf>
    <xf numFmtId="170" fontId="17" fillId="6" borderId="12" xfId="0" applyNumberFormat="1" applyFont="1" applyFill="1" applyBorder="1" applyAlignment="1">
      <alignment horizontal="center" vertical="center"/>
    </xf>
    <xf numFmtId="0" fontId="17" fillId="7" borderId="10" xfId="0" applyFont="1" applyFill="1" applyBorder="1" applyAlignment="1">
      <alignment horizontal="center" vertical="center"/>
    </xf>
    <xf numFmtId="170" fontId="17" fillId="7" borderId="12" xfId="0" applyNumberFormat="1" applyFont="1" applyFill="1" applyBorder="1" applyAlignment="1">
      <alignment horizontal="center" vertical="center"/>
    </xf>
    <xf numFmtId="169" fontId="17" fillId="8" borderId="10" xfId="0" applyNumberFormat="1" applyFont="1" applyFill="1" applyBorder="1" applyAlignment="1">
      <alignment horizontal="center" vertical="center"/>
    </xf>
    <xf numFmtId="169" fontId="17" fillId="8" borderId="11" xfId="0" applyNumberFormat="1" applyFont="1" applyFill="1" applyBorder="1" applyAlignment="1">
      <alignment horizontal="center" vertical="center"/>
    </xf>
    <xf numFmtId="170" fontId="17" fillId="8" borderId="12" xfId="0" applyNumberFormat="1" applyFont="1" applyFill="1" applyBorder="1" applyAlignment="1">
      <alignment horizontal="center" vertical="center"/>
    </xf>
    <xf numFmtId="0" fontId="17" fillId="0" borderId="22" xfId="0" applyFont="1" applyBorder="1" applyAlignment="1">
      <alignment vertical="center"/>
    </xf>
    <xf numFmtId="170" fontId="15" fillId="0" borderId="0" xfId="0" applyNumberFormat="1" applyFont="1" applyAlignment="1">
      <alignment horizontal="center" vertical="center"/>
    </xf>
    <xf numFmtId="0" fontId="15" fillId="5" borderId="10" xfId="0" applyFont="1" applyFill="1" applyBorder="1" applyAlignment="1">
      <alignment vertical="center"/>
    </xf>
    <xf numFmtId="0" fontId="14" fillId="5" borderId="12" xfId="0" applyFont="1" applyFill="1" applyBorder="1" applyAlignment="1">
      <alignment horizontal="center" vertical="center"/>
    </xf>
    <xf numFmtId="170" fontId="14" fillId="0" borderId="8" xfId="0" applyNumberFormat="1" applyFont="1" applyBorder="1" applyAlignment="1">
      <alignment horizontal="center" vertical="center"/>
    </xf>
    <xf numFmtId="0" fontId="15" fillId="0" borderId="10" xfId="0" applyFont="1" applyBorder="1" applyAlignment="1">
      <alignment vertical="center"/>
    </xf>
    <xf numFmtId="170" fontId="14" fillId="0" borderId="12" xfId="0" applyNumberFormat="1" applyFont="1" applyBorder="1" applyAlignment="1">
      <alignment horizontal="center" vertical="center"/>
    </xf>
    <xf numFmtId="170" fontId="14" fillId="0" borderId="4" xfId="0" applyNumberFormat="1" applyFont="1" applyBorder="1" applyAlignment="1">
      <alignment horizontal="center" vertical="center"/>
    </xf>
    <xf numFmtId="0" fontId="15" fillId="0" borderId="23" xfId="0" applyFont="1" applyBorder="1" applyAlignment="1">
      <alignment vertical="center"/>
    </xf>
    <xf numFmtId="170" fontId="14" fillId="0" borderId="24" xfId="0" applyNumberFormat="1" applyFont="1" applyBorder="1" applyAlignment="1">
      <alignment horizontal="center" vertical="center"/>
    </xf>
    <xf numFmtId="169" fontId="17" fillId="8" borderId="6" xfId="0" applyNumberFormat="1" applyFont="1" applyFill="1" applyBorder="1" applyAlignment="1">
      <alignment horizontal="center" vertical="center"/>
    </xf>
    <xf numFmtId="169" fontId="17" fillId="8" borderId="7" xfId="0" applyNumberFormat="1" applyFont="1" applyFill="1" applyBorder="1" applyAlignment="1">
      <alignment horizontal="center" vertical="center"/>
    </xf>
    <xf numFmtId="0" fontId="17" fillId="0" borderId="7" xfId="0" applyFont="1" applyBorder="1" applyAlignment="1">
      <alignment horizontal="center" vertical="center" wrapText="1"/>
    </xf>
    <xf numFmtId="168" fontId="18" fillId="0" borderId="6" xfId="0" applyNumberFormat="1" applyFont="1" applyBorder="1" applyAlignment="1">
      <alignment horizontal="center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center" vertical="center" wrapText="1"/>
    </xf>
    <xf numFmtId="169" fontId="18" fillId="0" borderId="7" xfId="0" applyNumberFormat="1" applyFont="1" applyBorder="1" applyAlignment="1">
      <alignment horizontal="center" vertical="center" wrapText="1"/>
    </xf>
    <xf numFmtId="168" fontId="17" fillId="0" borderId="25" xfId="0" applyNumberFormat="1" applyFont="1" applyBorder="1" applyAlignment="1">
      <alignment horizontal="center" vertical="center" wrapText="1"/>
    </xf>
    <xf numFmtId="0" fontId="17" fillId="0" borderId="26" xfId="0" applyFont="1" applyBorder="1" applyAlignment="1">
      <alignment horizontal="left" vertical="center" wrapText="1"/>
    </xf>
    <xf numFmtId="0" fontId="17" fillId="0" borderId="26" xfId="0" applyFont="1" applyBorder="1" applyAlignment="1">
      <alignment horizontal="center" vertical="center" wrapText="1"/>
    </xf>
    <xf numFmtId="169" fontId="17" fillId="0" borderId="26" xfId="0" applyNumberFormat="1" applyFont="1" applyBorder="1" applyAlignment="1">
      <alignment horizontal="center" vertical="center" wrapText="1"/>
    </xf>
    <xf numFmtId="0" fontId="17" fillId="0" borderId="27" xfId="0" applyFont="1" applyBorder="1" applyAlignment="1">
      <alignment horizontal="left" vertical="center" wrapText="1"/>
    </xf>
    <xf numFmtId="169" fontId="17" fillId="6" borderId="25" xfId="0" applyNumberFormat="1" applyFont="1" applyFill="1" applyBorder="1" applyAlignment="1">
      <alignment vertical="center"/>
    </xf>
    <xf numFmtId="169" fontId="17" fillId="6" borderId="26" xfId="0" applyNumberFormat="1" applyFont="1" applyFill="1" applyBorder="1" applyAlignment="1">
      <alignment vertical="center"/>
    </xf>
    <xf numFmtId="169" fontId="17" fillId="6" borderId="27" xfId="0" applyNumberFormat="1" applyFont="1" applyFill="1" applyBorder="1" applyAlignment="1">
      <alignment vertical="center"/>
    </xf>
    <xf numFmtId="170" fontId="17" fillId="6" borderId="28" xfId="0" applyNumberFormat="1" applyFont="1" applyFill="1" applyBorder="1" applyAlignment="1">
      <alignment horizontal="center" vertical="center"/>
    </xf>
    <xf numFmtId="0" fontId="17" fillId="7" borderId="25" xfId="0" applyFont="1" applyFill="1" applyBorder="1" applyAlignment="1">
      <alignment horizontal="center" vertical="center"/>
    </xf>
    <xf numFmtId="170" fontId="17" fillId="7" borderId="28" xfId="0" applyNumberFormat="1" applyFont="1" applyFill="1" applyBorder="1" applyAlignment="1">
      <alignment horizontal="center" vertical="center"/>
    </xf>
    <xf numFmtId="169" fontId="17" fillId="8" borderId="25" xfId="0" applyNumberFormat="1" applyFont="1" applyFill="1" applyBorder="1" applyAlignment="1">
      <alignment horizontal="center" vertical="center"/>
    </xf>
    <xf numFmtId="169" fontId="17" fillId="8" borderId="26" xfId="0" applyNumberFormat="1" applyFont="1" applyFill="1" applyBorder="1" applyAlignment="1">
      <alignment horizontal="center" vertical="center"/>
    </xf>
    <xf numFmtId="170" fontId="17" fillId="8" borderId="28" xfId="0" applyNumberFormat="1" applyFont="1" applyFill="1" applyBorder="1" applyAlignment="1">
      <alignment horizontal="center" vertical="center"/>
    </xf>
    <xf numFmtId="0" fontId="17" fillId="0" borderId="29" xfId="0" applyFont="1" applyBorder="1" applyAlignment="1">
      <alignment vertical="center"/>
    </xf>
    <xf numFmtId="0" fontId="17" fillId="0" borderId="11" xfId="0" applyFont="1" applyBorder="1" applyAlignment="1">
      <alignment horizontal="center" vertical="center" wrapText="1"/>
    </xf>
    <xf numFmtId="170" fontId="17" fillId="6" borderId="7" xfId="0" applyNumberFormat="1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170" fontId="17" fillId="7" borderId="7" xfId="0" applyNumberFormat="1" applyFont="1" applyFill="1" applyBorder="1" applyAlignment="1">
      <alignment horizontal="center" vertical="center"/>
    </xf>
    <xf numFmtId="0" fontId="17" fillId="0" borderId="8" xfId="0" applyFont="1" applyBorder="1" applyAlignment="1">
      <alignment vertical="center"/>
    </xf>
    <xf numFmtId="170" fontId="17" fillId="6" borderId="11" xfId="0" applyNumberFormat="1" applyFont="1" applyFill="1" applyBorder="1" applyAlignment="1">
      <alignment horizontal="center" vertical="center"/>
    </xf>
    <xf numFmtId="0" fontId="17" fillId="7" borderId="11" xfId="0" applyFont="1" applyFill="1" applyBorder="1" applyAlignment="1">
      <alignment horizontal="center" vertical="center"/>
    </xf>
    <xf numFmtId="170" fontId="17" fillId="7" borderId="11" xfId="0" applyNumberFormat="1" applyFont="1" applyFill="1" applyBorder="1" applyAlignment="1">
      <alignment horizontal="center" vertical="center"/>
    </xf>
    <xf numFmtId="170" fontId="17" fillId="8" borderId="11" xfId="0" applyNumberFormat="1" applyFont="1" applyFill="1" applyBorder="1" applyAlignment="1">
      <alignment horizontal="center" vertical="center"/>
    </xf>
    <xf numFmtId="0" fontId="17" fillId="0" borderId="12" xfId="0" applyFont="1" applyBorder="1" applyAlignment="1">
      <alignment vertical="center"/>
    </xf>
    <xf numFmtId="0" fontId="17" fillId="7" borderId="26" xfId="0" applyFont="1" applyFill="1" applyBorder="1" applyAlignment="1">
      <alignment horizontal="center" vertical="center"/>
    </xf>
    <xf numFmtId="170" fontId="17" fillId="7" borderId="26" xfId="0" applyNumberFormat="1" applyFont="1" applyFill="1" applyBorder="1" applyAlignment="1">
      <alignment horizontal="center" vertical="center"/>
    </xf>
    <xf numFmtId="0" fontId="17" fillId="0" borderId="28" xfId="0" applyFont="1" applyBorder="1" applyAlignment="1">
      <alignment vertical="center"/>
    </xf>
    <xf numFmtId="168" fontId="17" fillId="0" borderId="30" xfId="0" applyNumberFormat="1" applyFont="1" applyBorder="1" applyAlignment="1">
      <alignment horizontal="center" vertical="center" wrapText="1"/>
    </xf>
    <xf numFmtId="169" fontId="17" fillId="7" borderId="11" xfId="0" applyNumberFormat="1" applyFont="1" applyFill="1" applyBorder="1" applyAlignment="1">
      <alignment horizontal="center" vertical="center"/>
    </xf>
    <xf numFmtId="169" fontId="17" fillId="7" borderId="26" xfId="0" applyNumberFormat="1" applyFont="1" applyFill="1" applyBorder="1" applyAlignment="1">
      <alignment horizontal="center" vertical="center"/>
    </xf>
    <xf numFmtId="168" fontId="18" fillId="0" borderId="30" xfId="0" applyNumberFormat="1" applyFont="1" applyBorder="1" applyAlignment="1">
      <alignment horizontal="center" vertical="center" wrapText="1"/>
    </xf>
    <xf numFmtId="0" fontId="18" fillId="0" borderId="11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center" vertical="center" wrapText="1"/>
    </xf>
    <xf numFmtId="169" fontId="18" fillId="0" borderId="11" xfId="0" applyNumberFormat="1" applyFont="1" applyBorder="1" applyAlignment="1">
      <alignment horizontal="center" vertical="center" wrapText="1"/>
    </xf>
    <xf numFmtId="0" fontId="18" fillId="0" borderId="12" xfId="0" applyFont="1" applyBorder="1" applyAlignment="1">
      <alignment vertical="center"/>
    </xf>
    <xf numFmtId="168" fontId="17" fillId="9" borderId="6" xfId="0" applyNumberFormat="1" applyFont="1" applyFill="1" applyBorder="1" applyAlignment="1">
      <alignment horizontal="center" vertical="center" wrapText="1"/>
    </xf>
    <xf numFmtId="0" fontId="17" fillId="9" borderId="26" xfId="0" applyFont="1" applyFill="1" applyBorder="1" applyAlignment="1">
      <alignment horizontal="left" vertical="center" wrapText="1"/>
    </xf>
    <xf numFmtId="0" fontId="17" fillId="9" borderId="7" xfId="0" applyFont="1" applyFill="1" applyBorder="1" applyAlignment="1">
      <alignment horizontal="center" vertical="center" wrapText="1"/>
    </xf>
    <xf numFmtId="169" fontId="17" fillId="9" borderId="26" xfId="0" applyNumberFormat="1" applyFont="1" applyFill="1" applyBorder="1" applyAlignment="1">
      <alignment horizontal="center" vertical="center" wrapText="1"/>
    </xf>
    <xf numFmtId="170" fontId="17" fillId="8" borderId="26" xfId="0" applyNumberFormat="1" applyFont="1" applyFill="1" applyBorder="1" applyAlignment="1">
      <alignment horizontal="center" vertical="center"/>
    </xf>
    <xf numFmtId="168" fontId="17" fillId="9" borderId="10" xfId="0" applyNumberFormat="1" applyFont="1" applyFill="1" applyBorder="1" applyAlignment="1">
      <alignment horizontal="center" vertical="center" wrapText="1"/>
    </xf>
    <xf numFmtId="0" fontId="17" fillId="9" borderId="11" xfId="0" applyFont="1" applyFill="1" applyBorder="1" applyAlignment="1">
      <alignment horizontal="left" vertical="center" wrapText="1"/>
    </xf>
    <xf numFmtId="0" fontId="17" fillId="9" borderId="11" xfId="0" applyFont="1" applyFill="1" applyBorder="1" applyAlignment="1">
      <alignment horizontal="center" vertical="center" wrapText="1"/>
    </xf>
    <xf numFmtId="169" fontId="17" fillId="9" borderId="11" xfId="0" applyNumberFormat="1" applyFont="1" applyFill="1" applyBorder="1" applyAlignment="1">
      <alignment horizontal="center" vertical="center" wrapText="1"/>
    </xf>
    <xf numFmtId="169" fontId="17" fillId="7" borderId="7" xfId="0" applyNumberFormat="1" applyFont="1" applyFill="1" applyBorder="1" applyAlignment="1">
      <alignment horizontal="center" vertical="center"/>
    </xf>
    <xf numFmtId="0" fontId="18" fillId="0" borderId="8" xfId="0" applyFont="1" applyBorder="1" applyAlignment="1">
      <alignment vertical="center"/>
    </xf>
    <xf numFmtId="168" fontId="17" fillId="9" borderId="25" xfId="0" applyNumberFormat="1" applyFont="1" applyFill="1" applyBorder="1" applyAlignment="1">
      <alignment horizontal="center" vertical="center" wrapText="1"/>
    </xf>
    <xf numFmtId="0" fontId="17" fillId="9" borderId="26" xfId="0" applyFont="1" applyFill="1" applyBorder="1" applyAlignment="1">
      <alignment horizontal="center" vertical="center" wrapText="1"/>
    </xf>
    <xf numFmtId="170" fontId="17" fillId="6" borderId="26" xfId="0" applyNumberFormat="1" applyFont="1" applyFill="1" applyBorder="1" applyAlignment="1">
      <alignment horizontal="center" vertical="center"/>
    </xf>
    <xf numFmtId="0" fontId="18" fillId="0" borderId="26" xfId="0" applyFont="1" applyBorder="1" applyAlignment="1">
      <alignment horizontal="left" vertical="center" wrapText="1"/>
    </xf>
    <xf numFmtId="169" fontId="18" fillId="0" borderId="26" xfId="0" applyNumberFormat="1" applyFont="1" applyBorder="1" applyAlignment="1">
      <alignment horizontal="center" vertical="center" wrapText="1"/>
    </xf>
    <xf numFmtId="168" fontId="17" fillId="10" borderId="25" xfId="0" applyNumberFormat="1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left" vertical="center" wrapText="1"/>
    </xf>
    <xf numFmtId="0" fontId="17" fillId="10" borderId="26" xfId="0" applyFont="1" applyFill="1" applyBorder="1" applyAlignment="1">
      <alignment horizontal="center" vertical="center" wrapText="1"/>
    </xf>
    <xf numFmtId="169" fontId="17" fillId="10" borderId="26" xfId="0" applyNumberFormat="1" applyFont="1" applyFill="1" applyBorder="1" applyAlignment="1">
      <alignment horizontal="center" vertical="center" wrapText="1"/>
    </xf>
    <xf numFmtId="168" fontId="14" fillId="9" borderId="6" xfId="0" applyNumberFormat="1" applyFont="1" applyFill="1" applyBorder="1" applyAlignment="1">
      <alignment horizontal="center" vertical="center" wrapText="1"/>
    </xf>
    <xf numFmtId="0" fontId="14" fillId="9" borderId="26" xfId="0" applyFont="1" applyFill="1" applyBorder="1" applyAlignment="1">
      <alignment horizontal="left" vertical="center" wrapText="1"/>
    </xf>
    <xf numFmtId="0" fontId="14" fillId="9" borderId="7" xfId="0" applyFont="1" applyFill="1" applyBorder="1" applyAlignment="1">
      <alignment horizontal="center" vertical="center" wrapText="1"/>
    </xf>
    <xf numFmtId="0" fontId="19" fillId="0" borderId="0" xfId="0" applyFont="1"/>
    <xf numFmtId="0" fontId="20" fillId="11" borderId="19" xfId="0" applyFont="1" applyFill="1" applyBorder="1" applyAlignment="1">
      <alignment horizontal="center"/>
    </xf>
    <xf numFmtId="167" fontId="20" fillId="11" borderId="31" xfId="0" applyNumberFormat="1" applyFont="1" applyFill="1" applyBorder="1" applyAlignment="1">
      <alignment horizontal="center"/>
    </xf>
    <xf numFmtId="167" fontId="20" fillId="11" borderId="32" xfId="0" applyNumberFormat="1" applyFont="1" applyFill="1" applyBorder="1" applyAlignment="1">
      <alignment horizontal="center"/>
    </xf>
    <xf numFmtId="0" fontId="21" fillId="2" borderId="7" xfId="0" applyFont="1" applyFill="1" applyBorder="1" applyAlignment="1">
      <alignment horizontal="center"/>
    </xf>
    <xf numFmtId="0" fontId="22" fillId="0" borderId="7" xfId="0" applyFont="1" applyBorder="1" applyAlignment="1">
      <alignment vertical="center"/>
    </xf>
    <xf numFmtId="166" fontId="19" fillId="7" borderId="7" xfId="0" applyNumberFormat="1" applyFont="1" applyFill="1" applyBorder="1"/>
    <xf numFmtId="166" fontId="22" fillId="0" borderId="7" xfId="0" applyNumberFormat="1" applyFont="1" applyBorder="1"/>
    <xf numFmtId="171" fontId="21" fillId="0" borderId="7" xfId="0" applyNumberFormat="1" applyFont="1" applyBorder="1" applyAlignment="1">
      <alignment horizontal="center"/>
    </xf>
    <xf numFmtId="3" fontId="23" fillId="0" borderId="7" xfId="0" applyNumberFormat="1" applyFont="1" applyBorder="1" applyAlignment="1">
      <alignment horizontal="right"/>
    </xf>
    <xf numFmtId="166" fontId="23" fillId="0" borderId="7" xfId="0" applyNumberFormat="1" applyFont="1" applyBorder="1"/>
    <xf numFmtId="10" fontId="23" fillId="0" borderId="7" xfId="0" applyNumberFormat="1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166" fontId="19" fillId="0" borderId="7" xfId="0" applyNumberFormat="1" applyFont="1" applyBorder="1"/>
    <xf numFmtId="3" fontId="19" fillId="0" borderId="7" xfId="0" applyNumberFormat="1" applyFont="1" applyBorder="1" applyAlignment="1">
      <alignment horizontal="right"/>
    </xf>
    <xf numFmtId="172" fontId="23" fillId="0" borderId="7" xfId="0" applyNumberFormat="1" applyFont="1" applyBorder="1" applyAlignment="1">
      <alignment horizontal="center"/>
    </xf>
    <xf numFmtId="0" fontId="22" fillId="0" borderId="7" xfId="0" applyFont="1" applyBorder="1"/>
    <xf numFmtId="167" fontId="19" fillId="7" borderId="7" xfId="0" applyNumberFormat="1" applyFont="1" applyFill="1" applyBorder="1"/>
    <xf numFmtId="4" fontId="19" fillId="7" borderId="7" xfId="0" applyNumberFormat="1" applyFont="1" applyFill="1" applyBorder="1"/>
    <xf numFmtId="3" fontId="19" fillId="7" borderId="7" xfId="0" applyNumberFormat="1" applyFont="1" applyFill="1" applyBorder="1" applyAlignment="1">
      <alignment horizontal="right"/>
    </xf>
    <xf numFmtId="10" fontId="23" fillId="7" borderId="7" xfId="0" applyNumberFormat="1" applyFont="1" applyFill="1" applyBorder="1" applyAlignment="1">
      <alignment horizontal="center"/>
    </xf>
    <xf numFmtId="2" fontId="19" fillId="7" borderId="7" xfId="0" applyNumberFormat="1" applyFont="1" applyFill="1" applyBorder="1"/>
    <xf numFmtId="3" fontId="19" fillId="7" borderId="7" xfId="0" applyNumberFormat="1" applyFont="1" applyFill="1" applyBorder="1"/>
    <xf numFmtId="0" fontId="19" fillId="7" borderId="7" xfId="0" applyFont="1" applyFill="1" applyBorder="1" applyAlignment="1">
      <alignment horizontal="center"/>
    </xf>
    <xf numFmtId="0" fontId="20" fillId="12" borderId="7" xfId="0" applyFont="1" applyFill="1" applyBorder="1" applyAlignment="1">
      <alignment horizontal="center"/>
    </xf>
    <xf numFmtId="166" fontId="20" fillId="12" borderId="7" xfId="0" applyNumberFormat="1" applyFont="1" applyFill="1" applyBorder="1" applyAlignment="1">
      <alignment horizontal="center"/>
    </xf>
    <xf numFmtId="3" fontId="19" fillId="0" borderId="7" xfId="0" applyNumberFormat="1" applyFont="1" applyBorder="1"/>
    <xf numFmtId="10" fontId="19" fillId="0" borderId="0" xfId="0" applyNumberFormat="1" applyFont="1" applyAlignment="1">
      <alignment horizontal="center"/>
    </xf>
    <xf numFmtId="168" fontId="14" fillId="10" borderId="25" xfId="0" applyNumberFormat="1" applyFont="1" applyFill="1" applyBorder="1" applyAlignment="1">
      <alignment horizontal="center" vertical="center" wrapText="1"/>
    </xf>
    <xf numFmtId="0" fontId="14" fillId="10" borderId="26" xfId="0" applyFont="1" applyFill="1" applyBorder="1" applyAlignment="1">
      <alignment horizontal="left" vertical="center" wrapText="1"/>
    </xf>
    <xf numFmtId="0" fontId="14" fillId="10" borderId="26" xfId="0" applyFont="1" applyFill="1" applyBorder="1" applyAlignment="1">
      <alignment horizontal="center" vertical="center" wrapText="1"/>
    </xf>
    <xf numFmtId="169" fontId="14" fillId="10" borderId="26" xfId="0" applyNumberFormat="1" applyFont="1" applyFill="1" applyBorder="1" applyAlignment="1">
      <alignment horizontal="center" vertical="center" wrapText="1"/>
    </xf>
    <xf numFmtId="0" fontId="17" fillId="10" borderId="7" xfId="0" applyFont="1" applyFill="1" applyBorder="1" applyAlignment="1">
      <alignment horizontal="left" vertical="center" wrapText="1"/>
    </xf>
    <xf numFmtId="0" fontId="17" fillId="10" borderId="7" xfId="0" applyFont="1" applyFill="1" applyBorder="1" applyAlignment="1">
      <alignment horizontal="center" vertical="center" wrapText="1"/>
    </xf>
    <xf numFmtId="169" fontId="17" fillId="10" borderId="7" xfId="0" applyNumberFormat="1" applyFont="1" applyFill="1" applyBorder="1" applyAlignment="1">
      <alignment horizontal="center" vertical="center" wrapText="1"/>
    </xf>
    <xf numFmtId="0" fontId="18" fillId="10" borderId="26" xfId="0" applyFont="1" applyFill="1" applyBorder="1" applyAlignment="1">
      <alignment horizontal="left" vertical="center" wrapText="1"/>
    </xf>
    <xf numFmtId="0" fontId="18" fillId="10" borderId="26" xfId="0" applyFont="1" applyFill="1" applyBorder="1" applyAlignment="1">
      <alignment horizontal="center" vertical="center" wrapText="1"/>
    </xf>
    <xf numFmtId="169" fontId="18" fillId="10" borderId="26" xfId="0" applyNumberFormat="1" applyFont="1" applyFill="1" applyBorder="1" applyAlignment="1">
      <alignment horizontal="center" vertical="center" wrapText="1"/>
    </xf>
    <xf numFmtId="0" fontId="15" fillId="5" borderId="0" xfId="0" applyFont="1" applyFill="1" applyAlignment="1">
      <alignment vertical="center"/>
    </xf>
    <xf numFmtId="0" fontId="14" fillId="5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1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26" fillId="0" borderId="2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4" fillId="0" borderId="17" xfId="0" applyFont="1" applyBorder="1" applyAlignment="1">
      <alignment horizontal="right" vertical="center"/>
    </xf>
    <xf numFmtId="10" fontId="24" fillId="0" borderId="18" xfId="0" applyNumberFormat="1" applyFont="1" applyBorder="1" applyAlignment="1">
      <alignment horizontal="center" vertical="center"/>
    </xf>
    <xf numFmtId="0" fontId="28" fillId="0" borderId="33" xfId="0" applyFont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9" fillId="13" borderId="6" xfId="0" applyFont="1" applyFill="1" applyBorder="1" applyAlignment="1">
      <alignment horizontal="center" vertical="center" wrapText="1"/>
    </xf>
    <xf numFmtId="0" fontId="9" fillId="13" borderId="7" xfId="0" applyFont="1" applyFill="1" applyBorder="1" applyAlignment="1">
      <alignment horizontal="center" vertical="center" wrapText="1"/>
    </xf>
    <xf numFmtId="0" fontId="9" fillId="13" borderId="8" xfId="0" applyFont="1" applyFill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10" fontId="26" fillId="0" borderId="7" xfId="0" applyNumberFormat="1" applyFont="1" applyBorder="1" applyAlignment="1">
      <alignment horizontal="center" vertical="center"/>
    </xf>
    <xf numFmtId="10" fontId="26" fillId="0" borderId="8" xfId="0" applyNumberFormat="1" applyFont="1" applyBorder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3" fontId="26" fillId="0" borderId="7" xfId="0" applyNumberFormat="1" applyFont="1" applyBorder="1" applyAlignment="1">
      <alignment horizontal="center" vertical="center"/>
    </xf>
    <xf numFmtId="3" fontId="30" fillId="0" borderId="7" xfId="0" applyNumberFormat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3" fontId="9" fillId="4" borderId="6" xfId="0" applyNumberFormat="1" applyFont="1" applyFill="1" applyBorder="1" applyAlignment="1">
      <alignment horizontal="center" vertical="center"/>
    </xf>
    <xf numFmtId="3" fontId="9" fillId="4" borderId="7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10" fontId="26" fillId="0" borderId="11" xfId="0" applyNumberFormat="1" applyFont="1" applyBorder="1" applyAlignment="1">
      <alignment horizontal="center" vertical="center"/>
    </xf>
    <xf numFmtId="10" fontId="26" fillId="0" borderId="12" xfId="0" applyNumberFormat="1" applyFont="1" applyBorder="1" applyAlignment="1">
      <alignment horizontal="center" vertical="center"/>
    </xf>
    <xf numFmtId="3" fontId="26" fillId="0" borderId="11" xfId="0" applyNumberFormat="1" applyFont="1" applyBorder="1" applyAlignment="1">
      <alignment horizontal="center" vertical="center"/>
    </xf>
    <xf numFmtId="164" fontId="26" fillId="0" borderId="11" xfId="0" applyNumberFormat="1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2" fillId="5" borderId="7" xfId="0" applyFont="1" applyFill="1" applyBorder="1" applyAlignment="1">
      <alignment horizontal="center" vertical="center"/>
    </xf>
    <xf numFmtId="168" fontId="33" fillId="0" borderId="7" xfId="0" applyNumberFormat="1" applyFont="1" applyBorder="1" applyAlignment="1">
      <alignment horizontal="center" vertical="center"/>
    </xf>
    <xf numFmtId="0" fontId="33" fillId="10" borderId="7" xfId="0" applyFont="1" applyFill="1" applyBorder="1" applyAlignment="1">
      <alignment horizontal="left" vertical="center"/>
    </xf>
    <xf numFmtId="0" fontId="33" fillId="10" borderId="7" xfId="0" applyFont="1" applyFill="1" applyBorder="1" applyAlignment="1">
      <alignment horizontal="center" vertical="center"/>
    </xf>
    <xf numFmtId="169" fontId="33" fillId="10" borderId="7" xfId="0" applyNumberFormat="1" applyFont="1" applyFill="1" applyBorder="1" applyAlignment="1">
      <alignment horizontal="center" vertical="center"/>
    </xf>
    <xf numFmtId="169" fontId="32" fillId="10" borderId="7" xfId="0" applyNumberFormat="1" applyFont="1" applyFill="1" applyBorder="1" applyAlignment="1">
      <alignment horizontal="center" vertical="center"/>
    </xf>
    <xf numFmtId="0" fontId="32" fillId="10" borderId="7" xfId="0" applyFont="1" applyFill="1" applyBorder="1" applyAlignment="1">
      <alignment horizontal="center" vertical="center"/>
    </xf>
    <xf numFmtId="0" fontId="33" fillId="0" borderId="7" xfId="0" applyFont="1" applyBorder="1" applyAlignment="1">
      <alignment horizontal="left" vertical="center"/>
    </xf>
    <xf numFmtId="0" fontId="33" fillId="0" borderId="7" xfId="0" applyFont="1" applyBorder="1" applyAlignment="1">
      <alignment horizontal="center" vertical="center"/>
    </xf>
    <xf numFmtId="169" fontId="33" fillId="0" borderId="7" xfId="0" applyNumberFormat="1" applyFont="1" applyBorder="1" applyAlignment="1">
      <alignment horizontal="center" vertical="center"/>
    </xf>
    <xf numFmtId="168" fontId="34" fillId="0" borderId="7" xfId="0" applyNumberFormat="1" applyFont="1" applyBorder="1" applyAlignment="1">
      <alignment horizontal="center" vertical="center"/>
    </xf>
    <xf numFmtId="0" fontId="34" fillId="10" borderId="7" xfId="0" applyFont="1" applyFill="1" applyBorder="1" applyAlignment="1">
      <alignment horizontal="left" vertical="center"/>
    </xf>
    <xf numFmtId="0" fontId="34" fillId="10" borderId="7" xfId="0" applyFont="1" applyFill="1" applyBorder="1" applyAlignment="1">
      <alignment horizontal="center" vertical="center"/>
    </xf>
    <xf numFmtId="169" fontId="34" fillId="10" borderId="7" xfId="0" applyNumberFormat="1" applyFont="1" applyFill="1" applyBorder="1" applyAlignment="1">
      <alignment horizontal="center" vertical="center"/>
    </xf>
    <xf numFmtId="169" fontId="34" fillId="0" borderId="7" xfId="0" applyNumberFormat="1" applyFont="1" applyBorder="1" applyAlignment="1">
      <alignment horizontal="center" vertical="center"/>
    </xf>
    <xf numFmtId="0" fontId="17" fillId="9" borderId="7" xfId="0" applyFont="1" applyFill="1" applyBorder="1" applyAlignment="1">
      <alignment horizontal="left" vertical="center" wrapText="1"/>
    </xf>
    <xf numFmtId="169" fontId="17" fillId="9" borderId="7" xfId="0" applyNumberFormat="1" applyFont="1" applyFill="1" applyBorder="1" applyAlignment="1">
      <alignment horizontal="center" vertical="center" wrapText="1"/>
    </xf>
    <xf numFmtId="168" fontId="18" fillId="10" borderId="25" xfId="0" applyNumberFormat="1" applyFont="1" applyFill="1" applyBorder="1" applyAlignment="1">
      <alignment horizontal="center" vertical="center" wrapText="1"/>
    </xf>
    <xf numFmtId="168" fontId="14" fillId="9" borderId="25" xfId="0" applyNumberFormat="1" applyFont="1" applyFill="1" applyBorder="1" applyAlignment="1">
      <alignment horizontal="center" vertical="center" wrapText="1"/>
    </xf>
    <xf numFmtId="0" fontId="14" fillId="9" borderId="26" xfId="0" applyFont="1" applyFill="1" applyBorder="1" applyAlignment="1">
      <alignment horizontal="center" vertical="center" wrapText="1"/>
    </xf>
    <xf numFmtId="169" fontId="14" fillId="9" borderId="26" xfId="0" applyNumberFormat="1" applyFont="1" applyFill="1" applyBorder="1" applyAlignment="1">
      <alignment horizontal="center" vertical="center" wrapText="1"/>
    </xf>
    <xf numFmtId="168" fontId="35" fillId="0" borderId="6" xfId="0" applyNumberFormat="1" applyFont="1" applyBorder="1" applyAlignment="1">
      <alignment horizontal="center" vertical="center" wrapText="1"/>
    </xf>
    <xf numFmtId="0" fontId="35" fillId="0" borderId="7" xfId="0" applyFont="1" applyBorder="1" applyAlignment="1">
      <alignment horizontal="left" vertical="center" wrapText="1"/>
    </xf>
    <xf numFmtId="0" fontId="35" fillId="0" borderId="7" xfId="0" applyFont="1" applyBorder="1" applyAlignment="1">
      <alignment horizontal="center" vertical="center" wrapText="1"/>
    </xf>
    <xf numFmtId="169" fontId="35" fillId="0" borderId="7" xfId="0" applyNumberFormat="1" applyFont="1" applyBorder="1" applyAlignment="1">
      <alignment horizontal="center" vertical="center" wrapText="1"/>
    </xf>
    <xf numFmtId="169" fontId="35" fillId="0" borderId="26" xfId="0" applyNumberFormat="1" applyFont="1" applyBorder="1" applyAlignment="1">
      <alignment horizontal="center" vertical="center" wrapText="1"/>
    </xf>
    <xf numFmtId="168" fontId="35" fillId="0" borderId="25" xfId="0" applyNumberFormat="1" applyFont="1" applyBorder="1" applyAlignment="1">
      <alignment horizontal="center" vertical="center" wrapText="1"/>
    </xf>
    <xf numFmtId="0" fontId="35" fillId="0" borderId="26" xfId="0" applyFont="1" applyBorder="1" applyAlignment="1">
      <alignment horizontal="left" vertical="center" wrapText="1"/>
    </xf>
    <xf numFmtId="0" fontId="35" fillId="0" borderId="26" xfId="0" applyFont="1" applyBorder="1" applyAlignment="1">
      <alignment horizontal="center" vertical="center" wrapText="1"/>
    </xf>
    <xf numFmtId="0" fontId="17" fillId="10" borderId="11" xfId="0" applyFont="1" applyFill="1" applyBorder="1" applyAlignment="1">
      <alignment horizontal="left" vertical="center" wrapText="1"/>
    </xf>
    <xf numFmtId="0" fontId="17" fillId="10" borderId="11" xfId="0" applyFont="1" applyFill="1" applyBorder="1" applyAlignment="1">
      <alignment horizontal="center" vertical="center" wrapText="1"/>
    </xf>
    <xf numFmtId="169" fontId="17" fillId="10" borderId="11" xfId="0" applyNumberFormat="1" applyFont="1" applyFill="1" applyBorder="1" applyAlignment="1">
      <alignment horizontal="center" vertical="center" wrapText="1"/>
    </xf>
    <xf numFmtId="168" fontId="17" fillId="0" borderId="34" xfId="0" applyNumberFormat="1" applyFont="1" applyBorder="1" applyAlignment="1">
      <alignment horizontal="center" vertical="center" wrapText="1"/>
    </xf>
    <xf numFmtId="0" fontId="18" fillId="0" borderId="35" xfId="0" applyFont="1" applyBorder="1" applyAlignment="1">
      <alignment horizontal="left" vertical="center" wrapText="1"/>
    </xf>
    <xf numFmtId="0" fontId="18" fillId="0" borderId="36" xfId="0" applyFont="1" applyBorder="1" applyAlignment="1">
      <alignment horizontal="center" vertical="center" wrapText="1"/>
    </xf>
    <xf numFmtId="169" fontId="18" fillId="0" borderId="35" xfId="0" applyNumberFormat="1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 wrapText="1"/>
    </xf>
    <xf numFmtId="0" fontId="16" fillId="10" borderId="37" xfId="0" applyFont="1" applyFill="1" applyBorder="1" applyAlignment="1">
      <alignment horizontal="center" vertical="center"/>
    </xf>
    <xf numFmtId="0" fontId="18" fillId="10" borderId="11" xfId="0" applyFont="1" applyFill="1" applyBorder="1" applyAlignment="1">
      <alignment horizontal="left" vertical="center" wrapText="1"/>
    </xf>
    <xf numFmtId="0" fontId="18" fillId="10" borderId="11" xfId="0" applyFont="1" applyFill="1" applyBorder="1" applyAlignment="1">
      <alignment horizontal="center" vertical="center" wrapText="1"/>
    </xf>
    <xf numFmtId="169" fontId="18" fillId="10" borderId="11" xfId="0" applyNumberFormat="1" applyFont="1" applyFill="1" applyBorder="1" applyAlignment="1">
      <alignment horizontal="center" vertical="center" wrapText="1"/>
    </xf>
    <xf numFmtId="0" fontId="18" fillId="9" borderId="11" xfId="0" applyFont="1" applyFill="1" applyBorder="1" applyAlignment="1">
      <alignment horizontal="left" vertical="center" wrapText="1"/>
    </xf>
    <xf numFmtId="0" fontId="18" fillId="9" borderId="11" xfId="0" applyFont="1" applyFill="1" applyBorder="1" applyAlignment="1">
      <alignment horizontal="center" vertical="center" wrapText="1"/>
    </xf>
    <xf numFmtId="169" fontId="18" fillId="9" borderId="11" xfId="0" applyNumberFormat="1" applyFont="1" applyFill="1" applyBorder="1" applyAlignment="1">
      <alignment horizontal="center" vertical="center" wrapText="1"/>
    </xf>
    <xf numFmtId="168" fontId="18" fillId="0" borderId="10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8" fillId="10" borderId="7" xfId="0" applyFont="1" applyFill="1" applyBorder="1" applyAlignment="1">
      <alignment horizontal="left" vertical="center" wrapText="1"/>
    </xf>
    <xf numFmtId="0" fontId="18" fillId="10" borderId="7" xfId="0" applyFont="1" applyFill="1" applyBorder="1" applyAlignment="1">
      <alignment horizontal="center" vertical="center" wrapText="1"/>
    </xf>
    <xf numFmtId="169" fontId="18" fillId="10" borderId="7" xfId="0" applyNumberFormat="1" applyFont="1" applyFill="1" applyBorder="1" applyAlignment="1">
      <alignment horizontal="center" vertical="center" wrapText="1"/>
    </xf>
    <xf numFmtId="0" fontId="16" fillId="10" borderId="7" xfId="0" applyFont="1" applyFill="1" applyBorder="1" applyAlignment="1">
      <alignment horizontal="center" vertical="center" wrapText="1"/>
    </xf>
    <xf numFmtId="0" fontId="16" fillId="10" borderId="7" xfId="0" applyFont="1" applyFill="1" applyBorder="1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16" fillId="5" borderId="7" xfId="0" applyFont="1" applyFill="1" applyBorder="1" applyAlignment="1">
      <alignment horizontal="center" vertical="center"/>
    </xf>
    <xf numFmtId="0" fontId="15" fillId="0" borderId="7" xfId="0" applyFont="1" applyBorder="1" applyAlignment="1">
      <alignment vertical="center"/>
    </xf>
    <xf numFmtId="0" fontId="15" fillId="0" borderId="7" xfId="0" applyFont="1" applyBorder="1" applyAlignment="1">
      <alignment horizontal="center" vertical="center"/>
    </xf>
    <xf numFmtId="170" fontId="16" fillId="0" borderId="7" xfId="0" applyNumberFormat="1" applyFont="1" applyBorder="1" applyAlignment="1">
      <alignment horizontal="center" vertical="center"/>
    </xf>
    <xf numFmtId="170" fontId="17" fillId="10" borderId="7" xfId="0" applyNumberFormat="1" applyFont="1" applyFill="1" applyBorder="1" applyAlignment="1">
      <alignment horizontal="center" vertical="center" wrapText="1"/>
    </xf>
    <xf numFmtId="173" fontId="36" fillId="14" borderId="38" xfId="0" applyNumberFormat="1" applyFont="1" applyFill="1" applyBorder="1" applyAlignment="1">
      <alignment horizontal="center" vertical="center"/>
    </xf>
    <xf numFmtId="0" fontId="36" fillId="14" borderId="39" xfId="0" applyFont="1" applyFill="1" applyBorder="1" applyAlignment="1">
      <alignment horizontal="center"/>
    </xf>
    <xf numFmtId="0" fontId="36" fillId="14" borderId="40" xfId="0" applyFont="1" applyFill="1" applyBorder="1" applyAlignment="1">
      <alignment horizontal="center"/>
    </xf>
    <xf numFmtId="174" fontId="37" fillId="15" borderId="0" xfId="0" applyNumberFormat="1" applyFont="1" applyFill="1" applyAlignment="1">
      <alignment horizontal="center" shrinkToFit="1"/>
    </xf>
    <xf numFmtId="175" fontId="14" fillId="0" borderId="7" xfId="0" applyNumberFormat="1" applyFont="1" applyBorder="1" applyAlignment="1">
      <alignment horizontal="center"/>
    </xf>
    <xf numFmtId="168" fontId="17" fillId="0" borderId="7" xfId="0" applyNumberFormat="1" applyFont="1" applyBorder="1" applyAlignment="1">
      <alignment horizontal="center" vertical="center"/>
    </xf>
    <xf numFmtId="0" fontId="17" fillId="10" borderId="7" xfId="0" applyFont="1" applyFill="1" applyBorder="1" applyAlignment="1">
      <alignment horizontal="left" vertical="center"/>
    </xf>
    <xf numFmtId="0" fontId="14" fillId="10" borderId="7" xfId="0" applyFont="1" applyFill="1" applyBorder="1" applyAlignment="1">
      <alignment horizontal="center" vertical="center"/>
    </xf>
    <xf numFmtId="169" fontId="18" fillId="10" borderId="7" xfId="0" applyNumberFormat="1" applyFont="1" applyFill="1" applyBorder="1" applyAlignment="1">
      <alignment horizontal="center" vertical="center"/>
    </xf>
    <xf numFmtId="169" fontId="38" fillId="10" borderId="7" xfId="0" applyNumberFormat="1" applyFont="1" applyFill="1" applyBorder="1" applyAlignment="1">
      <alignment horizontal="center" vertical="center"/>
    </xf>
    <xf numFmtId="174" fontId="39" fillId="15" borderId="41" xfId="0" applyNumberFormat="1" applyFont="1" applyFill="1" applyBorder="1" applyAlignment="1">
      <alignment horizontal="center" shrinkToFit="1"/>
    </xf>
    <xf numFmtId="174" fontId="37" fillId="15" borderId="42" xfId="0" applyNumberFormat="1" applyFont="1" applyFill="1" applyBorder="1" applyAlignment="1">
      <alignment horizontal="center" shrinkToFit="1"/>
    </xf>
    <xf numFmtId="174" fontId="39" fillId="15" borderId="43" xfId="0" applyNumberFormat="1" applyFont="1" applyFill="1" applyBorder="1" applyAlignment="1">
      <alignment horizontal="center" shrinkToFit="1"/>
    </xf>
    <xf numFmtId="176" fontId="14" fillId="0" borderId="7" xfId="0" applyNumberFormat="1" applyFont="1" applyBorder="1" applyAlignment="1">
      <alignment horizontal="center"/>
    </xf>
    <xf numFmtId="0" fontId="14" fillId="10" borderId="7" xfId="0" applyFont="1" applyFill="1" applyBorder="1" applyAlignment="1">
      <alignment horizontal="left" vertical="center"/>
    </xf>
    <xf numFmtId="0" fontId="17" fillId="0" borderId="7" xfId="0" applyFont="1" applyBorder="1" applyAlignment="1">
      <alignment horizontal="center" vertical="center"/>
    </xf>
    <xf numFmtId="169" fontId="14" fillId="10" borderId="7" xfId="0" applyNumberFormat="1" applyFont="1" applyFill="1" applyBorder="1" applyAlignment="1">
      <alignment horizontal="center" vertical="center"/>
    </xf>
    <xf numFmtId="0" fontId="15" fillId="5" borderId="7" xfId="0" applyFont="1" applyFill="1" applyBorder="1" applyAlignment="1">
      <alignment vertical="center"/>
    </xf>
    <xf numFmtId="49" fontId="40" fillId="2" borderId="44" xfId="0" applyNumberFormat="1" applyFont="1" applyFill="1" applyBorder="1" applyAlignment="1">
      <alignment horizontal="left" vertical="center" wrapText="1"/>
    </xf>
    <xf numFmtId="49" fontId="40" fillId="2" borderId="45" xfId="0" applyNumberFormat="1" applyFont="1" applyFill="1" applyBorder="1" applyAlignment="1">
      <alignment horizontal="left" vertical="center" wrapText="1"/>
    </xf>
    <xf numFmtId="49" fontId="40" fillId="2" borderId="46" xfId="0" applyNumberFormat="1" applyFont="1" applyFill="1" applyBorder="1" applyAlignment="1">
      <alignment horizontal="left" vertical="center" wrapText="1"/>
    </xf>
    <xf numFmtId="177" fontId="41" fillId="9" borderId="47" xfId="0" applyNumberFormat="1" applyFont="1" applyFill="1" applyBorder="1" applyAlignment="1">
      <alignment horizontal="center" vertical="center" shrinkToFit="1"/>
    </xf>
    <xf numFmtId="177" fontId="36" fillId="7" borderId="48" xfId="0" applyNumberFormat="1" applyFont="1" applyFill="1" applyBorder="1" applyAlignment="1">
      <alignment horizontal="center" vertical="center" shrinkToFit="1"/>
    </xf>
    <xf numFmtId="177" fontId="36" fillId="9" borderId="49" xfId="0" applyNumberFormat="1" applyFont="1" applyFill="1" applyBorder="1" applyAlignment="1">
      <alignment horizontal="center" vertical="center" shrinkToFit="1"/>
    </xf>
    <xf numFmtId="0" fontId="14" fillId="0" borderId="7" xfId="0" applyFont="1" applyBorder="1"/>
    <xf numFmtId="0" fontId="17" fillId="0" borderId="7" xfId="0" applyFont="1" applyBorder="1" applyAlignment="1">
      <alignment horizontal="left" vertical="center"/>
    </xf>
    <xf numFmtId="169" fontId="17" fillId="0" borderId="7" xfId="0" applyNumberFormat="1" applyFont="1" applyBorder="1" applyAlignment="1">
      <alignment horizontal="center" vertical="center"/>
    </xf>
    <xf numFmtId="170" fontId="17" fillId="0" borderId="7" xfId="0" applyNumberFormat="1" applyFont="1" applyBorder="1" applyAlignment="1">
      <alignment horizontal="center" vertical="center" wrapText="1"/>
    </xf>
    <xf numFmtId="0" fontId="15" fillId="0" borderId="50" xfId="0" applyFont="1" applyBorder="1" applyAlignment="1">
      <alignment vertical="center"/>
    </xf>
    <xf numFmtId="1" fontId="17" fillId="0" borderId="50" xfId="0" applyNumberFormat="1" applyFont="1" applyBorder="1" applyAlignment="1">
      <alignment horizontal="center" vertical="center"/>
    </xf>
    <xf numFmtId="177" fontId="36" fillId="9" borderId="51" xfId="0" applyNumberFormat="1" applyFont="1" applyFill="1" applyBorder="1" applyAlignment="1">
      <alignment horizontal="center" vertical="center" shrinkToFit="1"/>
    </xf>
    <xf numFmtId="177" fontId="36" fillId="7" borderId="52" xfId="0" applyNumberFormat="1" applyFont="1" applyFill="1" applyBorder="1" applyAlignment="1">
      <alignment horizontal="center" vertical="center" shrinkToFit="1"/>
    </xf>
    <xf numFmtId="177" fontId="36" fillId="9" borderId="53" xfId="0" applyNumberFormat="1" applyFont="1" applyFill="1" applyBorder="1" applyAlignment="1">
      <alignment horizontal="center" vertical="center" shrinkToFit="1"/>
    </xf>
    <xf numFmtId="168" fontId="14" fillId="10" borderId="7" xfId="0" applyNumberFormat="1" applyFont="1" applyFill="1" applyBorder="1" applyAlignment="1">
      <alignment horizontal="center" vertical="center"/>
    </xf>
    <xf numFmtId="0" fontId="17" fillId="10" borderId="7" xfId="0" applyFont="1" applyFill="1" applyBorder="1" applyAlignment="1">
      <alignment horizontal="center" vertical="center"/>
    </xf>
    <xf numFmtId="169" fontId="18" fillId="0" borderId="7" xfId="0" applyNumberFormat="1" applyFont="1" applyBorder="1" applyAlignment="1">
      <alignment horizontal="center" vertical="center"/>
    </xf>
    <xf numFmtId="177" fontId="36" fillId="9" borderId="54" xfId="0" applyNumberFormat="1" applyFont="1" applyFill="1" applyBorder="1" applyAlignment="1">
      <alignment horizontal="center" vertical="center" shrinkToFit="1"/>
    </xf>
    <xf numFmtId="177" fontId="36" fillId="7" borderId="55" xfId="0" applyNumberFormat="1" applyFont="1" applyFill="1" applyBorder="1" applyAlignment="1">
      <alignment horizontal="center" vertical="center" shrinkToFit="1"/>
    </xf>
    <xf numFmtId="177" fontId="36" fillId="9" borderId="56" xfId="0" applyNumberFormat="1" applyFont="1" applyFill="1" applyBorder="1" applyAlignment="1">
      <alignment horizontal="center" vertical="center" shrinkToFit="1"/>
    </xf>
    <xf numFmtId="2" fontId="14" fillId="0" borderId="7" xfId="0" applyNumberFormat="1" applyFont="1" applyBorder="1"/>
    <xf numFmtId="169" fontId="17" fillId="10" borderId="7" xfId="0" applyNumberFormat="1" applyFont="1" applyFill="1" applyBorder="1" applyAlignment="1">
      <alignment horizontal="center" vertical="center"/>
    </xf>
    <xf numFmtId="174" fontId="37" fillId="15" borderId="7" xfId="0" applyNumberFormat="1" applyFont="1" applyFill="1" applyBorder="1" applyAlignment="1">
      <alignment horizontal="center" shrinkToFit="1"/>
    </xf>
    <xf numFmtId="1" fontId="36" fillId="7" borderId="7" xfId="0" applyNumberFormat="1" applyFont="1" applyFill="1" applyBorder="1" applyAlignment="1">
      <alignment horizontal="center"/>
    </xf>
    <xf numFmtId="2" fontId="14" fillId="0" borderId="7" xfId="0" applyNumberFormat="1" applyFont="1" applyBorder="1" applyAlignment="1">
      <alignment horizontal="center"/>
    </xf>
    <xf numFmtId="177" fontId="36" fillId="9" borderId="57" xfId="0" applyNumberFormat="1" applyFont="1" applyFill="1" applyBorder="1" applyAlignment="1">
      <alignment horizontal="center" vertical="center" shrinkToFit="1"/>
    </xf>
    <xf numFmtId="177" fontId="36" fillId="7" borderId="58" xfId="0" applyNumberFormat="1" applyFont="1" applyFill="1" applyBorder="1" applyAlignment="1">
      <alignment horizontal="center" vertical="center" shrinkToFit="1"/>
    </xf>
    <xf numFmtId="177" fontId="36" fillId="9" borderId="59" xfId="0" applyNumberFormat="1" applyFont="1" applyFill="1" applyBorder="1" applyAlignment="1">
      <alignment horizontal="center" vertical="center" shrinkToFit="1"/>
    </xf>
    <xf numFmtId="1" fontId="41" fillId="9" borderId="7" xfId="0" applyNumberFormat="1" applyFont="1" applyFill="1" applyBorder="1" applyAlignment="1">
      <alignment horizontal="center"/>
    </xf>
    <xf numFmtId="0" fontId="14" fillId="0" borderId="7" xfId="0" applyFont="1" applyBorder="1" applyAlignment="1">
      <alignment horizontal="center"/>
    </xf>
    <xf numFmtId="177" fontId="36" fillId="9" borderId="60" xfId="0" applyNumberFormat="1" applyFont="1" applyFill="1" applyBorder="1" applyAlignment="1">
      <alignment horizontal="center" vertical="center" shrinkToFit="1"/>
    </xf>
    <xf numFmtId="177" fontId="36" fillId="7" borderId="61" xfId="0" applyNumberFormat="1" applyFont="1" applyFill="1" applyBorder="1" applyAlignment="1">
      <alignment horizontal="center" vertical="center" shrinkToFit="1"/>
    </xf>
    <xf numFmtId="177" fontId="36" fillId="9" borderId="62" xfId="0" applyNumberFormat="1" applyFont="1" applyFill="1" applyBorder="1" applyAlignment="1">
      <alignment horizontal="center" vertical="center" shrinkToFit="1"/>
    </xf>
    <xf numFmtId="0" fontId="14" fillId="0" borderId="63" xfId="0" applyFont="1" applyBorder="1"/>
    <xf numFmtId="0" fontId="14" fillId="0" borderId="63" xfId="0" applyFont="1" applyBorder="1" applyAlignment="1">
      <alignment vertical="center"/>
    </xf>
    <xf numFmtId="170" fontId="15" fillId="0" borderId="63" xfId="0" applyNumberFormat="1" applyFont="1" applyBorder="1" applyAlignment="1">
      <alignment horizontal="center" vertical="center"/>
    </xf>
    <xf numFmtId="0" fontId="14" fillId="0" borderId="63" xfId="0" applyFont="1" applyBorder="1" applyAlignment="1">
      <alignment horizontal="center"/>
    </xf>
    <xf numFmtId="170" fontId="15" fillId="0" borderId="7" xfId="0" applyNumberFormat="1" applyFont="1" applyBorder="1" applyAlignment="1">
      <alignment horizontal="center" vertical="center"/>
    </xf>
    <xf numFmtId="0" fontId="18" fillId="0" borderId="0" xfId="0" applyFont="1"/>
    <xf numFmtId="177" fontId="36" fillId="9" borderId="64" xfId="0" applyNumberFormat="1" applyFont="1" applyFill="1" applyBorder="1" applyAlignment="1">
      <alignment horizontal="center" vertical="center" shrinkToFit="1"/>
    </xf>
    <xf numFmtId="168" fontId="17" fillId="10" borderId="7" xfId="0" applyNumberFormat="1" applyFont="1" applyFill="1" applyBorder="1" applyAlignment="1">
      <alignment horizontal="center" vertical="center"/>
    </xf>
    <xf numFmtId="177" fontId="41" fillId="9" borderId="58" xfId="0" applyNumberFormat="1" applyFont="1" applyFill="1" applyBorder="1" applyAlignment="1">
      <alignment horizontal="center" vertical="center" shrinkToFit="1"/>
    </xf>
    <xf numFmtId="0" fontId="18" fillId="10" borderId="7" xfId="0" applyFont="1" applyFill="1" applyBorder="1" applyAlignment="1">
      <alignment horizontal="center" vertical="center"/>
    </xf>
    <xf numFmtId="177" fontId="36" fillId="7" borderId="65" xfId="0" applyNumberFormat="1" applyFont="1" applyFill="1" applyBorder="1" applyAlignment="1">
      <alignment horizontal="center" vertical="center" shrinkToFit="1"/>
    </xf>
    <xf numFmtId="49" fontId="40" fillId="2" borderId="66" xfId="0" applyNumberFormat="1" applyFont="1" applyFill="1" applyBorder="1" applyAlignment="1">
      <alignment horizontal="left" vertical="center" wrapText="1"/>
    </xf>
    <xf numFmtId="49" fontId="40" fillId="2" borderId="67" xfId="0" applyNumberFormat="1" applyFont="1" applyFill="1" applyBorder="1" applyAlignment="1">
      <alignment horizontal="left" vertical="center" wrapText="1"/>
    </xf>
    <xf numFmtId="49" fontId="40" fillId="2" borderId="68" xfId="0" applyNumberFormat="1" applyFont="1" applyFill="1" applyBorder="1" applyAlignment="1">
      <alignment horizontal="left" vertical="center" wrapText="1"/>
    </xf>
    <xf numFmtId="169" fontId="16" fillId="10" borderId="7" xfId="0" applyNumberFormat="1" applyFont="1" applyFill="1" applyBorder="1" applyAlignment="1">
      <alignment horizontal="center" vertical="center"/>
    </xf>
    <xf numFmtId="177" fontId="36" fillId="7" borderId="47" xfId="0" applyNumberFormat="1" applyFont="1" applyFill="1" applyBorder="1" applyAlignment="1">
      <alignment horizontal="center" vertical="center" shrinkToFit="1"/>
    </xf>
    <xf numFmtId="177" fontId="41" fillId="9" borderId="48" xfId="0" applyNumberFormat="1" applyFont="1" applyFill="1" applyBorder="1" applyAlignment="1">
      <alignment horizontal="center" vertical="center" shrinkToFit="1"/>
    </xf>
    <xf numFmtId="168" fontId="18" fillId="0" borderId="7" xfId="0" applyNumberFormat="1" applyFont="1" applyBorder="1" applyAlignment="1">
      <alignment horizontal="center" vertical="center"/>
    </xf>
    <xf numFmtId="0" fontId="18" fillId="10" borderId="7" xfId="0" applyFont="1" applyFill="1" applyBorder="1" applyAlignment="1">
      <alignment horizontal="left" vertical="center"/>
    </xf>
    <xf numFmtId="0" fontId="18" fillId="0" borderId="7" xfId="0" applyFont="1" applyBorder="1" applyAlignment="1">
      <alignment horizontal="left" vertical="center"/>
    </xf>
    <xf numFmtId="170" fontId="18" fillId="6" borderId="7" xfId="0" applyNumberFormat="1" applyFont="1" applyFill="1" applyBorder="1" applyAlignment="1">
      <alignment horizontal="center" vertical="center"/>
    </xf>
    <xf numFmtId="0" fontId="18" fillId="7" borderId="7" xfId="0" applyFont="1" applyFill="1" applyBorder="1" applyAlignment="1">
      <alignment horizontal="center" vertical="center"/>
    </xf>
    <xf numFmtId="170" fontId="18" fillId="7" borderId="7" xfId="0" applyNumberFormat="1" applyFont="1" applyFill="1" applyBorder="1" applyAlignment="1">
      <alignment horizontal="center" vertical="center"/>
    </xf>
    <xf numFmtId="169" fontId="18" fillId="8" borderId="7" xfId="0" applyNumberFormat="1" applyFont="1" applyFill="1" applyBorder="1" applyAlignment="1">
      <alignment horizontal="center" vertical="center"/>
    </xf>
    <xf numFmtId="177" fontId="41" fillId="0" borderId="47" xfId="0" applyNumberFormat="1" applyFont="1" applyBorder="1" applyAlignment="1">
      <alignment horizontal="center" vertical="center" shrinkToFit="1"/>
    </xf>
    <xf numFmtId="177" fontId="36" fillId="0" borderId="49" xfId="0" applyNumberFormat="1" applyFont="1" applyBorder="1" applyAlignment="1">
      <alignment horizontal="center" vertical="center" shrinkToFit="1"/>
    </xf>
    <xf numFmtId="177" fontId="36" fillId="0" borderId="51" xfId="0" applyNumberFormat="1" applyFont="1" applyBorder="1" applyAlignment="1">
      <alignment horizontal="center" vertical="center" shrinkToFit="1"/>
    </xf>
    <xf numFmtId="177" fontId="36" fillId="0" borderId="52" xfId="0" applyNumberFormat="1" applyFont="1" applyBorder="1" applyAlignment="1">
      <alignment horizontal="center" vertical="center" shrinkToFit="1"/>
    </xf>
    <xf numFmtId="177" fontId="36" fillId="0" borderId="53" xfId="0" applyNumberFormat="1" applyFont="1" applyBorder="1" applyAlignment="1">
      <alignment horizontal="center" vertical="center" shrinkToFit="1"/>
    </xf>
    <xf numFmtId="177" fontId="36" fillId="0" borderId="54" xfId="0" applyNumberFormat="1" applyFont="1" applyBorder="1" applyAlignment="1">
      <alignment horizontal="center" vertical="center" shrinkToFit="1"/>
    </xf>
    <xf numFmtId="177" fontId="36" fillId="0" borderId="55" xfId="0" applyNumberFormat="1" applyFont="1" applyBorder="1" applyAlignment="1">
      <alignment horizontal="center" vertical="center" shrinkToFit="1"/>
    </xf>
    <xf numFmtId="177" fontId="36" fillId="0" borderId="56" xfId="0" applyNumberFormat="1" applyFont="1" applyBorder="1" applyAlignment="1">
      <alignment horizontal="center" vertical="center" shrinkToFit="1"/>
    </xf>
    <xf numFmtId="177" fontId="36" fillId="0" borderId="57" xfId="0" applyNumberFormat="1" applyFont="1" applyBorder="1" applyAlignment="1">
      <alignment horizontal="center" vertical="center" shrinkToFit="1"/>
    </xf>
    <xf numFmtId="177" fontId="36" fillId="0" borderId="58" xfId="0" applyNumberFormat="1" applyFont="1" applyBorder="1" applyAlignment="1">
      <alignment horizontal="center" vertical="center" shrinkToFit="1"/>
    </xf>
    <xf numFmtId="177" fontId="36" fillId="0" borderId="59" xfId="0" applyNumberFormat="1" applyFont="1" applyBorder="1" applyAlignment="1">
      <alignment horizontal="center" vertical="center" shrinkToFit="1"/>
    </xf>
    <xf numFmtId="177" fontId="36" fillId="0" borderId="69" xfId="0" applyNumberFormat="1" applyFont="1" applyBorder="1" applyAlignment="1">
      <alignment horizontal="center" vertical="center" shrinkToFit="1"/>
    </xf>
    <xf numFmtId="49" fontId="40" fillId="2" borderId="70" xfId="0" applyNumberFormat="1" applyFont="1" applyFill="1" applyBorder="1" applyAlignment="1">
      <alignment horizontal="left" vertical="center" wrapText="1"/>
    </xf>
    <xf numFmtId="177" fontId="36" fillId="0" borderId="47" xfId="0" applyNumberFormat="1" applyFont="1" applyBorder="1" applyAlignment="1">
      <alignment horizontal="center" vertical="center" shrinkToFit="1"/>
    </xf>
    <xf numFmtId="177" fontId="36" fillId="0" borderId="48" xfId="0" applyNumberFormat="1" applyFont="1" applyBorder="1" applyAlignment="1">
      <alignment horizontal="center" vertical="center" shrinkToFit="1"/>
    </xf>
    <xf numFmtId="177" fontId="41" fillId="0" borderId="48" xfId="0" applyNumberFormat="1" applyFont="1" applyBorder="1" applyAlignment="1">
      <alignment horizontal="center" vertical="center" shrinkToFit="1"/>
    </xf>
    <xf numFmtId="177" fontId="36" fillId="0" borderId="60" xfId="0" applyNumberFormat="1" applyFont="1" applyBorder="1" applyAlignment="1">
      <alignment horizontal="center" vertical="center" shrinkToFit="1"/>
    </xf>
    <xf numFmtId="177" fontId="36" fillId="0" borderId="61" xfId="0" applyNumberFormat="1" applyFont="1" applyBorder="1" applyAlignment="1">
      <alignment horizontal="center" vertical="center" shrinkToFit="1"/>
    </xf>
    <xf numFmtId="177" fontId="36" fillId="0" borderId="65" xfId="0" applyNumberFormat="1" applyFont="1" applyBorder="1" applyAlignment="1">
      <alignment horizontal="center" vertical="center" shrinkToFit="1"/>
    </xf>
    <xf numFmtId="49" fontId="40" fillId="2" borderId="71" xfId="0" applyNumberFormat="1" applyFont="1" applyFill="1" applyBorder="1" applyAlignment="1">
      <alignment horizontal="left" vertical="center" wrapText="1"/>
    </xf>
    <xf numFmtId="177" fontId="36" fillId="0" borderId="72" xfId="0" applyNumberFormat="1" applyFont="1" applyBorder="1" applyAlignment="1">
      <alignment horizontal="center" vertical="center" shrinkToFit="1"/>
    </xf>
    <xf numFmtId="177" fontId="41" fillId="0" borderId="52" xfId="0" applyNumberFormat="1" applyFont="1" applyBorder="1" applyAlignment="1">
      <alignment horizontal="center" vertical="center" shrinkToFit="1"/>
    </xf>
    <xf numFmtId="177" fontId="41" fillId="0" borderId="55" xfId="0" applyNumberFormat="1" applyFont="1" applyBorder="1" applyAlignment="1">
      <alignment horizontal="center" vertical="center" shrinkToFit="1"/>
    </xf>
    <xf numFmtId="177" fontId="41" fillId="0" borderId="61" xfId="0" applyNumberFormat="1" applyFont="1" applyBorder="1" applyAlignment="1">
      <alignment horizontal="center" vertical="center" shrinkToFit="1"/>
    </xf>
    <xf numFmtId="177" fontId="36" fillId="0" borderId="62" xfId="0" applyNumberFormat="1" applyFont="1" applyBorder="1" applyAlignment="1">
      <alignment horizontal="center" vertical="center" shrinkToFit="1"/>
    </xf>
    <xf numFmtId="177" fontId="36" fillId="0" borderId="64" xfId="0" applyNumberFormat="1" applyFont="1" applyBorder="1" applyAlignment="1">
      <alignment horizontal="center" vertical="center" shrinkToFit="1"/>
    </xf>
    <xf numFmtId="177" fontId="41" fillId="0" borderId="54" xfId="0" applyNumberFormat="1" applyFont="1" applyBorder="1" applyAlignment="1">
      <alignment horizontal="center" vertical="center" shrinkToFit="1"/>
    </xf>
    <xf numFmtId="177" fontId="41" fillId="0" borderId="58" xfId="0" applyNumberFormat="1" applyFont="1" applyBorder="1" applyAlignment="1">
      <alignment horizontal="center" vertical="center" shrinkToFit="1"/>
    </xf>
    <xf numFmtId="0" fontId="17" fillId="10" borderId="0" xfId="0" applyFont="1" applyFill="1"/>
    <xf numFmtId="178" fontId="17" fillId="10" borderId="0" xfId="0" applyNumberFormat="1" applyFont="1" applyFill="1"/>
    <xf numFmtId="9" fontId="17" fillId="10" borderId="0" xfId="0" applyNumberFormat="1" applyFont="1" applyFill="1"/>
    <xf numFmtId="0" fontId="16" fillId="10" borderId="0" xfId="0" applyFont="1" applyFill="1"/>
    <xf numFmtId="0" fontId="16" fillId="10" borderId="0" xfId="0" applyFont="1" applyFill="1" applyAlignment="1">
      <alignment horizontal="center" vertical="center"/>
    </xf>
    <xf numFmtId="179" fontId="42" fillId="16" borderId="19" xfId="0" applyNumberFormat="1" applyFont="1" applyFill="1" applyBorder="1" applyAlignment="1">
      <alignment horizontal="center" vertical="center"/>
    </xf>
    <xf numFmtId="172" fontId="42" fillId="16" borderId="32" xfId="0" applyNumberFormat="1" applyFont="1" applyFill="1" applyBorder="1" applyAlignment="1">
      <alignment horizontal="left" vertical="center"/>
    </xf>
    <xf numFmtId="9" fontId="37" fillId="17" borderId="7" xfId="0" applyNumberFormat="1" applyFont="1" applyFill="1" applyBorder="1" applyAlignment="1">
      <alignment horizontal="center" vertical="center"/>
    </xf>
    <xf numFmtId="0" fontId="37" fillId="10" borderId="0" xfId="0" applyFont="1" applyFill="1"/>
    <xf numFmtId="0" fontId="17" fillId="10" borderId="7" xfId="0" applyFont="1" applyFill="1" applyBorder="1"/>
    <xf numFmtId="180" fontId="17" fillId="10" borderId="7" xfId="0" applyNumberFormat="1" applyFont="1" applyFill="1" applyBorder="1" applyAlignment="1">
      <alignment vertical="center"/>
    </xf>
    <xf numFmtId="180" fontId="42" fillId="7" borderId="7" xfId="0" applyNumberFormat="1" applyFont="1" applyFill="1" applyBorder="1" applyAlignment="1">
      <alignment vertical="center"/>
    </xf>
    <xf numFmtId="180" fontId="17" fillId="10" borderId="7" xfId="0" applyNumberFormat="1" applyFont="1" applyFill="1" applyBorder="1" applyAlignment="1">
      <alignment horizontal="center" vertical="center"/>
    </xf>
    <xf numFmtId="180" fontId="42" fillId="10" borderId="7" xfId="0" applyNumberFormat="1" applyFont="1" applyFill="1" applyBorder="1"/>
    <xf numFmtId="10" fontId="42" fillId="10" borderId="7" xfId="0" applyNumberFormat="1" applyFont="1" applyFill="1" applyBorder="1" applyAlignment="1">
      <alignment horizontal="center" vertical="center"/>
    </xf>
    <xf numFmtId="0" fontId="43" fillId="10" borderId="7" xfId="0" applyFont="1" applyFill="1" applyBorder="1" applyAlignment="1">
      <alignment horizontal="center"/>
    </xf>
    <xf numFmtId="4" fontId="43" fillId="10" borderId="7" xfId="0" applyNumberFormat="1" applyFont="1" applyFill="1" applyBorder="1" applyAlignment="1">
      <alignment horizontal="right" vertical="center"/>
    </xf>
    <xf numFmtId="10" fontId="43" fillId="10" borderId="7" xfId="0" applyNumberFormat="1" applyFont="1" applyFill="1" applyBorder="1" applyAlignment="1">
      <alignment horizontal="right" vertical="center"/>
    </xf>
    <xf numFmtId="0" fontId="44" fillId="10" borderId="0" xfId="0" applyFont="1" applyFill="1"/>
    <xf numFmtId="167" fontId="17" fillId="10" borderId="7" xfId="0" applyNumberFormat="1" applyFont="1" applyFill="1" applyBorder="1"/>
    <xf numFmtId="0" fontId="16" fillId="10" borderId="7" xfId="0" applyFont="1" applyFill="1" applyBorder="1"/>
    <xf numFmtId="167" fontId="16" fillId="10" borderId="7" xfId="0" applyNumberFormat="1" applyFont="1" applyFill="1" applyBorder="1"/>
    <xf numFmtId="10" fontId="43" fillId="10" borderId="7" xfId="0" applyNumberFormat="1" applyFont="1" applyFill="1" applyBorder="1" applyAlignment="1">
      <alignment horizontal="center" vertical="center"/>
    </xf>
    <xf numFmtId="167" fontId="17" fillId="10" borderId="0" xfId="0" applyNumberFormat="1" applyFont="1" applyFill="1"/>
    <xf numFmtId="4" fontId="14" fillId="7" borderId="7" xfId="0" applyNumberFormat="1" applyFont="1" applyFill="1" applyBorder="1" applyAlignment="1">
      <alignment vertical="center"/>
    </xf>
    <xf numFmtId="167" fontId="14" fillId="0" borderId="7" xfId="0" applyNumberFormat="1" applyFont="1" applyBorder="1" applyAlignment="1">
      <alignment vertical="center"/>
    </xf>
    <xf numFmtId="4" fontId="14" fillId="0" borderId="7" xfId="0" applyNumberFormat="1" applyFont="1" applyBorder="1" applyAlignment="1">
      <alignment vertical="center"/>
    </xf>
    <xf numFmtId="4" fontId="15" fillId="0" borderId="7" xfId="0" applyNumberFormat="1" applyFont="1" applyBorder="1" applyAlignment="1">
      <alignment vertical="center"/>
    </xf>
    <xf numFmtId="0" fontId="18" fillId="10" borderId="7" xfId="0" applyFont="1" applyFill="1" applyBorder="1"/>
    <xf numFmtId="0" fontId="17" fillId="10" borderId="0" xfId="0" applyFont="1" applyFill="1" applyAlignment="1">
      <alignment vertical="center"/>
    </xf>
    <xf numFmtId="178" fontId="17" fillId="10" borderId="0" xfId="0" applyNumberFormat="1" applyFont="1" applyFill="1" applyAlignment="1">
      <alignment vertical="center"/>
    </xf>
    <xf numFmtId="0" fontId="16" fillId="10" borderId="0" xfId="0" applyFont="1" applyFill="1" applyAlignment="1">
      <alignment vertical="center"/>
    </xf>
    <xf numFmtId="0" fontId="37" fillId="17" borderId="19" xfId="0" applyFont="1" applyFill="1" applyBorder="1" applyAlignment="1">
      <alignment horizontal="center" vertical="center"/>
    </xf>
    <xf numFmtId="0" fontId="45" fillId="18" borderId="2" xfId="0" applyFont="1" applyFill="1" applyBorder="1" applyAlignment="1">
      <alignment horizontal="center" vertical="center"/>
    </xf>
    <xf numFmtId="0" fontId="45" fillId="18" borderId="3" xfId="0" applyFont="1" applyFill="1" applyBorder="1" applyAlignment="1">
      <alignment horizontal="center" vertical="center"/>
    </xf>
    <xf numFmtId="0" fontId="15" fillId="18" borderId="4" xfId="0" applyFont="1" applyFill="1" applyBorder="1" applyAlignment="1">
      <alignment horizontal="center" vertical="center"/>
    </xf>
    <xf numFmtId="178" fontId="37" fillId="19" borderId="2" xfId="0" applyNumberFormat="1" applyFont="1" applyFill="1" applyBorder="1" applyAlignment="1">
      <alignment horizontal="center" vertical="center"/>
    </xf>
    <xf numFmtId="178" fontId="37" fillId="19" borderId="3" xfId="0" applyNumberFormat="1" applyFont="1" applyFill="1" applyBorder="1" applyAlignment="1">
      <alignment horizontal="center" vertical="center"/>
    </xf>
    <xf numFmtId="0" fontId="37" fillId="19" borderId="3" xfId="0" applyFont="1" applyFill="1" applyBorder="1" applyAlignment="1">
      <alignment horizontal="center" vertical="center"/>
    </xf>
    <xf numFmtId="0" fontId="15" fillId="19" borderId="4" xfId="0" applyFont="1" applyFill="1" applyBorder="1" applyAlignment="1">
      <alignment horizontal="center" vertical="center"/>
    </xf>
    <xf numFmtId="0" fontId="37" fillId="12" borderId="2" xfId="0" applyFont="1" applyFill="1" applyBorder="1" applyAlignment="1">
      <alignment horizontal="center" vertical="center"/>
    </xf>
    <xf numFmtId="0" fontId="37" fillId="12" borderId="3" xfId="0" applyFont="1" applyFill="1" applyBorder="1" applyAlignment="1">
      <alignment horizontal="center" vertical="center"/>
    </xf>
    <xf numFmtId="0" fontId="15" fillId="12" borderId="4" xfId="0" applyFont="1" applyFill="1" applyBorder="1" applyAlignment="1">
      <alignment horizontal="center" vertical="center"/>
    </xf>
    <xf numFmtId="0" fontId="45" fillId="11" borderId="1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181" fontId="16" fillId="2" borderId="4" xfId="0" applyNumberFormat="1" applyFont="1" applyFill="1" applyBorder="1" applyAlignment="1">
      <alignment horizontal="center" vertical="center"/>
    </xf>
    <xf numFmtId="0" fontId="18" fillId="0" borderId="19" xfId="0" applyFont="1" applyBorder="1" applyAlignment="1">
      <alignment vertical="center"/>
    </xf>
    <xf numFmtId="167" fontId="18" fillId="7" borderId="6" xfId="0" applyNumberFormat="1" applyFont="1" applyFill="1" applyBorder="1" applyAlignment="1">
      <alignment vertical="center"/>
    </xf>
    <xf numFmtId="167" fontId="17" fillId="0" borderId="7" xfId="0" applyNumberFormat="1" applyFont="1" applyBorder="1" applyAlignment="1">
      <alignment vertical="center"/>
    </xf>
    <xf numFmtId="167" fontId="17" fillId="7" borderId="7" xfId="0" applyNumberFormat="1" applyFont="1" applyFill="1" applyBorder="1" applyAlignment="1">
      <alignment vertical="center"/>
    </xf>
    <xf numFmtId="167" fontId="16" fillId="0" borderId="8" xfId="0" applyNumberFormat="1" applyFont="1" applyBorder="1" applyAlignment="1">
      <alignment vertical="center"/>
    </xf>
    <xf numFmtId="167" fontId="17" fillId="0" borderId="6" xfId="0" applyNumberFormat="1" applyFont="1" applyBorder="1" applyAlignment="1">
      <alignment horizontal="center" vertical="center"/>
    </xf>
    <xf numFmtId="167" fontId="17" fillId="0" borderId="7" xfId="0" applyNumberFormat="1" applyFont="1" applyBorder="1" applyAlignment="1">
      <alignment horizontal="center" vertical="center"/>
    </xf>
    <xf numFmtId="167" fontId="16" fillId="0" borderId="8" xfId="0" applyNumberFormat="1" applyFont="1" applyBorder="1" applyAlignment="1">
      <alignment horizontal="center" vertical="center"/>
    </xf>
    <xf numFmtId="167" fontId="16" fillId="0" borderId="6" xfId="0" applyNumberFormat="1" applyFont="1" applyBorder="1" applyAlignment="1">
      <alignment vertical="center"/>
    </xf>
    <xf numFmtId="167" fontId="16" fillId="0" borderId="7" xfId="0" applyNumberFormat="1" applyFont="1" applyBorder="1" applyAlignment="1">
      <alignment vertical="center"/>
    </xf>
    <xf numFmtId="167" fontId="17" fillId="10" borderId="7" xfId="0" applyNumberFormat="1" applyFont="1" applyFill="1" applyBorder="1" applyAlignment="1">
      <alignment vertical="center"/>
    </xf>
    <xf numFmtId="167" fontId="16" fillId="10" borderId="8" xfId="0" applyNumberFormat="1" applyFont="1" applyFill="1" applyBorder="1" applyAlignment="1">
      <alignment vertical="center"/>
    </xf>
    <xf numFmtId="167" fontId="16" fillId="10" borderId="5" xfId="0" applyNumberFormat="1" applyFont="1" applyFill="1" applyBorder="1" applyAlignment="1">
      <alignment vertical="center"/>
    </xf>
    <xf numFmtId="0" fontId="15" fillId="9" borderId="6" xfId="0" applyFont="1" applyFill="1" applyBorder="1" applyAlignment="1">
      <alignment horizontal="center" vertical="center"/>
    </xf>
    <xf numFmtId="167" fontId="17" fillId="10" borderId="8" xfId="0" applyNumberFormat="1" applyFont="1" applyFill="1" applyBorder="1" applyAlignment="1">
      <alignment vertical="center"/>
    </xf>
    <xf numFmtId="0" fontId="14" fillId="0" borderId="19" xfId="0" applyFont="1" applyBorder="1" applyAlignment="1">
      <alignment vertical="center"/>
    </xf>
    <xf numFmtId="167" fontId="14" fillId="7" borderId="6" xfId="0" applyNumberFormat="1" applyFont="1" applyFill="1" applyBorder="1" applyAlignment="1">
      <alignment vertical="center"/>
    </xf>
    <xf numFmtId="0" fontId="16" fillId="9" borderId="6" xfId="0" applyFont="1" applyFill="1" applyBorder="1" applyAlignment="1">
      <alignment horizontal="center" vertical="center"/>
    </xf>
    <xf numFmtId="180" fontId="14" fillId="0" borderId="6" xfId="0" applyNumberFormat="1" applyFont="1" applyBorder="1" applyAlignment="1">
      <alignment vertical="center"/>
    </xf>
    <xf numFmtId="180" fontId="14" fillId="7" borderId="7" xfId="0" applyNumberFormat="1" applyFont="1" applyFill="1" applyBorder="1" applyAlignment="1">
      <alignment vertical="center"/>
    </xf>
    <xf numFmtId="180" fontId="17" fillId="7" borderId="7" xfId="0" applyNumberFormat="1" applyFont="1" applyFill="1" applyBorder="1" applyAlignment="1">
      <alignment vertical="center"/>
    </xf>
    <xf numFmtId="0" fontId="17" fillId="7" borderId="7" xfId="0" applyFont="1" applyFill="1" applyBorder="1" applyAlignment="1">
      <alignment vertical="center"/>
    </xf>
    <xf numFmtId="0" fontId="17" fillId="7" borderId="6" xfId="0" applyFont="1" applyFill="1" applyBorder="1" applyAlignment="1">
      <alignment vertical="center"/>
    </xf>
    <xf numFmtId="0" fontId="17" fillId="0" borderId="7" xfId="0" applyFont="1" applyBorder="1" applyAlignment="1">
      <alignment vertical="center"/>
    </xf>
    <xf numFmtId="0" fontId="17" fillId="0" borderId="6" xfId="0" applyFont="1" applyBorder="1" applyAlignment="1">
      <alignment vertical="center"/>
    </xf>
    <xf numFmtId="0" fontId="44" fillId="10" borderId="7" xfId="0" applyFont="1" applyFill="1" applyBorder="1" applyAlignment="1">
      <alignment vertical="center"/>
    </xf>
    <xf numFmtId="0" fontId="43" fillId="10" borderId="8" xfId="0" applyFont="1" applyFill="1" applyBorder="1" applyAlignment="1">
      <alignment vertical="center"/>
    </xf>
    <xf numFmtId="178" fontId="17" fillId="0" borderId="6" xfId="0" applyNumberFormat="1" applyFont="1" applyBorder="1" applyAlignment="1">
      <alignment vertical="center"/>
    </xf>
    <xf numFmtId="178" fontId="17" fillId="0" borderId="7" xfId="0" applyNumberFormat="1" applyFont="1" applyBorder="1" applyAlignment="1">
      <alignment vertical="center"/>
    </xf>
    <xf numFmtId="0" fontId="17" fillId="10" borderId="7" xfId="0" applyFont="1" applyFill="1" applyBorder="1" applyAlignment="1">
      <alignment vertical="center"/>
    </xf>
    <xf numFmtId="0" fontId="16" fillId="10" borderId="8" xfId="0" applyFont="1" applyFill="1" applyBorder="1" applyAlignment="1">
      <alignment vertical="center"/>
    </xf>
    <xf numFmtId="0" fontId="16" fillId="9" borderId="10" xfId="0" applyFont="1" applyFill="1" applyBorder="1" applyAlignment="1">
      <alignment horizontal="center" vertical="center"/>
    </xf>
    <xf numFmtId="167" fontId="16" fillId="10" borderId="12" xfId="0" applyNumberFormat="1" applyFont="1" applyFill="1" applyBorder="1" applyAlignment="1">
      <alignment vertical="center"/>
    </xf>
    <xf numFmtId="167" fontId="16" fillId="10" borderId="73" xfId="0" applyNumberFormat="1" applyFont="1" applyFill="1" applyBorder="1" applyAlignment="1">
      <alignment vertical="center"/>
    </xf>
    <xf numFmtId="167" fontId="16" fillId="10" borderId="74" xfId="0" applyNumberFormat="1" applyFont="1" applyFill="1" applyBorder="1" applyAlignment="1">
      <alignment vertical="center"/>
    </xf>
    <xf numFmtId="167" fontId="16" fillId="10" borderId="75" xfId="0" applyNumberFormat="1" applyFont="1" applyFill="1" applyBorder="1" applyAlignment="1">
      <alignment vertical="center"/>
    </xf>
    <xf numFmtId="167" fontId="16" fillId="10" borderId="9" xfId="0" applyNumberFormat="1" applyFont="1" applyFill="1" applyBorder="1" applyAlignment="1">
      <alignment vertical="center"/>
    </xf>
    <xf numFmtId="0" fontId="17" fillId="0" borderId="19" xfId="0" applyFont="1" applyBorder="1" applyAlignment="1">
      <alignment vertical="center"/>
    </xf>
    <xf numFmtId="167" fontId="17" fillId="7" borderId="6" xfId="0" applyNumberFormat="1" applyFont="1" applyFill="1" applyBorder="1" applyAlignment="1">
      <alignment vertical="center"/>
    </xf>
    <xf numFmtId="0" fontId="37" fillId="10" borderId="0" xfId="0" applyFont="1" applyFill="1" applyAlignment="1">
      <alignment horizontal="center" vertical="center"/>
    </xf>
    <xf numFmtId="0" fontId="44" fillId="10" borderId="0" xfId="0" applyFont="1" applyFill="1" applyAlignment="1">
      <alignment vertical="center"/>
    </xf>
    <xf numFmtId="180" fontId="14" fillId="7" borderId="6" xfId="0" applyNumberFormat="1" applyFont="1" applyFill="1" applyBorder="1" applyAlignment="1">
      <alignment vertical="center"/>
    </xf>
    <xf numFmtId="0" fontId="20" fillId="11" borderId="7" xfId="0" applyFont="1" applyFill="1" applyBorder="1" applyAlignment="1">
      <alignment horizontal="center"/>
    </xf>
    <xf numFmtId="167" fontId="20" fillId="11" borderId="7" xfId="0" applyNumberFormat="1" applyFont="1" applyFill="1" applyBorder="1" applyAlignment="1">
      <alignment horizontal="center"/>
    </xf>
    <xf numFmtId="182" fontId="19" fillId="7" borderId="7" xfId="0" applyNumberFormat="1" applyFont="1" applyFill="1" applyBorder="1"/>
    <xf numFmtId="166" fontId="21" fillId="2" borderId="7" xfId="0" applyNumberFormat="1" applyFont="1" applyFill="1" applyBorder="1" applyAlignment="1">
      <alignment horizontal="center"/>
    </xf>
    <xf numFmtId="0" fontId="46" fillId="0" borderId="0" xfId="0" applyFont="1" applyAlignment="1">
      <alignment horizontal="right" vertical="center" textRotation="90" wrapText="1"/>
    </xf>
    <xf numFmtId="0" fontId="19" fillId="0" borderId="50" xfId="0" applyFont="1" applyBorder="1"/>
    <xf numFmtId="0" fontId="47" fillId="0" borderId="0" xfId="0" applyFont="1" applyAlignment="1">
      <alignment horizontal="right" vertical="center" textRotation="90" wrapText="1"/>
    </xf>
    <xf numFmtId="176" fontId="19" fillId="0" borderId="7" xfId="0" applyNumberFormat="1" applyFont="1" applyBorder="1" applyAlignment="1">
      <alignment horizontal="center"/>
    </xf>
    <xf numFmtId="171" fontId="21" fillId="7" borderId="7" xfId="0" applyNumberFormat="1" applyFont="1" applyFill="1" applyBorder="1" applyAlignment="1">
      <alignment horizontal="center"/>
    </xf>
    <xf numFmtId="3" fontId="23" fillId="7" borderId="7" xfId="0" applyNumberFormat="1" applyFont="1" applyFill="1" applyBorder="1" applyAlignment="1">
      <alignment horizontal="right"/>
    </xf>
    <xf numFmtId="166" fontId="23" fillId="7" borderId="7" xfId="0" applyNumberFormat="1" applyFont="1" applyFill="1" applyBorder="1"/>
    <xf numFmtId="176" fontId="19" fillId="7" borderId="7" xfId="0" applyNumberFormat="1" applyFont="1" applyFill="1" applyBorder="1" applyAlignment="1">
      <alignment horizontal="center"/>
    </xf>
    <xf numFmtId="0" fontId="24" fillId="0" borderId="7" xfId="0" applyFont="1" applyBorder="1" applyAlignment="1">
      <alignment horizontal="right" vertical="center"/>
    </xf>
    <xf numFmtId="10" fontId="24" fillId="0" borderId="7" xfId="0" applyNumberFormat="1" applyFont="1" applyBorder="1" applyAlignment="1">
      <alignment horizontal="center" vertical="center"/>
    </xf>
    <xf numFmtId="0" fontId="9" fillId="13" borderId="7" xfId="0" applyFont="1" applyFill="1" applyBorder="1" applyAlignment="1">
      <alignment horizontal="center" vertical="center"/>
    </xf>
    <xf numFmtId="170" fontId="26" fillId="0" borderId="7" xfId="0" applyNumberFormat="1" applyFont="1" applyBorder="1" applyAlignment="1">
      <alignment horizontal="center" vertical="center"/>
    </xf>
    <xf numFmtId="183" fontId="26" fillId="0" borderId="7" xfId="0" applyNumberFormat="1" applyFont="1" applyBorder="1" applyAlignment="1">
      <alignment horizontal="center" vertical="center"/>
    </xf>
    <xf numFmtId="182" fontId="26" fillId="0" borderId="7" xfId="0" applyNumberFormat="1" applyFont="1" applyBorder="1" applyAlignment="1">
      <alignment horizontal="center" vertical="center"/>
    </xf>
    <xf numFmtId="0" fontId="9" fillId="13" borderId="6" xfId="0" applyFont="1" applyFill="1" applyBorder="1" applyAlignment="1">
      <alignment horizontal="center" vertical="center"/>
    </xf>
    <xf numFmtId="0" fontId="9" fillId="13" borderId="8" xfId="0" applyFont="1" applyFill="1" applyBorder="1" applyAlignment="1">
      <alignment horizontal="center" vertical="center"/>
    </xf>
    <xf numFmtId="0" fontId="21" fillId="5" borderId="7" xfId="0" applyFont="1" applyFill="1" applyBorder="1" applyAlignment="1">
      <alignment horizontal="center" vertical="center"/>
    </xf>
    <xf numFmtId="184" fontId="23" fillId="0" borderId="7" xfId="0" applyNumberFormat="1" applyFont="1" applyBorder="1" applyAlignment="1">
      <alignment horizontal="center" vertical="center"/>
    </xf>
    <xf numFmtId="185" fontId="23" fillId="0" borderId="7" xfId="0" applyNumberFormat="1" applyFont="1" applyBorder="1"/>
    <xf numFmtId="0" fontId="23" fillId="10" borderId="7" xfId="0" applyFont="1" applyFill="1" applyBorder="1" applyAlignment="1">
      <alignment horizontal="left" vertical="center"/>
    </xf>
    <xf numFmtId="169" fontId="23" fillId="10" borderId="7" xfId="0" applyNumberFormat="1" applyFont="1" applyFill="1" applyBorder="1" applyAlignment="1">
      <alignment horizontal="left" vertical="center"/>
    </xf>
    <xf numFmtId="0" fontId="23" fillId="0" borderId="7" xfId="0" applyFont="1" applyBorder="1"/>
    <xf numFmtId="0" fontId="19" fillId="0" borderId="7" xfId="0" applyFont="1" applyBorder="1"/>
    <xf numFmtId="184" fontId="19" fillId="0" borderId="7" xfId="0" applyNumberFormat="1" applyFont="1" applyBorder="1" applyAlignment="1">
      <alignment horizontal="center"/>
    </xf>
    <xf numFmtId="185" fontId="19" fillId="0" borderId="7" xfId="0" applyNumberFormat="1" applyFont="1" applyBorder="1"/>
    <xf numFmtId="0" fontId="19" fillId="0" borderId="7" xfId="0" applyFont="1" applyBorder="1" applyAlignment="1">
      <alignment horizontal="left"/>
    </xf>
    <xf numFmtId="184" fontId="48" fillId="0" borderId="7" xfId="0" applyNumberFormat="1" applyFont="1" applyBorder="1" applyAlignment="1">
      <alignment horizontal="center" vertical="center"/>
    </xf>
    <xf numFmtId="185" fontId="48" fillId="0" borderId="7" xfId="0" applyNumberFormat="1" applyFont="1" applyBorder="1"/>
    <xf numFmtId="0" fontId="48" fillId="10" borderId="7" xfId="0" applyFont="1" applyFill="1" applyBorder="1" applyAlignment="1">
      <alignment horizontal="left" vertical="center"/>
    </xf>
    <xf numFmtId="169" fontId="48" fillId="10" borderId="7" xfId="0" applyNumberFormat="1" applyFont="1" applyFill="1" applyBorder="1" applyAlignment="1">
      <alignment horizontal="left" vertical="center"/>
    </xf>
    <xf numFmtId="0" fontId="48" fillId="0" borderId="7" xfId="0" applyFont="1" applyBorder="1"/>
    <xf numFmtId="184" fontId="49" fillId="0" borderId="7" xfId="0" applyNumberFormat="1" applyFont="1" applyBorder="1" applyAlignment="1">
      <alignment horizontal="center" vertical="center"/>
    </xf>
    <xf numFmtId="185" fontId="49" fillId="0" borderId="7" xfId="0" applyNumberFormat="1" applyFont="1" applyBorder="1" applyAlignment="1">
      <alignment horizontal="left" vertical="center"/>
    </xf>
    <xf numFmtId="0" fontId="49" fillId="10" borderId="7" xfId="0" applyFont="1" applyFill="1" applyBorder="1" applyAlignment="1">
      <alignment horizontal="left" vertical="center"/>
    </xf>
    <xf numFmtId="169" fontId="49" fillId="10" borderId="7" xfId="0" applyNumberFormat="1" applyFont="1" applyFill="1" applyBorder="1" applyAlignment="1">
      <alignment horizontal="left" vertical="center"/>
    </xf>
    <xf numFmtId="169" fontId="49" fillId="0" borderId="7" xfId="0" applyNumberFormat="1" applyFont="1" applyBorder="1" applyAlignment="1">
      <alignment horizontal="center" vertical="center"/>
    </xf>
    <xf numFmtId="0" fontId="49" fillId="0" borderId="7" xfId="0" applyFont="1" applyBorder="1"/>
    <xf numFmtId="185" fontId="23" fillId="10" borderId="7" xfId="0" applyNumberFormat="1" applyFont="1" applyFill="1" applyBorder="1" applyAlignment="1">
      <alignment horizontal="left" vertical="center"/>
    </xf>
    <xf numFmtId="169" fontId="23" fillId="0" borderId="7" xfId="0" applyNumberFormat="1" applyFont="1" applyBorder="1" applyAlignment="1">
      <alignment horizontal="center" vertical="center"/>
    </xf>
    <xf numFmtId="185" fontId="49" fillId="10" borderId="7" xfId="0" applyNumberFormat="1" applyFont="1" applyFill="1" applyBorder="1" applyAlignment="1">
      <alignment horizontal="left" vertical="center"/>
    </xf>
    <xf numFmtId="0" fontId="49" fillId="10" borderId="7" xfId="0" applyFont="1" applyFill="1" applyBorder="1" applyAlignment="1">
      <alignment horizontal="center" vertical="center"/>
    </xf>
    <xf numFmtId="169" fontId="49" fillId="10" borderId="7" xfId="0" applyNumberFormat="1" applyFont="1" applyFill="1" applyBorder="1" applyAlignment="1">
      <alignment horizontal="center" vertical="center"/>
    </xf>
    <xf numFmtId="185" fontId="17" fillId="0" borderId="7" xfId="0" applyNumberFormat="1" applyFont="1" applyBorder="1"/>
    <xf numFmtId="169" fontId="38" fillId="10" borderId="7" xfId="0" applyNumberFormat="1" applyFont="1" applyFill="1" applyBorder="1" applyAlignment="1">
      <alignment vertical="center"/>
    </xf>
    <xf numFmtId="49" fontId="16" fillId="10" borderId="7" xfId="0" applyNumberFormat="1" applyFont="1" applyFill="1" applyBorder="1" applyAlignment="1">
      <alignment horizontal="center" vertical="center"/>
    </xf>
    <xf numFmtId="49" fontId="17" fillId="8" borderId="7" xfId="0" applyNumberFormat="1" applyFont="1" applyFill="1" applyBorder="1" applyAlignment="1">
      <alignment horizontal="center" vertical="center"/>
    </xf>
    <xf numFmtId="169" fontId="16" fillId="10" borderId="7" xfId="0" applyNumberFormat="1" applyFont="1" applyFill="1" applyBorder="1" applyAlignment="1">
      <alignment vertical="center"/>
    </xf>
    <xf numFmtId="176" fontId="14" fillId="0" borderId="7" xfId="0" applyNumberFormat="1" applyFont="1" applyBorder="1"/>
    <xf numFmtId="169" fontId="18" fillId="0" borderId="7" xfId="0" applyNumberFormat="1" applyFont="1" applyBorder="1" applyAlignment="1">
      <alignment vertical="center"/>
    </xf>
    <xf numFmtId="49" fontId="17" fillId="0" borderId="7" xfId="0" applyNumberFormat="1" applyFont="1" applyBorder="1" applyAlignment="1">
      <alignment horizontal="center" vertical="center"/>
    </xf>
    <xf numFmtId="169" fontId="17" fillId="0" borderId="7" xfId="0" applyNumberFormat="1" applyFont="1" applyBorder="1" applyAlignment="1">
      <alignment vertical="center"/>
    </xf>
    <xf numFmtId="174" fontId="50" fillId="20" borderId="7" xfId="0" applyNumberFormat="1" applyFont="1" applyFill="1" applyBorder="1" applyAlignment="1">
      <alignment horizontal="center" shrinkToFit="1"/>
    </xf>
    <xf numFmtId="2" fontId="51" fillId="20" borderId="7" xfId="0" applyNumberFormat="1" applyFont="1" applyFill="1" applyBorder="1" applyAlignment="1">
      <alignment horizontal="center"/>
    </xf>
    <xf numFmtId="169" fontId="14" fillId="0" borderId="7" xfId="0" applyNumberFormat="1" applyFont="1" applyBorder="1"/>
    <xf numFmtId="49" fontId="14" fillId="0" borderId="7" xfId="0" applyNumberFormat="1" applyFont="1" applyBorder="1" applyAlignment="1">
      <alignment horizontal="center"/>
    </xf>
    <xf numFmtId="185" fontId="18" fillId="0" borderId="7" xfId="0" applyNumberFormat="1" applyFont="1" applyBorder="1"/>
    <xf numFmtId="0" fontId="18" fillId="0" borderId="7" xfId="0" applyFont="1" applyBorder="1"/>
    <xf numFmtId="0" fontId="18" fillId="0" borderId="7" xfId="0" applyFont="1" applyBorder="1" applyAlignment="1">
      <alignment horizontal="center"/>
    </xf>
    <xf numFmtId="169" fontId="18" fillId="0" borderId="7" xfId="0" applyNumberFormat="1" applyFont="1" applyBorder="1" applyAlignment="1">
      <alignment horizontal="center"/>
    </xf>
    <xf numFmtId="49" fontId="18" fillId="0" borderId="7" xfId="0" applyNumberFormat="1" applyFont="1" applyBorder="1" applyAlignment="1">
      <alignment horizontal="center"/>
    </xf>
    <xf numFmtId="184" fontId="17" fillId="0" borderId="7" xfId="0" applyNumberFormat="1" applyFont="1" applyBorder="1" applyAlignment="1">
      <alignment horizontal="center" vertical="center"/>
    </xf>
    <xf numFmtId="184" fontId="18" fillId="0" borderId="7" xfId="0" applyNumberFormat="1" applyFont="1" applyBorder="1" applyAlignment="1">
      <alignment horizontal="center" vertical="center"/>
    </xf>
    <xf numFmtId="169" fontId="18" fillId="10" borderId="7" xfId="0" applyNumberFormat="1" applyFont="1" applyFill="1" applyBorder="1" applyAlignment="1">
      <alignment vertical="center"/>
    </xf>
    <xf numFmtId="49" fontId="38" fillId="10" borderId="7" xfId="0" applyNumberFormat="1" applyFont="1" applyFill="1" applyBorder="1" applyAlignment="1">
      <alignment horizontal="center" vertical="center"/>
    </xf>
    <xf numFmtId="49" fontId="18" fillId="8" borderId="7" xfId="0" applyNumberFormat="1" applyFont="1" applyFill="1" applyBorder="1" applyAlignment="1">
      <alignment horizontal="center" vertical="center"/>
    </xf>
    <xf numFmtId="170" fontId="18" fillId="8" borderId="7" xfId="0" applyNumberFormat="1" applyFont="1" applyFill="1" applyBorder="1" applyAlignment="1">
      <alignment horizontal="center" vertical="center"/>
    </xf>
    <xf numFmtId="49" fontId="18" fillId="0" borderId="7" xfId="0" applyNumberFormat="1" applyFont="1" applyBorder="1" applyAlignment="1">
      <alignment horizontal="center" vertical="center"/>
    </xf>
    <xf numFmtId="184" fontId="52" fillId="0" borderId="7" xfId="0" applyNumberFormat="1" applyFont="1" applyBorder="1" applyAlignment="1">
      <alignment horizontal="center" vertical="center"/>
    </xf>
    <xf numFmtId="185" fontId="52" fillId="0" borderId="7" xfId="0" applyNumberFormat="1" applyFont="1" applyBorder="1" applyAlignment="1">
      <alignment horizontal="left" vertical="center"/>
    </xf>
    <xf numFmtId="0" fontId="52" fillId="10" borderId="7" xfId="0" applyFont="1" applyFill="1" applyBorder="1" applyAlignment="1">
      <alignment horizontal="left" vertical="center"/>
    </xf>
    <xf numFmtId="185" fontId="17" fillId="10" borderId="7" xfId="0" applyNumberFormat="1" applyFont="1" applyFill="1" applyBorder="1" applyAlignment="1">
      <alignment horizontal="left" vertical="center"/>
    </xf>
    <xf numFmtId="185" fontId="52" fillId="10" borderId="7" xfId="0" applyNumberFormat="1" applyFont="1" applyFill="1" applyBorder="1" applyAlignment="1">
      <alignment horizontal="left" vertical="center"/>
    </xf>
    <xf numFmtId="169" fontId="18" fillId="7" borderId="7" xfId="0" applyNumberFormat="1" applyFont="1" applyFill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185" fontId="14" fillId="0" borderId="7" xfId="0" applyNumberFormat="1" applyFont="1" applyBorder="1"/>
    <xf numFmtId="184" fontId="14" fillId="9" borderId="7" xfId="0" applyNumberFormat="1" applyFont="1" applyFill="1" applyBorder="1" applyAlignment="1">
      <alignment horizontal="center"/>
    </xf>
    <xf numFmtId="185" fontId="14" fillId="9" borderId="7" xfId="0" applyNumberFormat="1" applyFont="1" applyFill="1" applyBorder="1"/>
    <xf numFmtId="0" fontId="14" fillId="9" borderId="7" xfId="0" applyFont="1" applyFill="1" applyBorder="1" applyAlignment="1">
      <alignment horizontal="left"/>
    </xf>
    <xf numFmtId="49" fontId="17" fillId="10" borderId="7" xfId="0" applyNumberFormat="1" applyFont="1" applyFill="1" applyBorder="1" applyAlignment="1">
      <alignment horizontal="center" vertical="center"/>
    </xf>
    <xf numFmtId="184" fontId="17" fillId="9" borderId="7" xfId="0" applyNumberFormat="1" applyFont="1" applyFill="1" applyBorder="1" applyAlignment="1">
      <alignment horizontal="center" vertical="center"/>
    </xf>
    <xf numFmtId="185" fontId="17" fillId="9" borderId="7" xfId="0" applyNumberFormat="1" applyFont="1" applyFill="1" applyBorder="1"/>
    <xf numFmtId="0" fontId="17" fillId="9" borderId="7" xfId="0" applyFont="1" applyFill="1" applyBorder="1" applyAlignment="1">
      <alignment horizontal="left" vertical="center"/>
    </xf>
    <xf numFmtId="184" fontId="14" fillId="0" borderId="7" xfId="0" applyNumberFormat="1" applyFont="1" applyBorder="1" applyAlignment="1">
      <alignment horizontal="center"/>
    </xf>
    <xf numFmtId="0" fontId="14" fillId="0" borderId="7" xfId="0" applyFont="1" applyBorder="1" applyAlignment="1">
      <alignment horizontal="left"/>
    </xf>
    <xf numFmtId="169" fontId="14" fillId="0" borderId="7" xfId="0" applyNumberFormat="1" applyFont="1" applyBorder="1" applyAlignment="1">
      <alignment horizontal="center"/>
    </xf>
    <xf numFmtId="0" fontId="45" fillId="11" borderId="78" xfId="0" applyFont="1" applyFill="1" applyBorder="1" applyAlignment="1">
      <alignment horizontal="center" vertical="center"/>
    </xf>
    <xf numFmtId="167" fontId="7" fillId="10" borderId="7" xfId="0" applyNumberFormat="1" applyFont="1" applyFill="1" applyBorder="1" applyAlignment="1">
      <alignment vertical="center"/>
    </xf>
    <xf numFmtId="167" fontId="16" fillId="0" borderId="79" xfId="0" applyNumberFormat="1" applyFont="1" applyBorder="1" applyAlignment="1">
      <alignment vertical="center"/>
    </xf>
    <xf numFmtId="0" fontId="17" fillId="10" borderId="19" xfId="0" applyFont="1" applyFill="1" applyBorder="1" applyAlignment="1">
      <alignment vertical="center"/>
    </xf>
    <xf numFmtId="167" fontId="16" fillId="0" borderId="5" xfId="0" applyNumberFormat="1" applyFont="1" applyBorder="1" applyAlignment="1">
      <alignment vertical="center"/>
    </xf>
    <xf numFmtId="167" fontId="31" fillId="10" borderId="7" xfId="0" applyNumberFormat="1" applyFont="1" applyFill="1" applyBorder="1" applyAlignment="1">
      <alignment vertical="center"/>
    </xf>
    <xf numFmtId="167" fontId="14" fillId="7" borderId="7" xfId="0" applyNumberFormat="1" applyFont="1" applyFill="1" applyBorder="1" applyAlignment="1">
      <alignment vertical="center"/>
    </xf>
    <xf numFmtId="0" fontId="26" fillId="0" borderId="0" xfId="0" applyFont="1" applyAlignment="1">
      <alignment horizontal="center"/>
    </xf>
    <xf numFmtId="167" fontId="26" fillId="0" borderId="73" xfId="0" applyNumberFormat="1" applyFont="1" applyBorder="1"/>
    <xf numFmtId="167" fontId="26" fillId="0" borderId="74" xfId="0" applyNumberFormat="1" applyFont="1" applyBorder="1"/>
    <xf numFmtId="167" fontId="26" fillId="0" borderId="75" xfId="0" applyNumberFormat="1" applyFont="1" applyBorder="1"/>
    <xf numFmtId="167" fontId="26" fillId="0" borderId="80" xfId="0" applyNumberFormat="1" applyFont="1" applyBorder="1"/>
    <xf numFmtId="166" fontId="19" fillId="0" borderId="7" xfId="0" applyNumberFormat="1" applyFont="1" applyBorder="1" applyAlignment="1">
      <alignment horizontal="center"/>
    </xf>
    <xf numFmtId="167" fontId="19" fillId="0" borderId="7" xfId="0" applyNumberFormat="1" applyFont="1" applyBorder="1"/>
    <xf numFmtId="0" fontId="19" fillId="0" borderId="0" xfId="0" applyFont="1" applyAlignment="1">
      <alignment horizontal="center"/>
    </xf>
    <xf numFmtId="0" fontId="16" fillId="21" borderId="7" xfId="0" applyFont="1" applyFill="1" applyBorder="1" applyAlignment="1">
      <alignment horizontal="center" vertical="center"/>
    </xf>
    <xf numFmtId="0" fontId="18" fillId="0" borderId="7" xfId="0" applyFont="1" applyBorder="1" applyAlignment="1">
      <alignment horizontal="left"/>
    </xf>
    <xf numFmtId="0" fontId="17" fillId="0" borderId="7" xfId="0" applyFont="1" applyBorder="1" applyAlignment="1">
      <alignment horizontal="left"/>
    </xf>
    <xf numFmtId="169" fontId="38" fillId="0" borderId="7" xfId="0" applyNumberFormat="1" applyFont="1" applyBorder="1" applyAlignment="1">
      <alignment vertical="center"/>
    </xf>
    <xf numFmtId="49" fontId="16" fillId="22" borderId="7" xfId="0" applyNumberFormat="1" applyFont="1" applyFill="1" applyBorder="1" applyAlignment="1">
      <alignment horizontal="center" vertical="center"/>
    </xf>
    <xf numFmtId="170" fontId="17" fillId="22" borderId="7" xfId="0" applyNumberFormat="1" applyFont="1" applyFill="1" applyBorder="1" applyAlignment="1">
      <alignment horizontal="center" vertical="center"/>
    </xf>
    <xf numFmtId="49" fontId="17" fillId="7" borderId="7" xfId="0" applyNumberFormat="1" applyFont="1" applyFill="1" applyBorder="1" applyAlignment="1">
      <alignment horizontal="center" vertical="center"/>
    </xf>
    <xf numFmtId="169" fontId="16" fillId="0" borderId="7" xfId="0" applyNumberFormat="1" applyFont="1" applyBorder="1" applyAlignment="1">
      <alignment vertical="center"/>
    </xf>
    <xf numFmtId="177" fontId="36" fillId="7" borderId="49" xfId="0" applyNumberFormat="1" applyFont="1" applyFill="1" applyBorder="1" applyAlignment="1">
      <alignment horizontal="center" vertical="center" shrinkToFit="1"/>
    </xf>
    <xf numFmtId="49" fontId="17" fillId="22" borderId="7" xfId="0" applyNumberFormat="1" applyFont="1" applyFill="1" applyBorder="1" applyAlignment="1">
      <alignment horizontal="center" vertical="center"/>
    </xf>
    <xf numFmtId="177" fontId="36" fillId="7" borderId="53" xfId="0" applyNumberFormat="1" applyFont="1" applyFill="1" applyBorder="1" applyAlignment="1">
      <alignment horizontal="center" vertical="center" shrinkToFit="1"/>
    </xf>
    <xf numFmtId="177" fontId="36" fillId="7" borderId="56" xfId="0" applyNumberFormat="1" applyFont="1" applyFill="1" applyBorder="1" applyAlignment="1">
      <alignment horizontal="center" vertical="center" shrinkToFit="1"/>
    </xf>
    <xf numFmtId="49" fontId="18" fillId="22" borderId="7" xfId="0" applyNumberFormat="1" applyFont="1" applyFill="1" applyBorder="1" applyAlignment="1">
      <alignment horizontal="center" vertical="center"/>
    </xf>
    <xf numFmtId="177" fontId="36" fillId="7" borderId="59" xfId="0" applyNumberFormat="1" applyFont="1" applyFill="1" applyBorder="1" applyAlignment="1">
      <alignment horizontal="center" vertical="center" shrinkToFit="1"/>
    </xf>
    <xf numFmtId="49" fontId="14" fillId="22" borderId="7" xfId="0" applyNumberFormat="1" applyFont="1" applyFill="1" applyBorder="1" applyAlignment="1">
      <alignment horizontal="center"/>
    </xf>
    <xf numFmtId="177" fontId="36" fillId="7" borderId="62" xfId="0" applyNumberFormat="1" applyFont="1" applyFill="1" applyBorder="1" applyAlignment="1">
      <alignment horizontal="center" vertical="center" shrinkToFit="1"/>
    </xf>
    <xf numFmtId="169" fontId="18" fillId="0" borderId="7" xfId="0" applyNumberFormat="1" applyFont="1" applyBorder="1"/>
    <xf numFmtId="49" fontId="18" fillId="22" borderId="7" xfId="0" applyNumberFormat="1" applyFont="1" applyFill="1" applyBorder="1" applyAlignment="1">
      <alignment horizontal="center"/>
    </xf>
    <xf numFmtId="0" fontId="17" fillId="0" borderId="7" xfId="0" applyFont="1" applyBorder="1"/>
    <xf numFmtId="169" fontId="17" fillId="0" borderId="7" xfId="0" applyNumberFormat="1" applyFont="1" applyBorder="1"/>
    <xf numFmtId="169" fontId="17" fillId="0" borderId="7" xfId="0" applyNumberFormat="1" applyFont="1" applyBorder="1" applyAlignment="1">
      <alignment horizontal="center"/>
    </xf>
    <xf numFmtId="49" fontId="17" fillId="22" borderId="7" xfId="0" applyNumberFormat="1" applyFont="1" applyFill="1" applyBorder="1" applyAlignment="1">
      <alignment horizontal="center"/>
    </xf>
    <xf numFmtId="0" fontId="17" fillId="22" borderId="7" xfId="0" applyFont="1" applyFill="1" applyBorder="1" applyAlignment="1">
      <alignment horizontal="center"/>
    </xf>
    <xf numFmtId="0" fontId="14" fillId="22" borderId="7" xfId="0" applyFont="1" applyFill="1" applyBorder="1" applyAlignment="1">
      <alignment horizontal="center"/>
    </xf>
    <xf numFmtId="182" fontId="14" fillId="0" borderId="7" xfId="0" applyNumberFormat="1" applyFont="1" applyBorder="1" applyAlignment="1">
      <alignment horizontal="center"/>
    </xf>
    <xf numFmtId="182" fontId="14" fillId="0" borderId="7" xfId="0" applyNumberFormat="1" applyFont="1" applyBorder="1"/>
    <xf numFmtId="0" fontId="17" fillId="22" borderId="7" xfId="0" applyFont="1" applyFill="1" applyBorder="1" applyAlignment="1">
      <alignment horizontal="center" vertical="center"/>
    </xf>
    <xf numFmtId="0" fontId="17" fillId="10" borderId="0" xfId="0" applyFont="1" applyFill="1" applyAlignment="1" applyProtection="1">
      <alignment vertical="center"/>
      <protection locked="0"/>
    </xf>
    <xf numFmtId="0" fontId="16" fillId="10" borderId="0" xfId="0" applyFont="1" applyFill="1" applyAlignment="1" applyProtection="1">
      <alignment vertical="center"/>
      <protection locked="0"/>
    </xf>
    <xf numFmtId="0" fontId="16" fillId="10" borderId="0" xfId="0" applyFont="1" applyFill="1" applyAlignment="1" applyProtection="1">
      <alignment horizontal="center" vertical="center"/>
      <protection locked="0"/>
    </xf>
    <xf numFmtId="0" fontId="37" fillId="17" borderId="7" xfId="0" applyFont="1" applyFill="1" applyBorder="1" applyAlignment="1" applyProtection="1">
      <alignment horizontal="center" vertical="center"/>
      <protection locked="0"/>
    </xf>
    <xf numFmtId="0" fontId="45" fillId="18" borderId="7" xfId="0" applyFont="1" applyFill="1" applyBorder="1" applyAlignment="1" applyProtection="1">
      <alignment horizontal="center" vertical="center"/>
      <protection locked="0"/>
    </xf>
    <xf numFmtId="0" fontId="15" fillId="18" borderId="7" xfId="0" applyFont="1" applyFill="1" applyBorder="1" applyAlignment="1">
      <alignment horizontal="center" vertical="center"/>
    </xf>
    <xf numFmtId="0" fontId="16" fillId="19" borderId="7" xfId="0" applyFont="1" applyFill="1" applyBorder="1" applyAlignment="1">
      <alignment horizontal="center" vertical="center"/>
    </xf>
    <xf numFmtId="0" fontId="37" fillId="12" borderId="7" xfId="0" applyFont="1" applyFill="1" applyBorder="1" applyAlignment="1">
      <alignment horizontal="center" vertical="center"/>
    </xf>
    <xf numFmtId="0" fontId="15" fillId="12" borderId="7" xfId="0" applyFont="1" applyFill="1" applyBorder="1" applyAlignment="1">
      <alignment horizontal="center" vertical="center"/>
    </xf>
    <xf numFmtId="0" fontId="45" fillId="11" borderId="7" xfId="0" applyFont="1" applyFill="1" applyBorder="1" applyAlignment="1">
      <alignment horizontal="center" vertical="center"/>
    </xf>
    <xf numFmtId="0" fontId="16" fillId="2" borderId="7" xfId="0" applyFont="1" applyFill="1" applyBorder="1" applyAlignment="1" applyProtection="1">
      <alignment horizontal="center" vertical="center"/>
      <protection locked="0"/>
    </xf>
    <xf numFmtId="181" fontId="16" fillId="2" borderId="7" xfId="0" applyNumberFormat="1" applyFont="1" applyFill="1" applyBorder="1" applyAlignment="1" applyProtection="1">
      <alignment horizontal="center" vertical="center"/>
      <protection locked="0"/>
    </xf>
    <xf numFmtId="0" fontId="53" fillId="0" borderId="7" xfId="0" applyFont="1" applyBorder="1" applyAlignment="1" applyProtection="1">
      <alignment horizontal="center"/>
      <protection locked="0"/>
    </xf>
    <xf numFmtId="0" fontId="17" fillId="7" borderId="7" xfId="0" applyFont="1" applyFill="1" applyBorder="1" applyAlignment="1" applyProtection="1">
      <alignment vertical="center"/>
      <protection locked="0"/>
    </xf>
    <xf numFmtId="186" fontId="17" fillId="7" borderId="7" xfId="0" applyNumberFormat="1" applyFont="1" applyFill="1" applyBorder="1" applyAlignment="1" applyProtection="1">
      <alignment vertical="center"/>
      <protection locked="0"/>
    </xf>
    <xf numFmtId="0" fontId="17" fillId="7" borderId="7" xfId="0" applyFont="1" applyFill="1" applyBorder="1" applyAlignment="1" applyProtection="1">
      <alignment horizontal="center" vertical="center"/>
      <protection locked="0"/>
    </xf>
    <xf numFmtId="0" fontId="17" fillId="7" borderId="7" xfId="0" applyFont="1" applyFill="1" applyBorder="1" applyAlignment="1" applyProtection="1">
      <alignment horizontal="left" vertical="center"/>
      <protection locked="0"/>
    </xf>
    <xf numFmtId="167" fontId="17" fillId="7" borderId="7" xfId="0" applyNumberFormat="1" applyFont="1" applyFill="1" applyBorder="1" applyAlignment="1" applyProtection="1">
      <alignment vertical="center"/>
      <protection locked="0"/>
    </xf>
    <xf numFmtId="167" fontId="16" fillId="7" borderId="7" xfId="0" applyNumberFormat="1" applyFont="1" applyFill="1" applyBorder="1" applyAlignment="1">
      <alignment vertical="center"/>
    </xf>
    <xf numFmtId="167" fontId="17" fillId="7" borderId="7" xfId="0" applyNumberFormat="1" applyFont="1" applyFill="1" applyBorder="1" applyAlignment="1">
      <alignment horizontal="center" vertical="center"/>
    </xf>
    <xf numFmtId="0" fontId="15" fillId="9" borderId="32" xfId="0" applyFont="1" applyFill="1" applyBorder="1" applyAlignment="1" applyProtection="1">
      <alignment horizontal="left" vertical="center"/>
      <protection locked="0"/>
    </xf>
    <xf numFmtId="167" fontId="17" fillId="10" borderId="7" xfId="0" applyNumberFormat="1" applyFont="1" applyFill="1" applyBorder="1" applyAlignment="1" applyProtection="1">
      <alignment vertical="center"/>
      <protection locked="0"/>
    </xf>
    <xf numFmtId="0" fontId="53" fillId="0" borderId="7" xfId="0" applyFont="1" applyBorder="1" applyProtection="1">
      <protection locked="0"/>
    </xf>
    <xf numFmtId="0" fontId="0" fillId="0" borderId="7" xfId="0" applyBorder="1" applyAlignment="1" applyProtection="1">
      <alignment horizontal="center"/>
      <protection locked="0"/>
    </xf>
    <xf numFmtId="186" fontId="18" fillId="7" borderId="7" xfId="0" applyNumberFormat="1" applyFont="1" applyFill="1" applyBorder="1" applyAlignment="1" applyProtection="1">
      <alignment vertical="center"/>
      <protection locked="0"/>
    </xf>
    <xf numFmtId="0" fontId="18" fillId="7" borderId="7" xfId="0" applyFont="1" applyFill="1" applyBorder="1" applyAlignment="1" applyProtection="1">
      <alignment horizontal="center" vertical="center"/>
      <protection locked="0"/>
    </xf>
    <xf numFmtId="0" fontId="18" fillId="7" borderId="7" xfId="0" applyFont="1" applyFill="1" applyBorder="1" applyAlignment="1" applyProtection="1">
      <alignment horizontal="left" vertical="center"/>
      <protection locked="0"/>
    </xf>
    <xf numFmtId="0" fontId="18" fillId="7" borderId="7" xfId="0" applyFont="1" applyFill="1" applyBorder="1" applyAlignment="1" applyProtection="1">
      <alignment vertical="center"/>
      <protection locked="0"/>
    </xf>
    <xf numFmtId="0" fontId="16" fillId="9" borderId="32" xfId="0" applyFont="1" applyFill="1" applyBorder="1" applyAlignment="1" applyProtection="1">
      <alignment horizontal="left" vertical="center"/>
      <protection locked="0"/>
    </xf>
    <xf numFmtId="180" fontId="17" fillId="7" borderId="7" xfId="0" applyNumberFormat="1" applyFont="1" applyFill="1" applyBorder="1" applyAlignment="1" applyProtection="1">
      <alignment vertical="center"/>
      <protection locked="0"/>
    </xf>
    <xf numFmtId="167" fontId="16" fillId="10" borderId="7" xfId="0" applyNumberFormat="1" applyFont="1" applyFill="1" applyBorder="1" applyAlignment="1" applyProtection="1">
      <alignment vertical="center"/>
      <protection locked="0"/>
    </xf>
    <xf numFmtId="0" fontId="17" fillId="7" borderId="7" xfId="0" applyFont="1" applyFill="1" applyBorder="1" applyAlignment="1" applyProtection="1">
      <alignment horizontal="left"/>
      <protection locked="0"/>
    </xf>
    <xf numFmtId="0" fontId="17" fillId="7" borderId="7" xfId="0" applyFont="1" applyFill="1" applyBorder="1" applyAlignment="1" applyProtection="1">
      <alignment horizontal="center"/>
      <protection locked="0"/>
    </xf>
    <xf numFmtId="0" fontId="17" fillId="7" borderId="7" xfId="0" applyFont="1" applyFill="1" applyBorder="1" applyProtection="1">
      <protection locked="0"/>
    </xf>
    <xf numFmtId="167" fontId="17" fillId="7" borderId="7" xfId="0" applyNumberFormat="1" applyFont="1" applyFill="1" applyBorder="1" applyProtection="1">
      <protection locked="0"/>
    </xf>
    <xf numFmtId="0" fontId="18" fillId="7" borderId="7" xfId="0" applyFont="1" applyFill="1" applyBorder="1" applyAlignment="1" applyProtection="1">
      <alignment horizontal="left"/>
      <protection locked="0"/>
    </xf>
    <xf numFmtId="0" fontId="18" fillId="7" borderId="7" xfId="0" applyFont="1" applyFill="1" applyBorder="1" applyAlignment="1" applyProtection="1">
      <alignment horizontal="center"/>
      <protection locked="0"/>
    </xf>
    <xf numFmtId="0" fontId="18" fillId="7" borderId="7" xfId="0" applyFont="1" applyFill="1" applyBorder="1" applyProtection="1">
      <protection locked="0"/>
    </xf>
    <xf numFmtId="0" fontId="17" fillId="2" borderId="7" xfId="0" applyFont="1" applyFill="1" applyBorder="1" applyAlignment="1" applyProtection="1">
      <alignment vertical="center"/>
      <protection locked="0"/>
    </xf>
    <xf numFmtId="186" fontId="18" fillId="2" borderId="7" xfId="0" applyNumberFormat="1" applyFont="1" applyFill="1" applyBorder="1" applyAlignment="1" applyProtection="1">
      <alignment vertical="center"/>
      <protection locked="0"/>
    </xf>
    <xf numFmtId="0" fontId="18" fillId="2" borderId="7" xfId="0" applyFont="1" applyFill="1" applyBorder="1" applyAlignment="1" applyProtection="1">
      <alignment horizontal="center" vertical="center"/>
      <protection locked="0"/>
    </xf>
    <xf numFmtId="0" fontId="18" fillId="2" borderId="7" xfId="0" applyFont="1" applyFill="1" applyBorder="1" applyAlignment="1" applyProtection="1">
      <alignment horizontal="left" vertical="center"/>
      <protection locked="0"/>
    </xf>
    <xf numFmtId="0" fontId="18" fillId="2" borderId="7" xfId="0" applyFont="1" applyFill="1" applyBorder="1" applyAlignment="1" applyProtection="1">
      <alignment vertical="center"/>
      <protection locked="0"/>
    </xf>
    <xf numFmtId="167" fontId="17" fillId="2" borderId="7" xfId="0" applyNumberFormat="1" applyFont="1" applyFill="1" applyBorder="1" applyAlignment="1" applyProtection="1">
      <alignment vertical="center"/>
      <protection locked="0"/>
    </xf>
    <xf numFmtId="167" fontId="16" fillId="2" borderId="7" xfId="0" applyNumberFormat="1" applyFont="1" applyFill="1" applyBorder="1" applyAlignment="1" applyProtection="1">
      <alignment vertical="center"/>
      <protection locked="0"/>
    </xf>
    <xf numFmtId="167" fontId="16" fillId="2" borderId="7" xfId="0" applyNumberFormat="1" applyFont="1" applyFill="1" applyBorder="1" applyAlignment="1">
      <alignment vertical="center"/>
    </xf>
    <xf numFmtId="0" fontId="17" fillId="2" borderId="7" xfId="0" applyFont="1" applyFill="1" applyBorder="1" applyAlignment="1">
      <alignment vertical="center"/>
    </xf>
    <xf numFmtId="178" fontId="17" fillId="2" borderId="7" xfId="0" applyNumberFormat="1" applyFont="1" applyFill="1" applyBorder="1" applyAlignment="1">
      <alignment vertical="center"/>
    </xf>
    <xf numFmtId="186" fontId="17" fillId="2" borderId="7" xfId="0" applyNumberFormat="1" applyFont="1" applyFill="1" applyBorder="1" applyAlignment="1" applyProtection="1">
      <alignment vertical="center"/>
      <protection locked="0"/>
    </xf>
    <xf numFmtId="0" fontId="17" fillId="2" borderId="7" xfId="0" applyFont="1" applyFill="1" applyBorder="1" applyAlignment="1" applyProtection="1">
      <alignment horizontal="center" vertical="center"/>
      <protection locked="0"/>
    </xf>
    <xf numFmtId="0" fontId="17" fillId="2" borderId="7" xfId="0" applyFont="1" applyFill="1" applyBorder="1" applyAlignment="1" applyProtection="1">
      <alignment horizontal="left" vertical="center"/>
      <protection locked="0"/>
    </xf>
    <xf numFmtId="0" fontId="18" fillId="2" borderId="7" xfId="0" applyFont="1" applyFill="1" applyBorder="1" applyAlignment="1" applyProtection="1">
      <alignment horizontal="left"/>
      <protection locked="0"/>
    </xf>
    <xf numFmtId="0" fontId="18" fillId="2" borderId="7" xfId="0" applyFont="1" applyFill="1" applyBorder="1" applyAlignment="1" applyProtection="1">
      <alignment horizontal="center"/>
      <protection locked="0"/>
    </xf>
    <xf numFmtId="0" fontId="18" fillId="2" borderId="7" xfId="0" applyFont="1" applyFill="1" applyBorder="1" applyProtection="1">
      <protection locked="0"/>
    </xf>
    <xf numFmtId="167" fontId="17" fillId="2" borderId="7" xfId="0" applyNumberFormat="1" applyFont="1" applyFill="1" applyBorder="1" applyProtection="1">
      <protection locked="0"/>
    </xf>
    <xf numFmtId="0" fontId="17" fillId="2" borderId="7" xfId="0" applyFont="1" applyFill="1" applyBorder="1" applyAlignment="1" applyProtection="1">
      <alignment horizontal="left"/>
      <protection locked="0"/>
    </xf>
    <xf numFmtId="0" fontId="17" fillId="2" borderId="7" xfId="0" applyFont="1" applyFill="1" applyBorder="1" applyAlignment="1" applyProtection="1">
      <alignment horizontal="center"/>
      <protection locked="0"/>
    </xf>
    <xf numFmtId="0" fontId="17" fillId="2" borderId="7" xfId="0" applyFont="1" applyFill="1" applyBorder="1" applyProtection="1">
      <protection locked="0"/>
    </xf>
    <xf numFmtId="0" fontId="17" fillId="6" borderId="7" xfId="0" applyFont="1" applyFill="1" applyBorder="1" applyAlignment="1" applyProtection="1">
      <alignment vertical="center"/>
      <protection locked="0"/>
    </xf>
    <xf numFmtId="186" fontId="18" fillId="6" borderId="7" xfId="0" applyNumberFormat="1" applyFont="1" applyFill="1" applyBorder="1" applyAlignment="1" applyProtection="1">
      <alignment vertical="center"/>
      <protection locked="0"/>
    </xf>
    <xf numFmtId="0" fontId="18" fillId="6" borderId="7" xfId="0" applyFont="1" applyFill="1" applyBorder="1" applyAlignment="1" applyProtection="1">
      <alignment horizontal="center" vertical="center"/>
      <protection locked="0"/>
    </xf>
    <xf numFmtId="0" fontId="18" fillId="6" borderId="7" xfId="0" applyFont="1" applyFill="1" applyBorder="1" applyAlignment="1" applyProtection="1">
      <alignment horizontal="left" vertical="top"/>
      <protection locked="0"/>
    </xf>
    <xf numFmtId="0" fontId="18" fillId="6" borderId="7" xfId="0" applyFont="1" applyFill="1" applyBorder="1" applyAlignment="1" applyProtection="1">
      <alignment horizontal="center"/>
      <protection locked="0"/>
    </xf>
    <xf numFmtId="0" fontId="18" fillId="6" borderId="7" xfId="0" applyFont="1" applyFill="1" applyBorder="1" applyAlignment="1" applyProtection="1">
      <alignment vertical="center"/>
      <protection locked="0"/>
    </xf>
    <xf numFmtId="187" fontId="14" fillId="6" borderId="7" xfId="0" applyNumberFormat="1" applyFont="1" applyFill="1" applyBorder="1" applyProtection="1">
      <protection locked="0"/>
    </xf>
    <xf numFmtId="167" fontId="16" fillId="6" borderId="7" xfId="0" applyNumberFormat="1" applyFont="1" applyFill="1" applyBorder="1" applyAlignment="1">
      <alignment vertical="center"/>
    </xf>
    <xf numFmtId="0" fontId="17" fillId="6" borderId="7" xfId="0" applyFont="1" applyFill="1" applyBorder="1" applyAlignment="1">
      <alignment vertical="center"/>
    </xf>
    <xf numFmtId="178" fontId="17" fillId="6" borderId="7" xfId="0" applyNumberFormat="1" applyFont="1" applyFill="1" applyBorder="1" applyAlignment="1">
      <alignment vertical="center"/>
    </xf>
    <xf numFmtId="0" fontId="18" fillId="6" borderId="7" xfId="0" applyFont="1" applyFill="1" applyBorder="1" applyAlignment="1" applyProtection="1">
      <alignment horizontal="center" vertical="top"/>
      <protection locked="0"/>
    </xf>
    <xf numFmtId="187" fontId="17" fillId="6" borderId="7" xfId="0" applyNumberFormat="1" applyFont="1" applyFill="1" applyBorder="1" applyProtection="1">
      <protection locked="0"/>
    </xf>
    <xf numFmtId="0" fontId="18" fillId="6" borderId="7" xfId="0" applyFont="1" applyFill="1" applyBorder="1" applyProtection="1">
      <protection locked="0"/>
    </xf>
    <xf numFmtId="187" fontId="14" fillId="6" borderId="7" xfId="0" applyNumberFormat="1" applyFont="1" applyFill="1" applyBorder="1" applyAlignment="1" applyProtection="1">
      <alignment vertical="center"/>
      <protection locked="0"/>
    </xf>
    <xf numFmtId="186" fontId="17" fillId="6" borderId="7" xfId="0" applyNumberFormat="1" applyFont="1" applyFill="1" applyBorder="1" applyAlignment="1" applyProtection="1">
      <alignment vertical="center"/>
      <protection locked="0"/>
    </xf>
    <xf numFmtId="0" fontId="17" fillId="6" borderId="7" xfId="0" applyFont="1" applyFill="1" applyBorder="1" applyAlignment="1" applyProtection="1">
      <alignment horizontal="center" vertical="center"/>
      <protection locked="0"/>
    </xf>
    <xf numFmtId="0" fontId="14" fillId="6" borderId="7" xfId="0" applyFont="1" applyFill="1" applyBorder="1" applyAlignment="1" applyProtection="1">
      <alignment horizontal="left" vertical="top"/>
      <protection locked="0"/>
    </xf>
    <xf numFmtId="0" fontId="14" fillId="6" borderId="7" xfId="0" applyFont="1" applyFill="1" applyBorder="1" applyAlignment="1" applyProtection="1">
      <alignment horizontal="center" vertical="top"/>
      <protection locked="0"/>
    </xf>
    <xf numFmtId="0" fontId="14" fillId="6" borderId="7" xfId="0" applyFont="1" applyFill="1" applyBorder="1" applyProtection="1">
      <protection locked="0"/>
    </xf>
    <xf numFmtId="0" fontId="14" fillId="6" borderId="7" xfId="0" applyFont="1" applyFill="1" applyBorder="1" applyAlignment="1" applyProtection="1">
      <alignment horizontal="center"/>
      <protection locked="0"/>
    </xf>
    <xf numFmtId="0" fontId="14" fillId="6" borderId="7" xfId="0" applyFont="1" applyFill="1" applyBorder="1" applyAlignment="1" applyProtection="1">
      <alignment vertical="center"/>
      <protection locked="0"/>
    </xf>
    <xf numFmtId="0" fontId="18" fillId="6" borderId="7" xfId="0" applyFont="1" applyFill="1" applyBorder="1" applyAlignment="1" applyProtection="1">
      <alignment horizontal="left" vertical="center"/>
      <protection locked="0"/>
    </xf>
    <xf numFmtId="187" fontId="17" fillId="6" borderId="7" xfId="0" applyNumberFormat="1" applyFont="1" applyFill="1" applyBorder="1" applyAlignment="1" applyProtection="1">
      <alignment vertical="center"/>
      <protection locked="0"/>
    </xf>
    <xf numFmtId="0" fontId="17" fillId="8" borderId="7" xfId="0" applyFont="1" applyFill="1" applyBorder="1" applyAlignment="1" applyProtection="1">
      <alignment vertical="center"/>
      <protection locked="0"/>
    </xf>
    <xf numFmtId="186" fontId="18" fillId="8" borderId="7" xfId="0" applyNumberFormat="1" applyFont="1" applyFill="1" applyBorder="1" applyAlignment="1" applyProtection="1">
      <alignment vertical="center"/>
      <protection locked="0"/>
    </xf>
    <xf numFmtId="0" fontId="18" fillId="8" borderId="7" xfId="0" applyFont="1" applyFill="1" applyBorder="1" applyAlignment="1" applyProtection="1">
      <alignment horizontal="center" vertical="center"/>
      <protection locked="0"/>
    </xf>
    <xf numFmtId="180" fontId="18" fillId="8" borderId="7" xfId="0" applyNumberFormat="1" applyFont="1" applyFill="1" applyBorder="1" applyAlignment="1" applyProtection="1">
      <alignment horizontal="left" vertical="center"/>
      <protection locked="0"/>
    </xf>
    <xf numFmtId="180" fontId="18" fillId="8" borderId="7" xfId="0" applyNumberFormat="1" applyFont="1" applyFill="1" applyBorder="1" applyAlignment="1" applyProtection="1">
      <alignment horizontal="center" vertical="center"/>
      <protection locked="0"/>
    </xf>
    <xf numFmtId="0" fontId="18" fillId="8" borderId="7" xfId="0" applyFont="1" applyFill="1" applyBorder="1" applyAlignment="1" applyProtection="1">
      <alignment vertical="center"/>
      <protection locked="0"/>
    </xf>
    <xf numFmtId="167" fontId="17" fillId="8" borderId="7" xfId="0" applyNumberFormat="1" applyFont="1" applyFill="1" applyBorder="1" applyAlignment="1" applyProtection="1">
      <alignment vertical="center"/>
      <protection locked="0"/>
    </xf>
    <xf numFmtId="167" fontId="16" fillId="8" borderId="7" xfId="0" applyNumberFormat="1" applyFont="1" applyFill="1" applyBorder="1" applyAlignment="1">
      <alignment vertical="center"/>
    </xf>
    <xf numFmtId="0" fontId="17" fillId="8" borderId="7" xfId="0" applyFont="1" applyFill="1" applyBorder="1" applyAlignment="1">
      <alignment vertical="center"/>
    </xf>
    <xf numFmtId="178" fontId="17" fillId="8" borderId="7" xfId="0" applyNumberFormat="1" applyFont="1" applyFill="1" applyBorder="1" applyAlignment="1">
      <alignment vertical="center"/>
    </xf>
    <xf numFmtId="186" fontId="17" fillId="8" borderId="7" xfId="0" applyNumberFormat="1" applyFont="1" applyFill="1" applyBorder="1" applyAlignment="1" applyProtection="1">
      <alignment vertical="center"/>
      <protection locked="0"/>
    </xf>
    <xf numFmtId="0" fontId="17" fillId="8" borderId="7" xfId="0" applyFont="1" applyFill="1" applyBorder="1" applyAlignment="1" applyProtection="1">
      <alignment horizontal="center" vertical="center"/>
      <protection locked="0"/>
    </xf>
    <xf numFmtId="180" fontId="17" fillId="8" borderId="7" xfId="0" applyNumberFormat="1" applyFont="1" applyFill="1" applyBorder="1" applyAlignment="1" applyProtection="1">
      <alignment horizontal="left" vertical="center"/>
      <protection locked="0"/>
    </xf>
    <xf numFmtId="180" fontId="17" fillId="8" borderId="7" xfId="0" applyNumberFormat="1" applyFont="1" applyFill="1" applyBorder="1" applyAlignment="1" applyProtection="1">
      <alignment horizontal="center" vertical="center"/>
      <protection locked="0"/>
    </xf>
    <xf numFmtId="0" fontId="18" fillId="8" borderId="7" xfId="0" applyFont="1" applyFill="1" applyBorder="1" applyAlignment="1" applyProtection="1">
      <alignment horizontal="left" vertical="center" wrapText="1"/>
      <protection locked="0"/>
    </xf>
    <xf numFmtId="0" fontId="17" fillId="8" borderId="7" xfId="0" applyFont="1" applyFill="1" applyBorder="1" applyAlignment="1" applyProtection="1">
      <alignment horizontal="left" vertical="center"/>
      <protection locked="0"/>
    </xf>
    <xf numFmtId="0" fontId="17" fillId="8" borderId="7" xfId="0" applyFont="1" applyFill="1" applyBorder="1" applyAlignment="1" applyProtection="1">
      <alignment horizontal="left" vertical="center" wrapText="1"/>
      <protection locked="0"/>
    </xf>
    <xf numFmtId="0" fontId="17" fillId="8" borderId="7" xfId="0" applyFont="1" applyFill="1" applyBorder="1" applyProtection="1">
      <protection locked="0"/>
    </xf>
    <xf numFmtId="0" fontId="17" fillId="10" borderId="0" xfId="0" applyFont="1" applyFill="1" applyAlignment="1" applyProtection="1">
      <alignment horizontal="center" vertical="center"/>
      <protection locked="0"/>
    </xf>
    <xf numFmtId="167" fontId="16" fillId="10" borderId="7" xfId="0" applyNumberFormat="1" applyFont="1" applyFill="1" applyBorder="1" applyAlignment="1">
      <alignment vertical="center"/>
    </xf>
    <xf numFmtId="10" fontId="23" fillId="9" borderId="7" xfId="0" applyNumberFormat="1" applyFont="1" applyFill="1" applyBorder="1" applyAlignment="1">
      <alignment horizontal="center"/>
    </xf>
    <xf numFmtId="10" fontId="24" fillId="9" borderId="7" xfId="0" applyNumberFormat="1" applyFont="1" applyFill="1" applyBorder="1" applyAlignment="1">
      <alignment horizontal="center" vertical="center"/>
    </xf>
    <xf numFmtId="10" fontId="24" fillId="9" borderId="18" xfId="0" applyNumberFormat="1" applyFont="1" applyFill="1" applyBorder="1" applyAlignment="1">
      <alignment horizontal="center" vertical="center"/>
    </xf>
    <xf numFmtId="0" fontId="53" fillId="0" borderId="81" xfId="0" applyFont="1" applyBorder="1" applyAlignment="1">
      <alignment horizontal="center"/>
    </xf>
    <xf numFmtId="0" fontId="53" fillId="0" borderId="82" xfId="0" applyFont="1" applyBorder="1" applyAlignment="1">
      <alignment horizontal="center"/>
    </xf>
    <xf numFmtId="0" fontId="53" fillId="0" borderId="83" xfId="0" applyFont="1" applyBorder="1" applyAlignment="1">
      <alignment horizontal="center"/>
    </xf>
    <xf numFmtId="167" fontId="0" fillId="0" borderId="84" xfId="0" applyNumberFormat="1" applyBorder="1"/>
    <xf numFmtId="0" fontId="53" fillId="0" borderId="0" xfId="0" applyFont="1" applyAlignment="1">
      <alignment horizontal="center"/>
    </xf>
    <xf numFmtId="0" fontId="53" fillId="0" borderId="81" xfId="0" applyFont="1" applyBorder="1"/>
    <xf numFmtId="167" fontId="0" fillId="0" borderId="82" xfId="0" applyNumberFormat="1" applyBorder="1"/>
    <xf numFmtId="0" fontId="0" fillId="0" borderId="73" xfId="0" applyBorder="1"/>
    <xf numFmtId="167" fontId="53" fillId="0" borderId="75" xfId="0" applyNumberFormat="1" applyFont="1" applyBorder="1"/>
    <xf numFmtId="0" fontId="53" fillId="0" borderId="0" xfId="0" applyFont="1"/>
    <xf numFmtId="0" fontId="0" fillId="0" borderId="81" xfId="0" applyBorder="1"/>
    <xf numFmtId="0" fontId="0" fillId="0" borderId="82" xfId="0" applyBorder="1"/>
    <xf numFmtId="0" fontId="53" fillId="0" borderId="83" xfId="0" applyFont="1" applyBorder="1"/>
    <xf numFmtId="0" fontId="53" fillId="0" borderId="73" xfId="0" applyFont="1" applyBorder="1"/>
    <xf numFmtId="167" fontId="0" fillId="0" borderId="75" xfId="0" applyNumberFormat="1" applyBorder="1"/>
    <xf numFmtId="0" fontId="0" fillId="11" borderId="0" xfId="0" applyFill="1"/>
    <xf numFmtId="0" fontId="0" fillId="0" borderId="83" xfId="0" applyBorder="1"/>
    <xf numFmtId="0" fontId="8" fillId="11" borderId="19" xfId="0" applyFont="1" applyFill="1" applyBorder="1" applyAlignment="1">
      <alignment horizontal="center"/>
    </xf>
    <xf numFmtId="167" fontId="8" fillId="11" borderId="31" xfId="0" applyNumberFormat="1" applyFont="1" applyFill="1" applyBorder="1" applyAlignment="1">
      <alignment horizontal="center"/>
    </xf>
    <xf numFmtId="167" fontId="8" fillId="11" borderId="32" xfId="0" applyNumberFormat="1" applyFont="1" applyFill="1" applyBorder="1" applyAlignment="1">
      <alignment horizontal="center"/>
    </xf>
    <xf numFmtId="0" fontId="54" fillId="2" borderId="7" xfId="0" applyFont="1" applyFill="1" applyBorder="1" applyAlignment="1">
      <alignment horizontal="center"/>
    </xf>
    <xf numFmtId="0" fontId="55" fillId="2" borderId="7" xfId="0" applyFont="1" applyFill="1" applyBorder="1" applyAlignment="1">
      <alignment horizontal="center"/>
    </xf>
    <xf numFmtId="0" fontId="53" fillId="0" borderId="7" xfId="0" applyFont="1" applyBorder="1" applyAlignment="1">
      <alignment vertical="center"/>
    </xf>
    <xf numFmtId="166" fontId="0" fillId="7" borderId="7" xfId="0" applyNumberFormat="1" applyFill="1" applyBorder="1"/>
    <xf numFmtId="166" fontId="53" fillId="0" borderId="7" xfId="0" applyNumberFormat="1" applyFont="1" applyBorder="1"/>
    <xf numFmtId="171" fontId="54" fillId="0" borderId="7" xfId="0" applyNumberFormat="1" applyFont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166" fontId="2" fillId="0" borderId="7" xfId="0" applyNumberFormat="1" applyFont="1" applyBorder="1"/>
    <xf numFmtId="10" fontId="2" fillId="0" borderId="7" xfId="0" applyNumberFormat="1" applyFont="1" applyBorder="1" applyAlignment="1">
      <alignment horizontal="center"/>
    </xf>
    <xf numFmtId="0" fontId="56" fillId="0" borderId="7" xfId="0" applyFont="1" applyBorder="1" applyAlignment="1">
      <alignment horizontal="center"/>
    </xf>
    <xf numFmtId="166" fontId="56" fillId="0" borderId="7" xfId="0" applyNumberFormat="1" applyFont="1" applyBorder="1"/>
    <xf numFmtId="0" fontId="8" fillId="12" borderId="7" xfId="0" applyFont="1" applyFill="1" applyBorder="1" applyAlignment="1">
      <alignment horizontal="center"/>
    </xf>
    <xf numFmtId="166" fontId="8" fillId="12" borderId="7" xfId="0" applyNumberFormat="1" applyFont="1" applyFill="1" applyBorder="1" applyAlignment="1">
      <alignment horizontal="center"/>
    </xf>
    <xf numFmtId="9" fontId="0" fillId="0" borderId="0" xfId="0" applyNumberFormat="1"/>
    <xf numFmtId="3" fontId="2" fillId="0" borderId="7" xfId="0" applyNumberFormat="1" applyFont="1" applyBorder="1" applyAlignment="1">
      <alignment horizontal="right"/>
    </xf>
    <xf numFmtId="3" fontId="57" fillId="0" borderId="7" xfId="0" applyNumberFormat="1" applyFont="1" applyBorder="1" applyAlignment="1">
      <alignment horizontal="right"/>
    </xf>
    <xf numFmtId="166" fontId="0" fillId="0" borderId="7" xfId="0" applyNumberFormat="1" applyBorder="1"/>
    <xf numFmtId="172" fontId="2" fillId="0" borderId="7" xfId="0" applyNumberFormat="1" applyFont="1" applyBorder="1" applyAlignment="1">
      <alignment horizontal="center"/>
    </xf>
    <xf numFmtId="3" fontId="0" fillId="7" borderId="7" xfId="0" applyNumberFormat="1" applyFill="1" applyBorder="1" applyAlignment="1">
      <alignment horizontal="right"/>
    </xf>
    <xf numFmtId="10" fontId="2" fillId="7" borderId="7" xfId="0" applyNumberFormat="1" applyFont="1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3" fontId="0" fillId="0" borderId="7" xfId="0" applyNumberFormat="1" applyBorder="1" applyAlignment="1">
      <alignment horizontal="right"/>
    </xf>
    <xf numFmtId="0" fontId="0" fillId="0" borderId="7" xfId="0" applyBorder="1" applyAlignment="1">
      <alignment horizontal="center"/>
    </xf>
    <xf numFmtId="3" fontId="0" fillId="7" borderId="7" xfId="0" applyNumberFormat="1" applyFill="1" applyBorder="1"/>
    <xf numFmtId="3" fontId="0" fillId="0" borderId="7" xfId="0" applyNumberFormat="1" applyBorder="1"/>
    <xf numFmtId="167" fontId="8" fillId="11" borderId="85" xfId="0" applyNumberFormat="1" applyFont="1" applyFill="1" applyBorder="1" applyAlignment="1">
      <alignment horizontal="center"/>
    </xf>
    <xf numFmtId="167" fontId="8" fillId="11" borderId="0" xfId="0" applyNumberFormat="1" applyFont="1" applyFill="1" applyAlignment="1">
      <alignment horizontal="center"/>
    </xf>
    <xf numFmtId="166" fontId="56" fillId="7" borderId="7" xfId="0" applyNumberFormat="1" applyFont="1" applyFill="1" applyBorder="1"/>
    <xf numFmtId="164" fontId="0" fillId="7" borderId="7" xfId="0" applyNumberFormat="1" applyFill="1" applyBorder="1" applyAlignment="1">
      <alignment horizontal="center"/>
    </xf>
    <xf numFmtId="164" fontId="53" fillId="0" borderId="7" xfId="0" applyNumberFormat="1" applyFont="1" applyBorder="1" applyAlignment="1">
      <alignment horizontal="center"/>
    </xf>
    <xf numFmtId="164" fontId="8" fillId="12" borderId="7" xfId="0" applyNumberFormat="1" applyFont="1" applyFill="1" applyBorder="1" applyAlignment="1">
      <alignment horizontal="center"/>
    </xf>
    <xf numFmtId="166" fontId="0" fillId="0" borderId="0" xfId="0" applyNumberFormat="1"/>
    <xf numFmtId="0" fontId="15" fillId="5" borderId="14" xfId="0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 vertical="center"/>
    </xf>
    <xf numFmtId="0" fontId="15" fillId="5" borderId="16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4" fillId="2" borderId="14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right" vertical="center"/>
    </xf>
    <xf numFmtId="0" fontId="24" fillId="0" borderId="33" xfId="0" applyFont="1" applyBorder="1" applyAlignment="1">
      <alignment horizontal="center" vertical="center"/>
    </xf>
    <xf numFmtId="173" fontId="36" fillId="14" borderId="39" xfId="0" applyNumberFormat="1" applyFont="1" applyFill="1" applyBorder="1" applyAlignment="1">
      <alignment horizontal="center" vertical="center" shrinkToFit="1"/>
    </xf>
    <xf numFmtId="0" fontId="16" fillId="2" borderId="7" xfId="0" applyFont="1" applyFill="1" applyBorder="1" applyAlignment="1">
      <alignment horizontal="center"/>
    </xf>
    <xf numFmtId="178" fontId="37" fillId="17" borderId="7" xfId="0" applyNumberFormat="1" applyFont="1" applyFill="1" applyBorder="1" applyAlignment="1">
      <alignment horizontal="center" vertical="center"/>
    </xf>
    <xf numFmtId="0" fontId="37" fillId="17" borderId="7" xfId="0" applyFont="1" applyFill="1" applyBorder="1" applyAlignment="1">
      <alignment horizontal="center" vertical="center"/>
    </xf>
    <xf numFmtId="0" fontId="46" fillId="2" borderId="76" xfId="0" applyFont="1" applyFill="1" applyBorder="1" applyAlignment="1">
      <alignment horizontal="center" vertical="center" textRotation="90" wrapText="1"/>
    </xf>
    <xf numFmtId="0" fontId="24" fillId="2" borderId="7" xfId="0" applyFont="1" applyFill="1" applyBorder="1" applyAlignment="1">
      <alignment horizontal="center" vertical="center"/>
    </xf>
    <xf numFmtId="0" fontId="24" fillId="0" borderId="7" xfId="0" applyFont="1" applyBorder="1" applyAlignment="1">
      <alignment horizontal="right" vertical="center"/>
    </xf>
    <xf numFmtId="0" fontId="24" fillId="0" borderId="7" xfId="0" applyFont="1" applyBorder="1" applyAlignment="1">
      <alignment horizontal="center" vertical="center"/>
    </xf>
    <xf numFmtId="173" fontId="36" fillId="14" borderId="77" xfId="0" applyNumberFormat="1" applyFont="1" applyFill="1" applyBorder="1" applyAlignment="1">
      <alignment horizontal="center" vertical="center" shrinkToFit="1"/>
    </xf>
    <xf numFmtId="0" fontId="53" fillId="0" borderId="82" xfId="0" applyFont="1" applyBorder="1" applyAlignment="1">
      <alignment horizontal="center" vertical="center"/>
    </xf>
    <xf numFmtId="0" fontId="53" fillId="23" borderId="2" xfId="0" applyFont="1" applyFill="1" applyBorder="1" applyAlignment="1">
      <alignment horizontal="center"/>
    </xf>
    <xf numFmtId="0" fontId="53" fillId="0" borderId="0" xfId="0" applyFont="1" applyAlignment="1">
      <alignment horizontal="center" vertical="center"/>
    </xf>
    <xf numFmtId="167" fontId="16" fillId="7" borderId="19" xfId="0" applyNumberFormat="1" applyFont="1" applyFill="1" applyBorder="1" applyAlignment="1">
      <alignment vertical="center"/>
    </xf>
    <xf numFmtId="167" fontId="17" fillId="10" borderId="0" xfId="0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53" fillId="0" borderId="0" xfId="0" applyFont="1" applyBorder="1" applyProtection="1">
      <protection locked="0"/>
    </xf>
    <xf numFmtId="0" fontId="0" fillId="0" borderId="0" xfId="0" applyBorder="1" applyAlignment="1" applyProtection="1">
      <alignment horizontal="center"/>
      <protection locked="0"/>
    </xf>
    <xf numFmtId="0" fontId="15" fillId="0" borderId="0" xfId="0" applyFont="1" applyFill="1" applyBorder="1" applyAlignment="1" applyProtection="1">
      <alignment horizontal="left" vertical="center"/>
      <protection locked="0"/>
    </xf>
    <xf numFmtId="0" fontId="0" fillId="0" borderId="0" xfId="0" applyFill="1"/>
    <xf numFmtId="167" fontId="16" fillId="7" borderId="36" xfId="0" applyNumberFormat="1" applyFont="1" applyFill="1" applyBorder="1" applyAlignment="1">
      <alignment vertical="center"/>
    </xf>
    <xf numFmtId="0" fontId="15" fillId="9" borderId="7" xfId="0" applyFont="1" applyFill="1" applyBorder="1" applyAlignment="1" applyProtection="1">
      <alignment horizontal="left" vertical="center"/>
      <protection locked="0"/>
    </xf>
    <xf numFmtId="0" fontId="16" fillId="9" borderId="7" xfId="0" applyFont="1" applyFill="1" applyBorder="1" applyAlignment="1" applyProtection="1">
      <alignment horizontal="left" vertical="center"/>
      <protection locked="0"/>
    </xf>
    <xf numFmtId="0" fontId="16" fillId="0" borderId="7" xfId="0" applyFont="1" applyFill="1" applyBorder="1" applyAlignment="1" applyProtection="1">
      <alignment horizontal="center" vertical="center"/>
      <protection locked="0"/>
    </xf>
    <xf numFmtId="181" fontId="16" fillId="0" borderId="7" xfId="0" applyNumberFormat="1" applyFont="1" applyFill="1" applyBorder="1" applyAlignment="1" applyProtection="1">
      <alignment horizontal="center" vertical="center"/>
      <protection locked="0"/>
    </xf>
    <xf numFmtId="0" fontId="53" fillId="0" borderId="7" xfId="0" applyFont="1" applyFill="1" applyBorder="1" applyAlignment="1" applyProtection="1">
      <alignment horizontal="center"/>
      <protection locked="0"/>
    </xf>
    <xf numFmtId="167" fontId="17" fillId="0" borderId="7" xfId="0" applyNumberFormat="1" applyFont="1" applyFill="1" applyBorder="1" applyAlignment="1" applyProtection="1">
      <alignment vertical="center"/>
      <protection locked="0"/>
    </xf>
    <xf numFmtId="0" fontId="53" fillId="0" borderId="7" xfId="0" applyFont="1" applyFill="1" applyBorder="1" applyProtection="1">
      <protection locked="0"/>
    </xf>
    <xf numFmtId="0" fontId="0" fillId="0" borderId="7" xfId="0" applyFill="1" applyBorder="1" applyAlignment="1" applyProtection="1">
      <alignment horizontal="center"/>
      <protection locked="0"/>
    </xf>
    <xf numFmtId="167" fontId="16" fillId="0" borderId="7" xfId="0" applyNumberFormat="1" applyFont="1" applyFill="1" applyBorder="1" applyAlignment="1" applyProtection="1">
      <alignment vertical="center"/>
      <protection locked="0"/>
    </xf>
    <xf numFmtId="0" fontId="45" fillId="11" borderId="19" xfId="0" applyFont="1" applyFill="1" applyBorder="1" applyAlignment="1">
      <alignment horizontal="center" vertical="center"/>
    </xf>
    <xf numFmtId="167" fontId="16" fillId="2" borderId="19" xfId="0" applyNumberFormat="1" applyFont="1" applyFill="1" applyBorder="1" applyAlignment="1">
      <alignment vertical="center"/>
    </xf>
    <xf numFmtId="0" fontId="0" fillId="0" borderId="0" xfId="0" applyFill="1" applyBorder="1"/>
    <xf numFmtId="167" fontId="17" fillId="0" borderId="0" xfId="0" applyNumberFormat="1" applyFont="1" applyFill="1" applyBorder="1" applyAlignment="1" applyProtection="1">
      <alignment vertical="center"/>
      <protection locked="0"/>
    </xf>
    <xf numFmtId="0" fontId="53" fillId="0" borderId="0" xfId="0" applyFont="1" applyFill="1" applyBorder="1" applyProtection="1">
      <protection locked="0"/>
    </xf>
    <xf numFmtId="0" fontId="0" fillId="0" borderId="0" xfId="0" applyFill="1" applyBorder="1" applyAlignment="1" applyProtection="1">
      <alignment horizontal="center"/>
      <protection locked="0"/>
    </xf>
    <xf numFmtId="0" fontId="15" fillId="0" borderId="7" xfId="0" applyFont="1" applyFill="1" applyBorder="1" applyAlignment="1" applyProtection="1">
      <alignment horizontal="left" vertical="center"/>
      <protection locked="0"/>
    </xf>
    <xf numFmtId="0" fontId="16" fillId="0" borderId="7" xfId="0" applyFont="1" applyFill="1" applyBorder="1" applyAlignment="1" applyProtection="1">
      <alignment horizontal="left" vertical="center"/>
      <protection locked="0"/>
    </xf>
    <xf numFmtId="0" fontId="37" fillId="12" borderId="19" xfId="0" applyFont="1" applyFill="1" applyBorder="1" applyAlignment="1">
      <alignment horizontal="center" vertical="center"/>
    </xf>
    <xf numFmtId="167" fontId="17" fillId="7" borderId="19" xfId="0" applyNumberFormat="1" applyFont="1" applyFill="1" applyBorder="1" applyAlignment="1">
      <alignment vertical="center"/>
    </xf>
    <xf numFmtId="167" fontId="16" fillId="2" borderId="36" xfId="0" applyNumberFormat="1" applyFont="1" applyFill="1" applyBorder="1" applyAlignment="1">
      <alignment vertical="center"/>
    </xf>
    <xf numFmtId="0" fontId="17" fillId="10" borderId="0" xfId="0" applyFont="1" applyFill="1" applyBorder="1" applyAlignment="1" applyProtection="1">
      <alignment horizontal="center" vertical="center"/>
      <protection locked="0"/>
    </xf>
    <xf numFmtId="191" fontId="19" fillId="0" borderId="0" xfId="0" applyNumberFormat="1" applyFont="1" applyAlignment="1">
      <alignment horizontal="center"/>
    </xf>
    <xf numFmtId="191" fontId="19" fillId="0" borderId="7" xfId="0" applyNumberFormat="1" applyFont="1" applyBorder="1" applyAlignment="1">
      <alignment horizontal="right"/>
    </xf>
    <xf numFmtId="186" fontId="19" fillId="0" borderId="7" xfId="0" applyNumberFormat="1" applyFont="1" applyBorder="1" applyAlignment="1">
      <alignment horizontal="left"/>
    </xf>
    <xf numFmtId="0" fontId="58" fillId="24" borderId="0" xfId="0" applyFont="1" applyFill="1"/>
    <xf numFmtId="186" fontId="17" fillId="2" borderId="7" xfId="0" applyNumberFormat="1" applyFont="1" applyFill="1" applyBorder="1" applyAlignment="1" applyProtection="1">
      <alignment horizontal="right" vertical="center"/>
      <protection locked="0"/>
    </xf>
    <xf numFmtId="167" fontId="18" fillId="7" borderId="7" xfId="0" applyNumberFormat="1" applyFont="1" applyFill="1" applyBorder="1" applyAlignment="1" applyProtection="1">
      <alignment vertical="center"/>
      <protection locked="0"/>
    </xf>
    <xf numFmtId="167" fontId="38" fillId="7" borderId="7" xfId="0" applyNumberFormat="1" applyFont="1" applyFill="1" applyBorder="1" applyAlignment="1">
      <alignment vertical="center"/>
    </xf>
    <xf numFmtId="167" fontId="18" fillId="7" borderId="7" xfId="0" applyNumberFormat="1" applyFont="1" applyFill="1" applyBorder="1" applyAlignment="1">
      <alignment horizontal="center" vertical="center"/>
    </xf>
    <xf numFmtId="167" fontId="18" fillId="7" borderId="7" xfId="0" applyNumberFormat="1" applyFont="1" applyFill="1" applyBorder="1" applyAlignment="1">
      <alignment vertical="center"/>
    </xf>
    <xf numFmtId="167" fontId="18" fillId="7" borderId="19" xfId="0" applyNumberFormat="1" applyFont="1" applyFill="1" applyBorder="1" applyAlignment="1">
      <alignment vertical="center"/>
    </xf>
    <xf numFmtId="191" fontId="17" fillId="0" borderId="7" xfId="0" applyNumberFormat="1" applyFont="1" applyBorder="1"/>
  </cellXfs>
  <cellStyles count="6">
    <cellStyle name="Normal" xfId="0" builtinId="0"/>
    <cellStyle name="Normal 2" xfId="1" xr:uid="{00000000-0005-0000-0000-000006000000}"/>
    <cellStyle name="Normal 3" xfId="2" xr:uid="{00000000-0005-0000-0000-000007000000}"/>
    <cellStyle name="Normal 4" xfId="3" xr:uid="{00000000-0005-0000-0000-000008000000}"/>
    <cellStyle name="Porcentagem 2" xfId="4" xr:uid="{00000000-0005-0000-0000-000009000000}"/>
    <cellStyle name="WinCalendar_BlankCells_44" xfId="5" xr:uid="{00000000-0005-0000-0000-00000A000000}"/>
  </cellStyles>
  <dxfs count="42">
    <dxf>
      <fill>
        <patternFill>
          <bgColor theme="3" tint="0.89989928891872917"/>
        </patternFill>
      </fill>
    </dxf>
    <dxf>
      <fill>
        <patternFill>
          <bgColor theme="3" tint="0.89989928891872917"/>
        </patternFill>
      </fill>
    </dxf>
    <dxf>
      <fill>
        <patternFill>
          <bgColor theme="3" tint="0.89989928891872917"/>
        </patternFill>
      </fill>
    </dxf>
    <dxf>
      <fill>
        <patternFill>
          <bgColor theme="3" tint="0.89989928891872917"/>
        </patternFill>
      </fill>
    </dxf>
    <dxf>
      <fill>
        <patternFill>
          <bgColor theme="3" tint="0.89989928891872917"/>
        </patternFill>
      </fill>
    </dxf>
    <dxf>
      <fill>
        <patternFill>
          <bgColor theme="3" tint="0.89989928891872917"/>
        </patternFill>
      </fill>
    </dxf>
    <dxf>
      <fill>
        <patternFill patternType="solid">
          <fgColor indexed="64"/>
          <bgColor rgb="FFF2CEEF"/>
        </patternFill>
      </fill>
    </dxf>
    <dxf>
      <fill>
        <patternFill patternType="solid">
          <fgColor indexed="64"/>
          <bgColor rgb="FF83CCEB"/>
        </patternFill>
      </fill>
    </dxf>
    <dxf>
      <fill>
        <patternFill patternType="solid">
          <fgColor indexed="64"/>
          <bgColor rgb="FFC5C5C5"/>
        </patternFill>
      </fill>
    </dxf>
    <dxf>
      <fill>
        <patternFill patternType="solid">
          <fgColor indexed="64"/>
          <bgColor rgb="FFCAEDFB"/>
        </patternFill>
      </fill>
    </dxf>
    <dxf>
      <fill>
        <patternFill patternType="solid">
          <fgColor indexed="64"/>
          <bgColor rgb="FFDAF2D0"/>
        </patternFill>
      </fill>
    </dxf>
    <dxf>
      <fill>
        <patternFill patternType="solid">
          <fgColor indexed="64"/>
          <bgColor rgb="FFFBE2D5"/>
        </patternFill>
      </fill>
    </dxf>
    <dxf>
      <font>
        <sz val="11"/>
        <color rgb="FF000000"/>
        <name val="Aptos Narrow"/>
        <family val="2"/>
        <charset val="1"/>
      </font>
    </dxf>
    <dxf>
      <fill>
        <patternFill patternType="solid">
          <fgColor indexed="64"/>
          <bgColor rgb="FFF2CEEF"/>
        </patternFill>
      </fill>
    </dxf>
    <dxf>
      <fill>
        <patternFill patternType="solid">
          <fgColor indexed="64"/>
          <bgColor rgb="FF83CCEB"/>
        </patternFill>
      </fill>
    </dxf>
    <dxf>
      <fill>
        <patternFill patternType="solid">
          <fgColor indexed="64"/>
          <bgColor rgb="FFC5C5C5"/>
        </patternFill>
      </fill>
    </dxf>
    <dxf>
      <fill>
        <patternFill patternType="solid">
          <fgColor indexed="64"/>
          <bgColor rgb="FFCAEDFB"/>
        </patternFill>
      </fill>
    </dxf>
    <dxf>
      <fill>
        <patternFill patternType="solid">
          <fgColor indexed="64"/>
          <bgColor rgb="FFDAF2D0"/>
        </patternFill>
      </fill>
    </dxf>
    <dxf>
      <fill>
        <patternFill patternType="solid">
          <fgColor indexed="64"/>
          <bgColor rgb="FFFBE2D5"/>
        </patternFill>
      </fill>
    </dxf>
    <dxf>
      <fill>
        <patternFill>
          <bgColor theme="3" tint="0.89989928891872917"/>
        </patternFill>
      </fill>
    </dxf>
    <dxf>
      <fill>
        <patternFill>
          <bgColor theme="3" tint="0.89989928891872917"/>
        </patternFill>
      </fill>
    </dxf>
    <dxf>
      <fill>
        <patternFill>
          <bgColor theme="3" tint="0.89989928891872917"/>
        </patternFill>
      </fill>
    </dxf>
    <dxf>
      <font>
        <sz val="11"/>
        <color rgb="FF000000"/>
        <name val="Aptos Narrow"/>
        <family val="2"/>
        <charset val="1"/>
      </font>
    </dxf>
    <dxf>
      <font>
        <sz val="11"/>
        <color rgb="FF000000"/>
        <name val="Aptos Narrow"/>
        <family val="2"/>
        <charset val="1"/>
      </font>
    </dxf>
    <dxf>
      <font>
        <sz val="11"/>
        <color rgb="FF000000"/>
        <name val="Aptos Narrow"/>
        <family val="2"/>
        <charset val="1"/>
      </font>
    </dxf>
    <dxf>
      <font>
        <sz val="11"/>
        <color rgb="FF000000"/>
        <name val="Aptos Narrow"/>
        <family val="2"/>
        <charset val="1"/>
      </font>
    </dxf>
    <dxf>
      <font>
        <sz val="11"/>
        <color rgb="FF000000"/>
        <name val="Aptos Narrow"/>
        <family val="2"/>
        <charset val="1"/>
      </font>
    </dxf>
    <dxf>
      <font>
        <sz val="11"/>
        <color rgb="FF000000"/>
        <name val="Aptos Narrow"/>
        <family val="2"/>
        <charset val="1"/>
      </font>
    </dxf>
    <dxf>
      <font>
        <sz val="11"/>
        <color rgb="FF000000"/>
        <name val="Aptos Narrow"/>
        <family val="2"/>
        <charset val="1"/>
      </font>
    </dxf>
    <dxf>
      <font>
        <sz val="11"/>
        <color rgb="FF000000"/>
        <name val="Aptos Narrow"/>
        <family val="2"/>
        <charset val="1"/>
      </font>
    </dxf>
    <dxf>
      <font>
        <sz val="11"/>
        <color rgb="FF000000"/>
        <name val="Aptos Narrow"/>
        <family val="2"/>
        <charset val="1"/>
      </font>
    </dxf>
    <dxf>
      <font>
        <sz val="11"/>
        <color rgb="FF000000"/>
        <name val="Aptos Narrow"/>
        <family val="2"/>
        <charset val="1"/>
      </font>
    </dxf>
    <dxf>
      <fill>
        <patternFill>
          <bgColor theme="3" tint="0.89989928891872917"/>
        </patternFill>
      </fill>
    </dxf>
    <dxf>
      <fill>
        <patternFill>
          <bgColor theme="3" tint="0.89989928891872917"/>
        </patternFill>
      </fill>
    </dxf>
    <dxf>
      <fill>
        <patternFill>
          <bgColor theme="3" tint="0.89989928891872917"/>
        </patternFill>
      </fill>
    </dxf>
    <dxf>
      <fill>
        <patternFill>
          <bgColor theme="3" tint="0.89989928891872917"/>
        </patternFill>
      </fill>
    </dxf>
    <dxf>
      <fill>
        <patternFill>
          <bgColor theme="3" tint="0.89989928891872917"/>
        </patternFill>
      </fill>
    </dxf>
    <dxf>
      <fill>
        <patternFill>
          <bgColor theme="3" tint="0.89989928891872917"/>
        </patternFill>
      </fill>
    </dxf>
    <dxf>
      <fill>
        <patternFill>
          <bgColor theme="3" tint="0.89989928891872917"/>
        </patternFill>
      </fill>
    </dxf>
    <dxf>
      <fill>
        <patternFill>
          <bgColor theme="3" tint="0.89989928891872917"/>
        </patternFill>
      </fill>
    </dxf>
    <dxf>
      <fill>
        <patternFill>
          <bgColor theme="3" tint="0.89989928891872917"/>
        </patternFill>
      </fill>
    </dxf>
    <dxf>
      <fill>
        <patternFill>
          <bgColor theme="3" tint="0.8998992889187291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D9D9D9"/>
      <rgbColor rgb="FF0000FF"/>
      <rgbColor rgb="FFFFFF00"/>
      <rgbColor rgb="FFF2CFEE"/>
      <rgbColor rgb="FF83CBEB"/>
      <rgbColor rgb="FF641A1A"/>
      <rgbColor rgb="FF196B24"/>
      <rgbColor rgb="FF000080"/>
      <rgbColor rgb="FF718DB7"/>
      <rgbColor rgb="FFDCEAF7"/>
      <rgbColor rgb="FF156082"/>
      <rgbColor rgb="FFBFBFBF"/>
      <rgbColor rgb="FF7C808A"/>
      <rgbColor rgb="FFABBCD5"/>
      <rgbColor rgb="FF595959"/>
      <rgbColor rgb="FFFFFFCC"/>
      <rgbColor rgb="FFCCFFFF"/>
      <rgbColor rgb="FFF2F2F2"/>
      <rgbColor rgb="FFC5C5C5"/>
      <rgbColor rgb="FF0070C0"/>
      <rgbColor rgb="FFD6DDEE"/>
      <rgbColor rgb="FF000080"/>
      <rgbColor rgb="FFFBE3D6"/>
      <rgbColor rgb="FFD9F2D0"/>
      <rgbColor rgb="FFCAEDFB"/>
      <rgbColor rgb="FFDDEBF7"/>
      <rgbColor rgb="FFEE0000"/>
      <rgbColor rgb="FF215F9A"/>
      <rgbColor rgb="FF0000FF"/>
      <rgbColor rgb="FF0F9ED5"/>
      <rgbColor rgb="FFCAEEFB"/>
      <rgbColor rgb="FFC2F1C8"/>
      <rgbColor rgb="FFDAF2D0"/>
      <rgbColor rgb="FFA6CAEC"/>
      <rgbColor rgb="FFF2CEEF"/>
      <rgbColor rgb="FFA6A6A6"/>
      <rgbColor rgb="FFFBE2D5"/>
      <rgbColor rgb="FF415D8B"/>
      <rgbColor rgb="FF83CCEB"/>
      <rgbColor rgb="FF92D050"/>
      <rgbColor rgb="FFFFC000"/>
      <rgbColor rgb="FFC9C9C9"/>
      <rgbColor rgb="FFE97132"/>
      <rgbColor rgb="FF666699"/>
      <rgbColor rgb="FF8B8B8B"/>
      <rgbColor rgb="FF003366"/>
      <rgbColor rgb="FF00B050"/>
      <rgbColor rgb="FF003300"/>
      <rgbColor rgb="FFDEE3EA"/>
      <rgbColor rgb="FFC04F15"/>
      <rgbColor rgb="FFD8D8D8"/>
      <rgbColor rgb="FF263E74"/>
      <rgbColor rgb="FF0E284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400" b="1" strike="noStrike" spc="-1">
                <a:solidFill>
                  <a:srgbClr val="595959"/>
                </a:solidFill>
                <a:latin typeface="Aptos Narrow"/>
              </a:defRPr>
            </a:pPr>
            <a:r>
              <a:rPr lang="pt-BR" sz="1400" b="1" strike="noStrike" spc="-1">
                <a:solidFill>
                  <a:srgbClr val="595959"/>
                </a:solidFill>
                <a:latin typeface="Aptos Narrow"/>
              </a:rPr>
              <a:t>Turnover 2025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'Rotatividade 2025'!$E$3</c:f>
              <c:strCache>
                <c:ptCount val="1"/>
                <c:pt idx="0">
                  <c:v>Turnover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'Rotatividade 2025'!$A$4:$A$15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'Rotatividade 2025'!$E$4:$E$15</c:f>
              <c:numCache>
                <c:formatCode>0.00%</c:formatCode>
                <c:ptCount val="12"/>
                <c:pt idx="0">
                  <c:v>0.1</c:v>
                </c:pt>
                <c:pt idx="1">
                  <c:v>0.33333333333333331</c:v>
                </c:pt>
                <c:pt idx="2">
                  <c:v>0.33333333333333331</c:v>
                </c:pt>
                <c:pt idx="3">
                  <c:v>0.16666666666666666</c:v>
                </c:pt>
                <c:pt idx="4">
                  <c:v>0</c:v>
                </c:pt>
                <c:pt idx="5">
                  <c:v>0.25</c:v>
                </c:pt>
                <c:pt idx="6">
                  <c:v>0.1</c:v>
                </c:pt>
                <c:pt idx="7">
                  <c:v>0</c:v>
                </c:pt>
                <c:pt idx="8">
                  <c:v>0.125</c:v>
                </c:pt>
                <c:pt idx="9">
                  <c:v>0</c:v>
                </c:pt>
                <c:pt idx="10">
                  <c:v>0.25</c:v>
                </c:pt>
                <c:pt idx="1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19-4C1D-A4D9-52CC84363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6099817"/>
        <c:axId val="54215832"/>
      </c:barChart>
      <c:lineChart>
        <c:grouping val="standard"/>
        <c:varyColors val="0"/>
        <c:ser>
          <c:idx val="1"/>
          <c:order val="1"/>
          <c:tx>
            <c:strRef>
              <c:f>'Rotatividade 2025'!$F$3</c:f>
              <c:strCache>
                <c:ptCount val="1"/>
                <c:pt idx="0">
                  <c:v>Média</c:v>
                </c:pt>
              </c:strCache>
            </c:strRef>
          </c:tx>
          <c:spPr>
            <a:ln w="28440" cap="rnd">
              <a:solidFill>
                <a:srgbClr val="E97132"/>
              </a:solidFill>
              <a:round/>
            </a:ln>
          </c:spPr>
          <c:marker>
            <c:symbol val="circle"/>
            <c:size val="5"/>
            <c:spPr>
              <a:solidFill>
                <a:srgbClr val="E9713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'Rotatividade 2025'!$A$4:$A$15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'Rotatividade 2025'!$F$4:$F$15</c:f>
              <c:numCache>
                <c:formatCode>0.00%</c:formatCode>
                <c:ptCount val="12"/>
                <c:pt idx="0">
                  <c:v>0.1</c:v>
                </c:pt>
                <c:pt idx="1">
                  <c:v>0.21666666666666667</c:v>
                </c:pt>
                <c:pt idx="2">
                  <c:v>0.25555555555555554</c:v>
                </c:pt>
                <c:pt idx="3">
                  <c:v>0.23333333333333331</c:v>
                </c:pt>
                <c:pt idx="4">
                  <c:v>0.18666666666666665</c:v>
                </c:pt>
                <c:pt idx="5">
                  <c:v>0.19722222222222219</c:v>
                </c:pt>
                <c:pt idx="6">
                  <c:v>0.18333333333333332</c:v>
                </c:pt>
                <c:pt idx="7">
                  <c:v>0.16041666666666665</c:v>
                </c:pt>
                <c:pt idx="8">
                  <c:v>0.15648148148148147</c:v>
                </c:pt>
                <c:pt idx="9">
                  <c:v>0.14083333333333331</c:v>
                </c:pt>
                <c:pt idx="10">
                  <c:v>0.15075757575757576</c:v>
                </c:pt>
                <c:pt idx="11">
                  <c:v>0.17986111111111111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19-4C1D-A4D9-52CC8436317A}"/>
            </c:ext>
          </c:extLst>
        </c:ser>
        <c:ser>
          <c:idx val="2"/>
          <c:order val="2"/>
          <c:tx>
            <c:strRef>
              <c:f>'Rotatividade 2025'!$G$3</c:f>
              <c:strCache>
                <c:ptCount val="1"/>
                <c:pt idx="0">
                  <c:v>Meta</c:v>
                </c:pt>
              </c:strCache>
            </c:strRef>
          </c:tx>
          <c:spPr>
            <a:ln w="28440" cap="rnd">
              <a:solidFill>
                <a:srgbClr val="196B2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'Rotatividade 2025'!$A$4:$A$15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'Rotatividade 2025'!$G$4:$G$15</c:f>
              <c:numCache>
                <c:formatCode>0.00%</c:formatCode>
                <c:ptCount val="12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19-4C1D-A4D9-52CC84363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687649"/>
        <c:axId val="22898721"/>
      </c:lineChart>
      <c:catAx>
        <c:axId val="7609981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t-BR"/>
          </a:p>
        </c:txPr>
        <c:crossAx val="54215832"/>
        <c:crosses val="autoZero"/>
        <c:auto val="1"/>
        <c:lblAlgn val="ctr"/>
        <c:lblOffset val="100"/>
        <c:noMultiLvlLbl val="0"/>
      </c:catAx>
      <c:valAx>
        <c:axId val="5421583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%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t-BR"/>
          </a:p>
        </c:txPr>
        <c:crossAx val="76099817"/>
        <c:crosses val="autoZero"/>
        <c:crossBetween val="between"/>
      </c:valAx>
      <c:catAx>
        <c:axId val="768764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2898721"/>
        <c:crosses val="autoZero"/>
        <c:auto val="1"/>
        <c:lblAlgn val="ctr"/>
        <c:lblOffset val="100"/>
        <c:noMultiLvlLbl val="0"/>
      </c:catAx>
      <c:valAx>
        <c:axId val="22898721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768764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ptos Narrow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400" b="1" strike="noStrike" spc="-1">
                <a:solidFill>
                  <a:srgbClr val="595959"/>
                </a:solidFill>
                <a:latin typeface="Aptos Narrow"/>
              </a:defRPr>
            </a:pPr>
            <a:r>
              <a:rPr lang="pt-BR" sz="1400" b="1" strike="noStrike" spc="-1">
                <a:solidFill>
                  <a:srgbClr val="595959"/>
                </a:solidFill>
                <a:latin typeface="Aptos Narrow"/>
              </a:rPr>
              <a:t>Absenteísmo 2025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'Rotatividade 2025'!$L$3</c:f>
              <c:strCache>
                <c:ptCount val="1"/>
                <c:pt idx="0">
                  <c:v>Absenteísmo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'Rotatividade 2025'!$I$4:$I$15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'Rotatividade 2025'!$L$4:$L$15</c:f>
              <c:numCache>
                <c:formatCode>0.00%</c:formatCode>
                <c:ptCount val="12"/>
                <c:pt idx="0">
                  <c:v>2.2727272727272728E-2</c:v>
                </c:pt>
                <c:pt idx="1">
                  <c:v>0</c:v>
                </c:pt>
                <c:pt idx="2">
                  <c:v>7.9365079365079378E-3</c:v>
                </c:pt>
                <c:pt idx="3">
                  <c:v>0</c:v>
                </c:pt>
                <c:pt idx="4">
                  <c:v>3.787878787878788E-2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0.14074074074074075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F1-4691-8FB9-FAB33144D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625289"/>
        <c:axId val="65807625"/>
      </c:barChart>
      <c:lineChart>
        <c:grouping val="standard"/>
        <c:varyColors val="0"/>
        <c:ser>
          <c:idx val="1"/>
          <c:order val="1"/>
          <c:tx>
            <c:strRef>
              <c:f>'Rotatividade 2025'!$M$3</c:f>
              <c:strCache>
                <c:ptCount val="1"/>
                <c:pt idx="0">
                  <c:v>Média</c:v>
                </c:pt>
              </c:strCache>
            </c:strRef>
          </c:tx>
          <c:spPr>
            <a:ln w="28440" cap="rnd">
              <a:solidFill>
                <a:srgbClr val="E97132"/>
              </a:solidFill>
              <a:round/>
            </a:ln>
          </c:spPr>
          <c:marker>
            <c:symbol val="circle"/>
            <c:size val="5"/>
            <c:spPr>
              <a:solidFill>
                <a:srgbClr val="E9713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'Rotatividade 2025'!$I$4:$I$15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'Rotatividade 2025'!$M$4:$M$15</c:f>
              <c:numCache>
                <c:formatCode>0.00%</c:formatCode>
                <c:ptCount val="12"/>
                <c:pt idx="0">
                  <c:v>2.2727272727272728E-2</c:v>
                </c:pt>
                <c:pt idx="1">
                  <c:v>1.1363636363636364E-2</c:v>
                </c:pt>
                <c:pt idx="2">
                  <c:v>1.0221260221260221E-2</c:v>
                </c:pt>
                <c:pt idx="3">
                  <c:v>7.665945165945166E-3</c:v>
                </c:pt>
                <c:pt idx="4">
                  <c:v>1.3708513708513708E-2</c:v>
                </c:pt>
                <c:pt idx="5">
                  <c:v>1.1423761423761425E-2</c:v>
                </c:pt>
                <c:pt idx="6">
                  <c:v>9.791795506081221E-3</c:v>
                </c:pt>
                <c:pt idx="7">
                  <c:v>8.567821067821068E-3</c:v>
                </c:pt>
                <c:pt idx="8">
                  <c:v>7.615840949174283E-3</c:v>
                </c:pt>
                <c:pt idx="9">
                  <c:v>2.0928330928330928E-2</c:v>
                </c:pt>
                <c:pt idx="10">
                  <c:v>1.9025755389391753E-2</c:v>
                </c:pt>
                <c:pt idx="11">
                  <c:v>1.7440275773609109E-2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F1-4691-8FB9-FAB33144D730}"/>
            </c:ext>
          </c:extLst>
        </c:ser>
        <c:ser>
          <c:idx val="2"/>
          <c:order val="2"/>
          <c:tx>
            <c:strRef>
              <c:f>'Rotatividade 2025'!$N$3</c:f>
              <c:strCache>
                <c:ptCount val="1"/>
                <c:pt idx="0">
                  <c:v>Meta</c:v>
                </c:pt>
              </c:strCache>
            </c:strRef>
          </c:tx>
          <c:spPr>
            <a:ln w="28440" cap="rnd">
              <a:solidFill>
                <a:srgbClr val="196B2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'Rotatividade 2025'!$I$4:$I$15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'Rotatividade 2025'!$N$4:$N$15</c:f>
              <c:numCache>
                <c:formatCode>0.00%</c:formatCode>
                <c:ptCount val="12"/>
                <c:pt idx="0">
                  <c:v>4.4999999999999998E-2</c:v>
                </c:pt>
                <c:pt idx="1">
                  <c:v>4.4999999999999998E-2</c:v>
                </c:pt>
                <c:pt idx="2">
                  <c:v>4.4999999999999998E-2</c:v>
                </c:pt>
                <c:pt idx="3">
                  <c:v>4.4999999999999998E-2</c:v>
                </c:pt>
                <c:pt idx="4">
                  <c:v>4.4999999999999998E-2</c:v>
                </c:pt>
                <c:pt idx="5">
                  <c:v>4.4999999999999998E-2</c:v>
                </c:pt>
                <c:pt idx="6">
                  <c:v>4.4999999999999998E-2</c:v>
                </c:pt>
                <c:pt idx="7">
                  <c:v>4.4999999999999998E-2</c:v>
                </c:pt>
                <c:pt idx="8">
                  <c:v>4.4999999999999998E-2</c:v>
                </c:pt>
                <c:pt idx="9">
                  <c:v>4.4999999999999998E-2</c:v>
                </c:pt>
                <c:pt idx="10">
                  <c:v>4.4999999999999998E-2</c:v>
                </c:pt>
                <c:pt idx="11">
                  <c:v>4.4999999999999998E-2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F1-4691-8FB9-FAB33144D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1468246"/>
        <c:axId val="96150446"/>
      </c:lineChart>
      <c:catAx>
        <c:axId val="2562528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t-BR"/>
          </a:p>
        </c:txPr>
        <c:crossAx val="65807625"/>
        <c:crosses val="autoZero"/>
        <c:auto val="1"/>
        <c:lblAlgn val="ctr"/>
        <c:lblOffset val="100"/>
        <c:noMultiLvlLbl val="0"/>
      </c:catAx>
      <c:valAx>
        <c:axId val="6580762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%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t-BR"/>
          </a:p>
        </c:txPr>
        <c:crossAx val="25625289"/>
        <c:crosses val="autoZero"/>
        <c:crossBetween val="between"/>
      </c:valAx>
      <c:catAx>
        <c:axId val="8146824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6150446"/>
        <c:crosses val="autoZero"/>
        <c:auto val="1"/>
        <c:lblAlgn val="ctr"/>
        <c:lblOffset val="100"/>
        <c:noMultiLvlLbl val="0"/>
      </c:catAx>
      <c:valAx>
        <c:axId val="96150446"/>
        <c:scaling>
          <c:orientation val="minMax"/>
        </c:scaling>
        <c:delete val="1"/>
        <c:axPos val="l"/>
        <c:numFmt formatCode="0.00%" sourceLinked="1"/>
        <c:majorTickMark val="out"/>
        <c:minorTickMark val="none"/>
        <c:tickLblPos val="nextTo"/>
        <c:crossAx val="8146824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ptos Narrow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595959"/>
                </a:solidFill>
                <a:latin typeface="Aptos Narrow"/>
              </a:defRPr>
            </a:pPr>
            <a:r>
              <a:rPr lang="pt-BR" sz="1800" b="1" strike="noStrike" spc="-1">
                <a:solidFill>
                  <a:srgbClr val="595959"/>
                </a:solidFill>
                <a:latin typeface="Aptos Narrow"/>
              </a:rPr>
              <a:t>Custo / Faturamento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8596167166936001E-2"/>
          <c:y val="0.155542240862792"/>
          <c:w val="0.86354190718079005"/>
          <c:h val="0.620730976632714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ADM_Custo!$C$13</c:f>
              <c:strCache>
                <c:ptCount val="1"/>
                <c:pt idx="0">
                  <c:v>Faturam.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ADM_Custo!$B$14:$B$25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ADM_Custo!$C$14:$C$25</c:f>
              <c:numCache>
                <c:formatCode>#,##0</c:formatCode>
                <c:ptCount val="12"/>
                <c:pt idx="0">
                  <c:v>1908972</c:v>
                </c:pt>
                <c:pt idx="1">
                  <c:v>1434145</c:v>
                </c:pt>
                <c:pt idx="2">
                  <c:v>1661970</c:v>
                </c:pt>
                <c:pt idx="3">
                  <c:v>1747250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86-4521-A4FD-A36605E8C59B}"/>
            </c:ext>
          </c:extLst>
        </c:ser>
        <c:ser>
          <c:idx val="1"/>
          <c:order val="1"/>
          <c:tx>
            <c:strRef>
              <c:f>ADM_Custo!$D$13</c:f>
              <c:strCache>
                <c:ptCount val="1"/>
                <c:pt idx="0">
                  <c:v>Custo</c:v>
                </c:pt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ADM_Custo!$B$14:$B$25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ADM_Custo!$D$14:$D$25</c:f>
              <c:numCache>
                <c:formatCode>_-* #,##0_-;\-* #,##0_-;_-* \-_-;_-@_-</c:formatCode>
                <c:ptCount val="12"/>
                <c:pt idx="0">
                  <c:v>65440.071111111109</c:v>
                </c:pt>
                <c:pt idx="1">
                  <c:v>79219.737777777773</c:v>
                </c:pt>
                <c:pt idx="2">
                  <c:v>81677.676666666666</c:v>
                </c:pt>
                <c:pt idx="3">
                  <c:v>78463.748888888891</c:v>
                </c:pt>
                <c:pt idx="4" formatCode="_-* #,##0_-;\-* #,##0_-;_-* \-??_-;_-@_-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86-4521-A4FD-A36605E8C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968173"/>
        <c:axId val="21051522"/>
      </c:barChart>
      <c:lineChart>
        <c:grouping val="standard"/>
        <c:varyColors val="0"/>
        <c:ser>
          <c:idx val="2"/>
          <c:order val="2"/>
          <c:tx>
            <c:strRef>
              <c:f>ADM_Custo!$E$13</c:f>
              <c:strCache>
                <c:ptCount val="1"/>
                <c:pt idx="0">
                  <c:v>%</c:v>
                </c:pt>
              </c:strCache>
            </c:strRef>
          </c:tx>
          <c:spPr>
            <a:ln w="28440" cap="rnd">
              <a:solidFill>
                <a:srgbClr val="196B2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ADM_Custo!$B$14:$B$25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ADM_Custo!$E$14:$E$25</c:f>
              <c:numCache>
                <c:formatCode>0.00%</c:formatCode>
                <c:ptCount val="12"/>
                <c:pt idx="0">
                  <c:v>3.428026765772945E-2</c:v>
                </c:pt>
                <c:pt idx="1">
                  <c:v>5.5238304200605777E-2</c:v>
                </c:pt>
                <c:pt idx="2">
                  <c:v>4.914509688301634E-2</c:v>
                </c:pt>
                <c:pt idx="3">
                  <c:v>4.4906996073194386E-2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86-4521-A4FD-A36605E8C59B}"/>
            </c:ext>
          </c:extLst>
        </c:ser>
        <c:ser>
          <c:idx val="3"/>
          <c:order val="3"/>
          <c:tx>
            <c:strRef>
              <c:f>ADM_Custo!$F$13</c:f>
              <c:strCache>
                <c:ptCount val="1"/>
                <c:pt idx="0">
                  <c:v>Meta</c:v>
                </c:pt>
              </c:strCache>
            </c:strRef>
          </c:tx>
          <c:spPr>
            <a:ln w="28440" cap="rnd">
              <a:solidFill>
                <a:srgbClr val="0F9ED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ADM_Custo!$B$14:$B$25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ADM_Custo!$F$14:$F$25</c:f>
              <c:numCache>
                <c:formatCode>0.00%</c:formatCode>
                <c:ptCount val="12"/>
                <c:pt idx="0">
                  <c:v>0.04</c:v>
                </c:pt>
                <c:pt idx="1">
                  <c:v>0.04</c:v>
                </c:pt>
                <c:pt idx="2">
                  <c:v>0.04</c:v>
                </c:pt>
                <c:pt idx="3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86-4521-A4FD-A36605E8C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7197983"/>
        <c:axId val="49641660"/>
      </c:lineChart>
      <c:catAx>
        <c:axId val="8696817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t-BR"/>
          </a:p>
        </c:txPr>
        <c:crossAx val="21051522"/>
        <c:crosses val="autoZero"/>
        <c:auto val="1"/>
        <c:lblAlgn val="ctr"/>
        <c:lblOffset val="100"/>
        <c:noMultiLvlLbl val="0"/>
      </c:catAx>
      <c:valAx>
        <c:axId val="2105152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t-BR"/>
          </a:p>
        </c:txPr>
        <c:crossAx val="86968173"/>
        <c:crosses val="autoZero"/>
        <c:crossBetween val="between"/>
      </c:valAx>
      <c:catAx>
        <c:axId val="771979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641660"/>
        <c:crosses val="autoZero"/>
        <c:auto val="1"/>
        <c:lblAlgn val="ctr"/>
        <c:lblOffset val="100"/>
        <c:noMultiLvlLbl val="0"/>
      </c:catAx>
      <c:valAx>
        <c:axId val="49641660"/>
        <c:scaling>
          <c:orientation val="minMax"/>
        </c:scaling>
        <c:delete val="0"/>
        <c:axPos val="r"/>
        <c:numFmt formatCode="0.00%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t-BR"/>
          </a:p>
        </c:txPr>
        <c:crossAx val="77197983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ptos Narrow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400" b="1" strike="noStrike" spc="-1">
                <a:solidFill>
                  <a:srgbClr val="595959"/>
                </a:solidFill>
                <a:latin typeface="Aptos Narrow"/>
              </a:defRPr>
            </a:pPr>
            <a:r>
              <a:rPr lang="pt-BR" sz="1400" b="1" strike="noStrike" spc="-1">
                <a:solidFill>
                  <a:srgbClr val="595959"/>
                </a:solidFill>
                <a:latin typeface="Aptos Narrow"/>
              </a:rPr>
              <a:t>Turnover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ADM_Custo!$F$31</c:f>
              <c:strCache>
                <c:ptCount val="1"/>
                <c:pt idx="0">
                  <c:v>Turnover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ADM_Custo!$B$32:$B$43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ADM_Custo!$F$32:$F$43</c:f>
              <c:numCache>
                <c:formatCode>0.00%</c:formatCode>
                <c:ptCount val="12"/>
                <c:pt idx="0">
                  <c:v>0.125</c:v>
                </c:pt>
                <c:pt idx="1">
                  <c:v>0.16666666666666666</c:v>
                </c:pt>
                <c:pt idx="2">
                  <c:v>0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2B-46B9-91FA-8AF73A20F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6228557"/>
        <c:axId val="30787433"/>
      </c:barChart>
      <c:lineChart>
        <c:grouping val="standard"/>
        <c:varyColors val="0"/>
        <c:ser>
          <c:idx val="1"/>
          <c:order val="1"/>
          <c:tx>
            <c:strRef>
              <c:f>ADM_Custo!$G$31</c:f>
              <c:strCache>
                <c:ptCount val="1"/>
                <c:pt idx="0">
                  <c:v>Média</c:v>
                </c:pt>
              </c:strCache>
            </c:strRef>
          </c:tx>
          <c:spPr>
            <a:ln w="28440" cap="rnd">
              <a:solidFill>
                <a:srgbClr val="E97132"/>
              </a:solidFill>
              <a:round/>
            </a:ln>
          </c:spPr>
          <c:marker>
            <c:symbol val="circle"/>
            <c:size val="5"/>
            <c:spPr>
              <a:solidFill>
                <a:srgbClr val="E9713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ADM_Custo!$B$32:$B$43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ADM_Custo!$G$32:$G$43</c:f>
              <c:numCache>
                <c:formatCode>0.00%</c:formatCode>
                <c:ptCount val="12"/>
                <c:pt idx="0">
                  <c:v>0.125</c:v>
                </c:pt>
                <c:pt idx="1">
                  <c:v>0.14583333333333331</c:v>
                </c:pt>
                <c:pt idx="2">
                  <c:v>9.722222222222221E-2</c:v>
                </c:pt>
                <c:pt idx="3">
                  <c:v>9.7916666666666652E-2</c:v>
                </c:pt>
                <c:pt idx="4">
                  <c:v>7.8333333333333324E-2</c:v>
                </c:pt>
                <c:pt idx="5">
                  <c:v>6.5277777777777768E-2</c:v>
                </c:pt>
                <c:pt idx="6">
                  <c:v>5.5952380952380941E-2</c:v>
                </c:pt>
                <c:pt idx="7">
                  <c:v>4.8958333333333326E-2</c:v>
                </c:pt>
                <c:pt idx="8">
                  <c:v>4.3518518518518512E-2</c:v>
                </c:pt>
                <c:pt idx="9">
                  <c:v>3.9166666666666662E-2</c:v>
                </c:pt>
                <c:pt idx="10">
                  <c:v>3.5606060606060599E-2</c:v>
                </c:pt>
                <c:pt idx="11">
                  <c:v>3.2638888888888884E-2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2B-46B9-91FA-8AF73A20F258}"/>
            </c:ext>
          </c:extLst>
        </c:ser>
        <c:ser>
          <c:idx val="2"/>
          <c:order val="2"/>
          <c:tx>
            <c:strRef>
              <c:f>ADM_Custo!$H$31</c:f>
              <c:strCache>
                <c:ptCount val="1"/>
                <c:pt idx="0">
                  <c:v>Meta</c:v>
                </c:pt>
              </c:strCache>
            </c:strRef>
          </c:tx>
          <c:spPr>
            <a:ln w="28440" cap="rnd">
              <a:solidFill>
                <a:srgbClr val="196B24"/>
              </a:solidFill>
              <a:round/>
            </a:ln>
          </c:spPr>
          <c:marker>
            <c:symbol val="circle"/>
            <c:size val="5"/>
            <c:spPr>
              <a:solidFill>
                <a:srgbClr val="196B2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ADM_Custo!$B$32:$B$43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ADM_Custo!$H$32:$H$43</c:f>
              <c:numCache>
                <c:formatCode>0.00%</c:formatCode>
                <c:ptCount val="12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0.15</c:v>
                </c:pt>
                <c:pt idx="7">
                  <c:v>0.15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2B-46B9-91FA-8AF73A20F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518327"/>
        <c:axId val="82558726"/>
      </c:lineChart>
      <c:catAx>
        <c:axId val="3622855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t-BR"/>
          </a:p>
        </c:txPr>
        <c:crossAx val="30787433"/>
        <c:crosses val="autoZero"/>
        <c:auto val="1"/>
        <c:lblAlgn val="ctr"/>
        <c:lblOffset val="100"/>
        <c:noMultiLvlLbl val="0"/>
      </c:catAx>
      <c:valAx>
        <c:axId val="3078743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%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t-BR"/>
          </a:p>
        </c:txPr>
        <c:crossAx val="36228557"/>
        <c:crosses val="autoZero"/>
        <c:crossBetween val="between"/>
      </c:valAx>
      <c:catAx>
        <c:axId val="85183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2558726"/>
        <c:crosses val="autoZero"/>
        <c:auto val="1"/>
        <c:lblAlgn val="ctr"/>
        <c:lblOffset val="100"/>
        <c:noMultiLvlLbl val="0"/>
      </c:catAx>
      <c:valAx>
        <c:axId val="8255872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851832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ptos Narrow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400" b="1" strike="noStrike" spc="-1">
                <a:solidFill>
                  <a:srgbClr val="595959"/>
                </a:solidFill>
                <a:latin typeface="Aptos Narrow"/>
              </a:defRPr>
            </a:pPr>
            <a:r>
              <a:rPr lang="pt-BR" sz="1400" b="1" strike="noStrike" spc="-1">
                <a:solidFill>
                  <a:srgbClr val="595959"/>
                </a:solidFill>
                <a:latin typeface="Aptos Narrow"/>
              </a:rPr>
              <a:t>Absenteísmo 2026
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ADM_Custo!$B$48:$B$60</c:f>
              <c:strCache>
                <c:ptCount val="13"/>
                <c:pt idx="0">
                  <c:v>Mês</c:v>
                </c:pt>
                <c:pt idx="1">
                  <c:v>Jan</c:v>
                </c:pt>
                <c:pt idx="2">
                  <c:v>Fev</c:v>
                </c:pt>
                <c:pt idx="3">
                  <c:v>Mar</c:v>
                </c:pt>
                <c:pt idx="4">
                  <c:v>Abr</c:v>
                </c:pt>
                <c:pt idx="5">
                  <c:v>Mai</c:v>
                </c:pt>
                <c:pt idx="6">
                  <c:v>Jun</c:v>
                </c:pt>
                <c:pt idx="7">
                  <c:v>Jul</c:v>
                </c:pt>
                <c:pt idx="8">
                  <c:v>Ago</c:v>
                </c:pt>
                <c:pt idx="9">
                  <c:v>Set</c:v>
                </c:pt>
                <c:pt idx="10">
                  <c:v>Out</c:v>
                </c:pt>
                <c:pt idx="11">
                  <c:v>Nov</c:v>
                </c:pt>
                <c:pt idx="12">
                  <c:v>Dez</c:v>
                </c:pt>
              </c:strCache>
            </c:strRef>
          </c:cat>
          <c:val>
            <c:numRef>
              <c:f>ADM_Custo!$E$48:$E$60</c:f>
              <c:numCache>
                <c:formatCode>0.00%</c:formatCode>
                <c:ptCount val="13"/>
                <c:pt idx="0" formatCode="General">
                  <c:v>0</c:v>
                </c:pt>
                <c:pt idx="1">
                  <c:v>0.15476190476190477</c:v>
                </c:pt>
                <c:pt idx="2">
                  <c:v>0.10526315789473685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94-4E47-942E-941EAFF66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670219"/>
        <c:axId val="80508247"/>
      </c:barChart>
      <c:lineChart>
        <c:grouping val="standard"/>
        <c:varyColors val="0"/>
        <c:ser>
          <c:idx val="1"/>
          <c:order val="1"/>
          <c:spPr>
            <a:ln w="28440" cap="rnd">
              <a:solidFill>
                <a:srgbClr val="E97132"/>
              </a:solidFill>
              <a:round/>
            </a:ln>
          </c:spPr>
          <c:marker>
            <c:symbol val="circle"/>
            <c:size val="5"/>
            <c:spPr>
              <a:solidFill>
                <a:srgbClr val="E9713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ADM_Custo!$B$48:$B$60</c:f>
              <c:strCache>
                <c:ptCount val="13"/>
                <c:pt idx="0">
                  <c:v>Mês</c:v>
                </c:pt>
                <c:pt idx="1">
                  <c:v>Jan</c:v>
                </c:pt>
                <c:pt idx="2">
                  <c:v>Fev</c:v>
                </c:pt>
                <c:pt idx="3">
                  <c:v>Mar</c:v>
                </c:pt>
                <c:pt idx="4">
                  <c:v>Abr</c:v>
                </c:pt>
                <c:pt idx="5">
                  <c:v>Mai</c:v>
                </c:pt>
                <c:pt idx="6">
                  <c:v>Jun</c:v>
                </c:pt>
                <c:pt idx="7">
                  <c:v>Jul</c:v>
                </c:pt>
                <c:pt idx="8">
                  <c:v>Ago</c:v>
                </c:pt>
                <c:pt idx="9">
                  <c:v>Set</c:v>
                </c:pt>
                <c:pt idx="10">
                  <c:v>Out</c:v>
                </c:pt>
                <c:pt idx="11">
                  <c:v>Nov</c:v>
                </c:pt>
                <c:pt idx="12">
                  <c:v>Dez</c:v>
                </c:pt>
              </c:strCache>
            </c:strRef>
          </c:cat>
          <c:val>
            <c:numRef>
              <c:f>ADM_Custo!$F$48:$F$60</c:f>
              <c:numCache>
                <c:formatCode>0.00%</c:formatCode>
                <c:ptCount val="13"/>
                <c:pt idx="0" formatCode="General">
                  <c:v>0</c:v>
                </c:pt>
                <c:pt idx="1">
                  <c:v>0.15476190476190477</c:v>
                </c:pt>
                <c:pt idx="2">
                  <c:v>0.1300125313283208</c:v>
                </c:pt>
                <c:pt idx="3">
                  <c:v>8.6675020885547197E-2</c:v>
                </c:pt>
                <c:pt idx="4">
                  <c:v>8.7506265664160393E-2</c:v>
                </c:pt>
                <c:pt idx="5">
                  <c:v>7.000501253132832E-2</c:v>
                </c:pt>
                <c:pt idx="6">
                  <c:v>5.8337510442773598E-2</c:v>
                </c:pt>
                <c:pt idx="7">
                  <c:v>5.0003580379520227E-2</c:v>
                </c:pt>
                <c:pt idx="8">
                  <c:v>4.3753132832080197E-2</c:v>
                </c:pt>
                <c:pt idx="9">
                  <c:v>3.8891673628515727E-2</c:v>
                </c:pt>
                <c:pt idx="10">
                  <c:v>3.500250626566416E-2</c:v>
                </c:pt>
                <c:pt idx="11">
                  <c:v>3.1820460241512867E-2</c:v>
                </c:pt>
                <c:pt idx="12">
                  <c:v>2.9168755221386799E-2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94-4E47-942E-941EAFF66A35}"/>
            </c:ext>
          </c:extLst>
        </c:ser>
        <c:ser>
          <c:idx val="2"/>
          <c:order val="2"/>
          <c:spPr>
            <a:ln w="28440" cap="rnd">
              <a:solidFill>
                <a:srgbClr val="196B24"/>
              </a:solidFill>
              <a:round/>
            </a:ln>
          </c:spPr>
          <c:marker>
            <c:symbol val="circle"/>
            <c:size val="5"/>
            <c:spPr>
              <a:solidFill>
                <a:srgbClr val="196B2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ADM_Custo!$B$48:$B$60</c:f>
              <c:strCache>
                <c:ptCount val="13"/>
                <c:pt idx="0">
                  <c:v>Mês</c:v>
                </c:pt>
                <c:pt idx="1">
                  <c:v>Jan</c:v>
                </c:pt>
                <c:pt idx="2">
                  <c:v>Fev</c:v>
                </c:pt>
                <c:pt idx="3">
                  <c:v>Mar</c:v>
                </c:pt>
                <c:pt idx="4">
                  <c:v>Abr</c:v>
                </c:pt>
                <c:pt idx="5">
                  <c:v>Mai</c:v>
                </c:pt>
                <c:pt idx="6">
                  <c:v>Jun</c:v>
                </c:pt>
                <c:pt idx="7">
                  <c:v>Jul</c:v>
                </c:pt>
                <c:pt idx="8">
                  <c:v>Ago</c:v>
                </c:pt>
                <c:pt idx="9">
                  <c:v>Set</c:v>
                </c:pt>
                <c:pt idx="10">
                  <c:v>Out</c:v>
                </c:pt>
                <c:pt idx="11">
                  <c:v>Nov</c:v>
                </c:pt>
                <c:pt idx="12">
                  <c:v>Dez</c:v>
                </c:pt>
              </c:strCache>
            </c:strRef>
          </c:cat>
          <c:val>
            <c:numRef>
              <c:f>ADM_Custo!$G$48:$G$60</c:f>
              <c:numCache>
                <c:formatCode>0.00%</c:formatCode>
                <c:ptCount val="13"/>
                <c:pt idx="0" formatCode="General">
                  <c:v>0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0.15</c:v>
                </c:pt>
                <c:pt idx="7">
                  <c:v>0.15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94-4E47-942E-941EAFF66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9303500"/>
        <c:axId val="48570857"/>
      </c:lineChart>
      <c:catAx>
        <c:axId val="3167021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t-BR"/>
          </a:p>
        </c:txPr>
        <c:crossAx val="80508247"/>
        <c:crosses val="autoZero"/>
        <c:auto val="1"/>
        <c:lblAlgn val="ctr"/>
        <c:lblOffset val="100"/>
        <c:noMultiLvlLbl val="0"/>
      </c:catAx>
      <c:valAx>
        <c:axId val="8050824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t-BR"/>
          </a:p>
        </c:txPr>
        <c:crossAx val="31670219"/>
        <c:crosses val="autoZero"/>
        <c:crossBetween val="between"/>
      </c:valAx>
      <c:catAx>
        <c:axId val="593035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8570857"/>
        <c:crosses val="autoZero"/>
        <c:auto val="1"/>
        <c:lblAlgn val="ctr"/>
        <c:lblOffset val="100"/>
        <c:noMultiLvlLbl val="0"/>
      </c:catAx>
      <c:valAx>
        <c:axId val="4857085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930350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ptos Narrow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595959"/>
                </a:solidFill>
                <a:latin typeface="Aptos Narrow"/>
              </a:defRPr>
            </a:pPr>
            <a:r>
              <a:rPr lang="pt-BR" sz="1800" b="1" strike="noStrike" spc="-1">
                <a:solidFill>
                  <a:srgbClr val="595959"/>
                </a:solidFill>
                <a:latin typeface="Aptos Narrow"/>
              </a:rPr>
              <a:t>Custo / Faturamento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8642345878549999E-2"/>
          <c:y val="0.155542240862792"/>
          <c:w val="0.86358808589240399"/>
          <c:h val="0.620730976632714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IND_Custo!$C$13</c:f>
              <c:strCache>
                <c:ptCount val="1"/>
                <c:pt idx="0">
                  <c:v>Faturam.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IND_Custo!$B$14:$B$25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IND_Custo!$C$14:$C$25</c:f>
              <c:numCache>
                <c:formatCode>#,##0</c:formatCode>
                <c:ptCount val="12"/>
                <c:pt idx="0">
                  <c:v>1908972</c:v>
                </c:pt>
                <c:pt idx="1">
                  <c:v>1434145</c:v>
                </c:pt>
                <c:pt idx="2">
                  <c:v>1661970</c:v>
                </c:pt>
                <c:pt idx="3">
                  <c:v>1747250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AE-4689-B189-29BDA3F9A087}"/>
            </c:ext>
          </c:extLst>
        </c:ser>
        <c:ser>
          <c:idx val="1"/>
          <c:order val="1"/>
          <c:tx>
            <c:strRef>
              <c:f>IND_Custo!$D$13</c:f>
              <c:strCache>
                <c:ptCount val="1"/>
                <c:pt idx="0">
                  <c:v>Custo</c:v>
                </c:pt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IND_Custo!$B$14:$B$25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IND_Custo!$D$14:$D$25</c:f>
              <c:numCache>
                <c:formatCode>_-* #,##0_-;\-* #,##0_-;_-* \-_-;_-@_-</c:formatCode>
                <c:ptCount val="12"/>
                <c:pt idx="0">
                  <c:v>183080.9848888889</c:v>
                </c:pt>
                <c:pt idx="1">
                  <c:v>171470.33766666666</c:v>
                </c:pt>
                <c:pt idx="2">
                  <c:v>157327.50822222221</c:v>
                </c:pt>
                <c:pt idx="3">
                  <c:v>154800.30933333334</c:v>
                </c:pt>
                <c:pt idx="4" formatCode="_-* #,##0_-;\-* #,##0_-;_-* \-??_-;_-@_-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AE-4689-B189-29BDA3F9A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82510"/>
        <c:axId val="65130529"/>
      </c:barChart>
      <c:lineChart>
        <c:grouping val="standard"/>
        <c:varyColors val="0"/>
        <c:ser>
          <c:idx val="2"/>
          <c:order val="2"/>
          <c:tx>
            <c:strRef>
              <c:f>IND_Custo!$E$13</c:f>
              <c:strCache>
                <c:ptCount val="1"/>
                <c:pt idx="0">
                  <c:v>%</c:v>
                </c:pt>
              </c:strCache>
            </c:strRef>
          </c:tx>
          <c:spPr>
            <a:ln w="28440" cap="rnd">
              <a:solidFill>
                <a:srgbClr val="196B2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IND_Custo!$B$14:$B$25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IND_Custo!$E$14:$E$25</c:f>
              <c:numCache>
                <c:formatCode>0.00%</c:formatCode>
                <c:ptCount val="12"/>
                <c:pt idx="0">
                  <c:v>9.5905537058107129E-2</c:v>
                </c:pt>
                <c:pt idx="1">
                  <c:v>0.11956276224974927</c:v>
                </c:pt>
                <c:pt idx="2">
                  <c:v>9.4663266016969144E-2</c:v>
                </c:pt>
                <c:pt idx="3">
                  <c:v>8.8596542757666819E-2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AE-4689-B189-29BDA3F9A087}"/>
            </c:ext>
          </c:extLst>
        </c:ser>
        <c:ser>
          <c:idx val="3"/>
          <c:order val="3"/>
          <c:tx>
            <c:strRef>
              <c:f>IND_Custo!$F$13</c:f>
              <c:strCache>
                <c:ptCount val="1"/>
                <c:pt idx="0">
                  <c:v>Meta</c:v>
                </c:pt>
              </c:strCache>
            </c:strRef>
          </c:tx>
          <c:spPr>
            <a:ln w="28440" cap="rnd">
              <a:solidFill>
                <a:srgbClr val="0F9ED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IND_Custo!$B$14:$B$25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IND_Custo!$F$14:$F$25</c:f>
              <c:numCache>
                <c:formatCode>0.00%</c:formatCode>
                <c:ptCount val="12"/>
                <c:pt idx="0">
                  <c:v>0.09</c:v>
                </c:pt>
                <c:pt idx="1">
                  <c:v>0.09</c:v>
                </c:pt>
                <c:pt idx="2">
                  <c:v>0.09</c:v>
                </c:pt>
                <c:pt idx="3">
                  <c:v>0.09</c:v>
                </c:pt>
                <c:pt idx="4">
                  <c:v>0.09</c:v>
                </c:pt>
                <c:pt idx="5">
                  <c:v>0.09</c:v>
                </c:pt>
                <c:pt idx="6">
                  <c:v>0.09</c:v>
                </c:pt>
                <c:pt idx="7">
                  <c:v>0.09</c:v>
                </c:pt>
                <c:pt idx="8">
                  <c:v>0.09</c:v>
                </c:pt>
                <c:pt idx="9">
                  <c:v>0.09</c:v>
                </c:pt>
                <c:pt idx="10">
                  <c:v>0.09</c:v>
                </c:pt>
                <c:pt idx="11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AE-4689-B189-29BDA3F9A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6231480"/>
        <c:axId val="19551282"/>
      </c:lineChart>
      <c:catAx>
        <c:axId val="2098251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t-BR"/>
          </a:p>
        </c:txPr>
        <c:crossAx val="65130529"/>
        <c:crosses val="autoZero"/>
        <c:auto val="1"/>
        <c:lblAlgn val="ctr"/>
        <c:lblOffset val="100"/>
        <c:noMultiLvlLbl val="0"/>
      </c:catAx>
      <c:valAx>
        <c:axId val="6513052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t-BR"/>
          </a:p>
        </c:txPr>
        <c:crossAx val="20982510"/>
        <c:crosses val="autoZero"/>
        <c:crossBetween val="between"/>
      </c:valAx>
      <c:catAx>
        <c:axId val="862314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551282"/>
        <c:crosses val="autoZero"/>
        <c:auto val="1"/>
        <c:lblAlgn val="ctr"/>
        <c:lblOffset val="100"/>
        <c:noMultiLvlLbl val="0"/>
      </c:catAx>
      <c:valAx>
        <c:axId val="19551282"/>
        <c:scaling>
          <c:orientation val="minMax"/>
        </c:scaling>
        <c:delete val="0"/>
        <c:axPos val="r"/>
        <c:numFmt formatCode="0.00%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t-BR"/>
          </a:p>
        </c:txPr>
        <c:crossAx val="86231480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ptos Narrow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400" b="1" strike="noStrike" spc="-1">
                <a:solidFill>
                  <a:srgbClr val="595959"/>
                </a:solidFill>
                <a:latin typeface="Aptos Narrow"/>
              </a:defRPr>
            </a:pPr>
            <a:r>
              <a:rPr lang="pt-BR" sz="1400" b="1" strike="noStrike" spc="-1">
                <a:solidFill>
                  <a:srgbClr val="595959"/>
                </a:solidFill>
                <a:latin typeface="Aptos Narrow"/>
              </a:rPr>
              <a:t>Turnover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IND_Custo!$F$31</c:f>
              <c:strCache>
                <c:ptCount val="1"/>
                <c:pt idx="0">
                  <c:v>Turnover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IND_Custo!$B$32:$B$43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IND_Custo!$F$32:$F$43</c:f>
              <c:numCache>
                <c:formatCode>0.00%</c:formatCode>
                <c:ptCount val="12"/>
                <c:pt idx="0">
                  <c:v>1.4705882352941176E-2</c:v>
                </c:pt>
                <c:pt idx="1">
                  <c:v>0.14285714285714285</c:v>
                </c:pt>
                <c:pt idx="2">
                  <c:v>5.5555555555555552E-2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87-484F-8434-33554B787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8942295"/>
        <c:axId val="37154618"/>
      </c:barChart>
      <c:lineChart>
        <c:grouping val="standard"/>
        <c:varyColors val="0"/>
        <c:ser>
          <c:idx val="1"/>
          <c:order val="1"/>
          <c:tx>
            <c:strRef>
              <c:f>IND_Custo!$G$31</c:f>
              <c:strCache>
                <c:ptCount val="1"/>
                <c:pt idx="0">
                  <c:v>Média</c:v>
                </c:pt>
              </c:strCache>
            </c:strRef>
          </c:tx>
          <c:spPr>
            <a:ln w="28440" cap="rnd">
              <a:solidFill>
                <a:srgbClr val="E97132"/>
              </a:solidFill>
              <a:round/>
            </a:ln>
          </c:spPr>
          <c:marker>
            <c:symbol val="circle"/>
            <c:size val="5"/>
            <c:spPr>
              <a:solidFill>
                <a:srgbClr val="E9713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IND_Custo!$B$32:$B$43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IND_Custo!$G$32:$G$43</c:f>
              <c:numCache>
                <c:formatCode>0.00%</c:formatCode>
                <c:ptCount val="12"/>
                <c:pt idx="0">
                  <c:v>1.4705882352941176E-2</c:v>
                </c:pt>
                <c:pt idx="1">
                  <c:v>7.8781512605042014E-2</c:v>
                </c:pt>
                <c:pt idx="2">
                  <c:v>7.1039526921879856E-2</c:v>
                </c:pt>
                <c:pt idx="3">
                  <c:v>5.3279645191409895E-2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87-484F-8434-33554B7876CE}"/>
            </c:ext>
          </c:extLst>
        </c:ser>
        <c:ser>
          <c:idx val="2"/>
          <c:order val="2"/>
          <c:tx>
            <c:strRef>
              <c:f>IND_Custo!$H$31</c:f>
              <c:strCache>
                <c:ptCount val="1"/>
                <c:pt idx="0">
                  <c:v>Meta</c:v>
                </c:pt>
              </c:strCache>
            </c:strRef>
          </c:tx>
          <c:spPr>
            <a:ln w="28440" cap="rnd">
              <a:solidFill>
                <a:srgbClr val="196B24"/>
              </a:solidFill>
              <a:round/>
            </a:ln>
          </c:spPr>
          <c:marker>
            <c:symbol val="circle"/>
            <c:size val="5"/>
            <c:spPr>
              <a:solidFill>
                <a:srgbClr val="196B2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IND_Custo!$B$32:$B$43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IND_Custo!$H$32:$H$43</c:f>
              <c:numCache>
                <c:formatCode>0.00%</c:formatCode>
                <c:ptCount val="12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87-484F-8434-33554B787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0576493"/>
        <c:axId val="91388999"/>
      </c:lineChart>
      <c:catAx>
        <c:axId val="3894229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t-BR"/>
          </a:p>
        </c:txPr>
        <c:crossAx val="37154618"/>
        <c:crosses val="autoZero"/>
        <c:auto val="1"/>
        <c:lblAlgn val="ctr"/>
        <c:lblOffset val="100"/>
        <c:noMultiLvlLbl val="0"/>
      </c:catAx>
      <c:valAx>
        <c:axId val="3715461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%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t-BR"/>
          </a:p>
        </c:txPr>
        <c:crossAx val="38942295"/>
        <c:crosses val="autoZero"/>
        <c:crossBetween val="between"/>
      </c:valAx>
      <c:catAx>
        <c:axId val="8057649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1388999"/>
        <c:crosses val="autoZero"/>
        <c:auto val="1"/>
        <c:lblAlgn val="ctr"/>
        <c:lblOffset val="100"/>
        <c:noMultiLvlLbl val="0"/>
      </c:catAx>
      <c:valAx>
        <c:axId val="9138899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8057649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ptos Narrow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400" b="1" strike="noStrike" spc="-1">
                <a:solidFill>
                  <a:srgbClr val="595959"/>
                </a:solidFill>
                <a:latin typeface="Aptos Narrow"/>
              </a:defRPr>
            </a:pPr>
            <a:r>
              <a:rPr lang="pt-BR" sz="1400" b="1" strike="noStrike" spc="-1">
                <a:solidFill>
                  <a:srgbClr val="595959"/>
                </a:solidFill>
                <a:latin typeface="Aptos Narrow"/>
              </a:rPr>
              <a:t>Absenteísmo 2026
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IND_Custo!$B$48:$B$60</c:f>
              <c:strCache>
                <c:ptCount val="13"/>
                <c:pt idx="0">
                  <c:v>Mês</c:v>
                </c:pt>
                <c:pt idx="1">
                  <c:v>Jan</c:v>
                </c:pt>
                <c:pt idx="2">
                  <c:v>Fev</c:v>
                </c:pt>
                <c:pt idx="3">
                  <c:v>Mar</c:v>
                </c:pt>
                <c:pt idx="4">
                  <c:v>Abr</c:v>
                </c:pt>
                <c:pt idx="5">
                  <c:v>Mai</c:v>
                </c:pt>
                <c:pt idx="6">
                  <c:v>Jun</c:v>
                </c:pt>
                <c:pt idx="7">
                  <c:v>Jul</c:v>
                </c:pt>
                <c:pt idx="8">
                  <c:v>Ago</c:v>
                </c:pt>
                <c:pt idx="9">
                  <c:v>Set</c:v>
                </c:pt>
                <c:pt idx="10">
                  <c:v>Out</c:v>
                </c:pt>
                <c:pt idx="11">
                  <c:v>Nov</c:v>
                </c:pt>
                <c:pt idx="12">
                  <c:v>Dez</c:v>
                </c:pt>
              </c:strCache>
            </c:strRef>
          </c:cat>
          <c:val>
            <c:numRef>
              <c:f>IND_Custo!$E$48:$E$60</c:f>
              <c:numCache>
                <c:formatCode>0.00%</c:formatCode>
                <c:ptCount val="13"/>
                <c:pt idx="0" formatCode="General">
                  <c:v>0</c:v>
                </c:pt>
                <c:pt idx="1">
                  <c:v>9.9439775910364139E-2</c:v>
                </c:pt>
                <c:pt idx="2">
                  <c:v>5.7539682539682536E-2</c:v>
                </c:pt>
                <c:pt idx="3">
                  <c:v>6.3973063973063973E-2</c:v>
                </c:pt>
                <c:pt idx="4">
                  <c:v>3.7037037037037035E-2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CA-4F2F-909B-C5295DDCC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511884"/>
        <c:axId val="87922729"/>
      </c:barChart>
      <c:lineChart>
        <c:grouping val="standard"/>
        <c:varyColors val="0"/>
        <c:ser>
          <c:idx val="1"/>
          <c:order val="1"/>
          <c:spPr>
            <a:ln w="28440" cap="rnd">
              <a:solidFill>
                <a:srgbClr val="E97132"/>
              </a:solidFill>
              <a:round/>
            </a:ln>
          </c:spPr>
          <c:marker>
            <c:symbol val="circle"/>
            <c:size val="5"/>
            <c:spPr>
              <a:solidFill>
                <a:srgbClr val="E9713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IND_Custo!$B$48:$B$60</c:f>
              <c:strCache>
                <c:ptCount val="13"/>
                <c:pt idx="0">
                  <c:v>Mês</c:v>
                </c:pt>
                <c:pt idx="1">
                  <c:v>Jan</c:v>
                </c:pt>
                <c:pt idx="2">
                  <c:v>Fev</c:v>
                </c:pt>
                <c:pt idx="3">
                  <c:v>Mar</c:v>
                </c:pt>
                <c:pt idx="4">
                  <c:v>Abr</c:v>
                </c:pt>
                <c:pt idx="5">
                  <c:v>Mai</c:v>
                </c:pt>
                <c:pt idx="6">
                  <c:v>Jun</c:v>
                </c:pt>
                <c:pt idx="7">
                  <c:v>Jul</c:v>
                </c:pt>
                <c:pt idx="8">
                  <c:v>Ago</c:v>
                </c:pt>
                <c:pt idx="9">
                  <c:v>Set</c:v>
                </c:pt>
                <c:pt idx="10">
                  <c:v>Out</c:v>
                </c:pt>
                <c:pt idx="11">
                  <c:v>Nov</c:v>
                </c:pt>
                <c:pt idx="12">
                  <c:v>Dez</c:v>
                </c:pt>
              </c:strCache>
            </c:strRef>
          </c:cat>
          <c:val>
            <c:numRef>
              <c:f>IND_Custo!$F$48:$F$60</c:f>
              <c:numCache>
                <c:formatCode>0.00%</c:formatCode>
                <c:ptCount val="13"/>
                <c:pt idx="0" formatCode="General">
                  <c:v>0</c:v>
                </c:pt>
                <c:pt idx="1">
                  <c:v>9.9439775910364139E-2</c:v>
                </c:pt>
                <c:pt idx="2">
                  <c:v>7.8489729225023341E-2</c:v>
                </c:pt>
                <c:pt idx="3">
                  <c:v>7.3650840807703552E-2</c:v>
                </c:pt>
                <c:pt idx="4">
                  <c:v>6.4497389865036919E-2</c:v>
                </c:pt>
                <c:pt idx="5">
                  <c:v>5.1597911892029537E-2</c:v>
                </c:pt>
                <c:pt idx="6">
                  <c:v>4.2998259910024615E-2</c:v>
                </c:pt>
                <c:pt idx="7">
                  <c:v>3.6855651351449671E-2</c:v>
                </c:pt>
                <c:pt idx="8">
                  <c:v>3.224869493251846E-2</c:v>
                </c:pt>
                <c:pt idx="9">
                  <c:v>2.8665506606683076E-2</c:v>
                </c:pt>
                <c:pt idx="10">
                  <c:v>2.5798955946014768E-2</c:v>
                </c:pt>
                <c:pt idx="11">
                  <c:v>2.3453596314558879E-2</c:v>
                </c:pt>
                <c:pt idx="12">
                  <c:v>2.1499129955012308E-2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CA-4F2F-909B-C5295DDCC54A}"/>
            </c:ext>
          </c:extLst>
        </c:ser>
        <c:ser>
          <c:idx val="2"/>
          <c:order val="2"/>
          <c:spPr>
            <a:ln w="28440" cap="rnd">
              <a:solidFill>
                <a:srgbClr val="196B24"/>
              </a:solidFill>
              <a:round/>
            </a:ln>
          </c:spPr>
          <c:marker>
            <c:symbol val="circle"/>
            <c:size val="5"/>
            <c:spPr>
              <a:solidFill>
                <a:srgbClr val="196B2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IND_Custo!$B$48:$B$60</c:f>
              <c:strCache>
                <c:ptCount val="13"/>
                <c:pt idx="0">
                  <c:v>Mês</c:v>
                </c:pt>
                <c:pt idx="1">
                  <c:v>Jan</c:v>
                </c:pt>
                <c:pt idx="2">
                  <c:v>Fev</c:v>
                </c:pt>
                <c:pt idx="3">
                  <c:v>Mar</c:v>
                </c:pt>
                <c:pt idx="4">
                  <c:v>Abr</c:v>
                </c:pt>
                <c:pt idx="5">
                  <c:v>Mai</c:v>
                </c:pt>
                <c:pt idx="6">
                  <c:v>Jun</c:v>
                </c:pt>
                <c:pt idx="7">
                  <c:v>Jul</c:v>
                </c:pt>
                <c:pt idx="8">
                  <c:v>Ago</c:v>
                </c:pt>
                <c:pt idx="9">
                  <c:v>Set</c:v>
                </c:pt>
                <c:pt idx="10">
                  <c:v>Out</c:v>
                </c:pt>
                <c:pt idx="11">
                  <c:v>Nov</c:v>
                </c:pt>
                <c:pt idx="12">
                  <c:v>Dez</c:v>
                </c:pt>
              </c:strCache>
            </c:strRef>
          </c:cat>
          <c:val>
            <c:numRef>
              <c:f>IND_Custo!$G$48:$G$60</c:f>
              <c:numCache>
                <c:formatCode>0.00%</c:formatCode>
                <c:ptCount val="13"/>
                <c:pt idx="0" formatCode="General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CA-4F2F-909B-C5295DDCC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2701700"/>
        <c:axId val="17294579"/>
      </c:lineChart>
      <c:catAx>
        <c:axId val="535118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t-BR"/>
          </a:p>
        </c:txPr>
        <c:crossAx val="87922729"/>
        <c:crosses val="autoZero"/>
        <c:auto val="1"/>
        <c:lblAlgn val="ctr"/>
        <c:lblOffset val="100"/>
        <c:noMultiLvlLbl val="0"/>
      </c:catAx>
      <c:valAx>
        <c:axId val="8792272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t-BR"/>
          </a:p>
        </c:txPr>
        <c:crossAx val="53511884"/>
        <c:crosses val="autoZero"/>
        <c:crossBetween val="between"/>
      </c:valAx>
      <c:catAx>
        <c:axId val="927017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294579"/>
        <c:crosses val="autoZero"/>
        <c:auto val="1"/>
        <c:lblAlgn val="ctr"/>
        <c:lblOffset val="100"/>
        <c:noMultiLvlLbl val="0"/>
      </c:catAx>
      <c:valAx>
        <c:axId val="1729457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9270170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ptos Narrow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114120</xdr:colOff>
      <xdr:row>16</xdr:row>
      <xdr:rowOff>109440</xdr:rowOff>
    </xdr:from>
    <xdr:to>
      <xdr:col>10</xdr:col>
      <xdr:colOff>455400</xdr:colOff>
      <xdr:row>33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495360</xdr:colOff>
      <xdr:row>16</xdr:row>
      <xdr:rowOff>114120</xdr:rowOff>
    </xdr:from>
    <xdr:to>
      <xdr:col>20</xdr:col>
      <xdr:colOff>284040</xdr:colOff>
      <xdr:row>33</xdr:row>
      <xdr:rowOff>55080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261720</xdr:colOff>
      <xdr:row>15</xdr:row>
      <xdr:rowOff>17280</xdr:rowOff>
    </xdr:to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3834720" y="2714760"/>
          <a:ext cx="960120" cy="17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261720</xdr:colOff>
      <xdr:row>17</xdr:row>
      <xdr:rowOff>17280</xdr:rowOff>
    </xdr:to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3834720" y="3076560"/>
          <a:ext cx="960120" cy="17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15</xdr:row>
      <xdr:rowOff>0</xdr:rowOff>
    </xdr:from>
    <xdr:to>
      <xdr:col>5</xdr:col>
      <xdr:colOff>261720</xdr:colOff>
      <xdr:row>15</xdr:row>
      <xdr:rowOff>17280</xdr:rowOff>
    </xdr:to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34720" y="2714760"/>
          <a:ext cx="960120" cy="17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261720</xdr:colOff>
      <xdr:row>17</xdr:row>
      <xdr:rowOff>17280</xdr:rowOff>
    </xdr:to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34720" y="3076560"/>
          <a:ext cx="960120" cy="17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370440</xdr:colOff>
      <xdr:row>11</xdr:row>
      <xdr:rowOff>169200</xdr:rowOff>
    </xdr:from>
    <xdr:to>
      <xdr:col>16</xdr:col>
      <xdr:colOff>1067040</xdr:colOff>
      <xdr:row>27</xdr:row>
      <xdr:rowOff>124920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2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84600</xdr:colOff>
      <xdr:row>27</xdr:row>
      <xdr:rowOff>84600</xdr:rowOff>
    </xdr:from>
    <xdr:to>
      <xdr:col>16</xdr:col>
      <xdr:colOff>569520</xdr:colOff>
      <xdr:row>43</xdr:row>
      <xdr:rowOff>167400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00000000-0008-0000-2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20160</xdr:colOff>
      <xdr:row>44</xdr:row>
      <xdr:rowOff>63360</xdr:rowOff>
    </xdr:from>
    <xdr:to>
      <xdr:col>16</xdr:col>
      <xdr:colOff>527400</xdr:colOff>
      <xdr:row>60</xdr:row>
      <xdr:rowOff>19080</xdr:rowOff>
    </xdr:to>
    <xdr:graphicFrame macro="">
      <xdr:nvGraphicFramePr>
        <xdr:cNvPr id="8" name="Chart 3">
          <a:extLst>
            <a:ext uri="{FF2B5EF4-FFF2-40B4-BE49-F238E27FC236}">
              <a16:creationId xmlns:a16="http://schemas.microsoft.com/office/drawing/2014/main" id="{00000000-0008-0000-2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210600</xdr:colOff>
      <xdr:row>43</xdr:row>
      <xdr:rowOff>17280</xdr:rowOff>
    </xdr:to>
    <xdr:pic>
      <xdr:nvPicPr>
        <xdr:cNvPr id="9" name="image2.png">
          <a:extLst>
            <a:ext uri="{FF2B5EF4-FFF2-40B4-BE49-F238E27FC236}">
              <a16:creationId xmlns:a16="http://schemas.microsoft.com/office/drawing/2014/main" id="{00000000-0008-0000-2300-000009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4497120" y="8210520"/>
          <a:ext cx="959760" cy="17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370440</xdr:colOff>
      <xdr:row>11</xdr:row>
      <xdr:rowOff>169200</xdr:rowOff>
    </xdr:from>
    <xdr:to>
      <xdr:col>16</xdr:col>
      <xdr:colOff>1067040</xdr:colOff>
      <xdr:row>27</xdr:row>
      <xdr:rowOff>124920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00000000-0008-0000-2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84600</xdr:colOff>
      <xdr:row>27</xdr:row>
      <xdr:rowOff>84600</xdr:rowOff>
    </xdr:from>
    <xdr:to>
      <xdr:col>16</xdr:col>
      <xdr:colOff>569520</xdr:colOff>
      <xdr:row>43</xdr:row>
      <xdr:rowOff>167400</xdr:rowOff>
    </xdr:to>
    <xdr:graphicFrame macro="">
      <xdr:nvGraphicFramePr>
        <xdr:cNvPr id="11" name="Chart 2">
          <a:extLst>
            <a:ext uri="{FF2B5EF4-FFF2-40B4-BE49-F238E27FC236}">
              <a16:creationId xmlns:a16="http://schemas.microsoft.com/office/drawing/2014/main" id="{00000000-0008-0000-2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20160</xdr:colOff>
      <xdr:row>44</xdr:row>
      <xdr:rowOff>63360</xdr:rowOff>
    </xdr:from>
    <xdr:to>
      <xdr:col>16</xdr:col>
      <xdr:colOff>527400</xdr:colOff>
      <xdr:row>60</xdr:row>
      <xdr:rowOff>19080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id="{00000000-0008-0000-2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109080</xdr:colOff>
      <xdr:row>43</xdr:row>
      <xdr:rowOff>17280</xdr:rowOff>
    </xdr:to>
    <xdr:pic>
      <xdr:nvPicPr>
        <xdr:cNvPr id="13" name="image2.png">
          <a:extLst>
            <a:ext uri="{FF2B5EF4-FFF2-40B4-BE49-F238E27FC236}">
              <a16:creationId xmlns:a16="http://schemas.microsoft.com/office/drawing/2014/main" id="{00000000-0008-0000-2700-00000D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4497120" y="8210520"/>
          <a:ext cx="959760" cy="1728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4" displayName="Table_4" ref="A3:G15" totalsRowShown="0">
  <tableColumns count="7">
    <tableColumn id="1" xr3:uid="{00000000-0010-0000-0000-000001000000}" name="Mês"/>
    <tableColumn id="2" xr3:uid="{00000000-0010-0000-0000-000002000000}" name="Admissões"/>
    <tableColumn id="3" xr3:uid="{00000000-0010-0000-0000-000003000000}" name="Desligamentos"/>
    <tableColumn id="4" xr3:uid="{00000000-0010-0000-0000-000004000000}" name="Colaboradores"/>
    <tableColumn id="5" xr3:uid="{00000000-0010-0000-0000-000005000000}" name="Turnover"/>
    <tableColumn id="6" xr3:uid="{00000000-0010-0000-0000-000006000000}" name="Média"/>
    <tableColumn id="7" xr3:uid="{00000000-0010-0000-0000-000007000000}" name="Met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43" displayName="Table_43" ref="I3:N15" totalsRowShown="0">
  <tableColumns count="6">
    <tableColumn id="1" xr3:uid="{00000000-0010-0000-0100-000001000000}" name="Mês"/>
    <tableColumn id="2" xr3:uid="{00000000-0010-0000-0100-000002000000}" name="H Program"/>
    <tableColumn id="3" xr3:uid="{00000000-0010-0000-0100-000003000000}" name="H. N. Prod."/>
    <tableColumn id="4" xr3:uid="{00000000-0010-0000-0100-000004000000}" name="Absenteísmo"/>
    <tableColumn id="5" xr3:uid="{00000000-0010-0000-0100-000005000000}" name="Média"/>
    <tableColumn id="6" xr3:uid="{00000000-0010-0000-0100-000006000000}" name="Meta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437" displayName="Table_437" ref="I3:N15" totalsRowShown="0">
  <tableColumns count="6">
    <tableColumn id="1" xr3:uid="{00000000-0010-0000-0200-000001000000}" name="Mês"/>
    <tableColumn id="2" xr3:uid="{00000000-0010-0000-0200-000002000000}" name="H Program"/>
    <tableColumn id="3" xr3:uid="{00000000-0010-0000-0200-000003000000}" name="H. N. Prod."/>
    <tableColumn id="4" xr3:uid="{00000000-0010-0000-0200-000004000000}" name="Absenteísmo"/>
    <tableColumn id="5" xr3:uid="{00000000-0010-0000-0200-000005000000}" name="Média"/>
    <tableColumn id="6" xr3:uid="{00000000-0010-0000-0200-000006000000}" name="Meta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_46" displayName="Table_46" ref="A3:G15" totalsRowShown="0">
  <tableColumns count="7">
    <tableColumn id="1" xr3:uid="{00000000-0010-0000-0300-000001000000}" name="Mês"/>
    <tableColumn id="2" xr3:uid="{00000000-0010-0000-0300-000002000000}" name="Admissões"/>
    <tableColumn id="3" xr3:uid="{00000000-0010-0000-0300-000003000000}" name="Desligamentos"/>
    <tableColumn id="4" xr3:uid="{00000000-0010-0000-0300-000004000000}" name="Colaboradores"/>
    <tableColumn id="5" xr3:uid="{00000000-0010-0000-0300-000005000000}" name="Turnover"/>
    <tableColumn id="6" xr3:uid="{00000000-0010-0000-0300-000006000000}" name="Média"/>
    <tableColumn id="7" xr3:uid="{00000000-0010-0000-0300-000007000000}" name="Meta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able_4375" displayName="Table_4375" ref="B48:G60" totalsRowShown="0">
  <tableColumns count="6">
    <tableColumn id="1" xr3:uid="{00000000-0010-0000-0400-000001000000}" name="Mês"/>
    <tableColumn id="2" xr3:uid="{00000000-0010-0000-0400-000002000000}" name="H Program"/>
    <tableColumn id="3" xr3:uid="{00000000-0010-0000-0400-000003000000}" name="H. N. Prod."/>
    <tableColumn id="4" xr3:uid="{00000000-0010-0000-0400-000004000000}" name="Absenteísmo"/>
    <tableColumn id="5" xr3:uid="{00000000-0010-0000-0400-000005000000}" name="Média"/>
    <tableColumn id="6" xr3:uid="{00000000-0010-0000-0400-000006000000}" name="Meta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Table_464" displayName="Table_464" ref="B31:H43" totalsRowShown="0">
  <tableColumns count="7">
    <tableColumn id="1" xr3:uid="{00000000-0010-0000-0500-000001000000}" name="Mês"/>
    <tableColumn id="2" xr3:uid="{00000000-0010-0000-0500-000002000000}" name="Admissões"/>
    <tableColumn id="3" xr3:uid="{00000000-0010-0000-0500-000003000000}" name="Desligamentos"/>
    <tableColumn id="4" xr3:uid="{00000000-0010-0000-0500-000004000000}" name="Colaboradores"/>
    <tableColumn id="5" xr3:uid="{00000000-0010-0000-0500-000005000000}" name="Turnover"/>
    <tableColumn id="6" xr3:uid="{00000000-0010-0000-0500-000006000000}" name="Média"/>
    <tableColumn id="7" xr3:uid="{00000000-0010-0000-0500-000007000000}" name="Meta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6000000}" name="Table_43759" displayName="Table_43759" ref="B48:G60" totalsRowShown="0">
  <tableColumns count="6">
    <tableColumn id="1" xr3:uid="{00000000-0010-0000-0600-000001000000}" name="Mês"/>
    <tableColumn id="2" xr3:uid="{00000000-0010-0000-0600-000002000000}" name="H Program"/>
    <tableColumn id="3" xr3:uid="{00000000-0010-0000-0600-000003000000}" name="H. N. Prod."/>
    <tableColumn id="4" xr3:uid="{00000000-0010-0000-0600-000004000000}" name="Absenteísmo"/>
    <tableColumn id="5" xr3:uid="{00000000-0010-0000-0600-000005000000}" name="Média"/>
    <tableColumn id="6" xr3:uid="{00000000-0010-0000-0600-000006000000}" name="Meta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4648" displayName="Table_4648" ref="B31:H43" totalsRowShown="0">
  <tableColumns count="7">
    <tableColumn id="1" xr3:uid="{00000000-0010-0000-0700-000001000000}" name="Mês"/>
    <tableColumn id="2" xr3:uid="{00000000-0010-0000-0700-000002000000}" name="Admissões"/>
    <tableColumn id="3" xr3:uid="{00000000-0010-0000-0700-000003000000}" name="Desligamentos"/>
    <tableColumn id="4" xr3:uid="{00000000-0010-0000-0700-000004000000}" name="Colaboradores"/>
    <tableColumn id="5" xr3:uid="{00000000-0010-0000-0700-000005000000}" name="Turnover"/>
    <tableColumn id="6" xr3:uid="{00000000-0010-0000-0700-000006000000}" name="Média"/>
    <tableColumn id="7" xr3:uid="{00000000-0010-0000-0700-000007000000}" name="Met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9B3D1DA-A812-434A-9992-44961641243E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da072e62-75c9-4c86-aaa1-e7355ff681b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Relationship Id="rId5" Type="http://schemas.openxmlformats.org/officeDocument/2006/relationships/comments" Target="../comments3.xml"/><Relationship Id="rId4" Type="http://schemas.openxmlformats.org/officeDocument/2006/relationships/table" Target="../tables/table2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2.xml"/><Relationship Id="rId5" Type="http://schemas.openxmlformats.org/officeDocument/2006/relationships/comments" Target="../comments4.xml"/><Relationship Id="rId4" Type="http://schemas.openxmlformats.org/officeDocument/2006/relationships/table" Target="../tables/table4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3.xml"/><Relationship Id="rId5" Type="http://schemas.openxmlformats.org/officeDocument/2006/relationships/comments" Target="../comments6.xml"/><Relationship Id="rId4" Type="http://schemas.openxmlformats.org/officeDocument/2006/relationships/table" Target="../tables/table6.x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4.xml"/><Relationship Id="rId5" Type="http://schemas.openxmlformats.org/officeDocument/2006/relationships/comments" Target="../comments8.xml"/><Relationship Id="rId4" Type="http://schemas.openxmlformats.org/officeDocument/2006/relationships/table" Target="../tables/table8.x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showGridLines="0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S19" sqref="S19"/>
    </sheetView>
  </sheetViews>
  <sheetFormatPr defaultColWidth="8.5703125" defaultRowHeight="15" x14ac:dyDescent="0.25"/>
  <cols>
    <col min="1" max="1" width="24.42578125" customWidth="1"/>
    <col min="2" max="2" width="1.42578125" customWidth="1"/>
    <col min="3" max="5" width="10.140625" customWidth="1"/>
    <col min="6" max="14" width="9.7109375" customWidth="1"/>
    <col min="15" max="15" width="10.7109375" customWidth="1"/>
  </cols>
  <sheetData>
    <row r="1" spans="1:17" ht="15" customHeight="1" x14ac:dyDescent="0.25">
      <c r="A1" s="3" t="s">
        <v>0</v>
      </c>
      <c r="C1" s="4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6" t="s">
        <v>13</v>
      </c>
    </row>
    <row r="2" spans="1:17" ht="15" customHeight="1" x14ac:dyDescent="0.25">
      <c r="A2" s="7" t="s">
        <v>14</v>
      </c>
      <c r="C2" s="8">
        <v>3</v>
      </c>
      <c r="D2" s="9">
        <v>3</v>
      </c>
      <c r="E2" s="9">
        <v>3</v>
      </c>
      <c r="F2" s="9">
        <v>3</v>
      </c>
      <c r="G2" s="9">
        <v>3</v>
      </c>
      <c r="H2" s="9">
        <v>3</v>
      </c>
      <c r="I2" s="9">
        <v>3</v>
      </c>
      <c r="J2" s="9">
        <v>4</v>
      </c>
      <c r="K2" s="9">
        <v>3</v>
      </c>
      <c r="L2" s="9">
        <v>5</v>
      </c>
      <c r="M2" s="9">
        <v>6</v>
      </c>
      <c r="N2" s="9">
        <v>5</v>
      </c>
      <c r="O2" s="10">
        <v>3.6666666666666701</v>
      </c>
    </row>
    <row r="3" spans="1:17" ht="15" customHeight="1" x14ac:dyDescent="0.25">
      <c r="A3" s="7" t="s">
        <v>15</v>
      </c>
      <c r="C3" s="8">
        <v>0</v>
      </c>
      <c r="D3" s="9">
        <v>5</v>
      </c>
      <c r="E3" s="9">
        <v>0</v>
      </c>
      <c r="F3" s="9">
        <v>2</v>
      </c>
      <c r="G3" s="9">
        <v>0</v>
      </c>
      <c r="H3" s="9">
        <v>0</v>
      </c>
      <c r="I3" s="9">
        <v>6</v>
      </c>
      <c r="J3" s="9">
        <v>2</v>
      </c>
      <c r="K3" s="9">
        <v>1</v>
      </c>
      <c r="L3" s="9">
        <v>2</v>
      </c>
      <c r="M3" s="9">
        <v>3</v>
      </c>
      <c r="N3" s="9">
        <v>1</v>
      </c>
      <c r="O3" s="10">
        <v>1.8333333333333299</v>
      </c>
      <c r="Q3" s="11"/>
    </row>
    <row r="4" spans="1:17" ht="15" customHeight="1" x14ac:dyDescent="0.25">
      <c r="A4" s="7" t="s">
        <v>16</v>
      </c>
      <c r="C4" s="8">
        <v>0</v>
      </c>
      <c r="D4" s="9">
        <v>0</v>
      </c>
      <c r="E4" s="9">
        <v>0</v>
      </c>
      <c r="F4" s="9">
        <v>0</v>
      </c>
      <c r="G4" s="9">
        <v>1</v>
      </c>
      <c r="H4" s="9">
        <v>0</v>
      </c>
      <c r="I4" s="9">
        <v>1</v>
      </c>
      <c r="J4" s="9">
        <v>0</v>
      </c>
      <c r="K4" s="9">
        <v>2</v>
      </c>
      <c r="L4" s="9">
        <v>1</v>
      </c>
      <c r="M4" s="9">
        <v>0</v>
      </c>
      <c r="N4" s="9">
        <v>1</v>
      </c>
      <c r="O4" s="10">
        <v>0.5</v>
      </c>
      <c r="Q4" s="11"/>
    </row>
    <row r="5" spans="1:17" ht="15" customHeight="1" x14ac:dyDescent="0.25">
      <c r="A5" s="7" t="s">
        <v>17</v>
      </c>
      <c r="C5" s="8">
        <v>0</v>
      </c>
      <c r="D5" s="9">
        <v>0</v>
      </c>
      <c r="E5" s="9">
        <v>0</v>
      </c>
      <c r="F5" s="9">
        <v>0</v>
      </c>
      <c r="G5" s="9">
        <v>1</v>
      </c>
      <c r="H5" s="9">
        <v>0</v>
      </c>
      <c r="I5" s="9">
        <v>0</v>
      </c>
      <c r="J5" s="9">
        <v>1</v>
      </c>
      <c r="K5" s="9">
        <v>0</v>
      </c>
      <c r="L5" s="9">
        <v>0</v>
      </c>
      <c r="M5" s="9">
        <v>1</v>
      </c>
      <c r="N5" s="9">
        <v>1</v>
      </c>
      <c r="O5" s="10">
        <v>0.33333333333333298</v>
      </c>
      <c r="Q5" s="11"/>
    </row>
    <row r="6" spans="1:17" ht="15" customHeight="1" x14ac:dyDescent="0.25">
      <c r="A6" s="7" t="s">
        <v>18</v>
      </c>
      <c r="C6" s="12">
        <v>3</v>
      </c>
      <c r="D6" s="13">
        <v>3</v>
      </c>
      <c r="E6" s="13">
        <v>3</v>
      </c>
      <c r="F6" s="13">
        <v>3</v>
      </c>
      <c r="G6" s="13">
        <v>3</v>
      </c>
      <c r="H6" s="13">
        <v>3</v>
      </c>
      <c r="I6" s="13">
        <v>4</v>
      </c>
      <c r="J6" s="13">
        <v>3</v>
      </c>
      <c r="K6" s="13">
        <v>5</v>
      </c>
      <c r="L6" s="13">
        <v>6</v>
      </c>
      <c r="M6" s="13">
        <v>5</v>
      </c>
      <c r="N6" s="13">
        <v>5</v>
      </c>
      <c r="O6" s="14">
        <v>3.8333333333333299</v>
      </c>
      <c r="Q6" s="11"/>
    </row>
    <row r="7" spans="1:17" ht="15" customHeight="1" x14ac:dyDescent="0.25">
      <c r="A7" s="7" t="s">
        <v>19</v>
      </c>
      <c r="C7" s="12">
        <v>3</v>
      </c>
      <c r="D7" s="13">
        <v>3</v>
      </c>
      <c r="E7" s="13">
        <v>3</v>
      </c>
      <c r="F7" s="13">
        <v>3</v>
      </c>
      <c r="G7" s="13">
        <v>3</v>
      </c>
      <c r="H7" s="13">
        <v>3</v>
      </c>
      <c r="I7" s="13">
        <v>3.5</v>
      </c>
      <c r="J7" s="13">
        <v>3.5</v>
      </c>
      <c r="K7" s="13">
        <v>4</v>
      </c>
      <c r="L7" s="13">
        <v>5.5</v>
      </c>
      <c r="M7" s="13">
        <v>5.5</v>
      </c>
      <c r="N7" s="13">
        <v>5</v>
      </c>
      <c r="O7" s="14">
        <v>3.75</v>
      </c>
      <c r="Q7" s="11"/>
    </row>
    <row r="8" spans="1:17" ht="15" customHeight="1" x14ac:dyDescent="0.25">
      <c r="A8" s="7" t="s">
        <v>20</v>
      </c>
      <c r="C8" s="15">
        <v>5</v>
      </c>
      <c r="D8" s="16">
        <v>0</v>
      </c>
      <c r="E8" s="16">
        <v>5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0">
        <v>0.83333333333333304</v>
      </c>
      <c r="Q8" s="11"/>
    </row>
    <row r="9" spans="1:17" ht="15" customHeight="1" x14ac:dyDescent="0.25">
      <c r="A9" s="7" t="s">
        <v>21</v>
      </c>
      <c r="C9" s="15">
        <v>1</v>
      </c>
      <c r="D9" s="16">
        <v>0</v>
      </c>
      <c r="E9" s="16">
        <v>1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0">
        <v>0.16666666666666699</v>
      </c>
      <c r="Q9" s="11"/>
    </row>
    <row r="10" spans="1:17" ht="15" customHeight="1" x14ac:dyDescent="0.25">
      <c r="A10" s="7" t="s">
        <v>22</v>
      </c>
      <c r="C10" s="17">
        <v>22</v>
      </c>
      <c r="D10" s="18">
        <v>21</v>
      </c>
      <c r="E10" s="18">
        <v>20</v>
      </c>
      <c r="F10" s="18">
        <v>21</v>
      </c>
      <c r="G10" s="18">
        <v>21</v>
      </c>
      <c r="H10" s="18">
        <v>20</v>
      </c>
      <c r="I10" s="18">
        <v>23</v>
      </c>
      <c r="J10" s="18">
        <v>22</v>
      </c>
      <c r="K10" s="18">
        <v>21</v>
      </c>
      <c r="L10" s="18">
        <v>23</v>
      </c>
      <c r="M10" s="18">
        <v>21</v>
      </c>
      <c r="N10" s="19">
        <v>21</v>
      </c>
      <c r="O10" s="10">
        <v>21.3333333333333</v>
      </c>
      <c r="Q10" s="11"/>
    </row>
    <row r="11" spans="1:17" ht="15" customHeight="1" x14ac:dyDescent="0.25">
      <c r="A11" s="7" t="s">
        <v>23</v>
      </c>
      <c r="C11" s="20">
        <v>66</v>
      </c>
      <c r="D11" s="21">
        <v>63</v>
      </c>
      <c r="E11" s="21">
        <v>60</v>
      </c>
      <c r="F11" s="21">
        <v>63</v>
      </c>
      <c r="G11" s="21">
        <v>63</v>
      </c>
      <c r="H11" s="21">
        <v>60</v>
      </c>
      <c r="I11" s="21">
        <v>80.5</v>
      </c>
      <c r="J11" s="21">
        <v>77</v>
      </c>
      <c r="K11" s="21">
        <v>84</v>
      </c>
      <c r="L11" s="21">
        <v>126.5</v>
      </c>
      <c r="M11" s="21">
        <v>115.5</v>
      </c>
      <c r="N11" s="21">
        <v>105</v>
      </c>
      <c r="O11" s="14">
        <v>80.2916666666667</v>
      </c>
      <c r="Q11" s="11"/>
    </row>
    <row r="12" spans="1:17" ht="15" customHeight="1" x14ac:dyDescent="0.25">
      <c r="A12" s="7" t="s">
        <v>24</v>
      </c>
      <c r="C12" s="20">
        <v>61</v>
      </c>
      <c r="D12" s="21">
        <v>63</v>
      </c>
      <c r="E12" s="21">
        <v>55</v>
      </c>
      <c r="F12" s="21">
        <v>63</v>
      </c>
      <c r="G12" s="21">
        <v>63</v>
      </c>
      <c r="H12" s="21">
        <v>60</v>
      </c>
      <c r="I12" s="21">
        <v>80.5</v>
      </c>
      <c r="J12" s="21">
        <v>77</v>
      </c>
      <c r="K12" s="21">
        <v>84</v>
      </c>
      <c r="L12" s="21">
        <v>126.5</v>
      </c>
      <c r="M12" s="21">
        <v>115.5</v>
      </c>
      <c r="N12" s="21">
        <v>105</v>
      </c>
      <c r="O12" s="14">
        <v>79.4583333333333</v>
      </c>
      <c r="Q12" s="11"/>
    </row>
    <row r="13" spans="1:17" ht="15" customHeight="1" x14ac:dyDescent="0.25">
      <c r="A13" s="7" t="s">
        <v>25</v>
      </c>
      <c r="C13" s="22">
        <v>5</v>
      </c>
      <c r="D13" s="23">
        <v>5</v>
      </c>
      <c r="E13" s="23">
        <v>5</v>
      </c>
      <c r="F13" s="23">
        <v>2</v>
      </c>
      <c r="G13" s="23">
        <v>0</v>
      </c>
      <c r="H13" s="23">
        <v>0</v>
      </c>
      <c r="I13" s="23">
        <v>6</v>
      </c>
      <c r="J13" s="23">
        <v>2</v>
      </c>
      <c r="K13" s="23">
        <v>1</v>
      </c>
      <c r="L13" s="23">
        <v>2</v>
      </c>
      <c r="M13" s="23">
        <v>3</v>
      </c>
      <c r="N13" s="23">
        <v>1</v>
      </c>
      <c r="O13" s="14">
        <v>2.6666666666666701</v>
      </c>
      <c r="Q13" s="11"/>
    </row>
    <row r="14" spans="1:17" ht="15" customHeight="1" x14ac:dyDescent="0.25">
      <c r="A14" s="7" t="s">
        <v>26</v>
      </c>
      <c r="C14" s="20">
        <v>580.79999999999995</v>
      </c>
      <c r="D14" s="21">
        <v>554.4</v>
      </c>
      <c r="E14" s="21">
        <v>528</v>
      </c>
      <c r="F14" s="21">
        <v>554.4</v>
      </c>
      <c r="G14" s="21">
        <v>554.4</v>
      </c>
      <c r="H14" s="21">
        <v>528</v>
      </c>
      <c r="I14" s="21">
        <v>809.6</v>
      </c>
      <c r="J14" s="21">
        <v>580.79999999999995</v>
      </c>
      <c r="K14" s="21">
        <v>924</v>
      </c>
      <c r="L14" s="21">
        <v>1214.4000000000001</v>
      </c>
      <c r="M14" s="21">
        <v>924</v>
      </c>
      <c r="N14" s="21">
        <v>924</v>
      </c>
      <c r="O14" s="14">
        <v>723.06666666666695</v>
      </c>
      <c r="Q14" s="11"/>
    </row>
    <row r="15" spans="1:17" ht="15" customHeight="1" x14ac:dyDescent="0.25">
      <c r="A15" s="7" t="s">
        <v>27</v>
      </c>
      <c r="C15" s="24">
        <v>44</v>
      </c>
      <c r="D15" s="25">
        <v>44</v>
      </c>
      <c r="E15" s="25">
        <v>44</v>
      </c>
      <c r="F15" s="25">
        <v>17.600000000000001</v>
      </c>
      <c r="G15" s="25">
        <v>0</v>
      </c>
      <c r="H15" s="25">
        <v>0</v>
      </c>
      <c r="I15" s="25">
        <v>52.8</v>
      </c>
      <c r="J15" s="25">
        <v>17.600000000000001</v>
      </c>
      <c r="K15" s="25">
        <v>8.8000000000000007</v>
      </c>
      <c r="L15" s="25">
        <v>17.600000000000001</v>
      </c>
      <c r="M15" s="25">
        <v>26.4</v>
      </c>
      <c r="N15" s="25">
        <v>8.8000000000000007</v>
      </c>
      <c r="O15" s="14">
        <v>23.466666666666701</v>
      </c>
      <c r="Q15" s="11"/>
    </row>
    <row r="16" spans="1:17" ht="15" customHeight="1" x14ac:dyDescent="0.25">
      <c r="A16" s="7" t="s">
        <v>28</v>
      </c>
      <c r="C16" s="26">
        <v>2.7727272727272698</v>
      </c>
      <c r="D16" s="27">
        <v>2.7619047619047601</v>
      </c>
      <c r="E16" s="27">
        <v>2.75</v>
      </c>
      <c r="F16" s="27">
        <v>2.90476190476191</v>
      </c>
      <c r="G16" s="27">
        <v>3</v>
      </c>
      <c r="H16" s="27">
        <v>3</v>
      </c>
      <c r="I16" s="27">
        <v>3.7391304347826102</v>
      </c>
      <c r="J16" s="27">
        <v>2.9090909090909101</v>
      </c>
      <c r="K16" s="27">
        <v>4.9523809523809499</v>
      </c>
      <c r="L16" s="27">
        <v>5.9130434782608701</v>
      </c>
      <c r="M16" s="27">
        <v>4.8571428571428603</v>
      </c>
      <c r="N16" s="27">
        <v>4.9523809523809499</v>
      </c>
      <c r="O16" s="14">
        <v>3.7093802936194198</v>
      </c>
      <c r="Q16" s="11"/>
    </row>
    <row r="17" spans="1:17" ht="15" customHeight="1" x14ac:dyDescent="0.25">
      <c r="A17" s="7" t="s">
        <v>29</v>
      </c>
      <c r="C17" s="28">
        <v>7.5757575757575801E-2</v>
      </c>
      <c r="D17" s="29">
        <v>7.9365079365079402E-2</v>
      </c>
      <c r="E17" s="29">
        <v>8.3333333333333301E-2</v>
      </c>
      <c r="F17" s="29">
        <v>3.1746031746031703E-2</v>
      </c>
      <c r="G17" s="29">
        <v>0</v>
      </c>
      <c r="H17" s="29">
        <v>0</v>
      </c>
      <c r="I17" s="29">
        <v>6.5217391304347797E-2</v>
      </c>
      <c r="J17" s="29">
        <v>3.03030303030303E-2</v>
      </c>
      <c r="K17" s="29">
        <v>9.5238095238095299E-3</v>
      </c>
      <c r="L17" s="29">
        <v>1.4492753623188401E-2</v>
      </c>
      <c r="M17" s="29">
        <v>2.8571428571428598E-2</v>
      </c>
      <c r="N17" s="29">
        <v>9.5238095238095299E-3</v>
      </c>
      <c r="O17" s="30">
        <v>3.5652853587636202E-2</v>
      </c>
      <c r="Q17" s="11"/>
    </row>
    <row r="18" spans="1:17" ht="15" customHeight="1" x14ac:dyDescent="0.25">
      <c r="A18" s="7" t="s">
        <v>30</v>
      </c>
      <c r="C18" s="28">
        <v>0</v>
      </c>
      <c r="D18" s="29">
        <v>0</v>
      </c>
      <c r="E18" s="29">
        <v>0</v>
      </c>
      <c r="F18" s="29">
        <v>0</v>
      </c>
      <c r="G18" s="29">
        <v>0.33333333333333298</v>
      </c>
      <c r="H18" s="29">
        <v>0</v>
      </c>
      <c r="I18" s="29">
        <v>0.16666666666666699</v>
      </c>
      <c r="J18" s="29">
        <v>0.125</v>
      </c>
      <c r="K18" s="29">
        <v>0.33333333333333298</v>
      </c>
      <c r="L18" s="29">
        <v>0.1</v>
      </c>
      <c r="M18" s="29">
        <v>8.3333333333333301E-2</v>
      </c>
      <c r="N18" s="29">
        <v>0.2</v>
      </c>
      <c r="O18" s="30">
        <v>0.111805555555556</v>
      </c>
      <c r="Q18" s="11"/>
    </row>
    <row r="19" spans="1:17" ht="15" customHeight="1" x14ac:dyDescent="0.25">
      <c r="A19" s="7" t="s">
        <v>31</v>
      </c>
      <c r="C19" s="31">
        <v>7327.32</v>
      </c>
      <c r="D19" s="31">
        <v>7327.32</v>
      </c>
      <c r="E19" s="31">
        <v>7327.32</v>
      </c>
      <c r="F19" s="31">
        <v>7327.32</v>
      </c>
      <c r="G19" s="31">
        <v>7310.21</v>
      </c>
      <c r="H19" s="31">
        <v>7782.32</v>
      </c>
      <c r="I19" s="31">
        <v>8290.99</v>
      </c>
      <c r="J19" s="31">
        <v>8146.3</v>
      </c>
      <c r="K19" s="31">
        <v>9153.5300000000007</v>
      </c>
      <c r="L19" s="31">
        <v>12267.57</v>
      </c>
      <c r="M19" s="31">
        <v>12786.6</v>
      </c>
      <c r="N19" s="31">
        <v>11621.45</v>
      </c>
      <c r="O19" s="32">
        <v>106668.25</v>
      </c>
      <c r="Q19" s="11"/>
    </row>
    <row r="20" spans="1:17" ht="15" customHeight="1" x14ac:dyDescent="0.25">
      <c r="A20" s="7" t="s">
        <v>32</v>
      </c>
      <c r="C20" s="33">
        <v>8013.2</v>
      </c>
      <c r="D20" s="33">
        <v>8013.2</v>
      </c>
      <c r="E20" s="33">
        <v>8013.2</v>
      </c>
      <c r="F20" s="33">
        <v>8013.2</v>
      </c>
      <c r="G20" s="33">
        <v>7994.39</v>
      </c>
      <c r="H20" s="33">
        <v>8513.2000000000007</v>
      </c>
      <c r="I20" s="33">
        <v>9101.2000000000007</v>
      </c>
      <c r="J20" s="33">
        <v>9012</v>
      </c>
      <c r="K20" s="33">
        <v>13173.33</v>
      </c>
      <c r="L20" s="33">
        <v>17512.98</v>
      </c>
      <c r="M20" s="33">
        <v>14412</v>
      </c>
      <c r="N20" s="33">
        <v>14145.33</v>
      </c>
      <c r="O20" s="32">
        <v>125917.23</v>
      </c>
      <c r="Q20" s="11"/>
    </row>
    <row r="21" spans="1:17" ht="15" customHeight="1" x14ac:dyDescent="0.25">
      <c r="A21" s="7" t="s">
        <v>33</v>
      </c>
      <c r="C21" s="34">
        <v>2671.0666666666698</v>
      </c>
      <c r="D21" s="35">
        <v>2671.0666666666698</v>
      </c>
      <c r="E21" s="35">
        <v>2671.0666666666698</v>
      </c>
      <c r="F21" s="35">
        <v>2671.0666666666698</v>
      </c>
      <c r="G21" s="35">
        <v>2664.7966666666698</v>
      </c>
      <c r="H21" s="35">
        <v>2837.7333333333299</v>
      </c>
      <c r="I21" s="35">
        <v>2600.3428571428599</v>
      </c>
      <c r="J21" s="35">
        <v>2574.8571428571399</v>
      </c>
      <c r="K21" s="35">
        <v>3293.3325</v>
      </c>
      <c r="L21" s="35">
        <v>3184.1781818181798</v>
      </c>
      <c r="M21" s="35">
        <v>2620.3636363636401</v>
      </c>
      <c r="N21" s="35">
        <v>2829.0659999999998</v>
      </c>
      <c r="O21" s="36">
        <v>2774.07808207071</v>
      </c>
      <c r="Q21" s="11"/>
    </row>
    <row r="22" spans="1:17" ht="15" customHeight="1" x14ac:dyDescent="0.25">
      <c r="A22" s="37" t="s">
        <v>34</v>
      </c>
      <c r="C22" s="38" t="e">
        <f>#REF!</f>
        <v>#REF!</v>
      </c>
      <c r="D22" s="39" t="e">
        <f>#REF!</f>
        <v>#REF!</v>
      </c>
      <c r="E22" s="39" t="e">
        <f>#REF!</f>
        <v>#REF!</v>
      </c>
      <c r="F22" s="39" t="e">
        <f>#REF!</f>
        <v>#REF!</v>
      </c>
      <c r="G22" s="39">
        <v>481.42</v>
      </c>
      <c r="H22" s="39" t="e">
        <f>#REF!</f>
        <v>#REF!</v>
      </c>
      <c r="I22" s="39" t="e">
        <f>#REF!</f>
        <v>#REF!</v>
      </c>
      <c r="J22" s="39" t="e">
        <f>#REF!</f>
        <v>#REF!</v>
      </c>
      <c r="K22" s="39" t="e">
        <f>#REF!</f>
        <v>#REF!</v>
      </c>
      <c r="L22" s="39" t="e">
        <f>#REF!</f>
        <v>#REF!</v>
      </c>
      <c r="M22" s="39">
        <v>1040</v>
      </c>
      <c r="N22" s="39">
        <v>1040</v>
      </c>
      <c r="O22" s="36" t="e">
        <f>#REF!</f>
        <v>#REF!</v>
      </c>
      <c r="Q22" s="11"/>
    </row>
    <row r="23" spans="1:17" ht="15" hidden="1" customHeight="1" x14ac:dyDescent="0.25">
      <c r="A23" s="7" t="s">
        <v>35</v>
      </c>
      <c r="C23" s="40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2">
        <v>0</v>
      </c>
      <c r="Q23" s="11"/>
    </row>
    <row r="24" spans="1:17" ht="15" customHeight="1" x14ac:dyDescent="0.25">
      <c r="A24" s="7" t="s">
        <v>36</v>
      </c>
      <c r="C24" s="43" t="e">
        <f>#REF!</f>
        <v>#REF!</v>
      </c>
      <c r="D24" s="44" t="e">
        <f>#REF!</f>
        <v>#REF!</v>
      </c>
      <c r="E24" s="44" t="e">
        <f>#REF!</f>
        <v>#REF!</v>
      </c>
      <c r="F24" s="44" t="e">
        <f>#REF!</f>
        <v>#REF!</v>
      </c>
      <c r="G24" s="44">
        <v>481.42</v>
      </c>
      <c r="H24" s="44" t="e">
        <f>#REF!</f>
        <v>#REF!</v>
      </c>
      <c r="I24" s="44" t="e">
        <f>#REF!</f>
        <v>#REF!</v>
      </c>
      <c r="J24" s="44" t="e">
        <f>#REF!</f>
        <v>#REF!</v>
      </c>
      <c r="K24" s="44" t="e">
        <f>#REF!</f>
        <v>#REF!</v>
      </c>
      <c r="L24" s="35" t="e">
        <f>#REF!</f>
        <v>#REF!</v>
      </c>
      <c r="M24" s="45">
        <v>1040</v>
      </c>
      <c r="N24" s="45">
        <v>1040</v>
      </c>
      <c r="O24" s="46" t="e">
        <f>#REF!</f>
        <v>#REF!</v>
      </c>
      <c r="Q24" s="11"/>
    </row>
    <row r="25" spans="1:17" ht="15.75" customHeight="1" x14ac:dyDescent="0.25">
      <c r="A25" s="47" t="s">
        <v>37</v>
      </c>
      <c r="C25" s="48"/>
      <c r="D25" s="49"/>
      <c r="E25" s="49"/>
      <c r="F25" s="49"/>
      <c r="G25" s="49">
        <v>6.02197290850209E-2</v>
      </c>
      <c r="H25" s="49"/>
      <c r="I25" s="49"/>
      <c r="J25" s="49"/>
      <c r="K25" s="49"/>
      <c r="L25" s="49"/>
      <c r="M25" s="49">
        <v>7.2162087149597598E-2</v>
      </c>
      <c r="N25" s="49">
        <v>7.35224982379344E-2</v>
      </c>
      <c r="O25" s="50">
        <v>1.71586928727127E-2</v>
      </c>
      <c r="Q25" s="11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6"/>
  <sheetViews>
    <sheetView showGridLines="0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N18" sqref="N18"/>
    </sheetView>
  </sheetViews>
  <sheetFormatPr defaultColWidth="8.5703125" defaultRowHeight="15" x14ac:dyDescent="0.25"/>
  <cols>
    <col min="1" max="1" width="24.42578125" customWidth="1"/>
    <col min="2" max="2" width="1.42578125" customWidth="1"/>
    <col min="3" max="5" width="10.140625" customWidth="1"/>
    <col min="6" max="14" width="9.7109375" customWidth="1"/>
    <col min="15" max="15" width="10.7109375" customWidth="1"/>
  </cols>
  <sheetData>
    <row r="1" spans="1:17" ht="15" customHeight="1" x14ac:dyDescent="0.25">
      <c r="A1" s="3" t="s">
        <v>0</v>
      </c>
      <c r="C1" s="4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6" t="s">
        <v>13</v>
      </c>
    </row>
    <row r="2" spans="1:17" ht="15" customHeight="1" x14ac:dyDescent="0.25">
      <c r="A2" s="7" t="s">
        <v>14</v>
      </c>
      <c r="C2" s="8">
        <v>5</v>
      </c>
      <c r="D2" s="9">
        <v>6</v>
      </c>
      <c r="E2" s="9">
        <v>6</v>
      </c>
      <c r="F2" s="9">
        <v>6</v>
      </c>
      <c r="G2" s="9">
        <v>6</v>
      </c>
      <c r="H2" s="9">
        <v>6</v>
      </c>
      <c r="I2" s="9">
        <v>4</v>
      </c>
      <c r="J2" s="9">
        <v>5</v>
      </c>
      <c r="K2" s="9">
        <v>5</v>
      </c>
      <c r="L2" s="9">
        <v>4</v>
      </c>
      <c r="M2" s="9">
        <v>4</v>
      </c>
      <c r="N2" s="9">
        <v>4</v>
      </c>
      <c r="O2" s="10">
        <f t="shared" ref="O2:O16" si="0">AVERAGE(C2:N2)</f>
        <v>5.083333333333333</v>
      </c>
    </row>
    <row r="3" spans="1:17" ht="15" customHeight="1" x14ac:dyDescent="0.25">
      <c r="A3" s="7" t="s">
        <v>15</v>
      </c>
      <c r="C3" s="8">
        <v>3</v>
      </c>
      <c r="D3" s="9">
        <v>0</v>
      </c>
      <c r="E3" s="9">
        <v>1</v>
      </c>
      <c r="F3" s="9">
        <v>0</v>
      </c>
      <c r="G3" s="9">
        <v>5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10">
        <f t="shared" si="0"/>
        <v>0.75</v>
      </c>
      <c r="Q3" s="11"/>
    </row>
    <row r="4" spans="1:17" ht="15" customHeight="1" x14ac:dyDescent="0.25">
      <c r="A4" s="7" t="s">
        <v>16</v>
      </c>
      <c r="C4" s="8">
        <v>1</v>
      </c>
      <c r="D4" s="9">
        <v>2</v>
      </c>
      <c r="E4" s="9">
        <v>2</v>
      </c>
      <c r="F4" s="9">
        <v>1</v>
      </c>
      <c r="G4" s="9">
        <v>0</v>
      </c>
      <c r="H4" s="9">
        <v>0</v>
      </c>
      <c r="I4" s="9">
        <v>1</v>
      </c>
      <c r="J4" s="9">
        <v>0</v>
      </c>
      <c r="K4" s="9">
        <v>0</v>
      </c>
      <c r="L4" s="9">
        <v>0</v>
      </c>
      <c r="M4" s="9">
        <v>1</v>
      </c>
      <c r="N4" s="9">
        <v>1</v>
      </c>
      <c r="O4" s="10">
        <f t="shared" si="0"/>
        <v>0.75</v>
      </c>
      <c r="Q4" s="11"/>
    </row>
    <row r="5" spans="1:17" ht="15" customHeight="1" x14ac:dyDescent="0.25">
      <c r="A5" s="7" t="s">
        <v>17</v>
      </c>
      <c r="C5" s="8">
        <v>0</v>
      </c>
      <c r="D5" s="9">
        <v>2</v>
      </c>
      <c r="E5" s="9">
        <v>2</v>
      </c>
      <c r="F5" s="9">
        <v>1</v>
      </c>
      <c r="G5" s="9">
        <v>0</v>
      </c>
      <c r="H5" s="9">
        <v>2</v>
      </c>
      <c r="I5" s="9">
        <v>0</v>
      </c>
      <c r="J5" s="9">
        <v>0</v>
      </c>
      <c r="K5" s="9">
        <v>1</v>
      </c>
      <c r="L5" s="9">
        <v>0</v>
      </c>
      <c r="M5" s="9">
        <v>1</v>
      </c>
      <c r="N5" s="9">
        <v>2</v>
      </c>
      <c r="O5" s="10">
        <f t="shared" si="0"/>
        <v>0.91666666666666663</v>
      </c>
      <c r="Q5" s="11"/>
    </row>
    <row r="6" spans="1:17" ht="15" customHeight="1" x14ac:dyDescent="0.25">
      <c r="A6" s="7" t="s">
        <v>18</v>
      </c>
      <c r="C6" s="12">
        <f t="shared" ref="C6:N6" si="1">C2+C4-C5</f>
        <v>6</v>
      </c>
      <c r="D6" s="13">
        <f t="shared" si="1"/>
        <v>6</v>
      </c>
      <c r="E6" s="13">
        <f t="shared" si="1"/>
        <v>6</v>
      </c>
      <c r="F6" s="13">
        <f t="shared" si="1"/>
        <v>6</v>
      </c>
      <c r="G6" s="13">
        <f t="shared" si="1"/>
        <v>6</v>
      </c>
      <c r="H6" s="13">
        <f t="shared" si="1"/>
        <v>4</v>
      </c>
      <c r="I6" s="13">
        <f t="shared" si="1"/>
        <v>5</v>
      </c>
      <c r="J6" s="13">
        <f t="shared" si="1"/>
        <v>5</v>
      </c>
      <c r="K6" s="13">
        <f t="shared" si="1"/>
        <v>4</v>
      </c>
      <c r="L6" s="13">
        <f t="shared" si="1"/>
        <v>4</v>
      </c>
      <c r="M6" s="13">
        <f t="shared" si="1"/>
        <v>4</v>
      </c>
      <c r="N6" s="13">
        <f t="shared" si="1"/>
        <v>3</v>
      </c>
      <c r="O6" s="14">
        <f t="shared" si="0"/>
        <v>4.916666666666667</v>
      </c>
      <c r="Q6" s="11"/>
    </row>
    <row r="7" spans="1:17" ht="15" customHeight="1" x14ac:dyDescent="0.25">
      <c r="A7" s="7" t="s">
        <v>19</v>
      </c>
      <c r="C7" s="12">
        <f t="shared" ref="C7:N7" si="2">(C2+C6)/2</f>
        <v>5.5</v>
      </c>
      <c r="D7" s="13">
        <f t="shared" si="2"/>
        <v>6</v>
      </c>
      <c r="E7" s="13">
        <f t="shared" si="2"/>
        <v>6</v>
      </c>
      <c r="F7" s="13">
        <f t="shared" si="2"/>
        <v>6</v>
      </c>
      <c r="G7" s="13">
        <f t="shared" si="2"/>
        <v>6</v>
      </c>
      <c r="H7" s="13">
        <f t="shared" si="2"/>
        <v>5</v>
      </c>
      <c r="I7" s="13">
        <f t="shared" si="2"/>
        <v>4.5</v>
      </c>
      <c r="J7" s="13">
        <f t="shared" si="2"/>
        <v>5</v>
      </c>
      <c r="K7" s="13">
        <f t="shared" si="2"/>
        <v>4.5</v>
      </c>
      <c r="L7" s="13">
        <f t="shared" si="2"/>
        <v>4</v>
      </c>
      <c r="M7" s="13">
        <f t="shared" si="2"/>
        <v>4</v>
      </c>
      <c r="N7" s="13">
        <f t="shared" si="2"/>
        <v>3.5</v>
      </c>
      <c r="O7" s="14">
        <f t="shared" si="0"/>
        <v>5</v>
      </c>
      <c r="Q7" s="11"/>
    </row>
    <row r="8" spans="1:17" ht="15" customHeight="1" x14ac:dyDescent="0.25">
      <c r="A8" s="7" t="s">
        <v>20</v>
      </c>
      <c r="C8" s="15">
        <f>'Janeiro 25'!U15</f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13</v>
      </c>
      <c r="M8" s="16">
        <v>0</v>
      </c>
      <c r="N8" s="16">
        <v>0</v>
      </c>
      <c r="O8" s="10">
        <f t="shared" si="0"/>
        <v>1.0833333333333333</v>
      </c>
      <c r="Q8" s="11"/>
    </row>
    <row r="9" spans="1:17" ht="15" customHeight="1" x14ac:dyDescent="0.25">
      <c r="A9" s="7" t="s">
        <v>21</v>
      </c>
      <c r="C9" s="15">
        <f>'Janeiro 25'!U16</f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1</v>
      </c>
      <c r="M9" s="16">
        <v>0</v>
      </c>
      <c r="N9" s="16">
        <v>0</v>
      </c>
      <c r="O9" s="10">
        <f t="shared" si="0"/>
        <v>8.3333333333333329E-2</v>
      </c>
      <c r="Q9" s="11"/>
    </row>
    <row r="10" spans="1:17" ht="15" customHeight="1" x14ac:dyDescent="0.25">
      <c r="A10" s="7" t="s">
        <v>22</v>
      </c>
      <c r="C10" s="17" t="e">
        <f>#REF!</f>
        <v>#REF!</v>
      </c>
      <c r="D10" s="18">
        <v>20</v>
      </c>
      <c r="E10" s="18">
        <v>21</v>
      </c>
      <c r="F10" s="18">
        <v>19</v>
      </c>
      <c r="G10" s="18">
        <v>20</v>
      </c>
      <c r="H10" s="18">
        <v>20</v>
      </c>
      <c r="I10" s="18">
        <v>23</v>
      </c>
      <c r="J10" s="18">
        <v>21</v>
      </c>
      <c r="K10" s="18">
        <v>22</v>
      </c>
      <c r="L10" s="18">
        <v>23</v>
      </c>
      <c r="M10" s="18">
        <v>21</v>
      </c>
      <c r="N10" s="19">
        <v>22</v>
      </c>
      <c r="O10" s="10" t="e">
        <f t="shared" si="0"/>
        <v>#REF!</v>
      </c>
      <c r="Q10" s="11"/>
    </row>
    <row r="11" spans="1:17" ht="15" customHeight="1" x14ac:dyDescent="0.25">
      <c r="A11" s="7" t="s">
        <v>23</v>
      </c>
      <c r="C11" s="21" t="e">
        <f t="shared" ref="C11:N11" si="3">C10*C7</f>
        <v>#REF!</v>
      </c>
      <c r="D11" s="21">
        <f t="shared" si="3"/>
        <v>120</v>
      </c>
      <c r="E11" s="21">
        <f t="shared" si="3"/>
        <v>126</v>
      </c>
      <c r="F11" s="21">
        <f t="shared" si="3"/>
        <v>114</v>
      </c>
      <c r="G11" s="21">
        <f t="shared" si="3"/>
        <v>120</v>
      </c>
      <c r="H11" s="21">
        <f t="shared" si="3"/>
        <v>100</v>
      </c>
      <c r="I11" s="21">
        <f t="shared" si="3"/>
        <v>103.5</v>
      </c>
      <c r="J11" s="21">
        <f t="shared" si="3"/>
        <v>105</v>
      </c>
      <c r="K11" s="21">
        <f t="shared" si="3"/>
        <v>99</v>
      </c>
      <c r="L11" s="21">
        <f t="shared" si="3"/>
        <v>92</v>
      </c>
      <c r="M11" s="21">
        <f t="shared" si="3"/>
        <v>84</v>
      </c>
      <c r="N11" s="21">
        <f t="shared" si="3"/>
        <v>77</v>
      </c>
      <c r="O11" s="51" t="e">
        <f t="shared" si="0"/>
        <v>#REF!</v>
      </c>
      <c r="Q11" s="11"/>
    </row>
    <row r="12" spans="1:17" ht="15" customHeight="1" x14ac:dyDescent="0.25">
      <c r="A12" s="7" t="s">
        <v>24</v>
      </c>
      <c r="C12" s="21" t="e">
        <f t="shared" ref="C12:N12" si="4">C11-(C8+C3)</f>
        <v>#REF!</v>
      </c>
      <c r="D12" s="21">
        <f t="shared" si="4"/>
        <v>120</v>
      </c>
      <c r="E12" s="21">
        <f t="shared" si="4"/>
        <v>125</v>
      </c>
      <c r="F12" s="21">
        <f t="shared" si="4"/>
        <v>114</v>
      </c>
      <c r="G12" s="21">
        <f t="shared" si="4"/>
        <v>115</v>
      </c>
      <c r="H12" s="21">
        <f t="shared" si="4"/>
        <v>100</v>
      </c>
      <c r="I12" s="21">
        <f t="shared" si="4"/>
        <v>103.5</v>
      </c>
      <c r="J12" s="21">
        <f t="shared" si="4"/>
        <v>105</v>
      </c>
      <c r="K12" s="21">
        <f t="shared" si="4"/>
        <v>99</v>
      </c>
      <c r="L12" s="21">
        <f t="shared" si="4"/>
        <v>79</v>
      </c>
      <c r="M12" s="21">
        <f t="shared" si="4"/>
        <v>84</v>
      </c>
      <c r="N12" s="21">
        <f t="shared" si="4"/>
        <v>77</v>
      </c>
      <c r="O12" s="51" t="e">
        <f t="shared" si="0"/>
        <v>#REF!</v>
      </c>
      <c r="Q12" s="11"/>
    </row>
    <row r="13" spans="1:17" ht="15" customHeight="1" x14ac:dyDescent="0.25">
      <c r="A13" s="7" t="s">
        <v>25</v>
      </c>
      <c r="C13" s="23">
        <f t="shared" ref="C13:N13" si="5">C8+C3</f>
        <v>3</v>
      </c>
      <c r="D13" s="23">
        <f t="shared" si="5"/>
        <v>0</v>
      </c>
      <c r="E13" s="23">
        <f t="shared" si="5"/>
        <v>1</v>
      </c>
      <c r="F13" s="23">
        <f t="shared" si="5"/>
        <v>0</v>
      </c>
      <c r="G13" s="23">
        <f t="shared" si="5"/>
        <v>5</v>
      </c>
      <c r="H13" s="23">
        <f t="shared" si="5"/>
        <v>0</v>
      </c>
      <c r="I13" s="23">
        <f t="shared" si="5"/>
        <v>0</v>
      </c>
      <c r="J13" s="23">
        <f t="shared" si="5"/>
        <v>0</v>
      </c>
      <c r="K13" s="23">
        <f t="shared" si="5"/>
        <v>0</v>
      </c>
      <c r="L13" s="23">
        <f t="shared" si="5"/>
        <v>13</v>
      </c>
      <c r="M13" s="23">
        <f t="shared" si="5"/>
        <v>0</v>
      </c>
      <c r="N13" s="23">
        <f t="shared" si="5"/>
        <v>0</v>
      </c>
      <c r="O13" s="51">
        <f t="shared" si="0"/>
        <v>1.8333333333333333</v>
      </c>
      <c r="Q13" s="11"/>
    </row>
    <row r="14" spans="1:17" ht="15" customHeight="1" x14ac:dyDescent="0.25">
      <c r="A14" s="7" t="s">
        <v>26</v>
      </c>
      <c r="C14" s="21" t="e">
        <f t="shared" ref="C14:N14" si="6">(C6*8.8)*C10</f>
        <v>#REF!</v>
      </c>
      <c r="D14" s="21">
        <f t="shared" si="6"/>
        <v>1056</v>
      </c>
      <c r="E14" s="21">
        <f t="shared" si="6"/>
        <v>1108.8000000000002</v>
      </c>
      <c r="F14" s="21">
        <f t="shared" si="6"/>
        <v>1003.2</v>
      </c>
      <c r="G14" s="21">
        <f t="shared" si="6"/>
        <v>1056</v>
      </c>
      <c r="H14" s="21">
        <f t="shared" si="6"/>
        <v>704</v>
      </c>
      <c r="I14" s="21">
        <f t="shared" si="6"/>
        <v>1012</v>
      </c>
      <c r="J14" s="21">
        <f t="shared" si="6"/>
        <v>924</v>
      </c>
      <c r="K14" s="21">
        <f t="shared" si="6"/>
        <v>774.40000000000009</v>
      </c>
      <c r="L14" s="21">
        <f t="shared" si="6"/>
        <v>809.6</v>
      </c>
      <c r="M14" s="21">
        <f t="shared" si="6"/>
        <v>739.2</v>
      </c>
      <c r="N14" s="21">
        <f t="shared" si="6"/>
        <v>580.80000000000007</v>
      </c>
      <c r="O14" s="51" t="e">
        <f t="shared" si="0"/>
        <v>#REF!</v>
      </c>
      <c r="Q14" s="11"/>
    </row>
    <row r="15" spans="1:17" ht="15" customHeight="1" x14ac:dyDescent="0.25">
      <c r="A15" s="7" t="s">
        <v>27</v>
      </c>
      <c r="C15" s="25">
        <f t="shared" ref="C15:N15" si="7">C13*8.8</f>
        <v>26.400000000000002</v>
      </c>
      <c r="D15" s="25">
        <f t="shared" si="7"/>
        <v>0</v>
      </c>
      <c r="E15" s="25">
        <f t="shared" si="7"/>
        <v>8.8000000000000007</v>
      </c>
      <c r="F15" s="25">
        <f t="shared" si="7"/>
        <v>0</v>
      </c>
      <c r="G15" s="25">
        <f t="shared" si="7"/>
        <v>44</v>
      </c>
      <c r="H15" s="25">
        <f t="shared" si="7"/>
        <v>0</v>
      </c>
      <c r="I15" s="25">
        <f t="shared" si="7"/>
        <v>0</v>
      </c>
      <c r="J15" s="25">
        <f t="shared" si="7"/>
        <v>0</v>
      </c>
      <c r="K15" s="25">
        <f t="shared" si="7"/>
        <v>0</v>
      </c>
      <c r="L15" s="25">
        <f t="shared" si="7"/>
        <v>114.4</v>
      </c>
      <c r="M15" s="25">
        <f t="shared" si="7"/>
        <v>0</v>
      </c>
      <c r="N15" s="25">
        <f t="shared" si="7"/>
        <v>0</v>
      </c>
      <c r="O15" s="51">
        <f t="shared" si="0"/>
        <v>16.133333333333336</v>
      </c>
      <c r="Q15" s="11"/>
    </row>
    <row r="16" spans="1:17" ht="15" customHeight="1" x14ac:dyDescent="0.25">
      <c r="A16" s="7" t="s">
        <v>28</v>
      </c>
      <c r="C16" s="27" t="e">
        <f t="shared" ref="C16:N16" si="8">(C14-C15)/(8.8*C10)</f>
        <v>#REF!</v>
      </c>
      <c r="D16" s="27">
        <f t="shared" si="8"/>
        <v>6</v>
      </c>
      <c r="E16" s="27">
        <f t="shared" si="8"/>
        <v>5.9523809523809534</v>
      </c>
      <c r="F16" s="27">
        <f t="shared" si="8"/>
        <v>6</v>
      </c>
      <c r="G16" s="27">
        <f t="shared" si="8"/>
        <v>5.75</v>
      </c>
      <c r="H16" s="27">
        <f t="shared" si="8"/>
        <v>4</v>
      </c>
      <c r="I16" s="27">
        <f t="shared" si="8"/>
        <v>5</v>
      </c>
      <c r="J16" s="27">
        <f t="shared" si="8"/>
        <v>5</v>
      </c>
      <c r="K16" s="27">
        <f t="shared" si="8"/>
        <v>4</v>
      </c>
      <c r="L16" s="27">
        <f t="shared" si="8"/>
        <v>3.4347826086956523</v>
      </c>
      <c r="M16" s="27">
        <f t="shared" si="8"/>
        <v>4</v>
      </c>
      <c r="N16" s="27">
        <f t="shared" si="8"/>
        <v>3</v>
      </c>
      <c r="O16" s="51" t="e">
        <f t="shared" si="0"/>
        <v>#REF!</v>
      </c>
      <c r="Q16" s="11"/>
    </row>
    <row r="17" spans="1:17" ht="15" customHeight="1" x14ac:dyDescent="0.25">
      <c r="A17" s="7" t="s">
        <v>29</v>
      </c>
      <c r="C17" s="29" t="str">
        <f t="shared" ref="C17:N17" si="9">IFERROR((C15/C14),"")</f>
        <v/>
      </c>
      <c r="D17" s="29">
        <f t="shared" si="9"/>
        <v>0</v>
      </c>
      <c r="E17" s="29">
        <f t="shared" si="9"/>
        <v>7.9365079365079361E-3</v>
      </c>
      <c r="F17" s="29">
        <f t="shared" si="9"/>
        <v>0</v>
      </c>
      <c r="G17" s="29">
        <f t="shared" si="9"/>
        <v>4.1666666666666664E-2</v>
      </c>
      <c r="H17" s="29">
        <f t="shared" si="9"/>
        <v>0</v>
      </c>
      <c r="I17" s="29">
        <f t="shared" si="9"/>
        <v>0</v>
      </c>
      <c r="J17" s="29">
        <f t="shared" si="9"/>
        <v>0</v>
      </c>
      <c r="K17" s="29">
        <f t="shared" si="9"/>
        <v>0</v>
      </c>
      <c r="L17" s="29">
        <f t="shared" si="9"/>
        <v>0.14130434782608697</v>
      </c>
      <c r="M17" s="29">
        <f t="shared" si="9"/>
        <v>0</v>
      </c>
      <c r="N17" s="29">
        <f t="shared" si="9"/>
        <v>0</v>
      </c>
      <c r="O17" s="29">
        <f>SUM(C17:N17)/12</f>
        <v>1.5908960202438465E-2</v>
      </c>
      <c r="Q17" s="11"/>
    </row>
    <row r="18" spans="1:17" ht="15" customHeight="1" x14ac:dyDescent="0.25">
      <c r="A18" s="7" t="s">
        <v>30</v>
      </c>
      <c r="C18" s="29">
        <f t="shared" ref="C18:N18" si="10">IFERROR((((C5+C4)/2)/C2),"")</f>
        <v>0.1</v>
      </c>
      <c r="D18" s="29">
        <f t="shared" si="10"/>
        <v>0.33333333333333331</v>
      </c>
      <c r="E18" s="29">
        <f t="shared" si="10"/>
        <v>0.33333333333333331</v>
      </c>
      <c r="F18" s="29">
        <f t="shared" si="10"/>
        <v>0.16666666666666666</v>
      </c>
      <c r="G18" s="29">
        <f t="shared" si="10"/>
        <v>0</v>
      </c>
      <c r="H18" s="29">
        <f t="shared" si="10"/>
        <v>0.16666666666666666</v>
      </c>
      <c r="I18" s="29">
        <f t="shared" si="10"/>
        <v>0.125</v>
      </c>
      <c r="J18" s="29">
        <f t="shared" si="10"/>
        <v>0</v>
      </c>
      <c r="K18" s="29">
        <f t="shared" si="10"/>
        <v>0.1</v>
      </c>
      <c r="L18" s="29">
        <f t="shared" si="10"/>
        <v>0</v>
      </c>
      <c r="M18" s="29">
        <f t="shared" si="10"/>
        <v>0.25</v>
      </c>
      <c r="N18" s="29">
        <f t="shared" si="10"/>
        <v>0.375</v>
      </c>
      <c r="O18" s="29">
        <f>SUM(C18:N18)/12</f>
        <v>0.16250000000000001</v>
      </c>
      <c r="Q18" s="11"/>
    </row>
    <row r="19" spans="1:17" ht="15" customHeight="1" x14ac:dyDescent="0.25">
      <c r="A19" s="7" t="s">
        <v>31</v>
      </c>
      <c r="C19" s="52">
        <f>'Fopag Analitic'!D15</f>
        <v>13226.01</v>
      </c>
      <c r="D19" s="52">
        <f>'Fopag Analitic'!G15</f>
        <v>13130.21</v>
      </c>
      <c r="E19" s="52">
        <f>'Fopag Analitic'!J15</f>
        <v>11749.71</v>
      </c>
      <c r="F19" s="52">
        <f>'Fopag Analitic'!M15</f>
        <v>13076.92</v>
      </c>
      <c r="G19" s="52">
        <f>'Fopag Analitic'!P15</f>
        <v>14689.69</v>
      </c>
      <c r="H19" s="52">
        <v>10094.15</v>
      </c>
      <c r="I19" s="52">
        <v>12554.18</v>
      </c>
      <c r="J19" s="52">
        <v>14081.11</v>
      </c>
      <c r="K19" s="52">
        <v>11783.34</v>
      </c>
      <c r="L19" s="52">
        <v>9549.1</v>
      </c>
      <c r="M19" s="52">
        <f>11333.06+4679.17</f>
        <v>16012.23</v>
      </c>
      <c r="N19" s="52"/>
      <c r="O19" s="52">
        <f>SUM(C19:N19)</f>
        <v>139946.65</v>
      </c>
      <c r="Q19" s="11"/>
    </row>
    <row r="20" spans="1:17" ht="15" customHeight="1" x14ac:dyDescent="0.25">
      <c r="A20" s="7" t="s">
        <v>32</v>
      </c>
      <c r="C20" s="45">
        <f>'Fopag Analitic'!D14</f>
        <v>14480</v>
      </c>
      <c r="D20" s="45">
        <f>'Fopag Analitic'!G14</f>
        <v>14300</v>
      </c>
      <c r="E20" s="45">
        <f>'Fopag Analitic'!J14</f>
        <v>12800</v>
      </c>
      <c r="F20" s="45">
        <f>'Fopag Analitic'!M14</f>
        <v>14320</v>
      </c>
      <c r="G20" s="45">
        <f>'Fopag Analitic'!P14</f>
        <v>16000</v>
      </c>
      <c r="H20" s="45">
        <v>11000</v>
      </c>
      <c r="I20" s="45">
        <v>13733.33</v>
      </c>
      <c r="J20" s="45">
        <v>15400</v>
      </c>
      <c r="K20" s="45">
        <v>12900</v>
      </c>
      <c r="L20" s="45">
        <v>12900</v>
      </c>
      <c r="M20" s="45">
        <f>12700+4679.17</f>
        <v>17379.169999999998</v>
      </c>
      <c r="N20" s="45"/>
      <c r="O20" s="52">
        <f>SUM(C20:N20)</f>
        <v>155212.5</v>
      </c>
      <c r="Q20" s="11"/>
    </row>
    <row r="21" spans="1:17" ht="15" customHeight="1" x14ac:dyDescent="0.25">
      <c r="A21" s="7" t="s">
        <v>33</v>
      </c>
      <c r="C21" s="45">
        <f t="shared" ref="C21:M21" si="11">IFERROR((C20/C7),"")</f>
        <v>2632.7272727272725</v>
      </c>
      <c r="D21" s="45">
        <f t="shared" si="11"/>
        <v>2383.3333333333335</v>
      </c>
      <c r="E21" s="45">
        <f t="shared" si="11"/>
        <v>2133.3333333333335</v>
      </c>
      <c r="F21" s="45">
        <f t="shared" si="11"/>
        <v>2386.6666666666665</v>
      </c>
      <c r="G21" s="45">
        <f t="shared" si="11"/>
        <v>2666.6666666666665</v>
      </c>
      <c r="H21" s="45">
        <f t="shared" si="11"/>
        <v>2200</v>
      </c>
      <c r="I21" s="45">
        <f t="shared" si="11"/>
        <v>3051.8511111111111</v>
      </c>
      <c r="J21" s="45">
        <f t="shared" si="11"/>
        <v>3080</v>
      </c>
      <c r="K21" s="45">
        <f t="shared" si="11"/>
        <v>2866.6666666666665</v>
      </c>
      <c r="L21" s="45">
        <f t="shared" si="11"/>
        <v>3225</v>
      </c>
      <c r="M21" s="45">
        <f t="shared" si="11"/>
        <v>4344.7924999999996</v>
      </c>
      <c r="N21" s="35"/>
      <c r="O21" s="35">
        <f t="array" ref="O21">SUM(C21:N21/12)</f>
        <v>2580.9197958754207</v>
      </c>
      <c r="Q21" s="11"/>
    </row>
    <row r="22" spans="1:17" ht="15" customHeight="1" x14ac:dyDescent="0.25">
      <c r="A22" s="37" t="s">
        <v>34</v>
      </c>
      <c r="C22" s="52">
        <f t="shared" ref="C22:M22" si="12">SUM(C23:C25)</f>
        <v>4899.6399999999994</v>
      </c>
      <c r="D22" s="52">
        <f t="shared" si="12"/>
        <v>4836.1000000000004</v>
      </c>
      <c r="E22" s="52">
        <f t="shared" si="12"/>
        <v>4306.6000000000004</v>
      </c>
      <c r="F22" s="52">
        <f t="shared" si="12"/>
        <v>4843.1600000000008</v>
      </c>
      <c r="G22" s="52">
        <f t="shared" si="12"/>
        <v>5436.2</v>
      </c>
      <c r="H22" s="52">
        <f t="shared" si="12"/>
        <v>3671.2</v>
      </c>
      <c r="I22" s="52">
        <f t="shared" si="12"/>
        <v>4636.06549</v>
      </c>
      <c r="J22" s="52">
        <f t="shared" si="12"/>
        <v>5995</v>
      </c>
      <c r="K22" s="52">
        <f t="shared" si="12"/>
        <v>5112.8999999999996</v>
      </c>
      <c r="L22" s="52">
        <f t="shared" si="12"/>
        <v>5052.8999999999996</v>
      </c>
      <c r="M22" s="52">
        <f t="shared" si="12"/>
        <v>2122.33</v>
      </c>
      <c r="N22" s="39"/>
      <c r="O22" s="35">
        <f>SUM(C22:N22)</f>
        <v>50912.095490000007</v>
      </c>
      <c r="Q22" s="11"/>
    </row>
    <row r="23" spans="1:17" ht="15" hidden="1" customHeight="1" x14ac:dyDescent="0.25">
      <c r="A23" s="7" t="s">
        <v>35</v>
      </c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53">
        <f>SUM(C23:N23)</f>
        <v>0</v>
      </c>
      <c r="Q23" s="11"/>
    </row>
    <row r="24" spans="1:17" ht="15" customHeight="1" x14ac:dyDescent="0.25">
      <c r="A24" s="7" t="s">
        <v>36</v>
      </c>
      <c r="C24" s="45">
        <f>'Fopag Analitic'!D17</f>
        <v>1110.4000000000001</v>
      </c>
      <c r="D24" s="45">
        <f>'Fopag Analitic'!G17</f>
        <v>1096</v>
      </c>
      <c r="E24" s="45">
        <f>'Fopag Analitic'!J17</f>
        <v>976</v>
      </c>
      <c r="F24" s="45">
        <f>'Fopag Analitic'!M17</f>
        <v>1097.6000000000001</v>
      </c>
      <c r="G24" s="45">
        <f>'Fopag Analitic'!P17</f>
        <v>1232</v>
      </c>
      <c r="H24" s="44">
        <f>'Fopag Analitic'!S17</f>
        <v>832</v>
      </c>
      <c r="I24" s="44">
        <f>'Fopag Analitic'!V17</f>
        <v>1050.6664000000001</v>
      </c>
      <c r="J24" s="44">
        <v>1184</v>
      </c>
      <c r="K24" s="44">
        <v>984</v>
      </c>
      <c r="L24" s="35">
        <v>924</v>
      </c>
      <c r="M24" s="35">
        <f>968+374.33</f>
        <v>1342.33</v>
      </c>
      <c r="N24" s="35"/>
      <c r="O24" s="39">
        <f>SUM(C24:N24)</f>
        <v>11828.9964</v>
      </c>
      <c r="Q24" s="11"/>
    </row>
    <row r="25" spans="1:17" ht="15" customHeight="1" x14ac:dyDescent="0.25">
      <c r="A25" s="54" t="s">
        <v>35</v>
      </c>
      <c r="C25" s="45">
        <f>'Fopag Analitic'!D18+'Fopag Analitic'!D19+'Fopag Analitic'!D20</f>
        <v>3789.24</v>
      </c>
      <c r="D25" s="45">
        <f>'Fopag Analitic'!G18+'Fopag Analitic'!G19+'Fopag Analitic'!G20</f>
        <v>3740.1</v>
      </c>
      <c r="E25" s="45">
        <f>'Fopag Analitic'!J18+'Fopag Analitic'!J19+'Fopag Analitic'!J20</f>
        <v>3330.6</v>
      </c>
      <c r="F25" s="45">
        <f>'Fopag Analitic'!M18+'Fopag Analitic'!M19+'Fopag Analitic'!M20</f>
        <v>3745.5600000000004</v>
      </c>
      <c r="G25" s="45">
        <f>'Fopag Analitic'!P18+'Fopag Analitic'!P19+'Fopag Analitic'!P20</f>
        <v>4204.2</v>
      </c>
      <c r="H25" s="45">
        <f>'Fopag Analitic'!S18+'Fopag Analitic'!S19+'Fopag Analitic'!S20</f>
        <v>2839.2</v>
      </c>
      <c r="I25" s="45">
        <f>'Fopag Analitic'!V18+'Fopag Analitic'!V19+'Fopag Analitic'!V20</f>
        <v>3585.3990899999999</v>
      </c>
      <c r="J25" s="44">
        <v>4811</v>
      </c>
      <c r="K25" s="44">
        <v>4128.8999999999996</v>
      </c>
      <c r="L25" s="35">
        <v>4128.8999999999996</v>
      </c>
      <c r="M25" s="35">
        <f>'Fopag 01 26'!B32</f>
        <v>780</v>
      </c>
      <c r="N25" s="35"/>
      <c r="O25" s="39">
        <f>SUM(C25:N25)</f>
        <v>39083.099090000003</v>
      </c>
      <c r="Q25" s="11"/>
    </row>
    <row r="26" spans="1:17" ht="15.75" customHeight="1" x14ac:dyDescent="0.25">
      <c r="A26" s="47" t="s">
        <v>37</v>
      </c>
      <c r="C26" s="55">
        <f t="shared" ref="C26:N26" si="13">IFERROR((C22/C20),"")</f>
        <v>0.33837292817679554</v>
      </c>
      <c r="D26" s="55">
        <f t="shared" si="13"/>
        <v>0.33818881118881122</v>
      </c>
      <c r="E26" s="55">
        <f t="shared" si="13"/>
        <v>0.33645312500000002</v>
      </c>
      <c r="F26" s="55">
        <f t="shared" si="13"/>
        <v>0.33820949720670396</v>
      </c>
      <c r="G26" s="55">
        <f t="shared" si="13"/>
        <v>0.33976249999999997</v>
      </c>
      <c r="H26" s="55">
        <f t="shared" si="13"/>
        <v>0.33374545454545451</v>
      </c>
      <c r="I26" s="55">
        <f t="shared" si="13"/>
        <v>0.3375776661596277</v>
      </c>
      <c r="J26" s="55">
        <f t="shared" si="13"/>
        <v>0.38928571428571429</v>
      </c>
      <c r="K26" s="55">
        <f t="shared" si="13"/>
        <v>0.39634883720930231</v>
      </c>
      <c r="L26" s="55">
        <f t="shared" si="13"/>
        <v>0.39169767441860465</v>
      </c>
      <c r="M26" s="55">
        <f t="shared" si="13"/>
        <v>0.12211918060528783</v>
      </c>
      <c r="N26" s="55" t="str">
        <f t="shared" si="13"/>
        <v/>
      </c>
      <c r="O26" s="56">
        <f>SUM(C26:N26)/12</f>
        <v>0.30514678239969178</v>
      </c>
      <c r="Q26" s="11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U36"/>
  <sheetViews>
    <sheetView showGridLines="0" zoomScaleNormal="100" workbookViewId="0">
      <selection activeCell="E15" sqref="E15"/>
    </sheetView>
  </sheetViews>
  <sheetFormatPr defaultColWidth="9.140625" defaultRowHeight="12.75" x14ac:dyDescent="0.25"/>
  <cols>
    <col min="1" max="1" width="9.140625" style="57"/>
    <col min="2" max="2" width="10" style="57" customWidth="1"/>
    <col min="3" max="3" width="40" style="57" customWidth="1"/>
    <col min="4" max="4" width="12.5703125" style="57" customWidth="1"/>
    <col min="5" max="6" width="10.42578125" style="57" customWidth="1"/>
    <col min="7" max="7" width="11.5703125" style="57" customWidth="1"/>
    <col min="8" max="9" width="10.42578125" style="57" customWidth="1"/>
    <col min="10" max="10" width="5" style="57" customWidth="1"/>
    <col min="11" max="11" width="3.85546875" style="57" customWidth="1"/>
    <col min="12" max="12" width="4.140625" style="57" customWidth="1"/>
    <col min="13" max="13" width="11.42578125" style="58" customWidth="1"/>
    <col min="14" max="14" width="4.140625" style="57" customWidth="1"/>
    <col min="15" max="16" width="10.42578125" style="57" customWidth="1"/>
    <col min="17" max="17" width="4.140625" style="57" customWidth="1"/>
    <col min="18" max="18" width="27.140625" style="57" customWidth="1"/>
    <col min="19" max="19" width="2.140625" style="57" customWidth="1"/>
    <col min="20" max="20" width="13.140625" style="57" customWidth="1"/>
    <col min="21" max="21" width="3" style="57" customWidth="1"/>
    <col min="22" max="262" width="9.140625" style="57"/>
    <col min="263" max="263" width="10" style="57" customWidth="1"/>
    <col min="264" max="264" width="40" style="57" customWidth="1"/>
    <col min="265" max="265" width="12.5703125" style="57" customWidth="1"/>
    <col min="266" max="267" width="10.42578125" style="57" customWidth="1"/>
    <col min="268" max="268" width="11.5703125" style="57" customWidth="1"/>
    <col min="269" max="270" width="10.42578125" style="57" customWidth="1"/>
    <col min="271" max="271" width="6.5703125" style="57" customWidth="1"/>
    <col min="272" max="272" width="11.42578125" style="57" customWidth="1"/>
    <col min="273" max="273" width="4.140625" style="57" customWidth="1"/>
    <col min="274" max="274" width="18.5703125" style="57" customWidth="1"/>
    <col min="275" max="275" width="2.140625" style="57" customWidth="1"/>
    <col min="276" max="276" width="10.42578125" style="57" customWidth="1"/>
    <col min="277" max="518" width="9.140625" style="57"/>
    <col min="519" max="519" width="10" style="57" customWidth="1"/>
    <col min="520" max="520" width="40" style="57" customWidth="1"/>
    <col min="521" max="521" width="12.5703125" style="57" customWidth="1"/>
    <col min="522" max="523" width="10.42578125" style="57" customWidth="1"/>
    <col min="524" max="524" width="11.5703125" style="57" customWidth="1"/>
    <col min="525" max="526" width="10.42578125" style="57" customWidth="1"/>
    <col min="527" max="527" width="6.5703125" style="57" customWidth="1"/>
    <col min="528" max="528" width="11.42578125" style="57" customWidth="1"/>
    <col min="529" max="529" width="4.140625" style="57" customWidth="1"/>
    <col min="530" max="530" width="18.5703125" style="57" customWidth="1"/>
    <col min="531" max="531" width="2.140625" style="57" customWidth="1"/>
    <col min="532" max="532" width="10.42578125" style="57" customWidth="1"/>
    <col min="533" max="774" width="9.140625" style="57"/>
    <col min="775" max="775" width="10" style="57" customWidth="1"/>
    <col min="776" max="776" width="40" style="57" customWidth="1"/>
    <col min="777" max="777" width="12.5703125" style="57" customWidth="1"/>
    <col min="778" max="779" width="10.42578125" style="57" customWidth="1"/>
    <col min="780" max="780" width="11.5703125" style="57" customWidth="1"/>
    <col min="781" max="782" width="10.42578125" style="57" customWidth="1"/>
    <col min="783" max="783" width="6.5703125" style="57" customWidth="1"/>
    <col min="784" max="784" width="11.42578125" style="57" customWidth="1"/>
    <col min="785" max="785" width="4.140625" style="57" customWidth="1"/>
    <col min="786" max="786" width="18.5703125" style="57" customWidth="1"/>
    <col min="787" max="787" width="2.140625" style="57" customWidth="1"/>
    <col min="788" max="788" width="10.42578125" style="57" customWidth="1"/>
    <col min="789" max="1030" width="9.140625" style="57"/>
    <col min="1031" max="1031" width="10" style="57" customWidth="1"/>
    <col min="1032" max="1032" width="40" style="57" customWidth="1"/>
    <col min="1033" max="1033" width="12.5703125" style="57" customWidth="1"/>
    <col min="1034" max="1035" width="10.42578125" style="57" customWidth="1"/>
    <col min="1036" max="1036" width="11.5703125" style="57" customWidth="1"/>
    <col min="1037" max="1038" width="10.42578125" style="57" customWidth="1"/>
    <col min="1039" max="1039" width="6.5703125" style="57" customWidth="1"/>
    <col min="1040" max="1040" width="11.42578125" style="57" customWidth="1"/>
    <col min="1041" max="1041" width="4.140625" style="57" customWidth="1"/>
    <col min="1042" max="1042" width="18.5703125" style="57" customWidth="1"/>
    <col min="1043" max="1043" width="2.140625" style="57" customWidth="1"/>
    <col min="1044" max="1044" width="10.42578125" style="57" customWidth="1"/>
    <col min="1045" max="1286" width="9.140625" style="57"/>
    <col min="1287" max="1287" width="10" style="57" customWidth="1"/>
    <col min="1288" max="1288" width="40" style="57" customWidth="1"/>
    <col min="1289" max="1289" width="12.5703125" style="57" customWidth="1"/>
    <col min="1290" max="1291" width="10.42578125" style="57" customWidth="1"/>
    <col min="1292" max="1292" width="11.5703125" style="57" customWidth="1"/>
    <col min="1293" max="1294" width="10.42578125" style="57" customWidth="1"/>
    <col min="1295" max="1295" width="6.5703125" style="57" customWidth="1"/>
    <col min="1296" max="1296" width="11.42578125" style="57" customWidth="1"/>
    <col min="1297" max="1297" width="4.140625" style="57" customWidth="1"/>
    <col min="1298" max="1298" width="18.5703125" style="57" customWidth="1"/>
    <col min="1299" max="1299" width="2.140625" style="57" customWidth="1"/>
    <col min="1300" max="1300" width="10.42578125" style="57" customWidth="1"/>
    <col min="1301" max="1542" width="9.140625" style="57"/>
    <col min="1543" max="1543" width="10" style="57" customWidth="1"/>
    <col min="1544" max="1544" width="40" style="57" customWidth="1"/>
    <col min="1545" max="1545" width="12.5703125" style="57" customWidth="1"/>
    <col min="1546" max="1547" width="10.42578125" style="57" customWidth="1"/>
    <col min="1548" max="1548" width="11.5703125" style="57" customWidth="1"/>
    <col min="1549" max="1550" width="10.42578125" style="57" customWidth="1"/>
    <col min="1551" max="1551" width="6.5703125" style="57" customWidth="1"/>
    <col min="1552" max="1552" width="11.42578125" style="57" customWidth="1"/>
    <col min="1553" max="1553" width="4.140625" style="57" customWidth="1"/>
    <col min="1554" max="1554" width="18.5703125" style="57" customWidth="1"/>
    <col min="1555" max="1555" width="2.140625" style="57" customWidth="1"/>
    <col min="1556" max="1556" width="10.42578125" style="57" customWidth="1"/>
    <col min="1557" max="1798" width="9.140625" style="57"/>
    <col min="1799" max="1799" width="10" style="57" customWidth="1"/>
    <col min="1800" max="1800" width="40" style="57" customWidth="1"/>
    <col min="1801" max="1801" width="12.5703125" style="57" customWidth="1"/>
    <col min="1802" max="1803" width="10.42578125" style="57" customWidth="1"/>
    <col min="1804" max="1804" width="11.5703125" style="57" customWidth="1"/>
    <col min="1805" max="1806" width="10.42578125" style="57" customWidth="1"/>
    <col min="1807" max="1807" width="6.5703125" style="57" customWidth="1"/>
    <col min="1808" max="1808" width="11.42578125" style="57" customWidth="1"/>
    <col min="1809" max="1809" width="4.140625" style="57" customWidth="1"/>
    <col min="1810" max="1810" width="18.5703125" style="57" customWidth="1"/>
    <col min="1811" max="1811" width="2.140625" style="57" customWidth="1"/>
    <col min="1812" max="1812" width="10.42578125" style="57" customWidth="1"/>
    <col min="1813" max="2054" width="9.140625" style="57"/>
    <col min="2055" max="2055" width="10" style="57" customWidth="1"/>
    <col min="2056" max="2056" width="40" style="57" customWidth="1"/>
    <col min="2057" max="2057" width="12.5703125" style="57" customWidth="1"/>
    <col min="2058" max="2059" width="10.42578125" style="57" customWidth="1"/>
    <col min="2060" max="2060" width="11.5703125" style="57" customWidth="1"/>
    <col min="2061" max="2062" width="10.42578125" style="57" customWidth="1"/>
    <col min="2063" max="2063" width="6.5703125" style="57" customWidth="1"/>
    <col min="2064" max="2064" width="11.42578125" style="57" customWidth="1"/>
    <col min="2065" max="2065" width="4.140625" style="57" customWidth="1"/>
    <col min="2066" max="2066" width="18.5703125" style="57" customWidth="1"/>
    <col min="2067" max="2067" width="2.140625" style="57" customWidth="1"/>
    <col min="2068" max="2068" width="10.42578125" style="57" customWidth="1"/>
    <col min="2069" max="2310" width="9.140625" style="57"/>
    <col min="2311" max="2311" width="10" style="57" customWidth="1"/>
    <col min="2312" max="2312" width="40" style="57" customWidth="1"/>
    <col min="2313" max="2313" width="12.5703125" style="57" customWidth="1"/>
    <col min="2314" max="2315" width="10.42578125" style="57" customWidth="1"/>
    <col min="2316" max="2316" width="11.5703125" style="57" customWidth="1"/>
    <col min="2317" max="2318" width="10.42578125" style="57" customWidth="1"/>
    <col min="2319" max="2319" width="6.5703125" style="57" customWidth="1"/>
    <col min="2320" max="2320" width="11.42578125" style="57" customWidth="1"/>
    <col min="2321" max="2321" width="4.140625" style="57" customWidth="1"/>
    <col min="2322" max="2322" width="18.5703125" style="57" customWidth="1"/>
    <col min="2323" max="2323" width="2.140625" style="57" customWidth="1"/>
    <col min="2324" max="2324" width="10.42578125" style="57" customWidth="1"/>
    <col min="2325" max="2566" width="9.140625" style="57"/>
    <col min="2567" max="2567" width="10" style="57" customWidth="1"/>
    <col min="2568" max="2568" width="40" style="57" customWidth="1"/>
    <col min="2569" max="2569" width="12.5703125" style="57" customWidth="1"/>
    <col min="2570" max="2571" width="10.42578125" style="57" customWidth="1"/>
    <col min="2572" max="2572" width="11.5703125" style="57" customWidth="1"/>
    <col min="2573" max="2574" width="10.42578125" style="57" customWidth="1"/>
    <col min="2575" max="2575" width="6.5703125" style="57" customWidth="1"/>
    <col min="2576" max="2576" width="11.42578125" style="57" customWidth="1"/>
    <col min="2577" max="2577" width="4.140625" style="57" customWidth="1"/>
    <col min="2578" max="2578" width="18.5703125" style="57" customWidth="1"/>
    <col min="2579" max="2579" width="2.140625" style="57" customWidth="1"/>
    <col min="2580" max="2580" width="10.42578125" style="57" customWidth="1"/>
    <col min="2581" max="2822" width="9.140625" style="57"/>
    <col min="2823" max="2823" width="10" style="57" customWidth="1"/>
    <col min="2824" max="2824" width="40" style="57" customWidth="1"/>
    <col min="2825" max="2825" width="12.5703125" style="57" customWidth="1"/>
    <col min="2826" max="2827" width="10.42578125" style="57" customWidth="1"/>
    <col min="2828" max="2828" width="11.5703125" style="57" customWidth="1"/>
    <col min="2829" max="2830" width="10.42578125" style="57" customWidth="1"/>
    <col min="2831" max="2831" width="6.5703125" style="57" customWidth="1"/>
    <col min="2832" max="2832" width="11.42578125" style="57" customWidth="1"/>
    <col min="2833" max="2833" width="4.140625" style="57" customWidth="1"/>
    <col min="2834" max="2834" width="18.5703125" style="57" customWidth="1"/>
    <col min="2835" max="2835" width="2.140625" style="57" customWidth="1"/>
    <col min="2836" max="2836" width="10.42578125" style="57" customWidth="1"/>
    <col min="2837" max="3078" width="9.140625" style="57"/>
    <col min="3079" max="3079" width="10" style="57" customWidth="1"/>
    <col min="3080" max="3080" width="40" style="57" customWidth="1"/>
    <col min="3081" max="3081" width="12.5703125" style="57" customWidth="1"/>
    <col min="3082" max="3083" width="10.42578125" style="57" customWidth="1"/>
    <col min="3084" max="3084" width="11.5703125" style="57" customWidth="1"/>
    <col min="3085" max="3086" width="10.42578125" style="57" customWidth="1"/>
    <col min="3087" max="3087" width="6.5703125" style="57" customWidth="1"/>
    <col min="3088" max="3088" width="11.42578125" style="57" customWidth="1"/>
    <col min="3089" max="3089" width="4.140625" style="57" customWidth="1"/>
    <col min="3090" max="3090" width="18.5703125" style="57" customWidth="1"/>
    <col min="3091" max="3091" width="2.140625" style="57" customWidth="1"/>
    <col min="3092" max="3092" width="10.42578125" style="57" customWidth="1"/>
    <col min="3093" max="3334" width="9.140625" style="57"/>
    <col min="3335" max="3335" width="10" style="57" customWidth="1"/>
    <col min="3336" max="3336" width="40" style="57" customWidth="1"/>
    <col min="3337" max="3337" width="12.5703125" style="57" customWidth="1"/>
    <col min="3338" max="3339" width="10.42578125" style="57" customWidth="1"/>
    <col min="3340" max="3340" width="11.5703125" style="57" customWidth="1"/>
    <col min="3341" max="3342" width="10.42578125" style="57" customWidth="1"/>
    <col min="3343" max="3343" width="6.5703125" style="57" customWidth="1"/>
    <col min="3344" max="3344" width="11.42578125" style="57" customWidth="1"/>
    <col min="3345" max="3345" width="4.140625" style="57" customWidth="1"/>
    <col min="3346" max="3346" width="18.5703125" style="57" customWidth="1"/>
    <col min="3347" max="3347" width="2.140625" style="57" customWidth="1"/>
    <col min="3348" max="3348" width="10.42578125" style="57" customWidth="1"/>
    <col min="3349" max="3590" width="9.140625" style="57"/>
    <col min="3591" max="3591" width="10" style="57" customWidth="1"/>
    <col min="3592" max="3592" width="40" style="57" customWidth="1"/>
    <col min="3593" max="3593" width="12.5703125" style="57" customWidth="1"/>
    <col min="3594" max="3595" width="10.42578125" style="57" customWidth="1"/>
    <col min="3596" max="3596" width="11.5703125" style="57" customWidth="1"/>
    <col min="3597" max="3598" width="10.42578125" style="57" customWidth="1"/>
    <col min="3599" max="3599" width="6.5703125" style="57" customWidth="1"/>
    <col min="3600" max="3600" width="11.42578125" style="57" customWidth="1"/>
    <col min="3601" max="3601" width="4.140625" style="57" customWidth="1"/>
    <col min="3602" max="3602" width="18.5703125" style="57" customWidth="1"/>
    <col min="3603" max="3603" width="2.140625" style="57" customWidth="1"/>
    <col min="3604" max="3604" width="10.42578125" style="57" customWidth="1"/>
    <col min="3605" max="3846" width="9.140625" style="57"/>
    <col min="3847" max="3847" width="10" style="57" customWidth="1"/>
    <col min="3848" max="3848" width="40" style="57" customWidth="1"/>
    <col min="3849" max="3849" width="12.5703125" style="57" customWidth="1"/>
    <col min="3850" max="3851" width="10.42578125" style="57" customWidth="1"/>
    <col min="3852" max="3852" width="11.5703125" style="57" customWidth="1"/>
    <col min="3853" max="3854" width="10.42578125" style="57" customWidth="1"/>
    <col min="3855" max="3855" width="6.5703125" style="57" customWidth="1"/>
    <col min="3856" max="3856" width="11.42578125" style="57" customWidth="1"/>
    <col min="3857" max="3857" width="4.140625" style="57" customWidth="1"/>
    <col min="3858" max="3858" width="18.5703125" style="57" customWidth="1"/>
    <col min="3859" max="3859" width="2.140625" style="57" customWidth="1"/>
    <col min="3860" max="3860" width="10.42578125" style="57" customWidth="1"/>
    <col min="3861" max="4102" width="9.140625" style="57"/>
    <col min="4103" max="4103" width="10" style="57" customWidth="1"/>
    <col min="4104" max="4104" width="40" style="57" customWidth="1"/>
    <col min="4105" max="4105" width="12.5703125" style="57" customWidth="1"/>
    <col min="4106" max="4107" width="10.42578125" style="57" customWidth="1"/>
    <col min="4108" max="4108" width="11.5703125" style="57" customWidth="1"/>
    <col min="4109" max="4110" width="10.42578125" style="57" customWidth="1"/>
    <col min="4111" max="4111" width="6.5703125" style="57" customWidth="1"/>
    <col min="4112" max="4112" width="11.42578125" style="57" customWidth="1"/>
    <col min="4113" max="4113" width="4.140625" style="57" customWidth="1"/>
    <col min="4114" max="4114" width="18.5703125" style="57" customWidth="1"/>
    <col min="4115" max="4115" width="2.140625" style="57" customWidth="1"/>
    <col min="4116" max="4116" width="10.42578125" style="57" customWidth="1"/>
    <col min="4117" max="4358" width="9.140625" style="57"/>
    <col min="4359" max="4359" width="10" style="57" customWidth="1"/>
    <col min="4360" max="4360" width="40" style="57" customWidth="1"/>
    <col min="4361" max="4361" width="12.5703125" style="57" customWidth="1"/>
    <col min="4362" max="4363" width="10.42578125" style="57" customWidth="1"/>
    <col min="4364" max="4364" width="11.5703125" style="57" customWidth="1"/>
    <col min="4365" max="4366" width="10.42578125" style="57" customWidth="1"/>
    <col min="4367" max="4367" width="6.5703125" style="57" customWidth="1"/>
    <col min="4368" max="4368" width="11.42578125" style="57" customWidth="1"/>
    <col min="4369" max="4369" width="4.140625" style="57" customWidth="1"/>
    <col min="4370" max="4370" width="18.5703125" style="57" customWidth="1"/>
    <col min="4371" max="4371" width="2.140625" style="57" customWidth="1"/>
    <col min="4372" max="4372" width="10.42578125" style="57" customWidth="1"/>
    <col min="4373" max="4614" width="9.140625" style="57"/>
    <col min="4615" max="4615" width="10" style="57" customWidth="1"/>
    <col min="4616" max="4616" width="40" style="57" customWidth="1"/>
    <col min="4617" max="4617" width="12.5703125" style="57" customWidth="1"/>
    <col min="4618" max="4619" width="10.42578125" style="57" customWidth="1"/>
    <col min="4620" max="4620" width="11.5703125" style="57" customWidth="1"/>
    <col min="4621" max="4622" width="10.42578125" style="57" customWidth="1"/>
    <col min="4623" max="4623" width="6.5703125" style="57" customWidth="1"/>
    <col min="4624" max="4624" width="11.42578125" style="57" customWidth="1"/>
    <col min="4625" max="4625" width="4.140625" style="57" customWidth="1"/>
    <col min="4626" max="4626" width="18.5703125" style="57" customWidth="1"/>
    <col min="4627" max="4627" width="2.140625" style="57" customWidth="1"/>
    <col min="4628" max="4628" width="10.42578125" style="57" customWidth="1"/>
    <col min="4629" max="4870" width="9.140625" style="57"/>
    <col min="4871" max="4871" width="10" style="57" customWidth="1"/>
    <col min="4872" max="4872" width="40" style="57" customWidth="1"/>
    <col min="4873" max="4873" width="12.5703125" style="57" customWidth="1"/>
    <col min="4874" max="4875" width="10.42578125" style="57" customWidth="1"/>
    <col min="4876" max="4876" width="11.5703125" style="57" customWidth="1"/>
    <col min="4877" max="4878" width="10.42578125" style="57" customWidth="1"/>
    <col min="4879" max="4879" width="6.5703125" style="57" customWidth="1"/>
    <col min="4880" max="4880" width="11.42578125" style="57" customWidth="1"/>
    <col min="4881" max="4881" width="4.140625" style="57" customWidth="1"/>
    <col min="4882" max="4882" width="18.5703125" style="57" customWidth="1"/>
    <col min="4883" max="4883" width="2.140625" style="57" customWidth="1"/>
    <col min="4884" max="4884" width="10.42578125" style="57" customWidth="1"/>
    <col min="4885" max="5126" width="9.140625" style="57"/>
    <col min="5127" max="5127" width="10" style="57" customWidth="1"/>
    <col min="5128" max="5128" width="40" style="57" customWidth="1"/>
    <col min="5129" max="5129" width="12.5703125" style="57" customWidth="1"/>
    <col min="5130" max="5131" width="10.42578125" style="57" customWidth="1"/>
    <col min="5132" max="5132" width="11.5703125" style="57" customWidth="1"/>
    <col min="5133" max="5134" width="10.42578125" style="57" customWidth="1"/>
    <col min="5135" max="5135" width="6.5703125" style="57" customWidth="1"/>
    <col min="5136" max="5136" width="11.42578125" style="57" customWidth="1"/>
    <col min="5137" max="5137" width="4.140625" style="57" customWidth="1"/>
    <col min="5138" max="5138" width="18.5703125" style="57" customWidth="1"/>
    <col min="5139" max="5139" width="2.140625" style="57" customWidth="1"/>
    <col min="5140" max="5140" width="10.42578125" style="57" customWidth="1"/>
    <col min="5141" max="5382" width="9.140625" style="57"/>
    <col min="5383" max="5383" width="10" style="57" customWidth="1"/>
    <col min="5384" max="5384" width="40" style="57" customWidth="1"/>
    <col min="5385" max="5385" width="12.5703125" style="57" customWidth="1"/>
    <col min="5386" max="5387" width="10.42578125" style="57" customWidth="1"/>
    <col min="5388" max="5388" width="11.5703125" style="57" customWidth="1"/>
    <col min="5389" max="5390" width="10.42578125" style="57" customWidth="1"/>
    <col min="5391" max="5391" width="6.5703125" style="57" customWidth="1"/>
    <col min="5392" max="5392" width="11.42578125" style="57" customWidth="1"/>
    <col min="5393" max="5393" width="4.140625" style="57" customWidth="1"/>
    <col min="5394" max="5394" width="18.5703125" style="57" customWidth="1"/>
    <col min="5395" max="5395" width="2.140625" style="57" customWidth="1"/>
    <col min="5396" max="5396" width="10.42578125" style="57" customWidth="1"/>
    <col min="5397" max="5638" width="9.140625" style="57"/>
    <col min="5639" max="5639" width="10" style="57" customWidth="1"/>
    <col min="5640" max="5640" width="40" style="57" customWidth="1"/>
    <col min="5641" max="5641" width="12.5703125" style="57" customWidth="1"/>
    <col min="5642" max="5643" width="10.42578125" style="57" customWidth="1"/>
    <col min="5644" max="5644" width="11.5703125" style="57" customWidth="1"/>
    <col min="5645" max="5646" width="10.42578125" style="57" customWidth="1"/>
    <col min="5647" max="5647" width="6.5703125" style="57" customWidth="1"/>
    <col min="5648" max="5648" width="11.42578125" style="57" customWidth="1"/>
    <col min="5649" max="5649" width="4.140625" style="57" customWidth="1"/>
    <col min="5650" max="5650" width="18.5703125" style="57" customWidth="1"/>
    <col min="5651" max="5651" width="2.140625" style="57" customWidth="1"/>
    <col min="5652" max="5652" width="10.42578125" style="57" customWidth="1"/>
    <col min="5653" max="5894" width="9.140625" style="57"/>
    <col min="5895" max="5895" width="10" style="57" customWidth="1"/>
    <col min="5896" max="5896" width="40" style="57" customWidth="1"/>
    <col min="5897" max="5897" width="12.5703125" style="57" customWidth="1"/>
    <col min="5898" max="5899" width="10.42578125" style="57" customWidth="1"/>
    <col min="5900" max="5900" width="11.5703125" style="57" customWidth="1"/>
    <col min="5901" max="5902" width="10.42578125" style="57" customWidth="1"/>
    <col min="5903" max="5903" width="6.5703125" style="57" customWidth="1"/>
    <col min="5904" max="5904" width="11.42578125" style="57" customWidth="1"/>
    <col min="5905" max="5905" width="4.140625" style="57" customWidth="1"/>
    <col min="5906" max="5906" width="18.5703125" style="57" customWidth="1"/>
    <col min="5907" max="5907" width="2.140625" style="57" customWidth="1"/>
    <col min="5908" max="5908" width="10.42578125" style="57" customWidth="1"/>
    <col min="5909" max="6150" width="9.140625" style="57"/>
    <col min="6151" max="6151" width="10" style="57" customWidth="1"/>
    <col min="6152" max="6152" width="40" style="57" customWidth="1"/>
    <col min="6153" max="6153" width="12.5703125" style="57" customWidth="1"/>
    <col min="6154" max="6155" width="10.42578125" style="57" customWidth="1"/>
    <col min="6156" max="6156" width="11.5703125" style="57" customWidth="1"/>
    <col min="6157" max="6158" width="10.42578125" style="57" customWidth="1"/>
    <col min="6159" max="6159" width="6.5703125" style="57" customWidth="1"/>
    <col min="6160" max="6160" width="11.42578125" style="57" customWidth="1"/>
    <col min="6161" max="6161" width="4.140625" style="57" customWidth="1"/>
    <col min="6162" max="6162" width="18.5703125" style="57" customWidth="1"/>
    <col min="6163" max="6163" width="2.140625" style="57" customWidth="1"/>
    <col min="6164" max="6164" width="10.42578125" style="57" customWidth="1"/>
    <col min="6165" max="6406" width="9.140625" style="57"/>
    <col min="6407" max="6407" width="10" style="57" customWidth="1"/>
    <col min="6408" max="6408" width="40" style="57" customWidth="1"/>
    <col min="6409" max="6409" width="12.5703125" style="57" customWidth="1"/>
    <col min="6410" max="6411" width="10.42578125" style="57" customWidth="1"/>
    <col min="6412" max="6412" width="11.5703125" style="57" customWidth="1"/>
    <col min="6413" max="6414" width="10.42578125" style="57" customWidth="1"/>
    <col min="6415" max="6415" width="6.5703125" style="57" customWidth="1"/>
    <col min="6416" max="6416" width="11.42578125" style="57" customWidth="1"/>
    <col min="6417" max="6417" width="4.140625" style="57" customWidth="1"/>
    <col min="6418" max="6418" width="18.5703125" style="57" customWidth="1"/>
    <col min="6419" max="6419" width="2.140625" style="57" customWidth="1"/>
    <col min="6420" max="6420" width="10.42578125" style="57" customWidth="1"/>
    <col min="6421" max="6662" width="9.140625" style="57"/>
    <col min="6663" max="6663" width="10" style="57" customWidth="1"/>
    <col min="6664" max="6664" width="40" style="57" customWidth="1"/>
    <col min="6665" max="6665" width="12.5703125" style="57" customWidth="1"/>
    <col min="6666" max="6667" width="10.42578125" style="57" customWidth="1"/>
    <col min="6668" max="6668" width="11.5703125" style="57" customWidth="1"/>
    <col min="6669" max="6670" width="10.42578125" style="57" customWidth="1"/>
    <col min="6671" max="6671" width="6.5703125" style="57" customWidth="1"/>
    <col min="6672" max="6672" width="11.42578125" style="57" customWidth="1"/>
    <col min="6673" max="6673" width="4.140625" style="57" customWidth="1"/>
    <col min="6674" max="6674" width="18.5703125" style="57" customWidth="1"/>
    <col min="6675" max="6675" width="2.140625" style="57" customWidth="1"/>
    <col min="6676" max="6676" width="10.42578125" style="57" customWidth="1"/>
    <col min="6677" max="6918" width="9.140625" style="57"/>
    <col min="6919" max="6919" width="10" style="57" customWidth="1"/>
    <col min="6920" max="6920" width="40" style="57" customWidth="1"/>
    <col min="6921" max="6921" width="12.5703125" style="57" customWidth="1"/>
    <col min="6922" max="6923" width="10.42578125" style="57" customWidth="1"/>
    <col min="6924" max="6924" width="11.5703125" style="57" customWidth="1"/>
    <col min="6925" max="6926" width="10.42578125" style="57" customWidth="1"/>
    <col min="6927" max="6927" width="6.5703125" style="57" customWidth="1"/>
    <col min="6928" max="6928" width="11.42578125" style="57" customWidth="1"/>
    <col min="6929" max="6929" width="4.140625" style="57" customWidth="1"/>
    <col min="6930" max="6930" width="18.5703125" style="57" customWidth="1"/>
    <col min="6931" max="6931" width="2.140625" style="57" customWidth="1"/>
    <col min="6932" max="6932" width="10.42578125" style="57" customWidth="1"/>
    <col min="6933" max="7174" width="9.140625" style="57"/>
    <col min="7175" max="7175" width="10" style="57" customWidth="1"/>
    <col min="7176" max="7176" width="40" style="57" customWidth="1"/>
    <col min="7177" max="7177" width="12.5703125" style="57" customWidth="1"/>
    <col min="7178" max="7179" width="10.42578125" style="57" customWidth="1"/>
    <col min="7180" max="7180" width="11.5703125" style="57" customWidth="1"/>
    <col min="7181" max="7182" width="10.42578125" style="57" customWidth="1"/>
    <col min="7183" max="7183" width="6.5703125" style="57" customWidth="1"/>
    <col min="7184" max="7184" width="11.42578125" style="57" customWidth="1"/>
    <col min="7185" max="7185" width="4.140625" style="57" customWidth="1"/>
    <col min="7186" max="7186" width="18.5703125" style="57" customWidth="1"/>
    <col min="7187" max="7187" width="2.140625" style="57" customWidth="1"/>
    <col min="7188" max="7188" width="10.42578125" style="57" customWidth="1"/>
    <col min="7189" max="7430" width="9.140625" style="57"/>
    <col min="7431" max="7431" width="10" style="57" customWidth="1"/>
    <col min="7432" max="7432" width="40" style="57" customWidth="1"/>
    <col min="7433" max="7433" width="12.5703125" style="57" customWidth="1"/>
    <col min="7434" max="7435" width="10.42578125" style="57" customWidth="1"/>
    <col min="7436" max="7436" width="11.5703125" style="57" customWidth="1"/>
    <col min="7437" max="7438" width="10.42578125" style="57" customWidth="1"/>
    <col min="7439" max="7439" width="6.5703125" style="57" customWidth="1"/>
    <col min="7440" max="7440" width="11.42578125" style="57" customWidth="1"/>
    <col min="7441" max="7441" width="4.140625" style="57" customWidth="1"/>
    <col min="7442" max="7442" width="18.5703125" style="57" customWidth="1"/>
    <col min="7443" max="7443" width="2.140625" style="57" customWidth="1"/>
    <col min="7444" max="7444" width="10.42578125" style="57" customWidth="1"/>
    <col min="7445" max="7686" width="9.140625" style="57"/>
    <col min="7687" max="7687" width="10" style="57" customWidth="1"/>
    <col min="7688" max="7688" width="40" style="57" customWidth="1"/>
    <col min="7689" max="7689" width="12.5703125" style="57" customWidth="1"/>
    <col min="7690" max="7691" width="10.42578125" style="57" customWidth="1"/>
    <col min="7692" max="7692" width="11.5703125" style="57" customWidth="1"/>
    <col min="7693" max="7694" width="10.42578125" style="57" customWidth="1"/>
    <col min="7695" max="7695" width="6.5703125" style="57" customWidth="1"/>
    <col min="7696" max="7696" width="11.42578125" style="57" customWidth="1"/>
    <col min="7697" max="7697" width="4.140625" style="57" customWidth="1"/>
    <col min="7698" max="7698" width="18.5703125" style="57" customWidth="1"/>
    <col min="7699" max="7699" width="2.140625" style="57" customWidth="1"/>
    <col min="7700" max="7700" width="10.42578125" style="57" customWidth="1"/>
    <col min="7701" max="7942" width="9.140625" style="57"/>
    <col min="7943" max="7943" width="10" style="57" customWidth="1"/>
    <col min="7944" max="7944" width="40" style="57" customWidth="1"/>
    <col min="7945" max="7945" width="12.5703125" style="57" customWidth="1"/>
    <col min="7946" max="7947" width="10.42578125" style="57" customWidth="1"/>
    <col min="7948" max="7948" width="11.5703125" style="57" customWidth="1"/>
    <col min="7949" max="7950" width="10.42578125" style="57" customWidth="1"/>
    <col min="7951" max="7951" width="6.5703125" style="57" customWidth="1"/>
    <col min="7952" max="7952" width="11.42578125" style="57" customWidth="1"/>
    <col min="7953" max="7953" width="4.140625" style="57" customWidth="1"/>
    <col min="7954" max="7954" width="18.5703125" style="57" customWidth="1"/>
    <col min="7955" max="7955" width="2.140625" style="57" customWidth="1"/>
    <col min="7956" max="7956" width="10.42578125" style="57" customWidth="1"/>
    <col min="7957" max="8198" width="9.140625" style="57"/>
    <col min="8199" max="8199" width="10" style="57" customWidth="1"/>
    <col min="8200" max="8200" width="40" style="57" customWidth="1"/>
    <col min="8201" max="8201" width="12.5703125" style="57" customWidth="1"/>
    <col min="8202" max="8203" width="10.42578125" style="57" customWidth="1"/>
    <col min="8204" max="8204" width="11.5703125" style="57" customWidth="1"/>
    <col min="8205" max="8206" width="10.42578125" style="57" customWidth="1"/>
    <col min="8207" max="8207" width="6.5703125" style="57" customWidth="1"/>
    <col min="8208" max="8208" width="11.42578125" style="57" customWidth="1"/>
    <col min="8209" max="8209" width="4.140625" style="57" customWidth="1"/>
    <col min="8210" max="8210" width="18.5703125" style="57" customWidth="1"/>
    <col min="8211" max="8211" width="2.140625" style="57" customWidth="1"/>
    <col min="8212" max="8212" width="10.42578125" style="57" customWidth="1"/>
    <col min="8213" max="8454" width="9.140625" style="57"/>
    <col min="8455" max="8455" width="10" style="57" customWidth="1"/>
    <col min="8456" max="8456" width="40" style="57" customWidth="1"/>
    <col min="8457" max="8457" width="12.5703125" style="57" customWidth="1"/>
    <col min="8458" max="8459" width="10.42578125" style="57" customWidth="1"/>
    <col min="8460" max="8460" width="11.5703125" style="57" customWidth="1"/>
    <col min="8461" max="8462" width="10.42578125" style="57" customWidth="1"/>
    <col min="8463" max="8463" width="6.5703125" style="57" customWidth="1"/>
    <col min="8464" max="8464" width="11.42578125" style="57" customWidth="1"/>
    <col min="8465" max="8465" width="4.140625" style="57" customWidth="1"/>
    <col min="8466" max="8466" width="18.5703125" style="57" customWidth="1"/>
    <col min="8467" max="8467" width="2.140625" style="57" customWidth="1"/>
    <col min="8468" max="8468" width="10.42578125" style="57" customWidth="1"/>
    <col min="8469" max="8710" width="9.140625" style="57"/>
    <col min="8711" max="8711" width="10" style="57" customWidth="1"/>
    <col min="8712" max="8712" width="40" style="57" customWidth="1"/>
    <col min="8713" max="8713" width="12.5703125" style="57" customWidth="1"/>
    <col min="8714" max="8715" width="10.42578125" style="57" customWidth="1"/>
    <col min="8716" max="8716" width="11.5703125" style="57" customWidth="1"/>
    <col min="8717" max="8718" width="10.42578125" style="57" customWidth="1"/>
    <col min="8719" max="8719" width="6.5703125" style="57" customWidth="1"/>
    <col min="8720" max="8720" width="11.42578125" style="57" customWidth="1"/>
    <col min="8721" max="8721" width="4.140625" style="57" customWidth="1"/>
    <col min="8722" max="8722" width="18.5703125" style="57" customWidth="1"/>
    <col min="8723" max="8723" width="2.140625" style="57" customWidth="1"/>
    <col min="8724" max="8724" width="10.42578125" style="57" customWidth="1"/>
    <col min="8725" max="8966" width="9.140625" style="57"/>
    <col min="8967" max="8967" width="10" style="57" customWidth="1"/>
    <col min="8968" max="8968" width="40" style="57" customWidth="1"/>
    <col min="8969" max="8969" width="12.5703125" style="57" customWidth="1"/>
    <col min="8970" max="8971" width="10.42578125" style="57" customWidth="1"/>
    <col min="8972" max="8972" width="11.5703125" style="57" customWidth="1"/>
    <col min="8973" max="8974" width="10.42578125" style="57" customWidth="1"/>
    <col min="8975" max="8975" width="6.5703125" style="57" customWidth="1"/>
    <col min="8976" max="8976" width="11.42578125" style="57" customWidth="1"/>
    <col min="8977" max="8977" width="4.140625" style="57" customWidth="1"/>
    <col min="8978" max="8978" width="18.5703125" style="57" customWidth="1"/>
    <col min="8979" max="8979" width="2.140625" style="57" customWidth="1"/>
    <col min="8980" max="8980" width="10.42578125" style="57" customWidth="1"/>
    <col min="8981" max="9222" width="9.140625" style="57"/>
    <col min="9223" max="9223" width="10" style="57" customWidth="1"/>
    <col min="9224" max="9224" width="40" style="57" customWidth="1"/>
    <col min="9225" max="9225" width="12.5703125" style="57" customWidth="1"/>
    <col min="9226" max="9227" width="10.42578125" style="57" customWidth="1"/>
    <col min="9228" max="9228" width="11.5703125" style="57" customWidth="1"/>
    <col min="9229" max="9230" width="10.42578125" style="57" customWidth="1"/>
    <col min="9231" max="9231" width="6.5703125" style="57" customWidth="1"/>
    <col min="9232" max="9232" width="11.42578125" style="57" customWidth="1"/>
    <col min="9233" max="9233" width="4.140625" style="57" customWidth="1"/>
    <col min="9234" max="9234" width="18.5703125" style="57" customWidth="1"/>
    <col min="9235" max="9235" width="2.140625" style="57" customWidth="1"/>
    <col min="9236" max="9236" width="10.42578125" style="57" customWidth="1"/>
    <col min="9237" max="9478" width="9.140625" style="57"/>
    <col min="9479" max="9479" width="10" style="57" customWidth="1"/>
    <col min="9480" max="9480" width="40" style="57" customWidth="1"/>
    <col min="9481" max="9481" width="12.5703125" style="57" customWidth="1"/>
    <col min="9482" max="9483" width="10.42578125" style="57" customWidth="1"/>
    <col min="9484" max="9484" width="11.5703125" style="57" customWidth="1"/>
    <col min="9485" max="9486" width="10.42578125" style="57" customWidth="1"/>
    <col min="9487" max="9487" width="6.5703125" style="57" customWidth="1"/>
    <col min="9488" max="9488" width="11.42578125" style="57" customWidth="1"/>
    <col min="9489" max="9489" width="4.140625" style="57" customWidth="1"/>
    <col min="9490" max="9490" width="18.5703125" style="57" customWidth="1"/>
    <col min="9491" max="9491" width="2.140625" style="57" customWidth="1"/>
    <col min="9492" max="9492" width="10.42578125" style="57" customWidth="1"/>
    <col min="9493" max="9734" width="9.140625" style="57"/>
    <col min="9735" max="9735" width="10" style="57" customWidth="1"/>
    <col min="9736" max="9736" width="40" style="57" customWidth="1"/>
    <col min="9737" max="9737" width="12.5703125" style="57" customWidth="1"/>
    <col min="9738" max="9739" width="10.42578125" style="57" customWidth="1"/>
    <col min="9740" max="9740" width="11.5703125" style="57" customWidth="1"/>
    <col min="9741" max="9742" width="10.42578125" style="57" customWidth="1"/>
    <col min="9743" max="9743" width="6.5703125" style="57" customWidth="1"/>
    <col min="9744" max="9744" width="11.42578125" style="57" customWidth="1"/>
    <col min="9745" max="9745" width="4.140625" style="57" customWidth="1"/>
    <col min="9746" max="9746" width="18.5703125" style="57" customWidth="1"/>
    <col min="9747" max="9747" width="2.140625" style="57" customWidth="1"/>
    <col min="9748" max="9748" width="10.42578125" style="57" customWidth="1"/>
    <col min="9749" max="9990" width="9.140625" style="57"/>
    <col min="9991" max="9991" width="10" style="57" customWidth="1"/>
    <col min="9992" max="9992" width="40" style="57" customWidth="1"/>
    <col min="9993" max="9993" width="12.5703125" style="57" customWidth="1"/>
    <col min="9994" max="9995" width="10.42578125" style="57" customWidth="1"/>
    <col min="9996" max="9996" width="11.5703125" style="57" customWidth="1"/>
    <col min="9997" max="9998" width="10.42578125" style="57" customWidth="1"/>
    <col min="9999" max="9999" width="6.5703125" style="57" customWidth="1"/>
    <col min="10000" max="10000" width="11.42578125" style="57" customWidth="1"/>
    <col min="10001" max="10001" width="4.140625" style="57" customWidth="1"/>
    <col min="10002" max="10002" width="18.5703125" style="57" customWidth="1"/>
    <col min="10003" max="10003" width="2.140625" style="57" customWidth="1"/>
    <col min="10004" max="10004" width="10.42578125" style="57" customWidth="1"/>
    <col min="10005" max="10246" width="9.140625" style="57"/>
    <col min="10247" max="10247" width="10" style="57" customWidth="1"/>
    <col min="10248" max="10248" width="40" style="57" customWidth="1"/>
    <col min="10249" max="10249" width="12.5703125" style="57" customWidth="1"/>
    <col min="10250" max="10251" width="10.42578125" style="57" customWidth="1"/>
    <col min="10252" max="10252" width="11.5703125" style="57" customWidth="1"/>
    <col min="10253" max="10254" width="10.42578125" style="57" customWidth="1"/>
    <col min="10255" max="10255" width="6.5703125" style="57" customWidth="1"/>
    <col min="10256" max="10256" width="11.42578125" style="57" customWidth="1"/>
    <col min="10257" max="10257" width="4.140625" style="57" customWidth="1"/>
    <col min="10258" max="10258" width="18.5703125" style="57" customWidth="1"/>
    <col min="10259" max="10259" width="2.140625" style="57" customWidth="1"/>
    <col min="10260" max="10260" width="10.42578125" style="57" customWidth="1"/>
    <col min="10261" max="10502" width="9.140625" style="57"/>
    <col min="10503" max="10503" width="10" style="57" customWidth="1"/>
    <col min="10504" max="10504" width="40" style="57" customWidth="1"/>
    <col min="10505" max="10505" width="12.5703125" style="57" customWidth="1"/>
    <col min="10506" max="10507" width="10.42578125" style="57" customWidth="1"/>
    <col min="10508" max="10508" width="11.5703125" style="57" customWidth="1"/>
    <col min="10509" max="10510" width="10.42578125" style="57" customWidth="1"/>
    <col min="10511" max="10511" width="6.5703125" style="57" customWidth="1"/>
    <col min="10512" max="10512" width="11.42578125" style="57" customWidth="1"/>
    <col min="10513" max="10513" width="4.140625" style="57" customWidth="1"/>
    <col min="10514" max="10514" width="18.5703125" style="57" customWidth="1"/>
    <col min="10515" max="10515" width="2.140625" style="57" customWidth="1"/>
    <col min="10516" max="10516" width="10.42578125" style="57" customWidth="1"/>
    <col min="10517" max="10758" width="9.140625" style="57"/>
    <col min="10759" max="10759" width="10" style="57" customWidth="1"/>
    <col min="10760" max="10760" width="40" style="57" customWidth="1"/>
    <col min="10761" max="10761" width="12.5703125" style="57" customWidth="1"/>
    <col min="10762" max="10763" width="10.42578125" style="57" customWidth="1"/>
    <col min="10764" max="10764" width="11.5703125" style="57" customWidth="1"/>
    <col min="10765" max="10766" width="10.42578125" style="57" customWidth="1"/>
    <col min="10767" max="10767" width="6.5703125" style="57" customWidth="1"/>
    <col min="10768" max="10768" width="11.42578125" style="57" customWidth="1"/>
    <col min="10769" max="10769" width="4.140625" style="57" customWidth="1"/>
    <col min="10770" max="10770" width="18.5703125" style="57" customWidth="1"/>
    <col min="10771" max="10771" width="2.140625" style="57" customWidth="1"/>
    <col min="10772" max="10772" width="10.42578125" style="57" customWidth="1"/>
    <col min="10773" max="11014" width="9.140625" style="57"/>
    <col min="11015" max="11015" width="10" style="57" customWidth="1"/>
    <col min="11016" max="11016" width="40" style="57" customWidth="1"/>
    <col min="11017" max="11017" width="12.5703125" style="57" customWidth="1"/>
    <col min="11018" max="11019" width="10.42578125" style="57" customWidth="1"/>
    <col min="11020" max="11020" width="11.5703125" style="57" customWidth="1"/>
    <col min="11021" max="11022" width="10.42578125" style="57" customWidth="1"/>
    <col min="11023" max="11023" width="6.5703125" style="57" customWidth="1"/>
    <col min="11024" max="11024" width="11.42578125" style="57" customWidth="1"/>
    <col min="11025" max="11025" width="4.140625" style="57" customWidth="1"/>
    <col min="11026" max="11026" width="18.5703125" style="57" customWidth="1"/>
    <col min="11027" max="11027" width="2.140625" style="57" customWidth="1"/>
    <col min="11028" max="11028" width="10.42578125" style="57" customWidth="1"/>
    <col min="11029" max="11270" width="9.140625" style="57"/>
    <col min="11271" max="11271" width="10" style="57" customWidth="1"/>
    <col min="11272" max="11272" width="40" style="57" customWidth="1"/>
    <col min="11273" max="11273" width="12.5703125" style="57" customWidth="1"/>
    <col min="11274" max="11275" width="10.42578125" style="57" customWidth="1"/>
    <col min="11276" max="11276" width="11.5703125" style="57" customWidth="1"/>
    <col min="11277" max="11278" width="10.42578125" style="57" customWidth="1"/>
    <col min="11279" max="11279" width="6.5703125" style="57" customWidth="1"/>
    <col min="11280" max="11280" width="11.42578125" style="57" customWidth="1"/>
    <col min="11281" max="11281" width="4.140625" style="57" customWidth="1"/>
    <col min="11282" max="11282" width="18.5703125" style="57" customWidth="1"/>
    <col min="11283" max="11283" width="2.140625" style="57" customWidth="1"/>
    <col min="11284" max="11284" width="10.42578125" style="57" customWidth="1"/>
    <col min="11285" max="11526" width="9.140625" style="57"/>
    <col min="11527" max="11527" width="10" style="57" customWidth="1"/>
    <col min="11528" max="11528" width="40" style="57" customWidth="1"/>
    <col min="11529" max="11529" width="12.5703125" style="57" customWidth="1"/>
    <col min="11530" max="11531" width="10.42578125" style="57" customWidth="1"/>
    <col min="11532" max="11532" width="11.5703125" style="57" customWidth="1"/>
    <col min="11533" max="11534" width="10.42578125" style="57" customWidth="1"/>
    <col min="11535" max="11535" width="6.5703125" style="57" customWidth="1"/>
    <col min="11536" max="11536" width="11.42578125" style="57" customWidth="1"/>
    <col min="11537" max="11537" width="4.140625" style="57" customWidth="1"/>
    <col min="11538" max="11538" width="18.5703125" style="57" customWidth="1"/>
    <col min="11539" max="11539" width="2.140625" style="57" customWidth="1"/>
    <col min="11540" max="11540" width="10.42578125" style="57" customWidth="1"/>
    <col min="11541" max="11782" width="9.140625" style="57"/>
    <col min="11783" max="11783" width="10" style="57" customWidth="1"/>
    <col min="11784" max="11784" width="40" style="57" customWidth="1"/>
    <col min="11785" max="11785" width="12.5703125" style="57" customWidth="1"/>
    <col min="11786" max="11787" width="10.42578125" style="57" customWidth="1"/>
    <col min="11788" max="11788" width="11.5703125" style="57" customWidth="1"/>
    <col min="11789" max="11790" width="10.42578125" style="57" customWidth="1"/>
    <col min="11791" max="11791" width="6.5703125" style="57" customWidth="1"/>
    <col min="11792" max="11792" width="11.42578125" style="57" customWidth="1"/>
    <col min="11793" max="11793" width="4.140625" style="57" customWidth="1"/>
    <col min="11794" max="11794" width="18.5703125" style="57" customWidth="1"/>
    <col min="11795" max="11795" width="2.140625" style="57" customWidth="1"/>
    <col min="11796" max="11796" width="10.42578125" style="57" customWidth="1"/>
    <col min="11797" max="12038" width="9.140625" style="57"/>
    <col min="12039" max="12039" width="10" style="57" customWidth="1"/>
    <col min="12040" max="12040" width="40" style="57" customWidth="1"/>
    <col min="12041" max="12041" width="12.5703125" style="57" customWidth="1"/>
    <col min="12042" max="12043" width="10.42578125" style="57" customWidth="1"/>
    <col min="12044" max="12044" width="11.5703125" style="57" customWidth="1"/>
    <col min="12045" max="12046" width="10.42578125" style="57" customWidth="1"/>
    <col min="12047" max="12047" width="6.5703125" style="57" customWidth="1"/>
    <col min="12048" max="12048" width="11.42578125" style="57" customWidth="1"/>
    <col min="12049" max="12049" width="4.140625" style="57" customWidth="1"/>
    <col min="12050" max="12050" width="18.5703125" style="57" customWidth="1"/>
    <col min="12051" max="12051" width="2.140625" style="57" customWidth="1"/>
    <col min="12052" max="12052" width="10.42578125" style="57" customWidth="1"/>
    <col min="12053" max="12294" width="9.140625" style="57"/>
    <col min="12295" max="12295" width="10" style="57" customWidth="1"/>
    <col min="12296" max="12296" width="40" style="57" customWidth="1"/>
    <col min="12297" max="12297" width="12.5703125" style="57" customWidth="1"/>
    <col min="12298" max="12299" width="10.42578125" style="57" customWidth="1"/>
    <col min="12300" max="12300" width="11.5703125" style="57" customWidth="1"/>
    <col min="12301" max="12302" width="10.42578125" style="57" customWidth="1"/>
    <col min="12303" max="12303" width="6.5703125" style="57" customWidth="1"/>
    <col min="12304" max="12304" width="11.42578125" style="57" customWidth="1"/>
    <col min="12305" max="12305" width="4.140625" style="57" customWidth="1"/>
    <col min="12306" max="12306" width="18.5703125" style="57" customWidth="1"/>
    <col min="12307" max="12307" width="2.140625" style="57" customWidth="1"/>
    <col min="12308" max="12308" width="10.42578125" style="57" customWidth="1"/>
    <col min="12309" max="12550" width="9.140625" style="57"/>
    <col min="12551" max="12551" width="10" style="57" customWidth="1"/>
    <col min="12552" max="12552" width="40" style="57" customWidth="1"/>
    <col min="12553" max="12553" width="12.5703125" style="57" customWidth="1"/>
    <col min="12554" max="12555" width="10.42578125" style="57" customWidth="1"/>
    <col min="12556" max="12556" width="11.5703125" style="57" customWidth="1"/>
    <col min="12557" max="12558" width="10.42578125" style="57" customWidth="1"/>
    <col min="12559" max="12559" width="6.5703125" style="57" customWidth="1"/>
    <col min="12560" max="12560" width="11.42578125" style="57" customWidth="1"/>
    <col min="12561" max="12561" width="4.140625" style="57" customWidth="1"/>
    <col min="12562" max="12562" width="18.5703125" style="57" customWidth="1"/>
    <col min="12563" max="12563" width="2.140625" style="57" customWidth="1"/>
    <col min="12564" max="12564" width="10.42578125" style="57" customWidth="1"/>
    <col min="12565" max="12806" width="9.140625" style="57"/>
    <col min="12807" max="12807" width="10" style="57" customWidth="1"/>
    <col min="12808" max="12808" width="40" style="57" customWidth="1"/>
    <col min="12809" max="12809" width="12.5703125" style="57" customWidth="1"/>
    <col min="12810" max="12811" width="10.42578125" style="57" customWidth="1"/>
    <col min="12812" max="12812" width="11.5703125" style="57" customWidth="1"/>
    <col min="12813" max="12814" width="10.42578125" style="57" customWidth="1"/>
    <col min="12815" max="12815" width="6.5703125" style="57" customWidth="1"/>
    <col min="12816" max="12816" width="11.42578125" style="57" customWidth="1"/>
    <col min="12817" max="12817" width="4.140625" style="57" customWidth="1"/>
    <col min="12818" max="12818" width="18.5703125" style="57" customWidth="1"/>
    <col min="12819" max="12819" width="2.140625" style="57" customWidth="1"/>
    <col min="12820" max="12820" width="10.42578125" style="57" customWidth="1"/>
    <col min="12821" max="13062" width="9.140625" style="57"/>
    <col min="13063" max="13063" width="10" style="57" customWidth="1"/>
    <col min="13064" max="13064" width="40" style="57" customWidth="1"/>
    <col min="13065" max="13065" width="12.5703125" style="57" customWidth="1"/>
    <col min="13066" max="13067" width="10.42578125" style="57" customWidth="1"/>
    <col min="13068" max="13068" width="11.5703125" style="57" customWidth="1"/>
    <col min="13069" max="13070" width="10.42578125" style="57" customWidth="1"/>
    <col min="13071" max="13071" width="6.5703125" style="57" customWidth="1"/>
    <col min="13072" max="13072" width="11.42578125" style="57" customWidth="1"/>
    <col min="13073" max="13073" width="4.140625" style="57" customWidth="1"/>
    <col min="13074" max="13074" width="18.5703125" style="57" customWidth="1"/>
    <col min="13075" max="13075" width="2.140625" style="57" customWidth="1"/>
    <col min="13076" max="13076" width="10.42578125" style="57" customWidth="1"/>
    <col min="13077" max="13318" width="9.140625" style="57"/>
    <col min="13319" max="13319" width="10" style="57" customWidth="1"/>
    <col min="13320" max="13320" width="40" style="57" customWidth="1"/>
    <col min="13321" max="13321" width="12.5703125" style="57" customWidth="1"/>
    <col min="13322" max="13323" width="10.42578125" style="57" customWidth="1"/>
    <col min="13324" max="13324" width="11.5703125" style="57" customWidth="1"/>
    <col min="13325" max="13326" width="10.42578125" style="57" customWidth="1"/>
    <col min="13327" max="13327" width="6.5703125" style="57" customWidth="1"/>
    <col min="13328" max="13328" width="11.42578125" style="57" customWidth="1"/>
    <col min="13329" max="13329" width="4.140625" style="57" customWidth="1"/>
    <col min="13330" max="13330" width="18.5703125" style="57" customWidth="1"/>
    <col min="13331" max="13331" width="2.140625" style="57" customWidth="1"/>
    <col min="13332" max="13332" width="10.42578125" style="57" customWidth="1"/>
    <col min="13333" max="13574" width="9.140625" style="57"/>
    <col min="13575" max="13575" width="10" style="57" customWidth="1"/>
    <col min="13576" max="13576" width="40" style="57" customWidth="1"/>
    <col min="13577" max="13577" width="12.5703125" style="57" customWidth="1"/>
    <col min="13578" max="13579" width="10.42578125" style="57" customWidth="1"/>
    <col min="13580" max="13580" width="11.5703125" style="57" customWidth="1"/>
    <col min="13581" max="13582" width="10.42578125" style="57" customWidth="1"/>
    <col min="13583" max="13583" width="6.5703125" style="57" customWidth="1"/>
    <col min="13584" max="13584" width="11.42578125" style="57" customWidth="1"/>
    <col min="13585" max="13585" width="4.140625" style="57" customWidth="1"/>
    <col min="13586" max="13586" width="18.5703125" style="57" customWidth="1"/>
    <col min="13587" max="13587" width="2.140625" style="57" customWidth="1"/>
    <col min="13588" max="13588" width="10.42578125" style="57" customWidth="1"/>
    <col min="13589" max="13830" width="9.140625" style="57"/>
    <col min="13831" max="13831" width="10" style="57" customWidth="1"/>
    <col min="13832" max="13832" width="40" style="57" customWidth="1"/>
    <col min="13833" max="13833" width="12.5703125" style="57" customWidth="1"/>
    <col min="13834" max="13835" width="10.42578125" style="57" customWidth="1"/>
    <col min="13836" max="13836" width="11.5703125" style="57" customWidth="1"/>
    <col min="13837" max="13838" width="10.42578125" style="57" customWidth="1"/>
    <col min="13839" max="13839" width="6.5703125" style="57" customWidth="1"/>
    <col min="13840" max="13840" width="11.42578125" style="57" customWidth="1"/>
    <col min="13841" max="13841" width="4.140625" style="57" customWidth="1"/>
    <col min="13842" max="13842" width="18.5703125" style="57" customWidth="1"/>
    <col min="13843" max="13843" width="2.140625" style="57" customWidth="1"/>
    <col min="13844" max="13844" width="10.42578125" style="57" customWidth="1"/>
    <col min="13845" max="14086" width="9.140625" style="57"/>
    <col min="14087" max="14087" width="10" style="57" customWidth="1"/>
    <col min="14088" max="14088" width="40" style="57" customWidth="1"/>
    <col min="14089" max="14089" width="12.5703125" style="57" customWidth="1"/>
    <col min="14090" max="14091" width="10.42578125" style="57" customWidth="1"/>
    <col min="14092" max="14092" width="11.5703125" style="57" customWidth="1"/>
    <col min="14093" max="14094" width="10.42578125" style="57" customWidth="1"/>
    <col min="14095" max="14095" width="6.5703125" style="57" customWidth="1"/>
    <col min="14096" max="14096" width="11.42578125" style="57" customWidth="1"/>
    <col min="14097" max="14097" width="4.140625" style="57" customWidth="1"/>
    <col min="14098" max="14098" width="18.5703125" style="57" customWidth="1"/>
    <col min="14099" max="14099" width="2.140625" style="57" customWidth="1"/>
    <col min="14100" max="14100" width="10.42578125" style="57" customWidth="1"/>
    <col min="14101" max="14342" width="9.140625" style="57"/>
    <col min="14343" max="14343" width="10" style="57" customWidth="1"/>
    <col min="14344" max="14344" width="40" style="57" customWidth="1"/>
    <col min="14345" max="14345" width="12.5703125" style="57" customWidth="1"/>
    <col min="14346" max="14347" width="10.42578125" style="57" customWidth="1"/>
    <col min="14348" max="14348" width="11.5703125" style="57" customWidth="1"/>
    <col min="14349" max="14350" width="10.42578125" style="57" customWidth="1"/>
    <col min="14351" max="14351" width="6.5703125" style="57" customWidth="1"/>
    <col min="14352" max="14352" width="11.42578125" style="57" customWidth="1"/>
    <col min="14353" max="14353" width="4.140625" style="57" customWidth="1"/>
    <col min="14354" max="14354" width="18.5703125" style="57" customWidth="1"/>
    <col min="14355" max="14355" width="2.140625" style="57" customWidth="1"/>
    <col min="14356" max="14356" width="10.42578125" style="57" customWidth="1"/>
    <col min="14357" max="14598" width="9.140625" style="57"/>
    <col min="14599" max="14599" width="10" style="57" customWidth="1"/>
    <col min="14600" max="14600" width="40" style="57" customWidth="1"/>
    <col min="14601" max="14601" width="12.5703125" style="57" customWidth="1"/>
    <col min="14602" max="14603" width="10.42578125" style="57" customWidth="1"/>
    <col min="14604" max="14604" width="11.5703125" style="57" customWidth="1"/>
    <col min="14605" max="14606" width="10.42578125" style="57" customWidth="1"/>
    <col min="14607" max="14607" width="6.5703125" style="57" customWidth="1"/>
    <col min="14608" max="14608" width="11.42578125" style="57" customWidth="1"/>
    <col min="14609" max="14609" width="4.140625" style="57" customWidth="1"/>
    <col min="14610" max="14610" width="18.5703125" style="57" customWidth="1"/>
    <col min="14611" max="14611" width="2.140625" style="57" customWidth="1"/>
    <col min="14612" max="14612" width="10.42578125" style="57" customWidth="1"/>
    <col min="14613" max="14854" width="9.140625" style="57"/>
    <col min="14855" max="14855" width="10" style="57" customWidth="1"/>
    <col min="14856" max="14856" width="40" style="57" customWidth="1"/>
    <col min="14857" max="14857" width="12.5703125" style="57" customWidth="1"/>
    <col min="14858" max="14859" width="10.42578125" style="57" customWidth="1"/>
    <col min="14860" max="14860" width="11.5703125" style="57" customWidth="1"/>
    <col min="14861" max="14862" width="10.42578125" style="57" customWidth="1"/>
    <col min="14863" max="14863" width="6.5703125" style="57" customWidth="1"/>
    <col min="14864" max="14864" width="11.42578125" style="57" customWidth="1"/>
    <col min="14865" max="14865" width="4.140625" style="57" customWidth="1"/>
    <col min="14866" max="14866" width="18.5703125" style="57" customWidth="1"/>
    <col min="14867" max="14867" width="2.140625" style="57" customWidth="1"/>
    <col min="14868" max="14868" width="10.42578125" style="57" customWidth="1"/>
    <col min="14869" max="15110" width="9.140625" style="57"/>
    <col min="15111" max="15111" width="10" style="57" customWidth="1"/>
    <col min="15112" max="15112" width="40" style="57" customWidth="1"/>
    <col min="15113" max="15113" width="12.5703125" style="57" customWidth="1"/>
    <col min="15114" max="15115" width="10.42578125" style="57" customWidth="1"/>
    <col min="15116" max="15116" width="11.5703125" style="57" customWidth="1"/>
    <col min="15117" max="15118" width="10.42578125" style="57" customWidth="1"/>
    <col min="15119" max="15119" width="6.5703125" style="57" customWidth="1"/>
    <col min="15120" max="15120" width="11.42578125" style="57" customWidth="1"/>
    <col min="15121" max="15121" width="4.140625" style="57" customWidth="1"/>
    <col min="15122" max="15122" width="18.5703125" style="57" customWidth="1"/>
    <col min="15123" max="15123" width="2.140625" style="57" customWidth="1"/>
    <col min="15124" max="15124" width="10.42578125" style="57" customWidth="1"/>
    <col min="15125" max="15366" width="9.140625" style="57"/>
    <col min="15367" max="15367" width="10" style="57" customWidth="1"/>
    <col min="15368" max="15368" width="40" style="57" customWidth="1"/>
    <col min="15369" max="15369" width="12.5703125" style="57" customWidth="1"/>
    <col min="15370" max="15371" width="10.42578125" style="57" customWidth="1"/>
    <col min="15372" max="15372" width="11.5703125" style="57" customWidth="1"/>
    <col min="15373" max="15374" width="10.42578125" style="57" customWidth="1"/>
    <col min="15375" max="15375" width="6.5703125" style="57" customWidth="1"/>
    <col min="15376" max="15376" width="11.42578125" style="57" customWidth="1"/>
    <col min="15377" max="15377" width="4.140625" style="57" customWidth="1"/>
    <col min="15378" max="15378" width="18.5703125" style="57" customWidth="1"/>
    <col min="15379" max="15379" width="2.140625" style="57" customWidth="1"/>
    <col min="15380" max="15380" width="10.42578125" style="57" customWidth="1"/>
    <col min="15381" max="15622" width="9.140625" style="57"/>
    <col min="15623" max="15623" width="10" style="57" customWidth="1"/>
    <col min="15624" max="15624" width="40" style="57" customWidth="1"/>
    <col min="15625" max="15625" width="12.5703125" style="57" customWidth="1"/>
    <col min="15626" max="15627" width="10.42578125" style="57" customWidth="1"/>
    <col min="15628" max="15628" width="11.5703125" style="57" customWidth="1"/>
    <col min="15629" max="15630" width="10.42578125" style="57" customWidth="1"/>
    <col min="15631" max="15631" width="6.5703125" style="57" customWidth="1"/>
    <col min="15632" max="15632" width="11.42578125" style="57" customWidth="1"/>
    <col min="15633" max="15633" width="4.140625" style="57" customWidth="1"/>
    <col min="15634" max="15634" width="18.5703125" style="57" customWidth="1"/>
    <col min="15635" max="15635" width="2.140625" style="57" customWidth="1"/>
    <col min="15636" max="15636" width="10.42578125" style="57" customWidth="1"/>
    <col min="15637" max="15878" width="9.140625" style="57"/>
    <col min="15879" max="15879" width="10" style="57" customWidth="1"/>
    <col min="15880" max="15880" width="40" style="57" customWidth="1"/>
    <col min="15881" max="15881" width="12.5703125" style="57" customWidth="1"/>
    <col min="15882" max="15883" width="10.42578125" style="57" customWidth="1"/>
    <col min="15884" max="15884" width="11.5703125" style="57" customWidth="1"/>
    <col min="15885" max="15886" width="10.42578125" style="57" customWidth="1"/>
    <col min="15887" max="15887" width="6.5703125" style="57" customWidth="1"/>
    <col min="15888" max="15888" width="11.42578125" style="57" customWidth="1"/>
    <col min="15889" max="15889" width="4.140625" style="57" customWidth="1"/>
    <col min="15890" max="15890" width="18.5703125" style="57" customWidth="1"/>
    <col min="15891" max="15891" width="2.140625" style="57" customWidth="1"/>
    <col min="15892" max="15892" width="10.42578125" style="57" customWidth="1"/>
    <col min="15893" max="16134" width="9.140625" style="57"/>
    <col min="16135" max="16135" width="10" style="57" customWidth="1"/>
    <col min="16136" max="16136" width="40" style="57" customWidth="1"/>
    <col min="16137" max="16137" width="12.5703125" style="57" customWidth="1"/>
    <col min="16138" max="16139" width="10.42578125" style="57" customWidth="1"/>
    <col min="16140" max="16140" width="11.5703125" style="57" customWidth="1"/>
    <col min="16141" max="16142" width="10.42578125" style="57" customWidth="1"/>
    <col min="16143" max="16143" width="6.5703125" style="57" customWidth="1"/>
    <col min="16144" max="16144" width="11.42578125" style="57" customWidth="1"/>
    <col min="16145" max="16145" width="4.140625" style="57" customWidth="1"/>
    <col min="16146" max="16146" width="18.5703125" style="57" customWidth="1"/>
    <col min="16147" max="16147" width="2.140625" style="57" customWidth="1"/>
    <col min="16148" max="16148" width="10.42578125" style="57" customWidth="1"/>
    <col min="16149" max="16384" width="9.140625" style="57"/>
  </cols>
  <sheetData>
    <row r="1" spans="2:21" ht="13.5" customHeight="1" x14ac:dyDescent="0.25">
      <c r="H1" s="781" t="s">
        <v>38</v>
      </c>
      <c r="I1" s="781"/>
      <c r="J1" s="781"/>
      <c r="K1" s="781"/>
      <c r="L1" s="781"/>
      <c r="M1" s="782" t="s">
        <v>39</v>
      </c>
      <c r="N1" s="782"/>
      <c r="O1" s="783" t="s">
        <v>40</v>
      </c>
      <c r="P1" s="783"/>
      <c r="Q1" s="783"/>
    </row>
    <row r="2" spans="2:21" s="59" customFormat="1" ht="15" customHeight="1" x14ac:dyDescent="0.25">
      <c r="B2" s="60" t="s">
        <v>41</v>
      </c>
      <c r="C2" s="61" t="s">
        <v>42</v>
      </c>
      <c r="D2" s="61" t="s">
        <v>43</v>
      </c>
      <c r="E2" s="61" t="s">
        <v>44</v>
      </c>
      <c r="F2" s="61" t="s">
        <v>45</v>
      </c>
      <c r="G2" s="62" t="s">
        <v>46</v>
      </c>
      <c r="H2" s="60" t="s">
        <v>47</v>
      </c>
      <c r="I2" s="61" t="s">
        <v>48</v>
      </c>
      <c r="J2" s="62" t="s">
        <v>47</v>
      </c>
      <c r="K2" s="62" t="s">
        <v>48</v>
      </c>
      <c r="L2" s="63" t="s">
        <v>49</v>
      </c>
      <c r="M2" s="64" t="s">
        <v>39</v>
      </c>
      <c r="N2" s="63" t="s">
        <v>49</v>
      </c>
      <c r="O2" s="64" t="s">
        <v>47</v>
      </c>
      <c r="P2" s="65" t="s">
        <v>48</v>
      </c>
      <c r="Q2" s="63" t="s">
        <v>49</v>
      </c>
      <c r="R2" s="66" t="s">
        <v>50</v>
      </c>
    </row>
    <row r="3" spans="2:21" ht="15" customHeight="1" x14ac:dyDescent="0.25">
      <c r="B3" s="67">
        <v>2</v>
      </c>
      <c r="C3" s="68" t="s">
        <v>51</v>
      </c>
      <c r="D3" s="68" t="s">
        <v>52</v>
      </c>
      <c r="E3" s="69">
        <v>44599</v>
      </c>
      <c r="F3" s="69"/>
      <c r="G3" s="70"/>
      <c r="H3" s="71"/>
      <c r="I3" s="72"/>
      <c r="J3" s="73"/>
      <c r="K3" s="73"/>
      <c r="L3" s="74">
        <f>(I3-H3)</f>
        <v>0</v>
      </c>
      <c r="M3" s="75"/>
      <c r="N3" s="76"/>
      <c r="O3" s="77"/>
      <c r="P3" s="78"/>
      <c r="Q3" s="79"/>
      <c r="R3" s="80"/>
      <c r="T3" s="81" t="s">
        <v>53</v>
      </c>
      <c r="U3" s="82">
        <v>3</v>
      </c>
    </row>
    <row r="4" spans="2:21" ht="15" customHeight="1" x14ac:dyDescent="0.25">
      <c r="B4" s="67">
        <v>1</v>
      </c>
      <c r="C4" s="68" t="s">
        <v>54</v>
      </c>
      <c r="D4" s="68" t="s">
        <v>52</v>
      </c>
      <c r="E4" s="69">
        <v>44599</v>
      </c>
      <c r="F4" s="69"/>
      <c r="G4" s="70"/>
      <c r="H4" s="71"/>
      <c r="I4" s="72"/>
      <c r="J4" s="73"/>
      <c r="K4" s="73"/>
      <c r="L4" s="74">
        <f>(I4-H4)</f>
        <v>0</v>
      </c>
      <c r="M4" s="75"/>
      <c r="N4" s="76"/>
      <c r="O4" s="77"/>
      <c r="P4" s="78"/>
      <c r="Q4" s="79"/>
      <c r="R4" s="80"/>
      <c r="T4" s="83" t="s">
        <v>44</v>
      </c>
      <c r="U4" s="84">
        <v>0</v>
      </c>
    </row>
    <row r="5" spans="2:21" ht="15" customHeight="1" x14ac:dyDescent="0.25">
      <c r="B5" s="85">
        <v>3</v>
      </c>
      <c r="C5" s="86" t="s">
        <v>55</v>
      </c>
      <c r="D5" s="86" t="s">
        <v>52</v>
      </c>
      <c r="E5" s="87">
        <v>44602</v>
      </c>
      <c r="F5" s="87"/>
      <c r="G5" s="88"/>
      <c r="H5" s="89"/>
      <c r="I5" s="90"/>
      <c r="J5" s="91"/>
      <c r="K5" s="91"/>
      <c r="L5" s="92">
        <f>(I5-H5)</f>
        <v>0</v>
      </c>
      <c r="M5" s="93"/>
      <c r="N5" s="94"/>
      <c r="O5" s="95">
        <v>45306</v>
      </c>
      <c r="P5" s="96">
        <v>45310</v>
      </c>
      <c r="Q5" s="97">
        <v>5</v>
      </c>
      <c r="R5" s="98"/>
      <c r="T5" s="83" t="s">
        <v>45</v>
      </c>
      <c r="U5" s="84">
        <v>0</v>
      </c>
    </row>
    <row r="6" spans="2:21" ht="15" customHeight="1" x14ac:dyDescent="0.25">
      <c r="L6" s="99">
        <f>SUM(L3:L5)</f>
        <v>0</v>
      </c>
      <c r="N6" s="99">
        <f>SUM(N3:N5)</f>
        <v>0</v>
      </c>
      <c r="O6" s="99"/>
      <c r="P6" s="99"/>
      <c r="Q6" s="99">
        <f>SUM(Q3:Q5)</f>
        <v>5</v>
      </c>
      <c r="T6" s="100" t="s">
        <v>56</v>
      </c>
      <c r="U6" s="101">
        <f>U3+U4-U5</f>
        <v>3</v>
      </c>
    </row>
    <row r="7" spans="2:21" ht="15" customHeight="1" x14ac:dyDescent="0.25"/>
    <row r="8" spans="2:21" ht="15" customHeight="1" x14ac:dyDescent="0.25">
      <c r="T8" s="81" t="s">
        <v>57</v>
      </c>
      <c r="U8" s="82">
        <v>2</v>
      </c>
    </row>
    <row r="9" spans="2:21" ht="15" customHeight="1" x14ac:dyDescent="0.25">
      <c r="T9" s="100" t="s">
        <v>13</v>
      </c>
      <c r="U9" s="101">
        <f>U6+U8</f>
        <v>5</v>
      </c>
    </row>
    <row r="10" spans="2:21" ht="15" customHeight="1" x14ac:dyDescent="0.25"/>
    <row r="11" spans="2:21" ht="15" customHeight="1" x14ac:dyDescent="0.25">
      <c r="T11" s="784" t="s">
        <v>58</v>
      </c>
      <c r="U11" s="784"/>
    </row>
    <row r="12" spans="2:21" ht="15" customHeight="1" x14ac:dyDescent="0.25">
      <c r="T12" s="83" t="s">
        <v>38</v>
      </c>
      <c r="U12" s="102">
        <f>L6</f>
        <v>0</v>
      </c>
    </row>
    <row r="13" spans="2:21" ht="15" customHeight="1" x14ac:dyDescent="0.25">
      <c r="T13" s="103" t="s">
        <v>39</v>
      </c>
      <c r="U13" s="104">
        <f>N6</f>
        <v>0</v>
      </c>
    </row>
    <row r="14" spans="2:21" ht="15" customHeight="1" x14ac:dyDescent="0.25"/>
    <row r="15" spans="2:21" ht="15" customHeight="1" x14ac:dyDescent="0.25">
      <c r="T15" s="81" t="s">
        <v>40</v>
      </c>
      <c r="U15" s="105">
        <f>Q6</f>
        <v>5</v>
      </c>
    </row>
    <row r="16" spans="2:21" ht="15" customHeight="1" x14ac:dyDescent="0.25">
      <c r="T16" s="103" t="s">
        <v>59</v>
      </c>
      <c r="U16" s="104">
        <v>0</v>
      </c>
    </row>
    <row r="17" spans="20:21" ht="15" customHeight="1" x14ac:dyDescent="0.25"/>
    <row r="18" spans="20:21" ht="15" customHeight="1" x14ac:dyDescent="0.25">
      <c r="T18" s="106" t="s">
        <v>22</v>
      </c>
      <c r="U18" s="107">
        <v>22</v>
      </c>
    </row>
    <row r="19" spans="20:21" ht="15" customHeight="1" x14ac:dyDescent="0.25"/>
    <row r="20" spans="20:21" ht="15" customHeight="1" x14ac:dyDescent="0.25"/>
    <row r="21" spans="20:21" ht="15" customHeight="1" x14ac:dyDescent="0.25"/>
    <row r="22" spans="20:21" ht="15" customHeight="1" x14ac:dyDescent="0.25"/>
    <row r="23" spans="20:21" ht="15" customHeight="1" x14ac:dyDescent="0.25"/>
    <row r="24" spans="20:21" ht="15" customHeight="1" x14ac:dyDescent="0.25"/>
    <row r="25" spans="20:21" ht="15" customHeight="1" x14ac:dyDescent="0.25"/>
    <row r="26" spans="20:21" ht="15" customHeight="1" x14ac:dyDescent="0.25"/>
    <row r="27" spans="20:21" ht="15" customHeight="1" x14ac:dyDescent="0.25"/>
    <row r="28" spans="20:21" ht="15" customHeight="1" x14ac:dyDescent="0.25"/>
    <row r="29" spans="20:21" ht="15" customHeight="1" x14ac:dyDescent="0.25"/>
    <row r="30" spans="20:21" ht="15" customHeight="1" x14ac:dyDescent="0.25"/>
    <row r="31" spans="20:21" ht="15" customHeight="1" x14ac:dyDescent="0.25"/>
    <row r="32" spans="20:21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</sheetData>
  <mergeCells count="4">
    <mergeCell ref="H1:L1"/>
    <mergeCell ref="M1:N1"/>
    <mergeCell ref="O1:Q1"/>
    <mergeCell ref="T11:U11"/>
  </mergeCells>
  <pageMargins left="0.23611111111111099" right="0.23611111111111099" top="0.74791666666666701" bottom="0.74791666666666701" header="0.511811023622047" footer="0.511811023622047"/>
  <pageSetup paperSize="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U36"/>
  <sheetViews>
    <sheetView showGridLines="0" zoomScaleNormal="100" workbookViewId="0">
      <selection activeCell="E15" sqref="E15"/>
    </sheetView>
  </sheetViews>
  <sheetFormatPr defaultColWidth="9.140625" defaultRowHeight="12.75" x14ac:dyDescent="0.25"/>
  <cols>
    <col min="1" max="1" width="9.140625" style="57"/>
    <col min="2" max="2" width="10" style="57" customWidth="1"/>
    <col min="3" max="3" width="40" style="57" customWidth="1"/>
    <col min="4" max="4" width="12.5703125" style="57" customWidth="1"/>
    <col min="5" max="6" width="10.42578125" style="57" customWidth="1"/>
    <col min="7" max="7" width="11.5703125" style="57" customWidth="1"/>
    <col min="8" max="9" width="10.42578125" style="57" customWidth="1"/>
    <col min="10" max="10" width="5" style="57" customWidth="1"/>
    <col min="11" max="11" width="3.85546875" style="57" customWidth="1"/>
    <col min="12" max="12" width="4.140625" style="57" customWidth="1"/>
    <col min="13" max="13" width="11.42578125" style="58" customWidth="1"/>
    <col min="14" max="14" width="4.140625" style="57" customWidth="1"/>
    <col min="15" max="16" width="10.42578125" style="57" customWidth="1"/>
    <col min="17" max="17" width="4.140625" style="57" customWidth="1"/>
    <col min="18" max="18" width="27.140625" style="57" customWidth="1"/>
    <col min="19" max="19" width="2.140625" style="57" customWidth="1"/>
    <col min="20" max="20" width="13.140625" style="57" customWidth="1"/>
    <col min="21" max="21" width="3" style="57" customWidth="1"/>
    <col min="22" max="262" width="9.140625" style="57"/>
    <col min="263" max="263" width="10" style="57" customWidth="1"/>
    <col min="264" max="264" width="40" style="57" customWidth="1"/>
    <col min="265" max="265" width="12.5703125" style="57" customWidth="1"/>
    <col min="266" max="267" width="10.42578125" style="57" customWidth="1"/>
    <col min="268" max="268" width="11.5703125" style="57" customWidth="1"/>
    <col min="269" max="270" width="10.42578125" style="57" customWidth="1"/>
    <col min="271" max="271" width="6.5703125" style="57" customWidth="1"/>
    <col min="272" max="272" width="11.42578125" style="57" customWidth="1"/>
    <col min="273" max="273" width="4.140625" style="57" customWidth="1"/>
    <col min="274" max="274" width="18.5703125" style="57" customWidth="1"/>
    <col min="275" max="275" width="2.140625" style="57" customWidth="1"/>
    <col min="276" max="276" width="10.42578125" style="57" customWidth="1"/>
    <col min="277" max="518" width="9.140625" style="57"/>
    <col min="519" max="519" width="10" style="57" customWidth="1"/>
    <col min="520" max="520" width="40" style="57" customWidth="1"/>
    <col min="521" max="521" width="12.5703125" style="57" customWidth="1"/>
    <col min="522" max="523" width="10.42578125" style="57" customWidth="1"/>
    <col min="524" max="524" width="11.5703125" style="57" customWidth="1"/>
    <col min="525" max="526" width="10.42578125" style="57" customWidth="1"/>
    <col min="527" max="527" width="6.5703125" style="57" customWidth="1"/>
    <col min="528" max="528" width="11.42578125" style="57" customWidth="1"/>
    <col min="529" max="529" width="4.140625" style="57" customWidth="1"/>
    <col min="530" max="530" width="18.5703125" style="57" customWidth="1"/>
    <col min="531" max="531" width="2.140625" style="57" customWidth="1"/>
    <col min="532" max="532" width="10.42578125" style="57" customWidth="1"/>
    <col min="533" max="774" width="9.140625" style="57"/>
    <col min="775" max="775" width="10" style="57" customWidth="1"/>
    <col min="776" max="776" width="40" style="57" customWidth="1"/>
    <col min="777" max="777" width="12.5703125" style="57" customWidth="1"/>
    <col min="778" max="779" width="10.42578125" style="57" customWidth="1"/>
    <col min="780" max="780" width="11.5703125" style="57" customWidth="1"/>
    <col min="781" max="782" width="10.42578125" style="57" customWidth="1"/>
    <col min="783" max="783" width="6.5703125" style="57" customWidth="1"/>
    <col min="784" max="784" width="11.42578125" style="57" customWidth="1"/>
    <col min="785" max="785" width="4.140625" style="57" customWidth="1"/>
    <col min="786" max="786" width="18.5703125" style="57" customWidth="1"/>
    <col min="787" max="787" width="2.140625" style="57" customWidth="1"/>
    <col min="788" max="788" width="10.42578125" style="57" customWidth="1"/>
    <col min="789" max="1030" width="9.140625" style="57"/>
    <col min="1031" max="1031" width="10" style="57" customWidth="1"/>
    <col min="1032" max="1032" width="40" style="57" customWidth="1"/>
    <col min="1033" max="1033" width="12.5703125" style="57" customWidth="1"/>
    <col min="1034" max="1035" width="10.42578125" style="57" customWidth="1"/>
    <col min="1036" max="1036" width="11.5703125" style="57" customWidth="1"/>
    <col min="1037" max="1038" width="10.42578125" style="57" customWidth="1"/>
    <col min="1039" max="1039" width="6.5703125" style="57" customWidth="1"/>
    <col min="1040" max="1040" width="11.42578125" style="57" customWidth="1"/>
    <col min="1041" max="1041" width="4.140625" style="57" customWidth="1"/>
    <col min="1042" max="1042" width="18.5703125" style="57" customWidth="1"/>
    <col min="1043" max="1043" width="2.140625" style="57" customWidth="1"/>
    <col min="1044" max="1044" width="10.42578125" style="57" customWidth="1"/>
    <col min="1045" max="1286" width="9.140625" style="57"/>
    <col min="1287" max="1287" width="10" style="57" customWidth="1"/>
    <col min="1288" max="1288" width="40" style="57" customWidth="1"/>
    <col min="1289" max="1289" width="12.5703125" style="57" customWidth="1"/>
    <col min="1290" max="1291" width="10.42578125" style="57" customWidth="1"/>
    <col min="1292" max="1292" width="11.5703125" style="57" customWidth="1"/>
    <col min="1293" max="1294" width="10.42578125" style="57" customWidth="1"/>
    <col min="1295" max="1295" width="6.5703125" style="57" customWidth="1"/>
    <col min="1296" max="1296" width="11.42578125" style="57" customWidth="1"/>
    <col min="1297" max="1297" width="4.140625" style="57" customWidth="1"/>
    <col min="1298" max="1298" width="18.5703125" style="57" customWidth="1"/>
    <col min="1299" max="1299" width="2.140625" style="57" customWidth="1"/>
    <col min="1300" max="1300" width="10.42578125" style="57" customWidth="1"/>
    <col min="1301" max="1542" width="9.140625" style="57"/>
    <col min="1543" max="1543" width="10" style="57" customWidth="1"/>
    <col min="1544" max="1544" width="40" style="57" customWidth="1"/>
    <col min="1545" max="1545" width="12.5703125" style="57" customWidth="1"/>
    <col min="1546" max="1547" width="10.42578125" style="57" customWidth="1"/>
    <col min="1548" max="1548" width="11.5703125" style="57" customWidth="1"/>
    <col min="1549" max="1550" width="10.42578125" style="57" customWidth="1"/>
    <col min="1551" max="1551" width="6.5703125" style="57" customWidth="1"/>
    <col min="1552" max="1552" width="11.42578125" style="57" customWidth="1"/>
    <col min="1553" max="1553" width="4.140625" style="57" customWidth="1"/>
    <col min="1554" max="1554" width="18.5703125" style="57" customWidth="1"/>
    <col min="1555" max="1555" width="2.140625" style="57" customWidth="1"/>
    <col min="1556" max="1556" width="10.42578125" style="57" customWidth="1"/>
    <col min="1557" max="1798" width="9.140625" style="57"/>
    <col min="1799" max="1799" width="10" style="57" customWidth="1"/>
    <col min="1800" max="1800" width="40" style="57" customWidth="1"/>
    <col min="1801" max="1801" width="12.5703125" style="57" customWidth="1"/>
    <col min="1802" max="1803" width="10.42578125" style="57" customWidth="1"/>
    <col min="1804" max="1804" width="11.5703125" style="57" customWidth="1"/>
    <col min="1805" max="1806" width="10.42578125" style="57" customWidth="1"/>
    <col min="1807" max="1807" width="6.5703125" style="57" customWidth="1"/>
    <col min="1808" max="1808" width="11.42578125" style="57" customWidth="1"/>
    <col min="1809" max="1809" width="4.140625" style="57" customWidth="1"/>
    <col min="1810" max="1810" width="18.5703125" style="57" customWidth="1"/>
    <col min="1811" max="1811" width="2.140625" style="57" customWidth="1"/>
    <col min="1812" max="1812" width="10.42578125" style="57" customWidth="1"/>
    <col min="1813" max="2054" width="9.140625" style="57"/>
    <col min="2055" max="2055" width="10" style="57" customWidth="1"/>
    <col min="2056" max="2056" width="40" style="57" customWidth="1"/>
    <col min="2057" max="2057" width="12.5703125" style="57" customWidth="1"/>
    <col min="2058" max="2059" width="10.42578125" style="57" customWidth="1"/>
    <col min="2060" max="2060" width="11.5703125" style="57" customWidth="1"/>
    <col min="2061" max="2062" width="10.42578125" style="57" customWidth="1"/>
    <col min="2063" max="2063" width="6.5703125" style="57" customWidth="1"/>
    <col min="2064" max="2064" width="11.42578125" style="57" customWidth="1"/>
    <col min="2065" max="2065" width="4.140625" style="57" customWidth="1"/>
    <col min="2066" max="2066" width="18.5703125" style="57" customWidth="1"/>
    <col min="2067" max="2067" width="2.140625" style="57" customWidth="1"/>
    <col min="2068" max="2068" width="10.42578125" style="57" customWidth="1"/>
    <col min="2069" max="2310" width="9.140625" style="57"/>
    <col min="2311" max="2311" width="10" style="57" customWidth="1"/>
    <col min="2312" max="2312" width="40" style="57" customWidth="1"/>
    <col min="2313" max="2313" width="12.5703125" style="57" customWidth="1"/>
    <col min="2314" max="2315" width="10.42578125" style="57" customWidth="1"/>
    <col min="2316" max="2316" width="11.5703125" style="57" customWidth="1"/>
    <col min="2317" max="2318" width="10.42578125" style="57" customWidth="1"/>
    <col min="2319" max="2319" width="6.5703125" style="57" customWidth="1"/>
    <col min="2320" max="2320" width="11.42578125" style="57" customWidth="1"/>
    <col min="2321" max="2321" width="4.140625" style="57" customWidth="1"/>
    <col min="2322" max="2322" width="18.5703125" style="57" customWidth="1"/>
    <col min="2323" max="2323" width="2.140625" style="57" customWidth="1"/>
    <col min="2324" max="2324" width="10.42578125" style="57" customWidth="1"/>
    <col min="2325" max="2566" width="9.140625" style="57"/>
    <col min="2567" max="2567" width="10" style="57" customWidth="1"/>
    <col min="2568" max="2568" width="40" style="57" customWidth="1"/>
    <col min="2569" max="2569" width="12.5703125" style="57" customWidth="1"/>
    <col min="2570" max="2571" width="10.42578125" style="57" customWidth="1"/>
    <col min="2572" max="2572" width="11.5703125" style="57" customWidth="1"/>
    <col min="2573" max="2574" width="10.42578125" style="57" customWidth="1"/>
    <col min="2575" max="2575" width="6.5703125" style="57" customWidth="1"/>
    <col min="2576" max="2576" width="11.42578125" style="57" customWidth="1"/>
    <col min="2577" max="2577" width="4.140625" style="57" customWidth="1"/>
    <col min="2578" max="2578" width="18.5703125" style="57" customWidth="1"/>
    <col min="2579" max="2579" width="2.140625" style="57" customWidth="1"/>
    <col min="2580" max="2580" width="10.42578125" style="57" customWidth="1"/>
    <col min="2581" max="2822" width="9.140625" style="57"/>
    <col min="2823" max="2823" width="10" style="57" customWidth="1"/>
    <col min="2824" max="2824" width="40" style="57" customWidth="1"/>
    <col min="2825" max="2825" width="12.5703125" style="57" customWidth="1"/>
    <col min="2826" max="2827" width="10.42578125" style="57" customWidth="1"/>
    <col min="2828" max="2828" width="11.5703125" style="57" customWidth="1"/>
    <col min="2829" max="2830" width="10.42578125" style="57" customWidth="1"/>
    <col min="2831" max="2831" width="6.5703125" style="57" customWidth="1"/>
    <col min="2832" max="2832" width="11.42578125" style="57" customWidth="1"/>
    <col min="2833" max="2833" width="4.140625" style="57" customWidth="1"/>
    <col min="2834" max="2834" width="18.5703125" style="57" customWidth="1"/>
    <col min="2835" max="2835" width="2.140625" style="57" customWidth="1"/>
    <col min="2836" max="2836" width="10.42578125" style="57" customWidth="1"/>
    <col min="2837" max="3078" width="9.140625" style="57"/>
    <col min="3079" max="3079" width="10" style="57" customWidth="1"/>
    <col min="3080" max="3080" width="40" style="57" customWidth="1"/>
    <col min="3081" max="3081" width="12.5703125" style="57" customWidth="1"/>
    <col min="3082" max="3083" width="10.42578125" style="57" customWidth="1"/>
    <col min="3084" max="3084" width="11.5703125" style="57" customWidth="1"/>
    <col min="3085" max="3086" width="10.42578125" style="57" customWidth="1"/>
    <col min="3087" max="3087" width="6.5703125" style="57" customWidth="1"/>
    <col min="3088" max="3088" width="11.42578125" style="57" customWidth="1"/>
    <col min="3089" max="3089" width="4.140625" style="57" customWidth="1"/>
    <col min="3090" max="3090" width="18.5703125" style="57" customWidth="1"/>
    <col min="3091" max="3091" width="2.140625" style="57" customWidth="1"/>
    <col min="3092" max="3092" width="10.42578125" style="57" customWidth="1"/>
    <col min="3093" max="3334" width="9.140625" style="57"/>
    <col min="3335" max="3335" width="10" style="57" customWidth="1"/>
    <col min="3336" max="3336" width="40" style="57" customWidth="1"/>
    <col min="3337" max="3337" width="12.5703125" style="57" customWidth="1"/>
    <col min="3338" max="3339" width="10.42578125" style="57" customWidth="1"/>
    <col min="3340" max="3340" width="11.5703125" style="57" customWidth="1"/>
    <col min="3341" max="3342" width="10.42578125" style="57" customWidth="1"/>
    <col min="3343" max="3343" width="6.5703125" style="57" customWidth="1"/>
    <col min="3344" max="3344" width="11.42578125" style="57" customWidth="1"/>
    <col min="3345" max="3345" width="4.140625" style="57" customWidth="1"/>
    <col min="3346" max="3346" width="18.5703125" style="57" customWidth="1"/>
    <col min="3347" max="3347" width="2.140625" style="57" customWidth="1"/>
    <col min="3348" max="3348" width="10.42578125" style="57" customWidth="1"/>
    <col min="3349" max="3590" width="9.140625" style="57"/>
    <col min="3591" max="3591" width="10" style="57" customWidth="1"/>
    <col min="3592" max="3592" width="40" style="57" customWidth="1"/>
    <col min="3593" max="3593" width="12.5703125" style="57" customWidth="1"/>
    <col min="3594" max="3595" width="10.42578125" style="57" customWidth="1"/>
    <col min="3596" max="3596" width="11.5703125" style="57" customWidth="1"/>
    <col min="3597" max="3598" width="10.42578125" style="57" customWidth="1"/>
    <col min="3599" max="3599" width="6.5703125" style="57" customWidth="1"/>
    <col min="3600" max="3600" width="11.42578125" style="57" customWidth="1"/>
    <col min="3601" max="3601" width="4.140625" style="57" customWidth="1"/>
    <col min="3602" max="3602" width="18.5703125" style="57" customWidth="1"/>
    <col min="3603" max="3603" width="2.140625" style="57" customWidth="1"/>
    <col min="3604" max="3604" width="10.42578125" style="57" customWidth="1"/>
    <col min="3605" max="3846" width="9.140625" style="57"/>
    <col min="3847" max="3847" width="10" style="57" customWidth="1"/>
    <col min="3848" max="3848" width="40" style="57" customWidth="1"/>
    <col min="3849" max="3849" width="12.5703125" style="57" customWidth="1"/>
    <col min="3850" max="3851" width="10.42578125" style="57" customWidth="1"/>
    <col min="3852" max="3852" width="11.5703125" style="57" customWidth="1"/>
    <col min="3853" max="3854" width="10.42578125" style="57" customWidth="1"/>
    <col min="3855" max="3855" width="6.5703125" style="57" customWidth="1"/>
    <col min="3856" max="3856" width="11.42578125" style="57" customWidth="1"/>
    <col min="3857" max="3857" width="4.140625" style="57" customWidth="1"/>
    <col min="3858" max="3858" width="18.5703125" style="57" customWidth="1"/>
    <col min="3859" max="3859" width="2.140625" style="57" customWidth="1"/>
    <col min="3860" max="3860" width="10.42578125" style="57" customWidth="1"/>
    <col min="3861" max="4102" width="9.140625" style="57"/>
    <col min="4103" max="4103" width="10" style="57" customWidth="1"/>
    <col min="4104" max="4104" width="40" style="57" customWidth="1"/>
    <col min="4105" max="4105" width="12.5703125" style="57" customWidth="1"/>
    <col min="4106" max="4107" width="10.42578125" style="57" customWidth="1"/>
    <col min="4108" max="4108" width="11.5703125" style="57" customWidth="1"/>
    <col min="4109" max="4110" width="10.42578125" style="57" customWidth="1"/>
    <col min="4111" max="4111" width="6.5703125" style="57" customWidth="1"/>
    <col min="4112" max="4112" width="11.42578125" style="57" customWidth="1"/>
    <col min="4113" max="4113" width="4.140625" style="57" customWidth="1"/>
    <col min="4114" max="4114" width="18.5703125" style="57" customWidth="1"/>
    <col min="4115" max="4115" width="2.140625" style="57" customWidth="1"/>
    <col min="4116" max="4116" width="10.42578125" style="57" customWidth="1"/>
    <col min="4117" max="4358" width="9.140625" style="57"/>
    <col min="4359" max="4359" width="10" style="57" customWidth="1"/>
    <col min="4360" max="4360" width="40" style="57" customWidth="1"/>
    <col min="4361" max="4361" width="12.5703125" style="57" customWidth="1"/>
    <col min="4362" max="4363" width="10.42578125" style="57" customWidth="1"/>
    <col min="4364" max="4364" width="11.5703125" style="57" customWidth="1"/>
    <col min="4365" max="4366" width="10.42578125" style="57" customWidth="1"/>
    <col min="4367" max="4367" width="6.5703125" style="57" customWidth="1"/>
    <col min="4368" max="4368" width="11.42578125" style="57" customWidth="1"/>
    <col min="4369" max="4369" width="4.140625" style="57" customWidth="1"/>
    <col min="4370" max="4370" width="18.5703125" style="57" customWidth="1"/>
    <col min="4371" max="4371" width="2.140625" style="57" customWidth="1"/>
    <col min="4372" max="4372" width="10.42578125" style="57" customWidth="1"/>
    <col min="4373" max="4614" width="9.140625" style="57"/>
    <col min="4615" max="4615" width="10" style="57" customWidth="1"/>
    <col min="4616" max="4616" width="40" style="57" customWidth="1"/>
    <col min="4617" max="4617" width="12.5703125" style="57" customWidth="1"/>
    <col min="4618" max="4619" width="10.42578125" style="57" customWidth="1"/>
    <col min="4620" max="4620" width="11.5703125" style="57" customWidth="1"/>
    <col min="4621" max="4622" width="10.42578125" style="57" customWidth="1"/>
    <col min="4623" max="4623" width="6.5703125" style="57" customWidth="1"/>
    <col min="4624" max="4624" width="11.42578125" style="57" customWidth="1"/>
    <col min="4625" max="4625" width="4.140625" style="57" customWidth="1"/>
    <col min="4626" max="4626" width="18.5703125" style="57" customWidth="1"/>
    <col min="4627" max="4627" width="2.140625" style="57" customWidth="1"/>
    <col min="4628" max="4628" width="10.42578125" style="57" customWidth="1"/>
    <col min="4629" max="4870" width="9.140625" style="57"/>
    <col min="4871" max="4871" width="10" style="57" customWidth="1"/>
    <col min="4872" max="4872" width="40" style="57" customWidth="1"/>
    <col min="4873" max="4873" width="12.5703125" style="57" customWidth="1"/>
    <col min="4874" max="4875" width="10.42578125" style="57" customWidth="1"/>
    <col min="4876" max="4876" width="11.5703125" style="57" customWidth="1"/>
    <col min="4877" max="4878" width="10.42578125" style="57" customWidth="1"/>
    <col min="4879" max="4879" width="6.5703125" style="57" customWidth="1"/>
    <col min="4880" max="4880" width="11.42578125" style="57" customWidth="1"/>
    <col min="4881" max="4881" width="4.140625" style="57" customWidth="1"/>
    <col min="4882" max="4882" width="18.5703125" style="57" customWidth="1"/>
    <col min="4883" max="4883" width="2.140625" style="57" customWidth="1"/>
    <col min="4884" max="4884" width="10.42578125" style="57" customWidth="1"/>
    <col min="4885" max="5126" width="9.140625" style="57"/>
    <col min="5127" max="5127" width="10" style="57" customWidth="1"/>
    <col min="5128" max="5128" width="40" style="57" customWidth="1"/>
    <col min="5129" max="5129" width="12.5703125" style="57" customWidth="1"/>
    <col min="5130" max="5131" width="10.42578125" style="57" customWidth="1"/>
    <col min="5132" max="5132" width="11.5703125" style="57" customWidth="1"/>
    <col min="5133" max="5134" width="10.42578125" style="57" customWidth="1"/>
    <col min="5135" max="5135" width="6.5703125" style="57" customWidth="1"/>
    <col min="5136" max="5136" width="11.42578125" style="57" customWidth="1"/>
    <col min="5137" max="5137" width="4.140625" style="57" customWidth="1"/>
    <col min="5138" max="5138" width="18.5703125" style="57" customWidth="1"/>
    <col min="5139" max="5139" width="2.140625" style="57" customWidth="1"/>
    <col min="5140" max="5140" width="10.42578125" style="57" customWidth="1"/>
    <col min="5141" max="5382" width="9.140625" style="57"/>
    <col min="5383" max="5383" width="10" style="57" customWidth="1"/>
    <col min="5384" max="5384" width="40" style="57" customWidth="1"/>
    <col min="5385" max="5385" width="12.5703125" style="57" customWidth="1"/>
    <col min="5386" max="5387" width="10.42578125" style="57" customWidth="1"/>
    <col min="5388" max="5388" width="11.5703125" style="57" customWidth="1"/>
    <col min="5389" max="5390" width="10.42578125" style="57" customWidth="1"/>
    <col min="5391" max="5391" width="6.5703125" style="57" customWidth="1"/>
    <col min="5392" max="5392" width="11.42578125" style="57" customWidth="1"/>
    <col min="5393" max="5393" width="4.140625" style="57" customWidth="1"/>
    <col min="5394" max="5394" width="18.5703125" style="57" customWidth="1"/>
    <col min="5395" max="5395" width="2.140625" style="57" customWidth="1"/>
    <col min="5396" max="5396" width="10.42578125" style="57" customWidth="1"/>
    <col min="5397" max="5638" width="9.140625" style="57"/>
    <col min="5639" max="5639" width="10" style="57" customWidth="1"/>
    <col min="5640" max="5640" width="40" style="57" customWidth="1"/>
    <col min="5641" max="5641" width="12.5703125" style="57" customWidth="1"/>
    <col min="5642" max="5643" width="10.42578125" style="57" customWidth="1"/>
    <col min="5644" max="5644" width="11.5703125" style="57" customWidth="1"/>
    <col min="5645" max="5646" width="10.42578125" style="57" customWidth="1"/>
    <col min="5647" max="5647" width="6.5703125" style="57" customWidth="1"/>
    <col min="5648" max="5648" width="11.42578125" style="57" customWidth="1"/>
    <col min="5649" max="5649" width="4.140625" style="57" customWidth="1"/>
    <col min="5650" max="5650" width="18.5703125" style="57" customWidth="1"/>
    <col min="5651" max="5651" width="2.140625" style="57" customWidth="1"/>
    <col min="5652" max="5652" width="10.42578125" style="57" customWidth="1"/>
    <col min="5653" max="5894" width="9.140625" style="57"/>
    <col min="5895" max="5895" width="10" style="57" customWidth="1"/>
    <col min="5896" max="5896" width="40" style="57" customWidth="1"/>
    <col min="5897" max="5897" width="12.5703125" style="57" customWidth="1"/>
    <col min="5898" max="5899" width="10.42578125" style="57" customWidth="1"/>
    <col min="5900" max="5900" width="11.5703125" style="57" customWidth="1"/>
    <col min="5901" max="5902" width="10.42578125" style="57" customWidth="1"/>
    <col min="5903" max="5903" width="6.5703125" style="57" customWidth="1"/>
    <col min="5904" max="5904" width="11.42578125" style="57" customWidth="1"/>
    <col min="5905" max="5905" width="4.140625" style="57" customWidth="1"/>
    <col min="5906" max="5906" width="18.5703125" style="57" customWidth="1"/>
    <col min="5907" max="5907" width="2.140625" style="57" customWidth="1"/>
    <col min="5908" max="5908" width="10.42578125" style="57" customWidth="1"/>
    <col min="5909" max="6150" width="9.140625" style="57"/>
    <col min="6151" max="6151" width="10" style="57" customWidth="1"/>
    <col min="6152" max="6152" width="40" style="57" customWidth="1"/>
    <col min="6153" max="6153" width="12.5703125" style="57" customWidth="1"/>
    <col min="6154" max="6155" width="10.42578125" style="57" customWidth="1"/>
    <col min="6156" max="6156" width="11.5703125" style="57" customWidth="1"/>
    <col min="6157" max="6158" width="10.42578125" style="57" customWidth="1"/>
    <col min="6159" max="6159" width="6.5703125" style="57" customWidth="1"/>
    <col min="6160" max="6160" width="11.42578125" style="57" customWidth="1"/>
    <col min="6161" max="6161" width="4.140625" style="57" customWidth="1"/>
    <col min="6162" max="6162" width="18.5703125" style="57" customWidth="1"/>
    <col min="6163" max="6163" width="2.140625" style="57" customWidth="1"/>
    <col min="6164" max="6164" width="10.42578125" style="57" customWidth="1"/>
    <col min="6165" max="6406" width="9.140625" style="57"/>
    <col min="6407" max="6407" width="10" style="57" customWidth="1"/>
    <col min="6408" max="6408" width="40" style="57" customWidth="1"/>
    <col min="6409" max="6409" width="12.5703125" style="57" customWidth="1"/>
    <col min="6410" max="6411" width="10.42578125" style="57" customWidth="1"/>
    <col min="6412" max="6412" width="11.5703125" style="57" customWidth="1"/>
    <col min="6413" max="6414" width="10.42578125" style="57" customWidth="1"/>
    <col min="6415" max="6415" width="6.5703125" style="57" customWidth="1"/>
    <col min="6416" max="6416" width="11.42578125" style="57" customWidth="1"/>
    <col min="6417" max="6417" width="4.140625" style="57" customWidth="1"/>
    <col min="6418" max="6418" width="18.5703125" style="57" customWidth="1"/>
    <col min="6419" max="6419" width="2.140625" style="57" customWidth="1"/>
    <col min="6420" max="6420" width="10.42578125" style="57" customWidth="1"/>
    <col min="6421" max="6662" width="9.140625" style="57"/>
    <col min="6663" max="6663" width="10" style="57" customWidth="1"/>
    <col min="6664" max="6664" width="40" style="57" customWidth="1"/>
    <col min="6665" max="6665" width="12.5703125" style="57" customWidth="1"/>
    <col min="6666" max="6667" width="10.42578125" style="57" customWidth="1"/>
    <col min="6668" max="6668" width="11.5703125" style="57" customWidth="1"/>
    <col min="6669" max="6670" width="10.42578125" style="57" customWidth="1"/>
    <col min="6671" max="6671" width="6.5703125" style="57" customWidth="1"/>
    <col min="6672" max="6672" width="11.42578125" style="57" customWidth="1"/>
    <col min="6673" max="6673" width="4.140625" style="57" customWidth="1"/>
    <col min="6674" max="6674" width="18.5703125" style="57" customWidth="1"/>
    <col min="6675" max="6675" width="2.140625" style="57" customWidth="1"/>
    <col min="6676" max="6676" width="10.42578125" style="57" customWidth="1"/>
    <col min="6677" max="6918" width="9.140625" style="57"/>
    <col min="6919" max="6919" width="10" style="57" customWidth="1"/>
    <col min="6920" max="6920" width="40" style="57" customWidth="1"/>
    <col min="6921" max="6921" width="12.5703125" style="57" customWidth="1"/>
    <col min="6922" max="6923" width="10.42578125" style="57" customWidth="1"/>
    <col min="6924" max="6924" width="11.5703125" style="57" customWidth="1"/>
    <col min="6925" max="6926" width="10.42578125" style="57" customWidth="1"/>
    <col min="6927" max="6927" width="6.5703125" style="57" customWidth="1"/>
    <col min="6928" max="6928" width="11.42578125" style="57" customWidth="1"/>
    <col min="6929" max="6929" width="4.140625" style="57" customWidth="1"/>
    <col min="6930" max="6930" width="18.5703125" style="57" customWidth="1"/>
    <col min="6931" max="6931" width="2.140625" style="57" customWidth="1"/>
    <col min="6932" max="6932" width="10.42578125" style="57" customWidth="1"/>
    <col min="6933" max="7174" width="9.140625" style="57"/>
    <col min="7175" max="7175" width="10" style="57" customWidth="1"/>
    <col min="7176" max="7176" width="40" style="57" customWidth="1"/>
    <col min="7177" max="7177" width="12.5703125" style="57" customWidth="1"/>
    <col min="7178" max="7179" width="10.42578125" style="57" customWidth="1"/>
    <col min="7180" max="7180" width="11.5703125" style="57" customWidth="1"/>
    <col min="7181" max="7182" width="10.42578125" style="57" customWidth="1"/>
    <col min="7183" max="7183" width="6.5703125" style="57" customWidth="1"/>
    <col min="7184" max="7184" width="11.42578125" style="57" customWidth="1"/>
    <col min="7185" max="7185" width="4.140625" style="57" customWidth="1"/>
    <col min="7186" max="7186" width="18.5703125" style="57" customWidth="1"/>
    <col min="7187" max="7187" width="2.140625" style="57" customWidth="1"/>
    <col min="7188" max="7188" width="10.42578125" style="57" customWidth="1"/>
    <col min="7189" max="7430" width="9.140625" style="57"/>
    <col min="7431" max="7431" width="10" style="57" customWidth="1"/>
    <col min="7432" max="7432" width="40" style="57" customWidth="1"/>
    <col min="7433" max="7433" width="12.5703125" style="57" customWidth="1"/>
    <col min="7434" max="7435" width="10.42578125" style="57" customWidth="1"/>
    <col min="7436" max="7436" width="11.5703125" style="57" customWidth="1"/>
    <col min="7437" max="7438" width="10.42578125" style="57" customWidth="1"/>
    <col min="7439" max="7439" width="6.5703125" style="57" customWidth="1"/>
    <col min="7440" max="7440" width="11.42578125" style="57" customWidth="1"/>
    <col min="7441" max="7441" width="4.140625" style="57" customWidth="1"/>
    <col min="7442" max="7442" width="18.5703125" style="57" customWidth="1"/>
    <col min="7443" max="7443" width="2.140625" style="57" customWidth="1"/>
    <col min="7444" max="7444" width="10.42578125" style="57" customWidth="1"/>
    <col min="7445" max="7686" width="9.140625" style="57"/>
    <col min="7687" max="7687" width="10" style="57" customWidth="1"/>
    <col min="7688" max="7688" width="40" style="57" customWidth="1"/>
    <col min="7689" max="7689" width="12.5703125" style="57" customWidth="1"/>
    <col min="7690" max="7691" width="10.42578125" style="57" customWidth="1"/>
    <col min="7692" max="7692" width="11.5703125" style="57" customWidth="1"/>
    <col min="7693" max="7694" width="10.42578125" style="57" customWidth="1"/>
    <col min="7695" max="7695" width="6.5703125" style="57" customWidth="1"/>
    <col min="7696" max="7696" width="11.42578125" style="57" customWidth="1"/>
    <col min="7697" max="7697" width="4.140625" style="57" customWidth="1"/>
    <col min="7698" max="7698" width="18.5703125" style="57" customWidth="1"/>
    <col min="7699" max="7699" width="2.140625" style="57" customWidth="1"/>
    <col min="7700" max="7700" width="10.42578125" style="57" customWidth="1"/>
    <col min="7701" max="7942" width="9.140625" style="57"/>
    <col min="7943" max="7943" width="10" style="57" customWidth="1"/>
    <col min="7944" max="7944" width="40" style="57" customWidth="1"/>
    <col min="7945" max="7945" width="12.5703125" style="57" customWidth="1"/>
    <col min="7946" max="7947" width="10.42578125" style="57" customWidth="1"/>
    <col min="7948" max="7948" width="11.5703125" style="57" customWidth="1"/>
    <col min="7949" max="7950" width="10.42578125" style="57" customWidth="1"/>
    <col min="7951" max="7951" width="6.5703125" style="57" customWidth="1"/>
    <col min="7952" max="7952" width="11.42578125" style="57" customWidth="1"/>
    <col min="7953" max="7953" width="4.140625" style="57" customWidth="1"/>
    <col min="7954" max="7954" width="18.5703125" style="57" customWidth="1"/>
    <col min="7955" max="7955" width="2.140625" style="57" customWidth="1"/>
    <col min="7956" max="7956" width="10.42578125" style="57" customWidth="1"/>
    <col min="7957" max="8198" width="9.140625" style="57"/>
    <col min="8199" max="8199" width="10" style="57" customWidth="1"/>
    <col min="8200" max="8200" width="40" style="57" customWidth="1"/>
    <col min="8201" max="8201" width="12.5703125" style="57" customWidth="1"/>
    <col min="8202" max="8203" width="10.42578125" style="57" customWidth="1"/>
    <col min="8204" max="8204" width="11.5703125" style="57" customWidth="1"/>
    <col min="8205" max="8206" width="10.42578125" style="57" customWidth="1"/>
    <col min="8207" max="8207" width="6.5703125" style="57" customWidth="1"/>
    <col min="8208" max="8208" width="11.42578125" style="57" customWidth="1"/>
    <col min="8209" max="8209" width="4.140625" style="57" customWidth="1"/>
    <col min="8210" max="8210" width="18.5703125" style="57" customWidth="1"/>
    <col min="8211" max="8211" width="2.140625" style="57" customWidth="1"/>
    <col min="8212" max="8212" width="10.42578125" style="57" customWidth="1"/>
    <col min="8213" max="8454" width="9.140625" style="57"/>
    <col min="8455" max="8455" width="10" style="57" customWidth="1"/>
    <col min="8456" max="8456" width="40" style="57" customWidth="1"/>
    <col min="8457" max="8457" width="12.5703125" style="57" customWidth="1"/>
    <col min="8458" max="8459" width="10.42578125" style="57" customWidth="1"/>
    <col min="8460" max="8460" width="11.5703125" style="57" customWidth="1"/>
    <col min="8461" max="8462" width="10.42578125" style="57" customWidth="1"/>
    <col min="8463" max="8463" width="6.5703125" style="57" customWidth="1"/>
    <col min="8464" max="8464" width="11.42578125" style="57" customWidth="1"/>
    <col min="8465" max="8465" width="4.140625" style="57" customWidth="1"/>
    <col min="8466" max="8466" width="18.5703125" style="57" customWidth="1"/>
    <col min="8467" max="8467" width="2.140625" style="57" customWidth="1"/>
    <col min="8468" max="8468" width="10.42578125" style="57" customWidth="1"/>
    <col min="8469" max="8710" width="9.140625" style="57"/>
    <col min="8711" max="8711" width="10" style="57" customWidth="1"/>
    <col min="8712" max="8712" width="40" style="57" customWidth="1"/>
    <col min="8713" max="8713" width="12.5703125" style="57" customWidth="1"/>
    <col min="8714" max="8715" width="10.42578125" style="57" customWidth="1"/>
    <col min="8716" max="8716" width="11.5703125" style="57" customWidth="1"/>
    <col min="8717" max="8718" width="10.42578125" style="57" customWidth="1"/>
    <col min="8719" max="8719" width="6.5703125" style="57" customWidth="1"/>
    <col min="8720" max="8720" width="11.42578125" style="57" customWidth="1"/>
    <col min="8721" max="8721" width="4.140625" style="57" customWidth="1"/>
    <col min="8722" max="8722" width="18.5703125" style="57" customWidth="1"/>
    <col min="8723" max="8723" width="2.140625" style="57" customWidth="1"/>
    <col min="8724" max="8724" width="10.42578125" style="57" customWidth="1"/>
    <col min="8725" max="8966" width="9.140625" style="57"/>
    <col min="8967" max="8967" width="10" style="57" customWidth="1"/>
    <col min="8968" max="8968" width="40" style="57" customWidth="1"/>
    <col min="8969" max="8969" width="12.5703125" style="57" customWidth="1"/>
    <col min="8970" max="8971" width="10.42578125" style="57" customWidth="1"/>
    <col min="8972" max="8972" width="11.5703125" style="57" customWidth="1"/>
    <col min="8973" max="8974" width="10.42578125" style="57" customWidth="1"/>
    <col min="8975" max="8975" width="6.5703125" style="57" customWidth="1"/>
    <col min="8976" max="8976" width="11.42578125" style="57" customWidth="1"/>
    <col min="8977" max="8977" width="4.140625" style="57" customWidth="1"/>
    <col min="8978" max="8978" width="18.5703125" style="57" customWidth="1"/>
    <col min="8979" max="8979" width="2.140625" style="57" customWidth="1"/>
    <col min="8980" max="8980" width="10.42578125" style="57" customWidth="1"/>
    <col min="8981" max="9222" width="9.140625" style="57"/>
    <col min="9223" max="9223" width="10" style="57" customWidth="1"/>
    <col min="9224" max="9224" width="40" style="57" customWidth="1"/>
    <col min="9225" max="9225" width="12.5703125" style="57" customWidth="1"/>
    <col min="9226" max="9227" width="10.42578125" style="57" customWidth="1"/>
    <col min="9228" max="9228" width="11.5703125" style="57" customWidth="1"/>
    <col min="9229" max="9230" width="10.42578125" style="57" customWidth="1"/>
    <col min="9231" max="9231" width="6.5703125" style="57" customWidth="1"/>
    <col min="9232" max="9232" width="11.42578125" style="57" customWidth="1"/>
    <col min="9233" max="9233" width="4.140625" style="57" customWidth="1"/>
    <col min="9234" max="9234" width="18.5703125" style="57" customWidth="1"/>
    <col min="9235" max="9235" width="2.140625" style="57" customWidth="1"/>
    <col min="9236" max="9236" width="10.42578125" style="57" customWidth="1"/>
    <col min="9237" max="9478" width="9.140625" style="57"/>
    <col min="9479" max="9479" width="10" style="57" customWidth="1"/>
    <col min="9480" max="9480" width="40" style="57" customWidth="1"/>
    <col min="9481" max="9481" width="12.5703125" style="57" customWidth="1"/>
    <col min="9482" max="9483" width="10.42578125" style="57" customWidth="1"/>
    <col min="9484" max="9484" width="11.5703125" style="57" customWidth="1"/>
    <col min="9485" max="9486" width="10.42578125" style="57" customWidth="1"/>
    <col min="9487" max="9487" width="6.5703125" style="57" customWidth="1"/>
    <col min="9488" max="9488" width="11.42578125" style="57" customWidth="1"/>
    <col min="9489" max="9489" width="4.140625" style="57" customWidth="1"/>
    <col min="9490" max="9490" width="18.5703125" style="57" customWidth="1"/>
    <col min="9491" max="9491" width="2.140625" style="57" customWidth="1"/>
    <col min="9492" max="9492" width="10.42578125" style="57" customWidth="1"/>
    <col min="9493" max="9734" width="9.140625" style="57"/>
    <col min="9735" max="9735" width="10" style="57" customWidth="1"/>
    <col min="9736" max="9736" width="40" style="57" customWidth="1"/>
    <col min="9737" max="9737" width="12.5703125" style="57" customWidth="1"/>
    <col min="9738" max="9739" width="10.42578125" style="57" customWidth="1"/>
    <col min="9740" max="9740" width="11.5703125" style="57" customWidth="1"/>
    <col min="9741" max="9742" width="10.42578125" style="57" customWidth="1"/>
    <col min="9743" max="9743" width="6.5703125" style="57" customWidth="1"/>
    <col min="9744" max="9744" width="11.42578125" style="57" customWidth="1"/>
    <col min="9745" max="9745" width="4.140625" style="57" customWidth="1"/>
    <col min="9746" max="9746" width="18.5703125" style="57" customWidth="1"/>
    <col min="9747" max="9747" width="2.140625" style="57" customWidth="1"/>
    <col min="9748" max="9748" width="10.42578125" style="57" customWidth="1"/>
    <col min="9749" max="9990" width="9.140625" style="57"/>
    <col min="9991" max="9991" width="10" style="57" customWidth="1"/>
    <col min="9992" max="9992" width="40" style="57" customWidth="1"/>
    <col min="9993" max="9993" width="12.5703125" style="57" customWidth="1"/>
    <col min="9994" max="9995" width="10.42578125" style="57" customWidth="1"/>
    <col min="9996" max="9996" width="11.5703125" style="57" customWidth="1"/>
    <col min="9997" max="9998" width="10.42578125" style="57" customWidth="1"/>
    <col min="9999" max="9999" width="6.5703125" style="57" customWidth="1"/>
    <col min="10000" max="10000" width="11.42578125" style="57" customWidth="1"/>
    <col min="10001" max="10001" width="4.140625" style="57" customWidth="1"/>
    <col min="10002" max="10002" width="18.5703125" style="57" customWidth="1"/>
    <col min="10003" max="10003" width="2.140625" style="57" customWidth="1"/>
    <col min="10004" max="10004" width="10.42578125" style="57" customWidth="1"/>
    <col min="10005" max="10246" width="9.140625" style="57"/>
    <col min="10247" max="10247" width="10" style="57" customWidth="1"/>
    <col min="10248" max="10248" width="40" style="57" customWidth="1"/>
    <col min="10249" max="10249" width="12.5703125" style="57" customWidth="1"/>
    <col min="10250" max="10251" width="10.42578125" style="57" customWidth="1"/>
    <col min="10252" max="10252" width="11.5703125" style="57" customWidth="1"/>
    <col min="10253" max="10254" width="10.42578125" style="57" customWidth="1"/>
    <col min="10255" max="10255" width="6.5703125" style="57" customWidth="1"/>
    <col min="10256" max="10256" width="11.42578125" style="57" customWidth="1"/>
    <col min="10257" max="10257" width="4.140625" style="57" customWidth="1"/>
    <col min="10258" max="10258" width="18.5703125" style="57" customWidth="1"/>
    <col min="10259" max="10259" width="2.140625" style="57" customWidth="1"/>
    <col min="10260" max="10260" width="10.42578125" style="57" customWidth="1"/>
    <col min="10261" max="10502" width="9.140625" style="57"/>
    <col min="10503" max="10503" width="10" style="57" customWidth="1"/>
    <col min="10504" max="10504" width="40" style="57" customWidth="1"/>
    <col min="10505" max="10505" width="12.5703125" style="57" customWidth="1"/>
    <col min="10506" max="10507" width="10.42578125" style="57" customWidth="1"/>
    <col min="10508" max="10508" width="11.5703125" style="57" customWidth="1"/>
    <col min="10509" max="10510" width="10.42578125" style="57" customWidth="1"/>
    <col min="10511" max="10511" width="6.5703125" style="57" customWidth="1"/>
    <col min="10512" max="10512" width="11.42578125" style="57" customWidth="1"/>
    <col min="10513" max="10513" width="4.140625" style="57" customWidth="1"/>
    <col min="10514" max="10514" width="18.5703125" style="57" customWidth="1"/>
    <col min="10515" max="10515" width="2.140625" style="57" customWidth="1"/>
    <col min="10516" max="10516" width="10.42578125" style="57" customWidth="1"/>
    <col min="10517" max="10758" width="9.140625" style="57"/>
    <col min="10759" max="10759" width="10" style="57" customWidth="1"/>
    <col min="10760" max="10760" width="40" style="57" customWidth="1"/>
    <col min="10761" max="10761" width="12.5703125" style="57" customWidth="1"/>
    <col min="10762" max="10763" width="10.42578125" style="57" customWidth="1"/>
    <col min="10764" max="10764" width="11.5703125" style="57" customWidth="1"/>
    <col min="10765" max="10766" width="10.42578125" style="57" customWidth="1"/>
    <col min="10767" max="10767" width="6.5703125" style="57" customWidth="1"/>
    <col min="10768" max="10768" width="11.42578125" style="57" customWidth="1"/>
    <col min="10769" max="10769" width="4.140625" style="57" customWidth="1"/>
    <col min="10770" max="10770" width="18.5703125" style="57" customWidth="1"/>
    <col min="10771" max="10771" width="2.140625" style="57" customWidth="1"/>
    <col min="10772" max="10772" width="10.42578125" style="57" customWidth="1"/>
    <col min="10773" max="11014" width="9.140625" style="57"/>
    <col min="11015" max="11015" width="10" style="57" customWidth="1"/>
    <col min="11016" max="11016" width="40" style="57" customWidth="1"/>
    <col min="11017" max="11017" width="12.5703125" style="57" customWidth="1"/>
    <col min="11018" max="11019" width="10.42578125" style="57" customWidth="1"/>
    <col min="11020" max="11020" width="11.5703125" style="57" customWidth="1"/>
    <col min="11021" max="11022" width="10.42578125" style="57" customWidth="1"/>
    <col min="11023" max="11023" width="6.5703125" style="57" customWidth="1"/>
    <col min="11024" max="11024" width="11.42578125" style="57" customWidth="1"/>
    <col min="11025" max="11025" width="4.140625" style="57" customWidth="1"/>
    <col min="11026" max="11026" width="18.5703125" style="57" customWidth="1"/>
    <col min="11027" max="11027" width="2.140625" style="57" customWidth="1"/>
    <col min="11028" max="11028" width="10.42578125" style="57" customWidth="1"/>
    <col min="11029" max="11270" width="9.140625" style="57"/>
    <col min="11271" max="11271" width="10" style="57" customWidth="1"/>
    <col min="11272" max="11272" width="40" style="57" customWidth="1"/>
    <col min="11273" max="11273" width="12.5703125" style="57" customWidth="1"/>
    <col min="11274" max="11275" width="10.42578125" style="57" customWidth="1"/>
    <col min="11276" max="11276" width="11.5703125" style="57" customWidth="1"/>
    <col min="11277" max="11278" width="10.42578125" style="57" customWidth="1"/>
    <col min="11279" max="11279" width="6.5703125" style="57" customWidth="1"/>
    <col min="11280" max="11280" width="11.42578125" style="57" customWidth="1"/>
    <col min="11281" max="11281" width="4.140625" style="57" customWidth="1"/>
    <col min="11282" max="11282" width="18.5703125" style="57" customWidth="1"/>
    <col min="11283" max="11283" width="2.140625" style="57" customWidth="1"/>
    <col min="11284" max="11284" width="10.42578125" style="57" customWidth="1"/>
    <col min="11285" max="11526" width="9.140625" style="57"/>
    <col min="11527" max="11527" width="10" style="57" customWidth="1"/>
    <col min="11528" max="11528" width="40" style="57" customWidth="1"/>
    <col min="11529" max="11529" width="12.5703125" style="57" customWidth="1"/>
    <col min="11530" max="11531" width="10.42578125" style="57" customWidth="1"/>
    <col min="11532" max="11532" width="11.5703125" style="57" customWidth="1"/>
    <col min="11533" max="11534" width="10.42578125" style="57" customWidth="1"/>
    <col min="11535" max="11535" width="6.5703125" style="57" customWidth="1"/>
    <col min="11536" max="11536" width="11.42578125" style="57" customWidth="1"/>
    <col min="11537" max="11537" width="4.140625" style="57" customWidth="1"/>
    <col min="11538" max="11538" width="18.5703125" style="57" customWidth="1"/>
    <col min="11539" max="11539" width="2.140625" style="57" customWidth="1"/>
    <col min="11540" max="11540" width="10.42578125" style="57" customWidth="1"/>
    <col min="11541" max="11782" width="9.140625" style="57"/>
    <col min="11783" max="11783" width="10" style="57" customWidth="1"/>
    <col min="11784" max="11784" width="40" style="57" customWidth="1"/>
    <col min="11785" max="11785" width="12.5703125" style="57" customWidth="1"/>
    <col min="11786" max="11787" width="10.42578125" style="57" customWidth="1"/>
    <col min="11788" max="11788" width="11.5703125" style="57" customWidth="1"/>
    <col min="11789" max="11790" width="10.42578125" style="57" customWidth="1"/>
    <col min="11791" max="11791" width="6.5703125" style="57" customWidth="1"/>
    <col min="11792" max="11792" width="11.42578125" style="57" customWidth="1"/>
    <col min="11793" max="11793" width="4.140625" style="57" customWidth="1"/>
    <col min="11794" max="11794" width="18.5703125" style="57" customWidth="1"/>
    <col min="11795" max="11795" width="2.140625" style="57" customWidth="1"/>
    <col min="11796" max="11796" width="10.42578125" style="57" customWidth="1"/>
    <col min="11797" max="12038" width="9.140625" style="57"/>
    <col min="12039" max="12039" width="10" style="57" customWidth="1"/>
    <col min="12040" max="12040" width="40" style="57" customWidth="1"/>
    <col min="12041" max="12041" width="12.5703125" style="57" customWidth="1"/>
    <col min="12042" max="12043" width="10.42578125" style="57" customWidth="1"/>
    <col min="12044" max="12044" width="11.5703125" style="57" customWidth="1"/>
    <col min="12045" max="12046" width="10.42578125" style="57" customWidth="1"/>
    <col min="12047" max="12047" width="6.5703125" style="57" customWidth="1"/>
    <col min="12048" max="12048" width="11.42578125" style="57" customWidth="1"/>
    <col min="12049" max="12049" width="4.140625" style="57" customWidth="1"/>
    <col min="12050" max="12050" width="18.5703125" style="57" customWidth="1"/>
    <col min="12051" max="12051" width="2.140625" style="57" customWidth="1"/>
    <col min="12052" max="12052" width="10.42578125" style="57" customWidth="1"/>
    <col min="12053" max="12294" width="9.140625" style="57"/>
    <col min="12295" max="12295" width="10" style="57" customWidth="1"/>
    <col min="12296" max="12296" width="40" style="57" customWidth="1"/>
    <col min="12297" max="12297" width="12.5703125" style="57" customWidth="1"/>
    <col min="12298" max="12299" width="10.42578125" style="57" customWidth="1"/>
    <col min="12300" max="12300" width="11.5703125" style="57" customWidth="1"/>
    <col min="12301" max="12302" width="10.42578125" style="57" customWidth="1"/>
    <col min="12303" max="12303" width="6.5703125" style="57" customWidth="1"/>
    <col min="12304" max="12304" width="11.42578125" style="57" customWidth="1"/>
    <col min="12305" max="12305" width="4.140625" style="57" customWidth="1"/>
    <col min="12306" max="12306" width="18.5703125" style="57" customWidth="1"/>
    <col min="12307" max="12307" width="2.140625" style="57" customWidth="1"/>
    <col min="12308" max="12308" width="10.42578125" style="57" customWidth="1"/>
    <col min="12309" max="12550" width="9.140625" style="57"/>
    <col min="12551" max="12551" width="10" style="57" customWidth="1"/>
    <col min="12552" max="12552" width="40" style="57" customWidth="1"/>
    <col min="12553" max="12553" width="12.5703125" style="57" customWidth="1"/>
    <col min="12554" max="12555" width="10.42578125" style="57" customWidth="1"/>
    <col min="12556" max="12556" width="11.5703125" style="57" customWidth="1"/>
    <col min="12557" max="12558" width="10.42578125" style="57" customWidth="1"/>
    <col min="12559" max="12559" width="6.5703125" style="57" customWidth="1"/>
    <col min="12560" max="12560" width="11.42578125" style="57" customWidth="1"/>
    <col min="12561" max="12561" width="4.140625" style="57" customWidth="1"/>
    <col min="12562" max="12562" width="18.5703125" style="57" customWidth="1"/>
    <col min="12563" max="12563" width="2.140625" style="57" customWidth="1"/>
    <col min="12564" max="12564" width="10.42578125" style="57" customWidth="1"/>
    <col min="12565" max="12806" width="9.140625" style="57"/>
    <col min="12807" max="12807" width="10" style="57" customWidth="1"/>
    <col min="12808" max="12808" width="40" style="57" customWidth="1"/>
    <col min="12809" max="12809" width="12.5703125" style="57" customWidth="1"/>
    <col min="12810" max="12811" width="10.42578125" style="57" customWidth="1"/>
    <col min="12812" max="12812" width="11.5703125" style="57" customWidth="1"/>
    <col min="12813" max="12814" width="10.42578125" style="57" customWidth="1"/>
    <col min="12815" max="12815" width="6.5703125" style="57" customWidth="1"/>
    <col min="12816" max="12816" width="11.42578125" style="57" customWidth="1"/>
    <col min="12817" max="12817" width="4.140625" style="57" customWidth="1"/>
    <col min="12818" max="12818" width="18.5703125" style="57" customWidth="1"/>
    <col min="12819" max="12819" width="2.140625" style="57" customWidth="1"/>
    <col min="12820" max="12820" width="10.42578125" style="57" customWidth="1"/>
    <col min="12821" max="13062" width="9.140625" style="57"/>
    <col min="13063" max="13063" width="10" style="57" customWidth="1"/>
    <col min="13064" max="13064" width="40" style="57" customWidth="1"/>
    <col min="13065" max="13065" width="12.5703125" style="57" customWidth="1"/>
    <col min="13066" max="13067" width="10.42578125" style="57" customWidth="1"/>
    <col min="13068" max="13068" width="11.5703125" style="57" customWidth="1"/>
    <col min="13069" max="13070" width="10.42578125" style="57" customWidth="1"/>
    <col min="13071" max="13071" width="6.5703125" style="57" customWidth="1"/>
    <col min="13072" max="13072" width="11.42578125" style="57" customWidth="1"/>
    <col min="13073" max="13073" width="4.140625" style="57" customWidth="1"/>
    <col min="13074" max="13074" width="18.5703125" style="57" customWidth="1"/>
    <col min="13075" max="13075" width="2.140625" style="57" customWidth="1"/>
    <col min="13076" max="13076" width="10.42578125" style="57" customWidth="1"/>
    <col min="13077" max="13318" width="9.140625" style="57"/>
    <col min="13319" max="13319" width="10" style="57" customWidth="1"/>
    <col min="13320" max="13320" width="40" style="57" customWidth="1"/>
    <col min="13321" max="13321" width="12.5703125" style="57" customWidth="1"/>
    <col min="13322" max="13323" width="10.42578125" style="57" customWidth="1"/>
    <col min="13324" max="13324" width="11.5703125" style="57" customWidth="1"/>
    <col min="13325" max="13326" width="10.42578125" style="57" customWidth="1"/>
    <col min="13327" max="13327" width="6.5703125" style="57" customWidth="1"/>
    <col min="13328" max="13328" width="11.42578125" style="57" customWidth="1"/>
    <col min="13329" max="13329" width="4.140625" style="57" customWidth="1"/>
    <col min="13330" max="13330" width="18.5703125" style="57" customWidth="1"/>
    <col min="13331" max="13331" width="2.140625" style="57" customWidth="1"/>
    <col min="13332" max="13332" width="10.42578125" style="57" customWidth="1"/>
    <col min="13333" max="13574" width="9.140625" style="57"/>
    <col min="13575" max="13575" width="10" style="57" customWidth="1"/>
    <col min="13576" max="13576" width="40" style="57" customWidth="1"/>
    <col min="13577" max="13577" width="12.5703125" style="57" customWidth="1"/>
    <col min="13578" max="13579" width="10.42578125" style="57" customWidth="1"/>
    <col min="13580" max="13580" width="11.5703125" style="57" customWidth="1"/>
    <col min="13581" max="13582" width="10.42578125" style="57" customWidth="1"/>
    <col min="13583" max="13583" width="6.5703125" style="57" customWidth="1"/>
    <col min="13584" max="13584" width="11.42578125" style="57" customWidth="1"/>
    <col min="13585" max="13585" width="4.140625" style="57" customWidth="1"/>
    <col min="13586" max="13586" width="18.5703125" style="57" customWidth="1"/>
    <col min="13587" max="13587" width="2.140625" style="57" customWidth="1"/>
    <col min="13588" max="13588" width="10.42578125" style="57" customWidth="1"/>
    <col min="13589" max="13830" width="9.140625" style="57"/>
    <col min="13831" max="13831" width="10" style="57" customWidth="1"/>
    <col min="13832" max="13832" width="40" style="57" customWidth="1"/>
    <col min="13833" max="13833" width="12.5703125" style="57" customWidth="1"/>
    <col min="13834" max="13835" width="10.42578125" style="57" customWidth="1"/>
    <col min="13836" max="13836" width="11.5703125" style="57" customWidth="1"/>
    <col min="13837" max="13838" width="10.42578125" style="57" customWidth="1"/>
    <col min="13839" max="13839" width="6.5703125" style="57" customWidth="1"/>
    <col min="13840" max="13840" width="11.42578125" style="57" customWidth="1"/>
    <col min="13841" max="13841" width="4.140625" style="57" customWidth="1"/>
    <col min="13842" max="13842" width="18.5703125" style="57" customWidth="1"/>
    <col min="13843" max="13843" width="2.140625" style="57" customWidth="1"/>
    <col min="13844" max="13844" width="10.42578125" style="57" customWidth="1"/>
    <col min="13845" max="14086" width="9.140625" style="57"/>
    <col min="14087" max="14087" width="10" style="57" customWidth="1"/>
    <col min="14088" max="14088" width="40" style="57" customWidth="1"/>
    <col min="14089" max="14089" width="12.5703125" style="57" customWidth="1"/>
    <col min="14090" max="14091" width="10.42578125" style="57" customWidth="1"/>
    <col min="14092" max="14092" width="11.5703125" style="57" customWidth="1"/>
    <col min="14093" max="14094" width="10.42578125" style="57" customWidth="1"/>
    <col min="14095" max="14095" width="6.5703125" style="57" customWidth="1"/>
    <col min="14096" max="14096" width="11.42578125" style="57" customWidth="1"/>
    <col min="14097" max="14097" width="4.140625" style="57" customWidth="1"/>
    <col min="14098" max="14098" width="18.5703125" style="57" customWidth="1"/>
    <col min="14099" max="14099" width="2.140625" style="57" customWidth="1"/>
    <col min="14100" max="14100" width="10.42578125" style="57" customWidth="1"/>
    <col min="14101" max="14342" width="9.140625" style="57"/>
    <col min="14343" max="14343" width="10" style="57" customWidth="1"/>
    <col min="14344" max="14344" width="40" style="57" customWidth="1"/>
    <col min="14345" max="14345" width="12.5703125" style="57" customWidth="1"/>
    <col min="14346" max="14347" width="10.42578125" style="57" customWidth="1"/>
    <col min="14348" max="14348" width="11.5703125" style="57" customWidth="1"/>
    <col min="14349" max="14350" width="10.42578125" style="57" customWidth="1"/>
    <col min="14351" max="14351" width="6.5703125" style="57" customWidth="1"/>
    <col min="14352" max="14352" width="11.42578125" style="57" customWidth="1"/>
    <col min="14353" max="14353" width="4.140625" style="57" customWidth="1"/>
    <col min="14354" max="14354" width="18.5703125" style="57" customWidth="1"/>
    <col min="14355" max="14355" width="2.140625" style="57" customWidth="1"/>
    <col min="14356" max="14356" width="10.42578125" style="57" customWidth="1"/>
    <col min="14357" max="14598" width="9.140625" style="57"/>
    <col min="14599" max="14599" width="10" style="57" customWidth="1"/>
    <col min="14600" max="14600" width="40" style="57" customWidth="1"/>
    <col min="14601" max="14601" width="12.5703125" style="57" customWidth="1"/>
    <col min="14602" max="14603" width="10.42578125" style="57" customWidth="1"/>
    <col min="14604" max="14604" width="11.5703125" style="57" customWidth="1"/>
    <col min="14605" max="14606" width="10.42578125" style="57" customWidth="1"/>
    <col min="14607" max="14607" width="6.5703125" style="57" customWidth="1"/>
    <col min="14608" max="14608" width="11.42578125" style="57" customWidth="1"/>
    <col min="14609" max="14609" width="4.140625" style="57" customWidth="1"/>
    <col min="14610" max="14610" width="18.5703125" style="57" customWidth="1"/>
    <col min="14611" max="14611" width="2.140625" style="57" customWidth="1"/>
    <col min="14612" max="14612" width="10.42578125" style="57" customWidth="1"/>
    <col min="14613" max="14854" width="9.140625" style="57"/>
    <col min="14855" max="14855" width="10" style="57" customWidth="1"/>
    <col min="14856" max="14856" width="40" style="57" customWidth="1"/>
    <col min="14857" max="14857" width="12.5703125" style="57" customWidth="1"/>
    <col min="14858" max="14859" width="10.42578125" style="57" customWidth="1"/>
    <col min="14860" max="14860" width="11.5703125" style="57" customWidth="1"/>
    <col min="14861" max="14862" width="10.42578125" style="57" customWidth="1"/>
    <col min="14863" max="14863" width="6.5703125" style="57" customWidth="1"/>
    <col min="14864" max="14864" width="11.42578125" style="57" customWidth="1"/>
    <col min="14865" max="14865" width="4.140625" style="57" customWidth="1"/>
    <col min="14866" max="14866" width="18.5703125" style="57" customWidth="1"/>
    <col min="14867" max="14867" width="2.140625" style="57" customWidth="1"/>
    <col min="14868" max="14868" width="10.42578125" style="57" customWidth="1"/>
    <col min="14869" max="15110" width="9.140625" style="57"/>
    <col min="15111" max="15111" width="10" style="57" customWidth="1"/>
    <col min="15112" max="15112" width="40" style="57" customWidth="1"/>
    <col min="15113" max="15113" width="12.5703125" style="57" customWidth="1"/>
    <col min="15114" max="15115" width="10.42578125" style="57" customWidth="1"/>
    <col min="15116" max="15116" width="11.5703125" style="57" customWidth="1"/>
    <col min="15117" max="15118" width="10.42578125" style="57" customWidth="1"/>
    <col min="15119" max="15119" width="6.5703125" style="57" customWidth="1"/>
    <col min="15120" max="15120" width="11.42578125" style="57" customWidth="1"/>
    <col min="15121" max="15121" width="4.140625" style="57" customWidth="1"/>
    <col min="15122" max="15122" width="18.5703125" style="57" customWidth="1"/>
    <col min="15123" max="15123" width="2.140625" style="57" customWidth="1"/>
    <col min="15124" max="15124" width="10.42578125" style="57" customWidth="1"/>
    <col min="15125" max="15366" width="9.140625" style="57"/>
    <col min="15367" max="15367" width="10" style="57" customWidth="1"/>
    <col min="15368" max="15368" width="40" style="57" customWidth="1"/>
    <col min="15369" max="15369" width="12.5703125" style="57" customWidth="1"/>
    <col min="15370" max="15371" width="10.42578125" style="57" customWidth="1"/>
    <col min="15372" max="15372" width="11.5703125" style="57" customWidth="1"/>
    <col min="15373" max="15374" width="10.42578125" style="57" customWidth="1"/>
    <col min="15375" max="15375" width="6.5703125" style="57" customWidth="1"/>
    <col min="15376" max="15376" width="11.42578125" style="57" customWidth="1"/>
    <col min="15377" max="15377" width="4.140625" style="57" customWidth="1"/>
    <col min="15378" max="15378" width="18.5703125" style="57" customWidth="1"/>
    <col min="15379" max="15379" width="2.140625" style="57" customWidth="1"/>
    <col min="15380" max="15380" width="10.42578125" style="57" customWidth="1"/>
    <col min="15381" max="15622" width="9.140625" style="57"/>
    <col min="15623" max="15623" width="10" style="57" customWidth="1"/>
    <col min="15624" max="15624" width="40" style="57" customWidth="1"/>
    <col min="15625" max="15625" width="12.5703125" style="57" customWidth="1"/>
    <col min="15626" max="15627" width="10.42578125" style="57" customWidth="1"/>
    <col min="15628" max="15628" width="11.5703125" style="57" customWidth="1"/>
    <col min="15629" max="15630" width="10.42578125" style="57" customWidth="1"/>
    <col min="15631" max="15631" width="6.5703125" style="57" customWidth="1"/>
    <col min="15632" max="15632" width="11.42578125" style="57" customWidth="1"/>
    <col min="15633" max="15633" width="4.140625" style="57" customWidth="1"/>
    <col min="15634" max="15634" width="18.5703125" style="57" customWidth="1"/>
    <col min="15635" max="15635" width="2.140625" style="57" customWidth="1"/>
    <col min="15636" max="15636" width="10.42578125" style="57" customWidth="1"/>
    <col min="15637" max="15878" width="9.140625" style="57"/>
    <col min="15879" max="15879" width="10" style="57" customWidth="1"/>
    <col min="15880" max="15880" width="40" style="57" customWidth="1"/>
    <col min="15881" max="15881" width="12.5703125" style="57" customWidth="1"/>
    <col min="15882" max="15883" width="10.42578125" style="57" customWidth="1"/>
    <col min="15884" max="15884" width="11.5703125" style="57" customWidth="1"/>
    <col min="15885" max="15886" width="10.42578125" style="57" customWidth="1"/>
    <col min="15887" max="15887" width="6.5703125" style="57" customWidth="1"/>
    <col min="15888" max="15888" width="11.42578125" style="57" customWidth="1"/>
    <col min="15889" max="15889" width="4.140625" style="57" customWidth="1"/>
    <col min="15890" max="15890" width="18.5703125" style="57" customWidth="1"/>
    <col min="15891" max="15891" width="2.140625" style="57" customWidth="1"/>
    <col min="15892" max="15892" width="10.42578125" style="57" customWidth="1"/>
    <col min="15893" max="16134" width="9.140625" style="57"/>
    <col min="16135" max="16135" width="10" style="57" customWidth="1"/>
    <col min="16136" max="16136" width="40" style="57" customWidth="1"/>
    <col min="16137" max="16137" width="12.5703125" style="57" customWidth="1"/>
    <col min="16138" max="16139" width="10.42578125" style="57" customWidth="1"/>
    <col min="16140" max="16140" width="11.5703125" style="57" customWidth="1"/>
    <col min="16141" max="16142" width="10.42578125" style="57" customWidth="1"/>
    <col min="16143" max="16143" width="6.5703125" style="57" customWidth="1"/>
    <col min="16144" max="16144" width="11.42578125" style="57" customWidth="1"/>
    <col min="16145" max="16145" width="4.140625" style="57" customWidth="1"/>
    <col min="16146" max="16146" width="18.5703125" style="57" customWidth="1"/>
    <col min="16147" max="16147" width="2.140625" style="57" customWidth="1"/>
    <col min="16148" max="16148" width="10.42578125" style="57" customWidth="1"/>
    <col min="16149" max="16384" width="9.140625" style="57"/>
  </cols>
  <sheetData>
    <row r="1" spans="2:21" ht="13.5" customHeight="1" x14ac:dyDescent="0.25">
      <c r="H1" s="781" t="s">
        <v>38</v>
      </c>
      <c r="I1" s="781"/>
      <c r="J1" s="781"/>
      <c r="K1" s="781"/>
      <c r="L1" s="781"/>
      <c r="M1" s="782" t="s">
        <v>39</v>
      </c>
      <c r="N1" s="782"/>
      <c r="O1" s="783" t="s">
        <v>40</v>
      </c>
      <c r="P1" s="783"/>
      <c r="Q1" s="783"/>
    </row>
    <row r="2" spans="2:21" s="59" customFormat="1" ht="15" customHeight="1" x14ac:dyDescent="0.25">
      <c r="B2" s="60" t="s">
        <v>41</v>
      </c>
      <c r="C2" s="61" t="s">
        <v>42</v>
      </c>
      <c r="D2" s="61" t="s">
        <v>43</v>
      </c>
      <c r="E2" s="61" t="s">
        <v>44</v>
      </c>
      <c r="F2" s="61" t="s">
        <v>45</v>
      </c>
      <c r="G2" s="62" t="s">
        <v>46</v>
      </c>
      <c r="H2" s="60" t="s">
        <v>47</v>
      </c>
      <c r="I2" s="61" t="s">
        <v>48</v>
      </c>
      <c r="J2" s="62" t="s">
        <v>47</v>
      </c>
      <c r="K2" s="62" t="s">
        <v>48</v>
      </c>
      <c r="L2" s="63" t="s">
        <v>49</v>
      </c>
      <c r="M2" s="64" t="s">
        <v>39</v>
      </c>
      <c r="N2" s="63" t="s">
        <v>49</v>
      </c>
      <c r="O2" s="64" t="s">
        <v>47</v>
      </c>
      <c r="P2" s="65" t="s">
        <v>48</v>
      </c>
      <c r="Q2" s="63" t="s">
        <v>49</v>
      </c>
      <c r="R2" s="66" t="s">
        <v>50</v>
      </c>
    </row>
    <row r="3" spans="2:21" ht="15" customHeight="1" x14ac:dyDescent="0.25">
      <c r="B3" s="67">
        <v>2</v>
      </c>
      <c r="C3" s="68" t="s">
        <v>51</v>
      </c>
      <c r="D3" s="68" t="s">
        <v>52</v>
      </c>
      <c r="E3" s="69">
        <v>44599</v>
      </c>
      <c r="F3" s="69"/>
      <c r="G3" s="70"/>
      <c r="H3" s="71">
        <v>45337</v>
      </c>
      <c r="I3" s="72">
        <v>45338</v>
      </c>
      <c r="J3" s="73"/>
      <c r="K3" s="73"/>
      <c r="L3" s="74">
        <v>2</v>
      </c>
      <c r="M3" s="75"/>
      <c r="N3" s="76"/>
      <c r="O3" s="77"/>
      <c r="P3" s="78"/>
      <c r="Q3" s="79"/>
      <c r="R3" s="80"/>
      <c r="T3" s="81" t="s">
        <v>53</v>
      </c>
      <c r="U3" s="82">
        <v>3</v>
      </c>
    </row>
    <row r="4" spans="2:21" ht="15" customHeight="1" x14ac:dyDescent="0.25">
      <c r="B4" s="67">
        <v>1</v>
      </c>
      <c r="C4" s="68" t="s">
        <v>54</v>
      </c>
      <c r="D4" s="68" t="s">
        <v>52</v>
      </c>
      <c r="E4" s="69">
        <v>44599</v>
      </c>
      <c r="F4" s="69"/>
      <c r="G4" s="70"/>
      <c r="H4" s="71"/>
      <c r="I4" s="72"/>
      <c r="J4" s="73"/>
      <c r="K4" s="73"/>
      <c r="L4" s="74">
        <f>(I4-H4)</f>
        <v>0</v>
      </c>
      <c r="M4" s="75"/>
      <c r="N4" s="76"/>
      <c r="O4" s="77"/>
      <c r="P4" s="78"/>
      <c r="Q4" s="79"/>
      <c r="R4" s="80"/>
      <c r="T4" s="83" t="s">
        <v>44</v>
      </c>
      <c r="U4" s="84">
        <v>0</v>
      </c>
    </row>
    <row r="5" spans="2:21" ht="15" customHeight="1" x14ac:dyDescent="0.25">
      <c r="B5" s="85">
        <v>3</v>
      </c>
      <c r="C5" s="86" t="s">
        <v>55</v>
      </c>
      <c r="D5" s="86" t="s">
        <v>52</v>
      </c>
      <c r="E5" s="87">
        <v>44602</v>
      </c>
      <c r="F5" s="87"/>
      <c r="G5" s="88"/>
      <c r="H5" s="89">
        <v>45343</v>
      </c>
      <c r="I5" s="90">
        <v>45346</v>
      </c>
      <c r="J5" s="91"/>
      <c r="K5" s="91"/>
      <c r="L5" s="92">
        <v>3</v>
      </c>
      <c r="M5" s="93"/>
      <c r="N5" s="94"/>
      <c r="O5" s="95"/>
      <c r="P5" s="96"/>
      <c r="Q5" s="97"/>
      <c r="R5" s="98"/>
      <c r="T5" s="83" t="s">
        <v>45</v>
      </c>
      <c r="U5" s="84">
        <v>0</v>
      </c>
    </row>
    <row r="6" spans="2:21" ht="15" customHeight="1" x14ac:dyDescent="0.25">
      <c r="L6" s="99">
        <f>SUM(L3:L5)</f>
        <v>5</v>
      </c>
      <c r="N6" s="99">
        <f>SUM(N3:N5)</f>
        <v>0</v>
      </c>
      <c r="O6" s="99"/>
      <c r="P6" s="99"/>
      <c r="Q6" s="99">
        <f>SUM(Q3:Q5)</f>
        <v>0</v>
      </c>
      <c r="T6" s="100" t="s">
        <v>56</v>
      </c>
      <c r="U6" s="101">
        <f>U3+U4-U5</f>
        <v>3</v>
      </c>
    </row>
    <row r="7" spans="2:21" ht="15" customHeight="1" x14ac:dyDescent="0.25"/>
    <row r="8" spans="2:21" ht="15" customHeight="1" x14ac:dyDescent="0.25">
      <c r="T8" s="81" t="s">
        <v>57</v>
      </c>
      <c r="U8" s="82">
        <v>2</v>
      </c>
    </row>
    <row r="9" spans="2:21" ht="15" customHeight="1" x14ac:dyDescent="0.25">
      <c r="T9" s="100" t="s">
        <v>13</v>
      </c>
      <c r="U9" s="101">
        <f>U6+U8</f>
        <v>5</v>
      </c>
    </row>
    <row r="10" spans="2:21" ht="15" customHeight="1" x14ac:dyDescent="0.25"/>
    <row r="11" spans="2:21" ht="15" customHeight="1" x14ac:dyDescent="0.25">
      <c r="T11" s="784" t="s">
        <v>58</v>
      </c>
      <c r="U11" s="784"/>
    </row>
    <row r="12" spans="2:21" ht="15" customHeight="1" x14ac:dyDescent="0.25">
      <c r="T12" s="83" t="s">
        <v>38</v>
      </c>
      <c r="U12" s="102">
        <f>L6</f>
        <v>5</v>
      </c>
    </row>
    <row r="13" spans="2:21" ht="15" customHeight="1" x14ac:dyDescent="0.25">
      <c r="T13" s="103" t="s">
        <v>39</v>
      </c>
      <c r="U13" s="104">
        <f>N6</f>
        <v>0</v>
      </c>
    </row>
    <row r="14" spans="2:21" ht="15" customHeight="1" x14ac:dyDescent="0.25"/>
    <row r="15" spans="2:21" ht="15" customHeight="1" x14ac:dyDescent="0.25">
      <c r="T15" s="81" t="s">
        <v>40</v>
      </c>
      <c r="U15" s="105">
        <f>Q6</f>
        <v>0</v>
      </c>
    </row>
    <row r="16" spans="2:21" ht="15" customHeight="1" x14ac:dyDescent="0.25">
      <c r="T16" s="103" t="s">
        <v>59</v>
      </c>
      <c r="U16" s="104">
        <v>0</v>
      </c>
    </row>
    <row r="17" spans="20:21" ht="15" customHeight="1" x14ac:dyDescent="0.25"/>
    <row r="18" spans="20:21" ht="15" customHeight="1" x14ac:dyDescent="0.25">
      <c r="T18" s="106" t="s">
        <v>22</v>
      </c>
      <c r="U18" s="107">
        <v>21</v>
      </c>
    </row>
    <row r="19" spans="20:21" ht="15" customHeight="1" x14ac:dyDescent="0.25"/>
    <row r="20" spans="20:21" ht="15" customHeight="1" x14ac:dyDescent="0.25"/>
    <row r="21" spans="20:21" ht="15" customHeight="1" x14ac:dyDescent="0.25"/>
    <row r="22" spans="20:21" ht="15" customHeight="1" x14ac:dyDescent="0.25"/>
    <row r="23" spans="20:21" ht="15" customHeight="1" x14ac:dyDescent="0.25"/>
    <row r="24" spans="20:21" ht="15" customHeight="1" x14ac:dyDescent="0.25"/>
    <row r="25" spans="20:21" ht="15" customHeight="1" x14ac:dyDescent="0.25"/>
    <row r="26" spans="20:21" ht="15" customHeight="1" x14ac:dyDescent="0.25"/>
    <row r="27" spans="20:21" ht="15" customHeight="1" x14ac:dyDescent="0.25"/>
    <row r="28" spans="20:21" ht="15" customHeight="1" x14ac:dyDescent="0.25"/>
    <row r="29" spans="20:21" ht="15" customHeight="1" x14ac:dyDescent="0.25"/>
    <row r="30" spans="20:21" ht="15" customHeight="1" x14ac:dyDescent="0.25"/>
    <row r="31" spans="20:21" ht="15" customHeight="1" x14ac:dyDescent="0.25"/>
    <row r="32" spans="20:21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</sheetData>
  <mergeCells count="4">
    <mergeCell ref="H1:L1"/>
    <mergeCell ref="M1:N1"/>
    <mergeCell ref="O1:Q1"/>
    <mergeCell ref="T11:U11"/>
  </mergeCells>
  <pageMargins left="0.25" right="0.25" top="0.75" bottom="0.75" header="0.511811023622047" footer="0.511811023622047"/>
  <pageSetup paperSize="9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U36"/>
  <sheetViews>
    <sheetView showGridLines="0" zoomScaleNormal="100" workbookViewId="0">
      <selection activeCell="E15" sqref="E15"/>
    </sheetView>
  </sheetViews>
  <sheetFormatPr defaultColWidth="9.140625" defaultRowHeight="12.75" x14ac:dyDescent="0.25"/>
  <cols>
    <col min="1" max="1" width="9.140625" style="57"/>
    <col min="2" max="2" width="10" style="57" customWidth="1"/>
    <col min="3" max="3" width="40" style="57" customWidth="1"/>
    <col min="4" max="4" width="12.5703125" style="57" customWidth="1"/>
    <col min="5" max="6" width="10.42578125" style="57" customWidth="1"/>
    <col min="7" max="7" width="11.5703125" style="57" customWidth="1"/>
    <col min="8" max="9" width="10.42578125" style="57" customWidth="1"/>
    <col min="10" max="10" width="5" style="57" customWidth="1"/>
    <col min="11" max="11" width="3.85546875" style="57" customWidth="1"/>
    <col min="12" max="12" width="4.140625" style="57" customWidth="1"/>
    <col min="13" max="13" width="11.42578125" style="58" customWidth="1"/>
    <col min="14" max="14" width="4.140625" style="57" customWidth="1"/>
    <col min="15" max="16" width="10.42578125" style="57" customWidth="1"/>
    <col min="17" max="17" width="4.140625" style="57" customWidth="1"/>
    <col min="18" max="18" width="27.140625" style="57" customWidth="1"/>
    <col min="19" max="19" width="2.140625" style="57" customWidth="1"/>
    <col min="20" max="20" width="13.140625" style="57" customWidth="1"/>
    <col min="21" max="21" width="3" style="57" customWidth="1"/>
    <col min="22" max="262" width="9.140625" style="57"/>
    <col min="263" max="263" width="10" style="57" customWidth="1"/>
    <col min="264" max="264" width="40" style="57" customWidth="1"/>
    <col min="265" max="265" width="12.5703125" style="57" customWidth="1"/>
    <col min="266" max="267" width="10.42578125" style="57" customWidth="1"/>
    <col min="268" max="268" width="11.5703125" style="57" customWidth="1"/>
    <col min="269" max="270" width="10.42578125" style="57" customWidth="1"/>
    <col min="271" max="271" width="6.5703125" style="57" customWidth="1"/>
    <col min="272" max="272" width="11.42578125" style="57" customWidth="1"/>
    <col min="273" max="273" width="4.140625" style="57" customWidth="1"/>
    <col min="274" max="274" width="18.5703125" style="57" customWidth="1"/>
    <col min="275" max="275" width="2.140625" style="57" customWidth="1"/>
    <col min="276" max="276" width="10.42578125" style="57" customWidth="1"/>
    <col min="277" max="518" width="9.140625" style="57"/>
    <col min="519" max="519" width="10" style="57" customWidth="1"/>
    <col min="520" max="520" width="40" style="57" customWidth="1"/>
    <col min="521" max="521" width="12.5703125" style="57" customWidth="1"/>
    <col min="522" max="523" width="10.42578125" style="57" customWidth="1"/>
    <col min="524" max="524" width="11.5703125" style="57" customWidth="1"/>
    <col min="525" max="526" width="10.42578125" style="57" customWidth="1"/>
    <col min="527" max="527" width="6.5703125" style="57" customWidth="1"/>
    <col min="528" max="528" width="11.42578125" style="57" customWidth="1"/>
    <col min="529" max="529" width="4.140625" style="57" customWidth="1"/>
    <col min="530" max="530" width="18.5703125" style="57" customWidth="1"/>
    <col min="531" max="531" width="2.140625" style="57" customWidth="1"/>
    <col min="532" max="532" width="10.42578125" style="57" customWidth="1"/>
    <col min="533" max="774" width="9.140625" style="57"/>
    <col min="775" max="775" width="10" style="57" customWidth="1"/>
    <col min="776" max="776" width="40" style="57" customWidth="1"/>
    <col min="777" max="777" width="12.5703125" style="57" customWidth="1"/>
    <col min="778" max="779" width="10.42578125" style="57" customWidth="1"/>
    <col min="780" max="780" width="11.5703125" style="57" customWidth="1"/>
    <col min="781" max="782" width="10.42578125" style="57" customWidth="1"/>
    <col min="783" max="783" width="6.5703125" style="57" customWidth="1"/>
    <col min="784" max="784" width="11.42578125" style="57" customWidth="1"/>
    <col min="785" max="785" width="4.140625" style="57" customWidth="1"/>
    <col min="786" max="786" width="18.5703125" style="57" customWidth="1"/>
    <col min="787" max="787" width="2.140625" style="57" customWidth="1"/>
    <col min="788" max="788" width="10.42578125" style="57" customWidth="1"/>
    <col min="789" max="1030" width="9.140625" style="57"/>
    <col min="1031" max="1031" width="10" style="57" customWidth="1"/>
    <col min="1032" max="1032" width="40" style="57" customWidth="1"/>
    <col min="1033" max="1033" width="12.5703125" style="57" customWidth="1"/>
    <col min="1034" max="1035" width="10.42578125" style="57" customWidth="1"/>
    <col min="1036" max="1036" width="11.5703125" style="57" customWidth="1"/>
    <col min="1037" max="1038" width="10.42578125" style="57" customWidth="1"/>
    <col min="1039" max="1039" width="6.5703125" style="57" customWidth="1"/>
    <col min="1040" max="1040" width="11.42578125" style="57" customWidth="1"/>
    <col min="1041" max="1041" width="4.140625" style="57" customWidth="1"/>
    <col min="1042" max="1042" width="18.5703125" style="57" customWidth="1"/>
    <col min="1043" max="1043" width="2.140625" style="57" customWidth="1"/>
    <col min="1044" max="1044" width="10.42578125" style="57" customWidth="1"/>
    <col min="1045" max="1286" width="9.140625" style="57"/>
    <col min="1287" max="1287" width="10" style="57" customWidth="1"/>
    <col min="1288" max="1288" width="40" style="57" customWidth="1"/>
    <col min="1289" max="1289" width="12.5703125" style="57" customWidth="1"/>
    <col min="1290" max="1291" width="10.42578125" style="57" customWidth="1"/>
    <col min="1292" max="1292" width="11.5703125" style="57" customWidth="1"/>
    <col min="1293" max="1294" width="10.42578125" style="57" customWidth="1"/>
    <col min="1295" max="1295" width="6.5703125" style="57" customWidth="1"/>
    <col min="1296" max="1296" width="11.42578125" style="57" customWidth="1"/>
    <col min="1297" max="1297" width="4.140625" style="57" customWidth="1"/>
    <col min="1298" max="1298" width="18.5703125" style="57" customWidth="1"/>
    <col min="1299" max="1299" width="2.140625" style="57" customWidth="1"/>
    <col min="1300" max="1300" width="10.42578125" style="57" customWidth="1"/>
    <col min="1301" max="1542" width="9.140625" style="57"/>
    <col min="1543" max="1543" width="10" style="57" customWidth="1"/>
    <col min="1544" max="1544" width="40" style="57" customWidth="1"/>
    <col min="1545" max="1545" width="12.5703125" style="57" customWidth="1"/>
    <col min="1546" max="1547" width="10.42578125" style="57" customWidth="1"/>
    <col min="1548" max="1548" width="11.5703125" style="57" customWidth="1"/>
    <col min="1549" max="1550" width="10.42578125" style="57" customWidth="1"/>
    <col min="1551" max="1551" width="6.5703125" style="57" customWidth="1"/>
    <col min="1552" max="1552" width="11.42578125" style="57" customWidth="1"/>
    <col min="1553" max="1553" width="4.140625" style="57" customWidth="1"/>
    <col min="1554" max="1554" width="18.5703125" style="57" customWidth="1"/>
    <col min="1555" max="1555" width="2.140625" style="57" customWidth="1"/>
    <col min="1556" max="1556" width="10.42578125" style="57" customWidth="1"/>
    <col min="1557" max="1798" width="9.140625" style="57"/>
    <col min="1799" max="1799" width="10" style="57" customWidth="1"/>
    <col min="1800" max="1800" width="40" style="57" customWidth="1"/>
    <col min="1801" max="1801" width="12.5703125" style="57" customWidth="1"/>
    <col min="1802" max="1803" width="10.42578125" style="57" customWidth="1"/>
    <col min="1804" max="1804" width="11.5703125" style="57" customWidth="1"/>
    <col min="1805" max="1806" width="10.42578125" style="57" customWidth="1"/>
    <col min="1807" max="1807" width="6.5703125" style="57" customWidth="1"/>
    <col min="1808" max="1808" width="11.42578125" style="57" customWidth="1"/>
    <col min="1809" max="1809" width="4.140625" style="57" customWidth="1"/>
    <col min="1810" max="1810" width="18.5703125" style="57" customWidth="1"/>
    <col min="1811" max="1811" width="2.140625" style="57" customWidth="1"/>
    <col min="1812" max="1812" width="10.42578125" style="57" customWidth="1"/>
    <col min="1813" max="2054" width="9.140625" style="57"/>
    <col min="2055" max="2055" width="10" style="57" customWidth="1"/>
    <col min="2056" max="2056" width="40" style="57" customWidth="1"/>
    <col min="2057" max="2057" width="12.5703125" style="57" customWidth="1"/>
    <col min="2058" max="2059" width="10.42578125" style="57" customWidth="1"/>
    <col min="2060" max="2060" width="11.5703125" style="57" customWidth="1"/>
    <col min="2061" max="2062" width="10.42578125" style="57" customWidth="1"/>
    <col min="2063" max="2063" width="6.5703125" style="57" customWidth="1"/>
    <col min="2064" max="2064" width="11.42578125" style="57" customWidth="1"/>
    <col min="2065" max="2065" width="4.140625" style="57" customWidth="1"/>
    <col min="2066" max="2066" width="18.5703125" style="57" customWidth="1"/>
    <col min="2067" max="2067" width="2.140625" style="57" customWidth="1"/>
    <col min="2068" max="2068" width="10.42578125" style="57" customWidth="1"/>
    <col min="2069" max="2310" width="9.140625" style="57"/>
    <col min="2311" max="2311" width="10" style="57" customWidth="1"/>
    <col min="2312" max="2312" width="40" style="57" customWidth="1"/>
    <col min="2313" max="2313" width="12.5703125" style="57" customWidth="1"/>
    <col min="2314" max="2315" width="10.42578125" style="57" customWidth="1"/>
    <col min="2316" max="2316" width="11.5703125" style="57" customWidth="1"/>
    <col min="2317" max="2318" width="10.42578125" style="57" customWidth="1"/>
    <col min="2319" max="2319" width="6.5703125" style="57" customWidth="1"/>
    <col min="2320" max="2320" width="11.42578125" style="57" customWidth="1"/>
    <col min="2321" max="2321" width="4.140625" style="57" customWidth="1"/>
    <col min="2322" max="2322" width="18.5703125" style="57" customWidth="1"/>
    <col min="2323" max="2323" width="2.140625" style="57" customWidth="1"/>
    <col min="2324" max="2324" width="10.42578125" style="57" customWidth="1"/>
    <col min="2325" max="2566" width="9.140625" style="57"/>
    <col min="2567" max="2567" width="10" style="57" customWidth="1"/>
    <col min="2568" max="2568" width="40" style="57" customWidth="1"/>
    <col min="2569" max="2569" width="12.5703125" style="57" customWidth="1"/>
    <col min="2570" max="2571" width="10.42578125" style="57" customWidth="1"/>
    <col min="2572" max="2572" width="11.5703125" style="57" customWidth="1"/>
    <col min="2573" max="2574" width="10.42578125" style="57" customWidth="1"/>
    <col min="2575" max="2575" width="6.5703125" style="57" customWidth="1"/>
    <col min="2576" max="2576" width="11.42578125" style="57" customWidth="1"/>
    <col min="2577" max="2577" width="4.140625" style="57" customWidth="1"/>
    <col min="2578" max="2578" width="18.5703125" style="57" customWidth="1"/>
    <col min="2579" max="2579" width="2.140625" style="57" customWidth="1"/>
    <col min="2580" max="2580" width="10.42578125" style="57" customWidth="1"/>
    <col min="2581" max="2822" width="9.140625" style="57"/>
    <col min="2823" max="2823" width="10" style="57" customWidth="1"/>
    <col min="2824" max="2824" width="40" style="57" customWidth="1"/>
    <col min="2825" max="2825" width="12.5703125" style="57" customWidth="1"/>
    <col min="2826" max="2827" width="10.42578125" style="57" customWidth="1"/>
    <col min="2828" max="2828" width="11.5703125" style="57" customWidth="1"/>
    <col min="2829" max="2830" width="10.42578125" style="57" customWidth="1"/>
    <col min="2831" max="2831" width="6.5703125" style="57" customWidth="1"/>
    <col min="2832" max="2832" width="11.42578125" style="57" customWidth="1"/>
    <col min="2833" max="2833" width="4.140625" style="57" customWidth="1"/>
    <col min="2834" max="2834" width="18.5703125" style="57" customWidth="1"/>
    <col min="2835" max="2835" width="2.140625" style="57" customWidth="1"/>
    <col min="2836" max="2836" width="10.42578125" style="57" customWidth="1"/>
    <col min="2837" max="3078" width="9.140625" style="57"/>
    <col min="3079" max="3079" width="10" style="57" customWidth="1"/>
    <col min="3080" max="3080" width="40" style="57" customWidth="1"/>
    <col min="3081" max="3081" width="12.5703125" style="57" customWidth="1"/>
    <col min="3082" max="3083" width="10.42578125" style="57" customWidth="1"/>
    <col min="3084" max="3084" width="11.5703125" style="57" customWidth="1"/>
    <col min="3085" max="3086" width="10.42578125" style="57" customWidth="1"/>
    <col min="3087" max="3087" width="6.5703125" style="57" customWidth="1"/>
    <col min="3088" max="3088" width="11.42578125" style="57" customWidth="1"/>
    <col min="3089" max="3089" width="4.140625" style="57" customWidth="1"/>
    <col min="3090" max="3090" width="18.5703125" style="57" customWidth="1"/>
    <col min="3091" max="3091" width="2.140625" style="57" customWidth="1"/>
    <col min="3092" max="3092" width="10.42578125" style="57" customWidth="1"/>
    <col min="3093" max="3334" width="9.140625" style="57"/>
    <col min="3335" max="3335" width="10" style="57" customWidth="1"/>
    <col min="3336" max="3336" width="40" style="57" customWidth="1"/>
    <col min="3337" max="3337" width="12.5703125" style="57" customWidth="1"/>
    <col min="3338" max="3339" width="10.42578125" style="57" customWidth="1"/>
    <col min="3340" max="3340" width="11.5703125" style="57" customWidth="1"/>
    <col min="3341" max="3342" width="10.42578125" style="57" customWidth="1"/>
    <col min="3343" max="3343" width="6.5703125" style="57" customWidth="1"/>
    <col min="3344" max="3344" width="11.42578125" style="57" customWidth="1"/>
    <col min="3345" max="3345" width="4.140625" style="57" customWidth="1"/>
    <col min="3346" max="3346" width="18.5703125" style="57" customWidth="1"/>
    <col min="3347" max="3347" width="2.140625" style="57" customWidth="1"/>
    <col min="3348" max="3348" width="10.42578125" style="57" customWidth="1"/>
    <col min="3349" max="3590" width="9.140625" style="57"/>
    <col min="3591" max="3591" width="10" style="57" customWidth="1"/>
    <col min="3592" max="3592" width="40" style="57" customWidth="1"/>
    <col min="3593" max="3593" width="12.5703125" style="57" customWidth="1"/>
    <col min="3594" max="3595" width="10.42578125" style="57" customWidth="1"/>
    <col min="3596" max="3596" width="11.5703125" style="57" customWidth="1"/>
    <col min="3597" max="3598" width="10.42578125" style="57" customWidth="1"/>
    <col min="3599" max="3599" width="6.5703125" style="57" customWidth="1"/>
    <col min="3600" max="3600" width="11.42578125" style="57" customWidth="1"/>
    <col min="3601" max="3601" width="4.140625" style="57" customWidth="1"/>
    <col min="3602" max="3602" width="18.5703125" style="57" customWidth="1"/>
    <col min="3603" max="3603" width="2.140625" style="57" customWidth="1"/>
    <col min="3604" max="3604" width="10.42578125" style="57" customWidth="1"/>
    <col min="3605" max="3846" width="9.140625" style="57"/>
    <col min="3847" max="3847" width="10" style="57" customWidth="1"/>
    <col min="3848" max="3848" width="40" style="57" customWidth="1"/>
    <col min="3849" max="3849" width="12.5703125" style="57" customWidth="1"/>
    <col min="3850" max="3851" width="10.42578125" style="57" customWidth="1"/>
    <col min="3852" max="3852" width="11.5703125" style="57" customWidth="1"/>
    <col min="3853" max="3854" width="10.42578125" style="57" customWidth="1"/>
    <col min="3855" max="3855" width="6.5703125" style="57" customWidth="1"/>
    <col min="3856" max="3856" width="11.42578125" style="57" customWidth="1"/>
    <col min="3857" max="3857" width="4.140625" style="57" customWidth="1"/>
    <col min="3858" max="3858" width="18.5703125" style="57" customWidth="1"/>
    <col min="3859" max="3859" width="2.140625" style="57" customWidth="1"/>
    <col min="3860" max="3860" width="10.42578125" style="57" customWidth="1"/>
    <col min="3861" max="4102" width="9.140625" style="57"/>
    <col min="4103" max="4103" width="10" style="57" customWidth="1"/>
    <col min="4104" max="4104" width="40" style="57" customWidth="1"/>
    <col min="4105" max="4105" width="12.5703125" style="57" customWidth="1"/>
    <col min="4106" max="4107" width="10.42578125" style="57" customWidth="1"/>
    <col min="4108" max="4108" width="11.5703125" style="57" customWidth="1"/>
    <col min="4109" max="4110" width="10.42578125" style="57" customWidth="1"/>
    <col min="4111" max="4111" width="6.5703125" style="57" customWidth="1"/>
    <col min="4112" max="4112" width="11.42578125" style="57" customWidth="1"/>
    <col min="4113" max="4113" width="4.140625" style="57" customWidth="1"/>
    <col min="4114" max="4114" width="18.5703125" style="57" customWidth="1"/>
    <col min="4115" max="4115" width="2.140625" style="57" customWidth="1"/>
    <col min="4116" max="4116" width="10.42578125" style="57" customWidth="1"/>
    <col min="4117" max="4358" width="9.140625" style="57"/>
    <col min="4359" max="4359" width="10" style="57" customWidth="1"/>
    <col min="4360" max="4360" width="40" style="57" customWidth="1"/>
    <col min="4361" max="4361" width="12.5703125" style="57" customWidth="1"/>
    <col min="4362" max="4363" width="10.42578125" style="57" customWidth="1"/>
    <col min="4364" max="4364" width="11.5703125" style="57" customWidth="1"/>
    <col min="4365" max="4366" width="10.42578125" style="57" customWidth="1"/>
    <col min="4367" max="4367" width="6.5703125" style="57" customWidth="1"/>
    <col min="4368" max="4368" width="11.42578125" style="57" customWidth="1"/>
    <col min="4369" max="4369" width="4.140625" style="57" customWidth="1"/>
    <col min="4370" max="4370" width="18.5703125" style="57" customWidth="1"/>
    <col min="4371" max="4371" width="2.140625" style="57" customWidth="1"/>
    <col min="4372" max="4372" width="10.42578125" style="57" customWidth="1"/>
    <col min="4373" max="4614" width="9.140625" style="57"/>
    <col min="4615" max="4615" width="10" style="57" customWidth="1"/>
    <col min="4616" max="4616" width="40" style="57" customWidth="1"/>
    <col min="4617" max="4617" width="12.5703125" style="57" customWidth="1"/>
    <col min="4618" max="4619" width="10.42578125" style="57" customWidth="1"/>
    <col min="4620" max="4620" width="11.5703125" style="57" customWidth="1"/>
    <col min="4621" max="4622" width="10.42578125" style="57" customWidth="1"/>
    <col min="4623" max="4623" width="6.5703125" style="57" customWidth="1"/>
    <col min="4624" max="4624" width="11.42578125" style="57" customWidth="1"/>
    <col min="4625" max="4625" width="4.140625" style="57" customWidth="1"/>
    <col min="4626" max="4626" width="18.5703125" style="57" customWidth="1"/>
    <col min="4627" max="4627" width="2.140625" style="57" customWidth="1"/>
    <col min="4628" max="4628" width="10.42578125" style="57" customWidth="1"/>
    <col min="4629" max="4870" width="9.140625" style="57"/>
    <col min="4871" max="4871" width="10" style="57" customWidth="1"/>
    <col min="4872" max="4872" width="40" style="57" customWidth="1"/>
    <col min="4873" max="4873" width="12.5703125" style="57" customWidth="1"/>
    <col min="4874" max="4875" width="10.42578125" style="57" customWidth="1"/>
    <col min="4876" max="4876" width="11.5703125" style="57" customWidth="1"/>
    <col min="4877" max="4878" width="10.42578125" style="57" customWidth="1"/>
    <col min="4879" max="4879" width="6.5703125" style="57" customWidth="1"/>
    <col min="4880" max="4880" width="11.42578125" style="57" customWidth="1"/>
    <col min="4881" max="4881" width="4.140625" style="57" customWidth="1"/>
    <col min="4882" max="4882" width="18.5703125" style="57" customWidth="1"/>
    <col min="4883" max="4883" width="2.140625" style="57" customWidth="1"/>
    <col min="4884" max="4884" width="10.42578125" style="57" customWidth="1"/>
    <col min="4885" max="5126" width="9.140625" style="57"/>
    <col min="5127" max="5127" width="10" style="57" customWidth="1"/>
    <col min="5128" max="5128" width="40" style="57" customWidth="1"/>
    <col min="5129" max="5129" width="12.5703125" style="57" customWidth="1"/>
    <col min="5130" max="5131" width="10.42578125" style="57" customWidth="1"/>
    <col min="5132" max="5132" width="11.5703125" style="57" customWidth="1"/>
    <col min="5133" max="5134" width="10.42578125" style="57" customWidth="1"/>
    <col min="5135" max="5135" width="6.5703125" style="57" customWidth="1"/>
    <col min="5136" max="5136" width="11.42578125" style="57" customWidth="1"/>
    <col min="5137" max="5137" width="4.140625" style="57" customWidth="1"/>
    <col min="5138" max="5138" width="18.5703125" style="57" customWidth="1"/>
    <col min="5139" max="5139" width="2.140625" style="57" customWidth="1"/>
    <col min="5140" max="5140" width="10.42578125" style="57" customWidth="1"/>
    <col min="5141" max="5382" width="9.140625" style="57"/>
    <col min="5383" max="5383" width="10" style="57" customWidth="1"/>
    <col min="5384" max="5384" width="40" style="57" customWidth="1"/>
    <col min="5385" max="5385" width="12.5703125" style="57" customWidth="1"/>
    <col min="5386" max="5387" width="10.42578125" style="57" customWidth="1"/>
    <col min="5388" max="5388" width="11.5703125" style="57" customWidth="1"/>
    <col min="5389" max="5390" width="10.42578125" style="57" customWidth="1"/>
    <col min="5391" max="5391" width="6.5703125" style="57" customWidth="1"/>
    <col min="5392" max="5392" width="11.42578125" style="57" customWidth="1"/>
    <col min="5393" max="5393" width="4.140625" style="57" customWidth="1"/>
    <col min="5394" max="5394" width="18.5703125" style="57" customWidth="1"/>
    <col min="5395" max="5395" width="2.140625" style="57" customWidth="1"/>
    <col min="5396" max="5396" width="10.42578125" style="57" customWidth="1"/>
    <col min="5397" max="5638" width="9.140625" style="57"/>
    <col min="5639" max="5639" width="10" style="57" customWidth="1"/>
    <col min="5640" max="5640" width="40" style="57" customWidth="1"/>
    <col min="5641" max="5641" width="12.5703125" style="57" customWidth="1"/>
    <col min="5642" max="5643" width="10.42578125" style="57" customWidth="1"/>
    <col min="5644" max="5644" width="11.5703125" style="57" customWidth="1"/>
    <col min="5645" max="5646" width="10.42578125" style="57" customWidth="1"/>
    <col min="5647" max="5647" width="6.5703125" style="57" customWidth="1"/>
    <col min="5648" max="5648" width="11.42578125" style="57" customWidth="1"/>
    <col min="5649" max="5649" width="4.140625" style="57" customWidth="1"/>
    <col min="5650" max="5650" width="18.5703125" style="57" customWidth="1"/>
    <col min="5651" max="5651" width="2.140625" style="57" customWidth="1"/>
    <col min="5652" max="5652" width="10.42578125" style="57" customWidth="1"/>
    <col min="5653" max="5894" width="9.140625" style="57"/>
    <col min="5895" max="5895" width="10" style="57" customWidth="1"/>
    <col min="5896" max="5896" width="40" style="57" customWidth="1"/>
    <col min="5897" max="5897" width="12.5703125" style="57" customWidth="1"/>
    <col min="5898" max="5899" width="10.42578125" style="57" customWidth="1"/>
    <col min="5900" max="5900" width="11.5703125" style="57" customWidth="1"/>
    <col min="5901" max="5902" width="10.42578125" style="57" customWidth="1"/>
    <col min="5903" max="5903" width="6.5703125" style="57" customWidth="1"/>
    <col min="5904" max="5904" width="11.42578125" style="57" customWidth="1"/>
    <col min="5905" max="5905" width="4.140625" style="57" customWidth="1"/>
    <col min="5906" max="5906" width="18.5703125" style="57" customWidth="1"/>
    <col min="5907" max="5907" width="2.140625" style="57" customWidth="1"/>
    <col min="5908" max="5908" width="10.42578125" style="57" customWidth="1"/>
    <col min="5909" max="6150" width="9.140625" style="57"/>
    <col min="6151" max="6151" width="10" style="57" customWidth="1"/>
    <col min="6152" max="6152" width="40" style="57" customWidth="1"/>
    <col min="6153" max="6153" width="12.5703125" style="57" customWidth="1"/>
    <col min="6154" max="6155" width="10.42578125" style="57" customWidth="1"/>
    <col min="6156" max="6156" width="11.5703125" style="57" customWidth="1"/>
    <col min="6157" max="6158" width="10.42578125" style="57" customWidth="1"/>
    <col min="6159" max="6159" width="6.5703125" style="57" customWidth="1"/>
    <col min="6160" max="6160" width="11.42578125" style="57" customWidth="1"/>
    <col min="6161" max="6161" width="4.140625" style="57" customWidth="1"/>
    <col min="6162" max="6162" width="18.5703125" style="57" customWidth="1"/>
    <col min="6163" max="6163" width="2.140625" style="57" customWidth="1"/>
    <col min="6164" max="6164" width="10.42578125" style="57" customWidth="1"/>
    <col min="6165" max="6406" width="9.140625" style="57"/>
    <col min="6407" max="6407" width="10" style="57" customWidth="1"/>
    <col min="6408" max="6408" width="40" style="57" customWidth="1"/>
    <col min="6409" max="6409" width="12.5703125" style="57" customWidth="1"/>
    <col min="6410" max="6411" width="10.42578125" style="57" customWidth="1"/>
    <col min="6412" max="6412" width="11.5703125" style="57" customWidth="1"/>
    <col min="6413" max="6414" width="10.42578125" style="57" customWidth="1"/>
    <col min="6415" max="6415" width="6.5703125" style="57" customWidth="1"/>
    <col min="6416" max="6416" width="11.42578125" style="57" customWidth="1"/>
    <col min="6417" max="6417" width="4.140625" style="57" customWidth="1"/>
    <col min="6418" max="6418" width="18.5703125" style="57" customWidth="1"/>
    <col min="6419" max="6419" width="2.140625" style="57" customWidth="1"/>
    <col min="6420" max="6420" width="10.42578125" style="57" customWidth="1"/>
    <col min="6421" max="6662" width="9.140625" style="57"/>
    <col min="6663" max="6663" width="10" style="57" customWidth="1"/>
    <col min="6664" max="6664" width="40" style="57" customWidth="1"/>
    <col min="6665" max="6665" width="12.5703125" style="57" customWidth="1"/>
    <col min="6666" max="6667" width="10.42578125" style="57" customWidth="1"/>
    <col min="6668" max="6668" width="11.5703125" style="57" customWidth="1"/>
    <col min="6669" max="6670" width="10.42578125" style="57" customWidth="1"/>
    <col min="6671" max="6671" width="6.5703125" style="57" customWidth="1"/>
    <col min="6672" max="6672" width="11.42578125" style="57" customWidth="1"/>
    <col min="6673" max="6673" width="4.140625" style="57" customWidth="1"/>
    <col min="6674" max="6674" width="18.5703125" style="57" customWidth="1"/>
    <col min="6675" max="6675" width="2.140625" style="57" customWidth="1"/>
    <col min="6676" max="6676" width="10.42578125" style="57" customWidth="1"/>
    <col min="6677" max="6918" width="9.140625" style="57"/>
    <col min="6919" max="6919" width="10" style="57" customWidth="1"/>
    <col min="6920" max="6920" width="40" style="57" customWidth="1"/>
    <col min="6921" max="6921" width="12.5703125" style="57" customWidth="1"/>
    <col min="6922" max="6923" width="10.42578125" style="57" customWidth="1"/>
    <col min="6924" max="6924" width="11.5703125" style="57" customWidth="1"/>
    <col min="6925" max="6926" width="10.42578125" style="57" customWidth="1"/>
    <col min="6927" max="6927" width="6.5703125" style="57" customWidth="1"/>
    <col min="6928" max="6928" width="11.42578125" style="57" customWidth="1"/>
    <col min="6929" max="6929" width="4.140625" style="57" customWidth="1"/>
    <col min="6930" max="6930" width="18.5703125" style="57" customWidth="1"/>
    <col min="6931" max="6931" width="2.140625" style="57" customWidth="1"/>
    <col min="6932" max="6932" width="10.42578125" style="57" customWidth="1"/>
    <col min="6933" max="7174" width="9.140625" style="57"/>
    <col min="7175" max="7175" width="10" style="57" customWidth="1"/>
    <col min="7176" max="7176" width="40" style="57" customWidth="1"/>
    <col min="7177" max="7177" width="12.5703125" style="57" customWidth="1"/>
    <col min="7178" max="7179" width="10.42578125" style="57" customWidth="1"/>
    <col min="7180" max="7180" width="11.5703125" style="57" customWidth="1"/>
    <col min="7181" max="7182" width="10.42578125" style="57" customWidth="1"/>
    <col min="7183" max="7183" width="6.5703125" style="57" customWidth="1"/>
    <col min="7184" max="7184" width="11.42578125" style="57" customWidth="1"/>
    <col min="7185" max="7185" width="4.140625" style="57" customWidth="1"/>
    <col min="7186" max="7186" width="18.5703125" style="57" customWidth="1"/>
    <col min="7187" max="7187" width="2.140625" style="57" customWidth="1"/>
    <col min="7188" max="7188" width="10.42578125" style="57" customWidth="1"/>
    <col min="7189" max="7430" width="9.140625" style="57"/>
    <col min="7431" max="7431" width="10" style="57" customWidth="1"/>
    <col min="7432" max="7432" width="40" style="57" customWidth="1"/>
    <col min="7433" max="7433" width="12.5703125" style="57" customWidth="1"/>
    <col min="7434" max="7435" width="10.42578125" style="57" customWidth="1"/>
    <col min="7436" max="7436" width="11.5703125" style="57" customWidth="1"/>
    <col min="7437" max="7438" width="10.42578125" style="57" customWidth="1"/>
    <col min="7439" max="7439" width="6.5703125" style="57" customWidth="1"/>
    <col min="7440" max="7440" width="11.42578125" style="57" customWidth="1"/>
    <col min="7441" max="7441" width="4.140625" style="57" customWidth="1"/>
    <col min="7442" max="7442" width="18.5703125" style="57" customWidth="1"/>
    <col min="7443" max="7443" width="2.140625" style="57" customWidth="1"/>
    <col min="7444" max="7444" width="10.42578125" style="57" customWidth="1"/>
    <col min="7445" max="7686" width="9.140625" style="57"/>
    <col min="7687" max="7687" width="10" style="57" customWidth="1"/>
    <col min="7688" max="7688" width="40" style="57" customWidth="1"/>
    <col min="7689" max="7689" width="12.5703125" style="57" customWidth="1"/>
    <col min="7690" max="7691" width="10.42578125" style="57" customWidth="1"/>
    <col min="7692" max="7692" width="11.5703125" style="57" customWidth="1"/>
    <col min="7693" max="7694" width="10.42578125" style="57" customWidth="1"/>
    <col min="7695" max="7695" width="6.5703125" style="57" customWidth="1"/>
    <col min="7696" max="7696" width="11.42578125" style="57" customWidth="1"/>
    <col min="7697" max="7697" width="4.140625" style="57" customWidth="1"/>
    <col min="7698" max="7698" width="18.5703125" style="57" customWidth="1"/>
    <col min="7699" max="7699" width="2.140625" style="57" customWidth="1"/>
    <col min="7700" max="7700" width="10.42578125" style="57" customWidth="1"/>
    <col min="7701" max="7942" width="9.140625" style="57"/>
    <col min="7943" max="7943" width="10" style="57" customWidth="1"/>
    <col min="7944" max="7944" width="40" style="57" customWidth="1"/>
    <col min="7945" max="7945" width="12.5703125" style="57" customWidth="1"/>
    <col min="7946" max="7947" width="10.42578125" style="57" customWidth="1"/>
    <col min="7948" max="7948" width="11.5703125" style="57" customWidth="1"/>
    <col min="7949" max="7950" width="10.42578125" style="57" customWidth="1"/>
    <col min="7951" max="7951" width="6.5703125" style="57" customWidth="1"/>
    <col min="7952" max="7952" width="11.42578125" style="57" customWidth="1"/>
    <col min="7953" max="7953" width="4.140625" style="57" customWidth="1"/>
    <col min="7954" max="7954" width="18.5703125" style="57" customWidth="1"/>
    <col min="7955" max="7955" width="2.140625" style="57" customWidth="1"/>
    <col min="7956" max="7956" width="10.42578125" style="57" customWidth="1"/>
    <col min="7957" max="8198" width="9.140625" style="57"/>
    <col min="8199" max="8199" width="10" style="57" customWidth="1"/>
    <col min="8200" max="8200" width="40" style="57" customWidth="1"/>
    <col min="8201" max="8201" width="12.5703125" style="57" customWidth="1"/>
    <col min="8202" max="8203" width="10.42578125" style="57" customWidth="1"/>
    <col min="8204" max="8204" width="11.5703125" style="57" customWidth="1"/>
    <col min="8205" max="8206" width="10.42578125" style="57" customWidth="1"/>
    <col min="8207" max="8207" width="6.5703125" style="57" customWidth="1"/>
    <col min="8208" max="8208" width="11.42578125" style="57" customWidth="1"/>
    <col min="8209" max="8209" width="4.140625" style="57" customWidth="1"/>
    <col min="8210" max="8210" width="18.5703125" style="57" customWidth="1"/>
    <col min="8211" max="8211" width="2.140625" style="57" customWidth="1"/>
    <col min="8212" max="8212" width="10.42578125" style="57" customWidth="1"/>
    <col min="8213" max="8454" width="9.140625" style="57"/>
    <col min="8455" max="8455" width="10" style="57" customWidth="1"/>
    <col min="8456" max="8456" width="40" style="57" customWidth="1"/>
    <col min="8457" max="8457" width="12.5703125" style="57" customWidth="1"/>
    <col min="8458" max="8459" width="10.42578125" style="57" customWidth="1"/>
    <col min="8460" max="8460" width="11.5703125" style="57" customWidth="1"/>
    <col min="8461" max="8462" width="10.42578125" style="57" customWidth="1"/>
    <col min="8463" max="8463" width="6.5703125" style="57" customWidth="1"/>
    <col min="8464" max="8464" width="11.42578125" style="57" customWidth="1"/>
    <col min="8465" max="8465" width="4.140625" style="57" customWidth="1"/>
    <col min="8466" max="8466" width="18.5703125" style="57" customWidth="1"/>
    <col min="8467" max="8467" width="2.140625" style="57" customWidth="1"/>
    <col min="8468" max="8468" width="10.42578125" style="57" customWidth="1"/>
    <col min="8469" max="8710" width="9.140625" style="57"/>
    <col min="8711" max="8711" width="10" style="57" customWidth="1"/>
    <col min="8712" max="8712" width="40" style="57" customWidth="1"/>
    <col min="8713" max="8713" width="12.5703125" style="57" customWidth="1"/>
    <col min="8714" max="8715" width="10.42578125" style="57" customWidth="1"/>
    <col min="8716" max="8716" width="11.5703125" style="57" customWidth="1"/>
    <col min="8717" max="8718" width="10.42578125" style="57" customWidth="1"/>
    <col min="8719" max="8719" width="6.5703125" style="57" customWidth="1"/>
    <col min="8720" max="8720" width="11.42578125" style="57" customWidth="1"/>
    <col min="8721" max="8721" width="4.140625" style="57" customWidth="1"/>
    <col min="8722" max="8722" width="18.5703125" style="57" customWidth="1"/>
    <col min="8723" max="8723" width="2.140625" style="57" customWidth="1"/>
    <col min="8724" max="8724" width="10.42578125" style="57" customWidth="1"/>
    <col min="8725" max="8966" width="9.140625" style="57"/>
    <col min="8967" max="8967" width="10" style="57" customWidth="1"/>
    <col min="8968" max="8968" width="40" style="57" customWidth="1"/>
    <col min="8969" max="8969" width="12.5703125" style="57" customWidth="1"/>
    <col min="8970" max="8971" width="10.42578125" style="57" customWidth="1"/>
    <col min="8972" max="8972" width="11.5703125" style="57" customWidth="1"/>
    <col min="8973" max="8974" width="10.42578125" style="57" customWidth="1"/>
    <col min="8975" max="8975" width="6.5703125" style="57" customWidth="1"/>
    <col min="8976" max="8976" width="11.42578125" style="57" customWidth="1"/>
    <col min="8977" max="8977" width="4.140625" style="57" customWidth="1"/>
    <col min="8978" max="8978" width="18.5703125" style="57" customWidth="1"/>
    <col min="8979" max="8979" width="2.140625" style="57" customWidth="1"/>
    <col min="8980" max="8980" width="10.42578125" style="57" customWidth="1"/>
    <col min="8981" max="9222" width="9.140625" style="57"/>
    <col min="9223" max="9223" width="10" style="57" customWidth="1"/>
    <col min="9224" max="9224" width="40" style="57" customWidth="1"/>
    <col min="9225" max="9225" width="12.5703125" style="57" customWidth="1"/>
    <col min="9226" max="9227" width="10.42578125" style="57" customWidth="1"/>
    <col min="9228" max="9228" width="11.5703125" style="57" customWidth="1"/>
    <col min="9229" max="9230" width="10.42578125" style="57" customWidth="1"/>
    <col min="9231" max="9231" width="6.5703125" style="57" customWidth="1"/>
    <col min="9232" max="9232" width="11.42578125" style="57" customWidth="1"/>
    <col min="9233" max="9233" width="4.140625" style="57" customWidth="1"/>
    <col min="9234" max="9234" width="18.5703125" style="57" customWidth="1"/>
    <col min="9235" max="9235" width="2.140625" style="57" customWidth="1"/>
    <col min="9236" max="9236" width="10.42578125" style="57" customWidth="1"/>
    <col min="9237" max="9478" width="9.140625" style="57"/>
    <col min="9479" max="9479" width="10" style="57" customWidth="1"/>
    <col min="9480" max="9480" width="40" style="57" customWidth="1"/>
    <col min="9481" max="9481" width="12.5703125" style="57" customWidth="1"/>
    <col min="9482" max="9483" width="10.42578125" style="57" customWidth="1"/>
    <col min="9484" max="9484" width="11.5703125" style="57" customWidth="1"/>
    <col min="9485" max="9486" width="10.42578125" style="57" customWidth="1"/>
    <col min="9487" max="9487" width="6.5703125" style="57" customWidth="1"/>
    <col min="9488" max="9488" width="11.42578125" style="57" customWidth="1"/>
    <col min="9489" max="9489" width="4.140625" style="57" customWidth="1"/>
    <col min="9490" max="9490" width="18.5703125" style="57" customWidth="1"/>
    <col min="9491" max="9491" width="2.140625" style="57" customWidth="1"/>
    <col min="9492" max="9492" width="10.42578125" style="57" customWidth="1"/>
    <col min="9493" max="9734" width="9.140625" style="57"/>
    <col min="9735" max="9735" width="10" style="57" customWidth="1"/>
    <col min="9736" max="9736" width="40" style="57" customWidth="1"/>
    <col min="9737" max="9737" width="12.5703125" style="57" customWidth="1"/>
    <col min="9738" max="9739" width="10.42578125" style="57" customWidth="1"/>
    <col min="9740" max="9740" width="11.5703125" style="57" customWidth="1"/>
    <col min="9741" max="9742" width="10.42578125" style="57" customWidth="1"/>
    <col min="9743" max="9743" width="6.5703125" style="57" customWidth="1"/>
    <col min="9744" max="9744" width="11.42578125" style="57" customWidth="1"/>
    <col min="9745" max="9745" width="4.140625" style="57" customWidth="1"/>
    <col min="9746" max="9746" width="18.5703125" style="57" customWidth="1"/>
    <col min="9747" max="9747" width="2.140625" style="57" customWidth="1"/>
    <col min="9748" max="9748" width="10.42578125" style="57" customWidth="1"/>
    <col min="9749" max="9990" width="9.140625" style="57"/>
    <col min="9991" max="9991" width="10" style="57" customWidth="1"/>
    <col min="9992" max="9992" width="40" style="57" customWidth="1"/>
    <col min="9993" max="9993" width="12.5703125" style="57" customWidth="1"/>
    <col min="9994" max="9995" width="10.42578125" style="57" customWidth="1"/>
    <col min="9996" max="9996" width="11.5703125" style="57" customWidth="1"/>
    <col min="9997" max="9998" width="10.42578125" style="57" customWidth="1"/>
    <col min="9999" max="9999" width="6.5703125" style="57" customWidth="1"/>
    <col min="10000" max="10000" width="11.42578125" style="57" customWidth="1"/>
    <col min="10001" max="10001" width="4.140625" style="57" customWidth="1"/>
    <col min="10002" max="10002" width="18.5703125" style="57" customWidth="1"/>
    <col min="10003" max="10003" width="2.140625" style="57" customWidth="1"/>
    <col min="10004" max="10004" width="10.42578125" style="57" customWidth="1"/>
    <col min="10005" max="10246" width="9.140625" style="57"/>
    <col min="10247" max="10247" width="10" style="57" customWidth="1"/>
    <col min="10248" max="10248" width="40" style="57" customWidth="1"/>
    <col min="10249" max="10249" width="12.5703125" style="57" customWidth="1"/>
    <col min="10250" max="10251" width="10.42578125" style="57" customWidth="1"/>
    <col min="10252" max="10252" width="11.5703125" style="57" customWidth="1"/>
    <col min="10253" max="10254" width="10.42578125" style="57" customWidth="1"/>
    <col min="10255" max="10255" width="6.5703125" style="57" customWidth="1"/>
    <col min="10256" max="10256" width="11.42578125" style="57" customWidth="1"/>
    <col min="10257" max="10257" width="4.140625" style="57" customWidth="1"/>
    <col min="10258" max="10258" width="18.5703125" style="57" customWidth="1"/>
    <col min="10259" max="10259" width="2.140625" style="57" customWidth="1"/>
    <col min="10260" max="10260" width="10.42578125" style="57" customWidth="1"/>
    <col min="10261" max="10502" width="9.140625" style="57"/>
    <col min="10503" max="10503" width="10" style="57" customWidth="1"/>
    <col min="10504" max="10504" width="40" style="57" customWidth="1"/>
    <col min="10505" max="10505" width="12.5703125" style="57" customWidth="1"/>
    <col min="10506" max="10507" width="10.42578125" style="57" customWidth="1"/>
    <col min="10508" max="10508" width="11.5703125" style="57" customWidth="1"/>
    <col min="10509" max="10510" width="10.42578125" style="57" customWidth="1"/>
    <col min="10511" max="10511" width="6.5703125" style="57" customWidth="1"/>
    <col min="10512" max="10512" width="11.42578125" style="57" customWidth="1"/>
    <col min="10513" max="10513" width="4.140625" style="57" customWidth="1"/>
    <col min="10514" max="10514" width="18.5703125" style="57" customWidth="1"/>
    <col min="10515" max="10515" width="2.140625" style="57" customWidth="1"/>
    <col min="10516" max="10516" width="10.42578125" style="57" customWidth="1"/>
    <col min="10517" max="10758" width="9.140625" style="57"/>
    <col min="10759" max="10759" width="10" style="57" customWidth="1"/>
    <col min="10760" max="10760" width="40" style="57" customWidth="1"/>
    <col min="10761" max="10761" width="12.5703125" style="57" customWidth="1"/>
    <col min="10762" max="10763" width="10.42578125" style="57" customWidth="1"/>
    <col min="10764" max="10764" width="11.5703125" style="57" customWidth="1"/>
    <col min="10765" max="10766" width="10.42578125" style="57" customWidth="1"/>
    <col min="10767" max="10767" width="6.5703125" style="57" customWidth="1"/>
    <col min="10768" max="10768" width="11.42578125" style="57" customWidth="1"/>
    <col min="10769" max="10769" width="4.140625" style="57" customWidth="1"/>
    <col min="10770" max="10770" width="18.5703125" style="57" customWidth="1"/>
    <col min="10771" max="10771" width="2.140625" style="57" customWidth="1"/>
    <col min="10772" max="10772" width="10.42578125" style="57" customWidth="1"/>
    <col min="10773" max="11014" width="9.140625" style="57"/>
    <col min="11015" max="11015" width="10" style="57" customWidth="1"/>
    <col min="11016" max="11016" width="40" style="57" customWidth="1"/>
    <col min="11017" max="11017" width="12.5703125" style="57" customWidth="1"/>
    <col min="11018" max="11019" width="10.42578125" style="57" customWidth="1"/>
    <col min="11020" max="11020" width="11.5703125" style="57" customWidth="1"/>
    <col min="11021" max="11022" width="10.42578125" style="57" customWidth="1"/>
    <col min="11023" max="11023" width="6.5703125" style="57" customWidth="1"/>
    <col min="11024" max="11024" width="11.42578125" style="57" customWidth="1"/>
    <col min="11025" max="11025" width="4.140625" style="57" customWidth="1"/>
    <col min="11026" max="11026" width="18.5703125" style="57" customWidth="1"/>
    <col min="11027" max="11027" width="2.140625" style="57" customWidth="1"/>
    <col min="11028" max="11028" width="10.42578125" style="57" customWidth="1"/>
    <col min="11029" max="11270" width="9.140625" style="57"/>
    <col min="11271" max="11271" width="10" style="57" customWidth="1"/>
    <col min="11272" max="11272" width="40" style="57" customWidth="1"/>
    <col min="11273" max="11273" width="12.5703125" style="57" customWidth="1"/>
    <col min="11274" max="11275" width="10.42578125" style="57" customWidth="1"/>
    <col min="11276" max="11276" width="11.5703125" style="57" customWidth="1"/>
    <col min="11277" max="11278" width="10.42578125" style="57" customWidth="1"/>
    <col min="11279" max="11279" width="6.5703125" style="57" customWidth="1"/>
    <col min="11280" max="11280" width="11.42578125" style="57" customWidth="1"/>
    <col min="11281" max="11281" width="4.140625" style="57" customWidth="1"/>
    <col min="11282" max="11282" width="18.5703125" style="57" customWidth="1"/>
    <col min="11283" max="11283" width="2.140625" style="57" customWidth="1"/>
    <col min="11284" max="11284" width="10.42578125" style="57" customWidth="1"/>
    <col min="11285" max="11526" width="9.140625" style="57"/>
    <col min="11527" max="11527" width="10" style="57" customWidth="1"/>
    <col min="11528" max="11528" width="40" style="57" customWidth="1"/>
    <col min="11529" max="11529" width="12.5703125" style="57" customWidth="1"/>
    <col min="11530" max="11531" width="10.42578125" style="57" customWidth="1"/>
    <col min="11532" max="11532" width="11.5703125" style="57" customWidth="1"/>
    <col min="11533" max="11534" width="10.42578125" style="57" customWidth="1"/>
    <col min="11535" max="11535" width="6.5703125" style="57" customWidth="1"/>
    <col min="11536" max="11536" width="11.42578125" style="57" customWidth="1"/>
    <col min="11537" max="11537" width="4.140625" style="57" customWidth="1"/>
    <col min="11538" max="11538" width="18.5703125" style="57" customWidth="1"/>
    <col min="11539" max="11539" width="2.140625" style="57" customWidth="1"/>
    <col min="11540" max="11540" width="10.42578125" style="57" customWidth="1"/>
    <col min="11541" max="11782" width="9.140625" style="57"/>
    <col min="11783" max="11783" width="10" style="57" customWidth="1"/>
    <col min="11784" max="11784" width="40" style="57" customWidth="1"/>
    <col min="11785" max="11785" width="12.5703125" style="57" customWidth="1"/>
    <col min="11786" max="11787" width="10.42578125" style="57" customWidth="1"/>
    <col min="11788" max="11788" width="11.5703125" style="57" customWidth="1"/>
    <col min="11789" max="11790" width="10.42578125" style="57" customWidth="1"/>
    <col min="11791" max="11791" width="6.5703125" style="57" customWidth="1"/>
    <col min="11792" max="11792" width="11.42578125" style="57" customWidth="1"/>
    <col min="11793" max="11793" width="4.140625" style="57" customWidth="1"/>
    <col min="11794" max="11794" width="18.5703125" style="57" customWidth="1"/>
    <col min="11795" max="11795" width="2.140625" style="57" customWidth="1"/>
    <col min="11796" max="11796" width="10.42578125" style="57" customWidth="1"/>
    <col min="11797" max="12038" width="9.140625" style="57"/>
    <col min="12039" max="12039" width="10" style="57" customWidth="1"/>
    <col min="12040" max="12040" width="40" style="57" customWidth="1"/>
    <col min="12041" max="12041" width="12.5703125" style="57" customWidth="1"/>
    <col min="12042" max="12043" width="10.42578125" style="57" customWidth="1"/>
    <col min="12044" max="12044" width="11.5703125" style="57" customWidth="1"/>
    <col min="12045" max="12046" width="10.42578125" style="57" customWidth="1"/>
    <col min="12047" max="12047" width="6.5703125" style="57" customWidth="1"/>
    <col min="12048" max="12048" width="11.42578125" style="57" customWidth="1"/>
    <col min="12049" max="12049" width="4.140625" style="57" customWidth="1"/>
    <col min="12050" max="12050" width="18.5703125" style="57" customWidth="1"/>
    <col min="12051" max="12051" width="2.140625" style="57" customWidth="1"/>
    <col min="12052" max="12052" width="10.42578125" style="57" customWidth="1"/>
    <col min="12053" max="12294" width="9.140625" style="57"/>
    <col min="12295" max="12295" width="10" style="57" customWidth="1"/>
    <col min="12296" max="12296" width="40" style="57" customWidth="1"/>
    <col min="12297" max="12297" width="12.5703125" style="57" customWidth="1"/>
    <col min="12298" max="12299" width="10.42578125" style="57" customWidth="1"/>
    <col min="12300" max="12300" width="11.5703125" style="57" customWidth="1"/>
    <col min="12301" max="12302" width="10.42578125" style="57" customWidth="1"/>
    <col min="12303" max="12303" width="6.5703125" style="57" customWidth="1"/>
    <col min="12304" max="12304" width="11.42578125" style="57" customWidth="1"/>
    <col min="12305" max="12305" width="4.140625" style="57" customWidth="1"/>
    <col min="12306" max="12306" width="18.5703125" style="57" customWidth="1"/>
    <col min="12307" max="12307" width="2.140625" style="57" customWidth="1"/>
    <col min="12308" max="12308" width="10.42578125" style="57" customWidth="1"/>
    <col min="12309" max="12550" width="9.140625" style="57"/>
    <col min="12551" max="12551" width="10" style="57" customWidth="1"/>
    <col min="12552" max="12552" width="40" style="57" customWidth="1"/>
    <col min="12553" max="12553" width="12.5703125" style="57" customWidth="1"/>
    <col min="12554" max="12555" width="10.42578125" style="57" customWidth="1"/>
    <col min="12556" max="12556" width="11.5703125" style="57" customWidth="1"/>
    <col min="12557" max="12558" width="10.42578125" style="57" customWidth="1"/>
    <col min="12559" max="12559" width="6.5703125" style="57" customWidth="1"/>
    <col min="12560" max="12560" width="11.42578125" style="57" customWidth="1"/>
    <col min="12561" max="12561" width="4.140625" style="57" customWidth="1"/>
    <col min="12562" max="12562" width="18.5703125" style="57" customWidth="1"/>
    <col min="12563" max="12563" width="2.140625" style="57" customWidth="1"/>
    <col min="12564" max="12564" width="10.42578125" style="57" customWidth="1"/>
    <col min="12565" max="12806" width="9.140625" style="57"/>
    <col min="12807" max="12807" width="10" style="57" customWidth="1"/>
    <col min="12808" max="12808" width="40" style="57" customWidth="1"/>
    <col min="12809" max="12809" width="12.5703125" style="57" customWidth="1"/>
    <col min="12810" max="12811" width="10.42578125" style="57" customWidth="1"/>
    <col min="12812" max="12812" width="11.5703125" style="57" customWidth="1"/>
    <col min="12813" max="12814" width="10.42578125" style="57" customWidth="1"/>
    <col min="12815" max="12815" width="6.5703125" style="57" customWidth="1"/>
    <col min="12816" max="12816" width="11.42578125" style="57" customWidth="1"/>
    <col min="12817" max="12817" width="4.140625" style="57" customWidth="1"/>
    <col min="12818" max="12818" width="18.5703125" style="57" customWidth="1"/>
    <col min="12819" max="12819" width="2.140625" style="57" customWidth="1"/>
    <col min="12820" max="12820" width="10.42578125" style="57" customWidth="1"/>
    <col min="12821" max="13062" width="9.140625" style="57"/>
    <col min="13063" max="13063" width="10" style="57" customWidth="1"/>
    <col min="13064" max="13064" width="40" style="57" customWidth="1"/>
    <col min="13065" max="13065" width="12.5703125" style="57" customWidth="1"/>
    <col min="13066" max="13067" width="10.42578125" style="57" customWidth="1"/>
    <col min="13068" max="13068" width="11.5703125" style="57" customWidth="1"/>
    <col min="13069" max="13070" width="10.42578125" style="57" customWidth="1"/>
    <col min="13071" max="13071" width="6.5703125" style="57" customWidth="1"/>
    <col min="13072" max="13072" width="11.42578125" style="57" customWidth="1"/>
    <col min="13073" max="13073" width="4.140625" style="57" customWidth="1"/>
    <col min="13074" max="13074" width="18.5703125" style="57" customWidth="1"/>
    <col min="13075" max="13075" width="2.140625" style="57" customWidth="1"/>
    <col min="13076" max="13076" width="10.42578125" style="57" customWidth="1"/>
    <col min="13077" max="13318" width="9.140625" style="57"/>
    <col min="13319" max="13319" width="10" style="57" customWidth="1"/>
    <col min="13320" max="13320" width="40" style="57" customWidth="1"/>
    <col min="13321" max="13321" width="12.5703125" style="57" customWidth="1"/>
    <col min="13322" max="13323" width="10.42578125" style="57" customWidth="1"/>
    <col min="13324" max="13324" width="11.5703125" style="57" customWidth="1"/>
    <col min="13325" max="13326" width="10.42578125" style="57" customWidth="1"/>
    <col min="13327" max="13327" width="6.5703125" style="57" customWidth="1"/>
    <col min="13328" max="13328" width="11.42578125" style="57" customWidth="1"/>
    <col min="13329" max="13329" width="4.140625" style="57" customWidth="1"/>
    <col min="13330" max="13330" width="18.5703125" style="57" customWidth="1"/>
    <col min="13331" max="13331" width="2.140625" style="57" customWidth="1"/>
    <col min="13332" max="13332" width="10.42578125" style="57" customWidth="1"/>
    <col min="13333" max="13574" width="9.140625" style="57"/>
    <col min="13575" max="13575" width="10" style="57" customWidth="1"/>
    <col min="13576" max="13576" width="40" style="57" customWidth="1"/>
    <col min="13577" max="13577" width="12.5703125" style="57" customWidth="1"/>
    <col min="13578" max="13579" width="10.42578125" style="57" customWidth="1"/>
    <col min="13580" max="13580" width="11.5703125" style="57" customWidth="1"/>
    <col min="13581" max="13582" width="10.42578125" style="57" customWidth="1"/>
    <col min="13583" max="13583" width="6.5703125" style="57" customWidth="1"/>
    <col min="13584" max="13584" width="11.42578125" style="57" customWidth="1"/>
    <col min="13585" max="13585" width="4.140625" style="57" customWidth="1"/>
    <col min="13586" max="13586" width="18.5703125" style="57" customWidth="1"/>
    <col min="13587" max="13587" width="2.140625" style="57" customWidth="1"/>
    <col min="13588" max="13588" width="10.42578125" style="57" customWidth="1"/>
    <col min="13589" max="13830" width="9.140625" style="57"/>
    <col min="13831" max="13831" width="10" style="57" customWidth="1"/>
    <col min="13832" max="13832" width="40" style="57" customWidth="1"/>
    <col min="13833" max="13833" width="12.5703125" style="57" customWidth="1"/>
    <col min="13834" max="13835" width="10.42578125" style="57" customWidth="1"/>
    <col min="13836" max="13836" width="11.5703125" style="57" customWidth="1"/>
    <col min="13837" max="13838" width="10.42578125" style="57" customWidth="1"/>
    <col min="13839" max="13839" width="6.5703125" style="57" customWidth="1"/>
    <col min="13840" max="13840" width="11.42578125" style="57" customWidth="1"/>
    <col min="13841" max="13841" width="4.140625" style="57" customWidth="1"/>
    <col min="13842" max="13842" width="18.5703125" style="57" customWidth="1"/>
    <col min="13843" max="13843" width="2.140625" style="57" customWidth="1"/>
    <col min="13844" max="13844" width="10.42578125" style="57" customWidth="1"/>
    <col min="13845" max="14086" width="9.140625" style="57"/>
    <col min="14087" max="14087" width="10" style="57" customWidth="1"/>
    <col min="14088" max="14088" width="40" style="57" customWidth="1"/>
    <col min="14089" max="14089" width="12.5703125" style="57" customWidth="1"/>
    <col min="14090" max="14091" width="10.42578125" style="57" customWidth="1"/>
    <col min="14092" max="14092" width="11.5703125" style="57" customWidth="1"/>
    <col min="14093" max="14094" width="10.42578125" style="57" customWidth="1"/>
    <col min="14095" max="14095" width="6.5703125" style="57" customWidth="1"/>
    <col min="14096" max="14096" width="11.42578125" style="57" customWidth="1"/>
    <col min="14097" max="14097" width="4.140625" style="57" customWidth="1"/>
    <col min="14098" max="14098" width="18.5703125" style="57" customWidth="1"/>
    <col min="14099" max="14099" width="2.140625" style="57" customWidth="1"/>
    <col min="14100" max="14100" width="10.42578125" style="57" customWidth="1"/>
    <col min="14101" max="14342" width="9.140625" style="57"/>
    <col min="14343" max="14343" width="10" style="57" customWidth="1"/>
    <col min="14344" max="14344" width="40" style="57" customWidth="1"/>
    <col min="14345" max="14345" width="12.5703125" style="57" customWidth="1"/>
    <col min="14346" max="14347" width="10.42578125" style="57" customWidth="1"/>
    <col min="14348" max="14348" width="11.5703125" style="57" customWidth="1"/>
    <col min="14349" max="14350" width="10.42578125" style="57" customWidth="1"/>
    <col min="14351" max="14351" width="6.5703125" style="57" customWidth="1"/>
    <col min="14352" max="14352" width="11.42578125" style="57" customWidth="1"/>
    <col min="14353" max="14353" width="4.140625" style="57" customWidth="1"/>
    <col min="14354" max="14354" width="18.5703125" style="57" customWidth="1"/>
    <col min="14355" max="14355" width="2.140625" style="57" customWidth="1"/>
    <col min="14356" max="14356" width="10.42578125" style="57" customWidth="1"/>
    <col min="14357" max="14598" width="9.140625" style="57"/>
    <col min="14599" max="14599" width="10" style="57" customWidth="1"/>
    <col min="14600" max="14600" width="40" style="57" customWidth="1"/>
    <col min="14601" max="14601" width="12.5703125" style="57" customWidth="1"/>
    <col min="14602" max="14603" width="10.42578125" style="57" customWidth="1"/>
    <col min="14604" max="14604" width="11.5703125" style="57" customWidth="1"/>
    <col min="14605" max="14606" width="10.42578125" style="57" customWidth="1"/>
    <col min="14607" max="14607" width="6.5703125" style="57" customWidth="1"/>
    <col min="14608" max="14608" width="11.42578125" style="57" customWidth="1"/>
    <col min="14609" max="14609" width="4.140625" style="57" customWidth="1"/>
    <col min="14610" max="14610" width="18.5703125" style="57" customWidth="1"/>
    <col min="14611" max="14611" width="2.140625" style="57" customWidth="1"/>
    <col min="14612" max="14612" width="10.42578125" style="57" customWidth="1"/>
    <col min="14613" max="14854" width="9.140625" style="57"/>
    <col min="14855" max="14855" width="10" style="57" customWidth="1"/>
    <col min="14856" max="14856" width="40" style="57" customWidth="1"/>
    <col min="14857" max="14857" width="12.5703125" style="57" customWidth="1"/>
    <col min="14858" max="14859" width="10.42578125" style="57" customWidth="1"/>
    <col min="14860" max="14860" width="11.5703125" style="57" customWidth="1"/>
    <col min="14861" max="14862" width="10.42578125" style="57" customWidth="1"/>
    <col min="14863" max="14863" width="6.5703125" style="57" customWidth="1"/>
    <col min="14864" max="14864" width="11.42578125" style="57" customWidth="1"/>
    <col min="14865" max="14865" width="4.140625" style="57" customWidth="1"/>
    <col min="14866" max="14866" width="18.5703125" style="57" customWidth="1"/>
    <col min="14867" max="14867" width="2.140625" style="57" customWidth="1"/>
    <col min="14868" max="14868" width="10.42578125" style="57" customWidth="1"/>
    <col min="14869" max="15110" width="9.140625" style="57"/>
    <col min="15111" max="15111" width="10" style="57" customWidth="1"/>
    <col min="15112" max="15112" width="40" style="57" customWidth="1"/>
    <col min="15113" max="15113" width="12.5703125" style="57" customWidth="1"/>
    <col min="15114" max="15115" width="10.42578125" style="57" customWidth="1"/>
    <col min="15116" max="15116" width="11.5703125" style="57" customWidth="1"/>
    <col min="15117" max="15118" width="10.42578125" style="57" customWidth="1"/>
    <col min="15119" max="15119" width="6.5703125" style="57" customWidth="1"/>
    <col min="15120" max="15120" width="11.42578125" style="57" customWidth="1"/>
    <col min="15121" max="15121" width="4.140625" style="57" customWidth="1"/>
    <col min="15122" max="15122" width="18.5703125" style="57" customWidth="1"/>
    <col min="15123" max="15123" width="2.140625" style="57" customWidth="1"/>
    <col min="15124" max="15124" width="10.42578125" style="57" customWidth="1"/>
    <col min="15125" max="15366" width="9.140625" style="57"/>
    <col min="15367" max="15367" width="10" style="57" customWidth="1"/>
    <col min="15368" max="15368" width="40" style="57" customWidth="1"/>
    <col min="15369" max="15369" width="12.5703125" style="57" customWidth="1"/>
    <col min="15370" max="15371" width="10.42578125" style="57" customWidth="1"/>
    <col min="15372" max="15372" width="11.5703125" style="57" customWidth="1"/>
    <col min="15373" max="15374" width="10.42578125" style="57" customWidth="1"/>
    <col min="15375" max="15375" width="6.5703125" style="57" customWidth="1"/>
    <col min="15376" max="15376" width="11.42578125" style="57" customWidth="1"/>
    <col min="15377" max="15377" width="4.140625" style="57" customWidth="1"/>
    <col min="15378" max="15378" width="18.5703125" style="57" customWidth="1"/>
    <col min="15379" max="15379" width="2.140625" style="57" customWidth="1"/>
    <col min="15380" max="15380" width="10.42578125" style="57" customWidth="1"/>
    <col min="15381" max="15622" width="9.140625" style="57"/>
    <col min="15623" max="15623" width="10" style="57" customWidth="1"/>
    <col min="15624" max="15624" width="40" style="57" customWidth="1"/>
    <col min="15625" max="15625" width="12.5703125" style="57" customWidth="1"/>
    <col min="15626" max="15627" width="10.42578125" style="57" customWidth="1"/>
    <col min="15628" max="15628" width="11.5703125" style="57" customWidth="1"/>
    <col min="15629" max="15630" width="10.42578125" style="57" customWidth="1"/>
    <col min="15631" max="15631" width="6.5703125" style="57" customWidth="1"/>
    <col min="15632" max="15632" width="11.42578125" style="57" customWidth="1"/>
    <col min="15633" max="15633" width="4.140625" style="57" customWidth="1"/>
    <col min="15634" max="15634" width="18.5703125" style="57" customWidth="1"/>
    <col min="15635" max="15635" width="2.140625" style="57" customWidth="1"/>
    <col min="15636" max="15636" width="10.42578125" style="57" customWidth="1"/>
    <col min="15637" max="15878" width="9.140625" style="57"/>
    <col min="15879" max="15879" width="10" style="57" customWidth="1"/>
    <col min="15880" max="15880" width="40" style="57" customWidth="1"/>
    <col min="15881" max="15881" width="12.5703125" style="57" customWidth="1"/>
    <col min="15882" max="15883" width="10.42578125" style="57" customWidth="1"/>
    <col min="15884" max="15884" width="11.5703125" style="57" customWidth="1"/>
    <col min="15885" max="15886" width="10.42578125" style="57" customWidth="1"/>
    <col min="15887" max="15887" width="6.5703125" style="57" customWidth="1"/>
    <col min="15888" max="15888" width="11.42578125" style="57" customWidth="1"/>
    <col min="15889" max="15889" width="4.140625" style="57" customWidth="1"/>
    <col min="15890" max="15890" width="18.5703125" style="57" customWidth="1"/>
    <col min="15891" max="15891" width="2.140625" style="57" customWidth="1"/>
    <col min="15892" max="15892" width="10.42578125" style="57" customWidth="1"/>
    <col min="15893" max="16134" width="9.140625" style="57"/>
    <col min="16135" max="16135" width="10" style="57" customWidth="1"/>
    <col min="16136" max="16136" width="40" style="57" customWidth="1"/>
    <col min="16137" max="16137" width="12.5703125" style="57" customWidth="1"/>
    <col min="16138" max="16139" width="10.42578125" style="57" customWidth="1"/>
    <col min="16140" max="16140" width="11.5703125" style="57" customWidth="1"/>
    <col min="16141" max="16142" width="10.42578125" style="57" customWidth="1"/>
    <col min="16143" max="16143" width="6.5703125" style="57" customWidth="1"/>
    <col min="16144" max="16144" width="11.42578125" style="57" customWidth="1"/>
    <col min="16145" max="16145" width="4.140625" style="57" customWidth="1"/>
    <col min="16146" max="16146" width="18.5703125" style="57" customWidth="1"/>
    <col min="16147" max="16147" width="2.140625" style="57" customWidth="1"/>
    <col min="16148" max="16148" width="10.42578125" style="57" customWidth="1"/>
    <col min="16149" max="16384" width="9.140625" style="57"/>
  </cols>
  <sheetData>
    <row r="1" spans="2:21" ht="13.5" customHeight="1" x14ac:dyDescent="0.25">
      <c r="H1" s="781" t="s">
        <v>38</v>
      </c>
      <c r="I1" s="781"/>
      <c r="J1" s="781"/>
      <c r="K1" s="781"/>
      <c r="L1" s="781"/>
      <c r="M1" s="782" t="s">
        <v>39</v>
      </c>
      <c r="N1" s="782"/>
      <c r="O1" s="783" t="s">
        <v>40</v>
      </c>
      <c r="P1" s="783"/>
      <c r="Q1" s="783"/>
    </row>
    <row r="2" spans="2:21" s="59" customFormat="1" ht="15" customHeight="1" x14ac:dyDescent="0.25">
      <c r="B2" s="60" t="s">
        <v>41</v>
      </c>
      <c r="C2" s="61" t="s">
        <v>42</v>
      </c>
      <c r="D2" s="61" t="s">
        <v>43</v>
      </c>
      <c r="E2" s="61" t="s">
        <v>44</v>
      </c>
      <c r="F2" s="61" t="s">
        <v>45</v>
      </c>
      <c r="G2" s="62" t="s">
        <v>46</v>
      </c>
      <c r="H2" s="60" t="s">
        <v>47</v>
      </c>
      <c r="I2" s="61" t="s">
        <v>48</v>
      </c>
      <c r="J2" s="62" t="s">
        <v>47</v>
      </c>
      <c r="K2" s="62" t="s">
        <v>48</v>
      </c>
      <c r="L2" s="63" t="s">
        <v>49</v>
      </c>
      <c r="M2" s="64" t="s">
        <v>39</v>
      </c>
      <c r="N2" s="63" t="s">
        <v>49</v>
      </c>
      <c r="O2" s="64" t="s">
        <v>47</v>
      </c>
      <c r="P2" s="65" t="s">
        <v>48</v>
      </c>
      <c r="Q2" s="63" t="s">
        <v>49</v>
      </c>
      <c r="R2" s="66" t="s">
        <v>50</v>
      </c>
    </row>
    <row r="3" spans="2:21" ht="15" customHeight="1" x14ac:dyDescent="0.25">
      <c r="B3" s="67">
        <v>2</v>
      </c>
      <c r="C3" s="68" t="s">
        <v>51</v>
      </c>
      <c r="D3" s="68" t="s">
        <v>52</v>
      </c>
      <c r="E3" s="69">
        <v>44599</v>
      </c>
      <c r="F3" s="69"/>
      <c r="G3" s="70"/>
      <c r="H3" s="71"/>
      <c r="I3" s="72"/>
      <c r="J3" s="73"/>
      <c r="K3" s="73"/>
      <c r="L3" s="74">
        <f>(I3-H3)</f>
        <v>0</v>
      </c>
      <c r="M3" s="75"/>
      <c r="N3" s="76"/>
      <c r="O3" s="108">
        <v>45369</v>
      </c>
      <c r="P3" s="109">
        <v>45375</v>
      </c>
      <c r="Q3" s="79">
        <v>5</v>
      </c>
      <c r="R3" s="80"/>
      <c r="T3" s="81" t="s">
        <v>53</v>
      </c>
      <c r="U3" s="82">
        <v>3</v>
      </c>
    </row>
    <row r="4" spans="2:21" ht="15" customHeight="1" x14ac:dyDescent="0.25">
      <c r="B4" s="67">
        <v>1</v>
      </c>
      <c r="C4" s="68" t="s">
        <v>54</v>
      </c>
      <c r="D4" s="68" t="s">
        <v>52</v>
      </c>
      <c r="E4" s="69">
        <v>44599</v>
      </c>
      <c r="F4" s="69"/>
      <c r="G4" s="70"/>
      <c r="H4" s="71"/>
      <c r="I4" s="72"/>
      <c r="J4" s="73"/>
      <c r="K4" s="73"/>
      <c r="L4" s="74">
        <f>(I4-H4)</f>
        <v>0</v>
      </c>
      <c r="M4" s="75"/>
      <c r="N4" s="76"/>
      <c r="O4" s="77"/>
      <c r="P4" s="78"/>
      <c r="Q4" s="79"/>
      <c r="R4" s="80"/>
      <c r="T4" s="83" t="s">
        <v>44</v>
      </c>
      <c r="U4" s="84">
        <v>0</v>
      </c>
    </row>
    <row r="5" spans="2:21" ht="15" customHeight="1" x14ac:dyDescent="0.25">
      <c r="B5" s="85">
        <v>3</v>
      </c>
      <c r="C5" s="86" t="s">
        <v>55</v>
      </c>
      <c r="D5" s="86" t="s">
        <v>52</v>
      </c>
      <c r="E5" s="87">
        <v>44602</v>
      </c>
      <c r="F5" s="87"/>
      <c r="G5" s="88"/>
      <c r="H5" s="89"/>
      <c r="I5" s="90"/>
      <c r="J5" s="91"/>
      <c r="K5" s="91"/>
      <c r="L5" s="92">
        <f>(I5-H5)</f>
        <v>0</v>
      </c>
      <c r="M5" s="93"/>
      <c r="N5" s="94"/>
      <c r="O5" s="95"/>
      <c r="P5" s="96"/>
      <c r="Q5" s="97"/>
      <c r="R5" s="98"/>
      <c r="T5" s="83" t="s">
        <v>45</v>
      </c>
      <c r="U5" s="84">
        <v>0</v>
      </c>
    </row>
    <row r="6" spans="2:21" ht="15" customHeight="1" x14ac:dyDescent="0.25">
      <c r="L6" s="99">
        <f>SUM(L3:L5)</f>
        <v>0</v>
      </c>
      <c r="N6" s="99">
        <f>SUM(N3:N5)</f>
        <v>0</v>
      </c>
      <c r="O6" s="99"/>
      <c r="P6" s="99"/>
      <c r="Q6" s="99">
        <f>SUM(Q3:Q5)</f>
        <v>5</v>
      </c>
      <c r="T6" s="100" t="s">
        <v>56</v>
      </c>
      <c r="U6" s="101">
        <f>U3+U4-U5</f>
        <v>3</v>
      </c>
    </row>
    <row r="7" spans="2:21" ht="15" customHeight="1" x14ac:dyDescent="0.25"/>
    <row r="8" spans="2:21" ht="15" customHeight="1" x14ac:dyDescent="0.25">
      <c r="T8" s="81" t="s">
        <v>57</v>
      </c>
      <c r="U8" s="82">
        <v>2</v>
      </c>
    </row>
    <row r="9" spans="2:21" ht="15" customHeight="1" x14ac:dyDescent="0.25">
      <c r="T9" s="100" t="s">
        <v>13</v>
      </c>
      <c r="U9" s="101">
        <f>U6+U8</f>
        <v>5</v>
      </c>
    </row>
    <row r="10" spans="2:21" ht="15" customHeight="1" x14ac:dyDescent="0.25"/>
    <row r="11" spans="2:21" ht="15" customHeight="1" x14ac:dyDescent="0.25">
      <c r="T11" s="784" t="s">
        <v>58</v>
      </c>
      <c r="U11" s="784"/>
    </row>
    <row r="12" spans="2:21" ht="15" customHeight="1" x14ac:dyDescent="0.25">
      <c r="T12" s="83" t="s">
        <v>38</v>
      </c>
      <c r="U12" s="102">
        <f>L6</f>
        <v>0</v>
      </c>
    </row>
    <row r="13" spans="2:21" ht="15" customHeight="1" x14ac:dyDescent="0.25">
      <c r="T13" s="103" t="s">
        <v>39</v>
      </c>
      <c r="U13" s="104">
        <f>N6</f>
        <v>0</v>
      </c>
    </row>
    <row r="14" spans="2:21" ht="15" customHeight="1" x14ac:dyDescent="0.25"/>
    <row r="15" spans="2:21" ht="15" customHeight="1" x14ac:dyDescent="0.25">
      <c r="T15" s="81" t="s">
        <v>40</v>
      </c>
      <c r="U15" s="105">
        <f>Q6</f>
        <v>5</v>
      </c>
    </row>
    <row r="16" spans="2:21" ht="15" customHeight="1" x14ac:dyDescent="0.25">
      <c r="T16" s="103" t="s">
        <v>59</v>
      </c>
      <c r="U16" s="104">
        <v>0</v>
      </c>
    </row>
    <row r="17" spans="20:21" ht="15" customHeight="1" x14ac:dyDescent="0.25"/>
    <row r="18" spans="20:21" ht="15" customHeight="1" x14ac:dyDescent="0.25">
      <c r="T18" s="106" t="s">
        <v>22</v>
      </c>
      <c r="U18" s="107">
        <v>20</v>
      </c>
    </row>
    <row r="19" spans="20:21" ht="15" customHeight="1" x14ac:dyDescent="0.25"/>
    <row r="20" spans="20:21" ht="15" customHeight="1" x14ac:dyDescent="0.25"/>
    <row r="21" spans="20:21" ht="15" customHeight="1" x14ac:dyDescent="0.25"/>
    <row r="22" spans="20:21" ht="15" customHeight="1" x14ac:dyDescent="0.25"/>
    <row r="23" spans="20:21" ht="15" customHeight="1" x14ac:dyDescent="0.25"/>
    <row r="24" spans="20:21" ht="15" customHeight="1" x14ac:dyDescent="0.25"/>
    <row r="25" spans="20:21" ht="15" customHeight="1" x14ac:dyDescent="0.25"/>
    <row r="26" spans="20:21" ht="15" customHeight="1" x14ac:dyDescent="0.25"/>
    <row r="27" spans="20:21" ht="15" customHeight="1" x14ac:dyDescent="0.25"/>
    <row r="28" spans="20:21" ht="15" customHeight="1" x14ac:dyDescent="0.25"/>
    <row r="29" spans="20:21" ht="15" customHeight="1" x14ac:dyDescent="0.25"/>
    <row r="30" spans="20:21" ht="15" customHeight="1" x14ac:dyDescent="0.25"/>
    <row r="31" spans="20:21" ht="15" customHeight="1" x14ac:dyDescent="0.25"/>
    <row r="32" spans="20:21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</sheetData>
  <mergeCells count="4">
    <mergeCell ref="H1:L1"/>
    <mergeCell ref="M1:N1"/>
    <mergeCell ref="O1:Q1"/>
    <mergeCell ref="T11:U11"/>
  </mergeCells>
  <pageMargins left="0.25" right="0.25" top="0.75" bottom="0.75" header="0.511811023622047" footer="0.511811023622047"/>
  <pageSetup paperSize="9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U36"/>
  <sheetViews>
    <sheetView showGridLines="0" zoomScaleNormal="100" workbookViewId="0">
      <selection activeCell="E15" sqref="E15"/>
    </sheetView>
  </sheetViews>
  <sheetFormatPr defaultColWidth="9.140625" defaultRowHeight="12.75" x14ac:dyDescent="0.25"/>
  <cols>
    <col min="1" max="1" width="9.140625" style="57"/>
    <col min="2" max="2" width="10" style="57" customWidth="1"/>
    <col min="3" max="3" width="40" style="57" customWidth="1"/>
    <col min="4" max="4" width="12.5703125" style="57" customWidth="1"/>
    <col min="5" max="6" width="10.42578125" style="57" customWidth="1"/>
    <col min="7" max="7" width="11.5703125" style="57" customWidth="1"/>
    <col min="8" max="9" width="10.42578125" style="57" customWidth="1"/>
    <col min="10" max="10" width="5" style="57" customWidth="1"/>
    <col min="11" max="11" width="3.85546875" style="57" customWidth="1"/>
    <col min="12" max="12" width="4.140625" style="57" customWidth="1"/>
    <col min="13" max="13" width="11.42578125" style="58" customWidth="1"/>
    <col min="14" max="14" width="4.140625" style="57" customWidth="1"/>
    <col min="15" max="16" width="10.42578125" style="57" customWidth="1"/>
    <col min="17" max="17" width="4.140625" style="57" customWidth="1"/>
    <col min="18" max="18" width="27.140625" style="57" customWidth="1"/>
    <col min="19" max="19" width="2.140625" style="57" customWidth="1"/>
    <col min="20" max="20" width="13.140625" style="57" customWidth="1"/>
    <col min="21" max="21" width="3" style="57" customWidth="1"/>
    <col min="22" max="262" width="9.140625" style="57"/>
    <col min="263" max="263" width="10" style="57" customWidth="1"/>
    <col min="264" max="264" width="40" style="57" customWidth="1"/>
    <col min="265" max="265" width="12.5703125" style="57" customWidth="1"/>
    <col min="266" max="267" width="10.42578125" style="57" customWidth="1"/>
    <col min="268" max="268" width="11.5703125" style="57" customWidth="1"/>
    <col min="269" max="270" width="10.42578125" style="57" customWidth="1"/>
    <col min="271" max="271" width="6.5703125" style="57" customWidth="1"/>
    <col min="272" max="272" width="11.42578125" style="57" customWidth="1"/>
    <col min="273" max="273" width="4.140625" style="57" customWidth="1"/>
    <col min="274" max="274" width="18.5703125" style="57" customWidth="1"/>
    <col min="275" max="275" width="2.140625" style="57" customWidth="1"/>
    <col min="276" max="276" width="10.42578125" style="57" customWidth="1"/>
    <col min="277" max="518" width="9.140625" style="57"/>
    <col min="519" max="519" width="10" style="57" customWidth="1"/>
    <col min="520" max="520" width="40" style="57" customWidth="1"/>
    <col min="521" max="521" width="12.5703125" style="57" customWidth="1"/>
    <col min="522" max="523" width="10.42578125" style="57" customWidth="1"/>
    <col min="524" max="524" width="11.5703125" style="57" customWidth="1"/>
    <col min="525" max="526" width="10.42578125" style="57" customWidth="1"/>
    <col min="527" max="527" width="6.5703125" style="57" customWidth="1"/>
    <col min="528" max="528" width="11.42578125" style="57" customWidth="1"/>
    <col min="529" max="529" width="4.140625" style="57" customWidth="1"/>
    <col min="530" max="530" width="18.5703125" style="57" customWidth="1"/>
    <col min="531" max="531" width="2.140625" style="57" customWidth="1"/>
    <col min="532" max="532" width="10.42578125" style="57" customWidth="1"/>
    <col min="533" max="774" width="9.140625" style="57"/>
    <col min="775" max="775" width="10" style="57" customWidth="1"/>
    <col min="776" max="776" width="40" style="57" customWidth="1"/>
    <col min="777" max="777" width="12.5703125" style="57" customWidth="1"/>
    <col min="778" max="779" width="10.42578125" style="57" customWidth="1"/>
    <col min="780" max="780" width="11.5703125" style="57" customWidth="1"/>
    <col min="781" max="782" width="10.42578125" style="57" customWidth="1"/>
    <col min="783" max="783" width="6.5703125" style="57" customWidth="1"/>
    <col min="784" max="784" width="11.42578125" style="57" customWidth="1"/>
    <col min="785" max="785" width="4.140625" style="57" customWidth="1"/>
    <col min="786" max="786" width="18.5703125" style="57" customWidth="1"/>
    <col min="787" max="787" width="2.140625" style="57" customWidth="1"/>
    <col min="788" max="788" width="10.42578125" style="57" customWidth="1"/>
    <col min="789" max="1030" width="9.140625" style="57"/>
    <col min="1031" max="1031" width="10" style="57" customWidth="1"/>
    <col min="1032" max="1032" width="40" style="57" customWidth="1"/>
    <col min="1033" max="1033" width="12.5703125" style="57" customWidth="1"/>
    <col min="1034" max="1035" width="10.42578125" style="57" customWidth="1"/>
    <col min="1036" max="1036" width="11.5703125" style="57" customWidth="1"/>
    <col min="1037" max="1038" width="10.42578125" style="57" customWidth="1"/>
    <col min="1039" max="1039" width="6.5703125" style="57" customWidth="1"/>
    <col min="1040" max="1040" width="11.42578125" style="57" customWidth="1"/>
    <col min="1041" max="1041" width="4.140625" style="57" customWidth="1"/>
    <col min="1042" max="1042" width="18.5703125" style="57" customWidth="1"/>
    <col min="1043" max="1043" width="2.140625" style="57" customWidth="1"/>
    <col min="1044" max="1044" width="10.42578125" style="57" customWidth="1"/>
    <col min="1045" max="1286" width="9.140625" style="57"/>
    <col min="1287" max="1287" width="10" style="57" customWidth="1"/>
    <col min="1288" max="1288" width="40" style="57" customWidth="1"/>
    <col min="1289" max="1289" width="12.5703125" style="57" customWidth="1"/>
    <col min="1290" max="1291" width="10.42578125" style="57" customWidth="1"/>
    <col min="1292" max="1292" width="11.5703125" style="57" customWidth="1"/>
    <col min="1293" max="1294" width="10.42578125" style="57" customWidth="1"/>
    <col min="1295" max="1295" width="6.5703125" style="57" customWidth="1"/>
    <col min="1296" max="1296" width="11.42578125" style="57" customWidth="1"/>
    <col min="1297" max="1297" width="4.140625" style="57" customWidth="1"/>
    <col min="1298" max="1298" width="18.5703125" style="57" customWidth="1"/>
    <col min="1299" max="1299" width="2.140625" style="57" customWidth="1"/>
    <col min="1300" max="1300" width="10.42578125" style="57" customWidth="1"/>
    <col min="1301" max="1542" width="9.140625" style="57"/>
    <col min="1543" max="1543" width="10" style="57" customWidth="1"/>
    <col min="1544" max="1544" width="40" style="57" customWidth="1"/>
    <col min="1545" max="1545" width="12.5703125" style="57" customWidth="1"/>
    <col min="1546" max="1547" width="10.42578125" style="57" customWidth="1"/>
    <col min="1548" max="1548" width="11.5703125" style="57" customWidth="1"/>
    <col min="1549" max="1550" width="10.42578125" style="57" customWidth="1"/>
    <col min="1551" max="1551" width="6.5703125" style="57" customWidth="1"/>
    <col min="1552" max="1552" width="11.42578125" style="57" customWidth="1"/>
    <col min="1553" max="1553" width="4.140625" style="57" customWidth="1"/>
    <col min="1554" max="1554" width="18.5703125" style="57" customWidth="1"/>
    <col min="1555" max="1555" width="2.140625" style="57" customWidth="1"/>
    <col min="1556" max="1556" width="10.42578125" style="57" customWidth="1"/>
    <col min="1557" max="1798" width="9.140625" style="57"/>
    <col min="1799" max="1799" width="10" style="57" customWidth="1"/>
    <col min="1800" max="1800" width="40" style="57" customWidth="1"/>
    <col min="1801" max="1801" width="12.5703125" style="57" customWidth="1"/>
    <col min="1802" max="1803" width="10.42578125" style="57" customWidth="1"/>
    <col min="1804" max="1804" width="11.5703125" style="57" customWidth="1"/>
    <col min="1805" max="1806" width="10.42578125" style="57" customWidth="1"/>
    <col min="1807" max="1807" width="6.5703125" style="57" customWidth="1"/>
    <col min="1808" max="1808" width="11.42578125" style="57" customWidth="1"/>
    <col min="1809" max="1809" width="4.140625" style="57" customWidth="1"/>
    <col min="1810" max="1810" width="18.5703125" style="57" customWidth="1"/>
    <col min="1811" max="1811" width="2.140625" style="57" customWidth="1"/>
    <col min="1812" max="1812" width="10.42578125" style="57" customWidth="1"/>
    <col min="1813" max="2054" width="9.140625" style="57"/>
    <col min="2055" max="2055" width="10" style="57" customWidth="1"/>
    <col min="2056" max="2056" width="40" style="57" customWidth="1"/>
    <col min="2057" max="2057" width="12.5703125" style="57" customWidth="1"/>
    <col min="2058" max="2059" width="10.42578125" style="57" customWidth="1"/>
    <col min="2060" max="2060" width="11.5703125" style="57" customWidth="1"/>
    <col min="2061" max="2062" width="10.42578125" style="57" customWidth="1"/>
    <col min="2063" max="2063" width="6.5703125" style="57" customWidth="1"/>
    <col min="2064" max="2064" width="11.42578125" style="57" customWidth="1"/>
    <col min="2065" max="2065" width="4.140625" style="57" customWidth="1"/>
    <col min="2066" max="2066" width="18.5703125" style="57" customWidth="1"/>
    <col min="2067" max="2067" width="2.140625" style="57" customWidth="1"/>
    <col min="2068" max="2068" width="10.42578125" style="57" customWidth="1"/>
    <col min="2069" max="2310" width="9.140625" style="57"/>
    <col min="2311" max="2311" width="10" style="57" customWidth="1"/>
    <col min="2312" max="2312" width="40" style="57" customWidth="1"/>
    <col min="2313" max="2313" width="12.5703125" style="57" customWidth="1"/>
    <col min="2314" max="2315" width="10.42578125" style="57" customWidth="1"/>
    <col min="2316" max="2316" width="11.5703125" style="57" customWidth="1"/>
    <col min="2317" max="2318" width="10.42578125" style="57" customWidth="1"/>
    <col min="2319" max="2319" width="6.5703125" style="57" customWidth="1"/>
    <col min="2320" max="2320" width="11.42578125" style="57" customWidth="1"/>
    <col min="2321" max="2321" width="4.140625" style="57" customWidth="1"/>
    <col min="2322" max="2322" width="18.5703125" style="57" customWidth="1"/>
    <col min="2323" max="2323" width="2.140625" style="57" customWidth="1"/>
    <col min="2324" max="2324" width="10.42578125" style="57" customWidth="1"/>
    <col min="2325" max="2566" width="9.140625" style="57"/>
    <col min="2567" max="2567" width="10" style="57" customWidth="1"/>
    <col min="2568" max="2568" width="40" style="57" customWidth="1"/>
    <col min="2569" max="2569" width="12.5703125" style="57" customWidth="1"/>
    <col min="2570" max="2571" width="10.42578125" style="57" customWidth="1"/>
    <col min="2572" max="2572" width="11.5703125" style="57" customWidth="1"/>
    <col min="2573" max="2574" width="10.42578125" style="57" customWidth="1"/>
    <col min="2575" max="2575" width="6.5703125" style="57" customWidth="1"/>
    <col min="2576" max="2576" width="11.42578125" style="57" customWidth="1"/>
    <col min="2577" max="2577" width="4.140625" style="57" customWidth="1"/>
    <col min="2578" max="2578" width="18.5703125" style="57" customWidth="1"/>
    <col min="2579" max="2579" width="2.140625" style="57" customWidth="1"/>
    <col min="2580" max="2580" width="10.42578125" style="57" customWidth="1"/>
    <col min="2581" max="2822" width="9.140625" style="57"/>
    <col min="2823" max="2823" width="10" style="57" customWidth="1"/>
    <col min="2824" max="2824" width="40" style="57" customWidth="1"/>
    <col min="2825" max="2825" width="12.5703125" style="57" customWidth="1"/>
    <col min="2826" max="2827" width="10.42578125" style="57" customWidth="1"/>
    <col min="2828" max="2828" width="11.5703125" style="57" customWidth="1"/>
    <col min="2829" max="2830" width="10.42578125" style="57" customWidth="1"/>
    <col min="2831" max="2831" width="6.5703125" style="57" customWidth="1"/>
    <col min="2832" max="2832" width="11.42578125" style="57" customWidth="1"/>
    <col min="2833" max="2833" width="4.140625" style="57" customWidth="1"/>
    <col min="2834" max="2834" width="18.5703125" style="57" customWidth="1"/>
    <col min="2835" max="2835" width="2.140625" style="57" customWidth="1"/>
    <col min="2836" max="2836" width="10.42578125" style="57" customWidth="1"/>
    <col min="2837" max="3078" width="9.140625" style="57"/>
    <col min="3079" max="3079" width="10" style="57" customWidth="1"/>
    <col min="3080" max="3080" width="40" style="57" customWidth="1"/>
    <col min="3081" max="3081" width="12.5703125" style="57" customWidth="1"/>
    <col min="3082" max="3083" width="10.42578125" style="57" customWidth="1"/>
    <col min="3084" max="3084" width="11.5703125" style="57" customWidth="1"/>
    <col min="3085" max="3086" width="10.42578125" style="57" customWidth="1"/>
    <col min="3087" max="3087" width="6.5703125" style="57" customWidth="1"/>
    <col min="3088" max="3088" width="11.42578125" style="57" customWidth="1"/>
    <col min="3089" max="3089" width="4.140625" style="57" customWidth="1"/>
    <col min="3090" max="3090" width="18.5703125" style="57" customWidth="1"/>
    <col min="3091" max="3091" width="2.140625" style="57" customWidth="1"/>
    <col min="3092" max="3092" width="10.42578125" style="57" customWidth="1"/>
    <col min="3093" max="3334" width="9.140625" style="57"/>
    <col min="3335" max="3335" width="10" style="57" customWidth="1"/>
    <col min="3336" max="3336" width="40" style="57" customWidth="1"/>
    <col min="3337" max="3337" width="12.5703125" style="57" customWidth="1"/>
    <col min="3338" max="3339" width="10.42578125" style="57" customWidth="1"/>
    <col min="3340" max="3340" width="11.5703125" style="57" customWidth="1"/>
    <col min="3341" max="3342" width="10.42578125" style="57" customWidth="1"/>
    <col min="3343" max="3343" width="6.5703125" style="57" customWidth="1"/>
    <col min="3344" max="3344" width="11.42578125" style="57" customWidth="1"/>
    <col min="3345" max="3345" width="4.140625" style="57" customWidth="1"/>
    <col min="3346" max="3346" width="18.5703125" style="57" customWidth="1"/>
    <col min="3347" max="3347" width="2.140625" style="57" customWidth="1"/>
    <col min="3348" max="3348" width="10.42578125" style="57" customWidth="1"/>
    <col min="3349" max="3590" width="9.140625" style="57"/>
    <col min="3591" max="3591" width="10" style="57" customWidth="1"/>
    <col min="3592" max="3592" width="40" style="57" customWidth="1"/>
    <col min="3593" max="3593" width="12.5703125" style="57" customWidth="1"/>
    <col min="3594" max="3595" width="10.42578125" style="57" customWidth="1"/>
    <col min="3596" max="3596" width="11.5703125" style="57" customWidth="1"/>
    <col min="3597" max="3598" width="10.42578125" style="57" customWidth="1"/>
    <col min="3599" max="3599" width="6.5703125" style="57" customWidth="1"/>
    <col min="3600" max="3600" width="11.42578125" style="57" customWidth="1"/>
    <col min="3601" max="3601" width="4.140625" style="57" customWidth="1"/>
    <col min="3602" max="3602" width="18.5703125" style="57" customWidth="1"/>
    <col min="3603" max="3603" width="2.140625" style="57" customWidth="1"/>
    <col min="3604" max="3604" width="10.42578125" style="57" customWidth="1"/>
    <col min="3605" max="3846" width="9.140625" style="57"/>
    <col min="3847" max="3847" width="10" style="57" customWidth="1"/>
    <col min="3848" max="3848" width="40" style="57" customWidth="1"/>
    <col min="3849" max="3849" width="12.5703125" style="57" customWidth="1"/>
    <col min="3850" max="3851" width="10.42578125" style="57" customWidth="1"/>
    <col min="3852" max="3852" width="11.5703125" style="57" customWidth="1"/>
    <col min="3853" max="3854" width="10.42578125" style="57" customWidth="1"/>
    <col min="3855" max="3855" width="6.5703125" style="57" customWidth="1"/>
    <col min="3856" max="3856" width="11.42578125" style="57" customWidth="1"/>
    <col min="3857" max="3857" width="4.140625" style="57" customWidth="1"/>
    <col min="3858" max="3858" width="18.5703125" style="57" customWidth="1"/>
    <col min="3859" max="3859" width="2.140625" style="57" customWidth="1"/>
    <col min="3860" max="3860" width="10.42578125" style="57" customWidth="1"/>
    <col min="3861" max="4102" width="9.140625" style="57"/>
    <col min="4103" max="4103" width="10" style="57" customWidth="1"/>
    <col min="4104" max="4104" width="40" style="57" customWidth="1"/>
    <col min="4105" max="4105" width="12.5703125" style="57" customWidth="1"/>
    <col min="4106" max="4107" width="10.42578125" style="57" customWidth="1"/>
    <col min="4108" max="4108" width="11.5703125" style="57" customWidth="1"/>
    <col min="4109" max="4110" width="10.42578125" style="57" customWidth="1"/>
    <col min="4111" max="4111" width="6.5703125" style="57" customWidth="1"/>
    <col min="4112" max="4112" width="11.42578125" style="57" customWidth="1"/>
    <col min="4113" max="4113" width="4.140625" style="57" customWidth="1"/>
    <col min="4114" max="4114" width="18.5703125" style="57" customWidth="1"/>
    <col min="4115" max="4115" width="2.140625" style="57" customWidth="1"/>
    <col min="4116" max="4116" width="10.42578125" style="57" customWidth="1"/>
    <col min="4117" max="4358" width="9.140625" style="57"/>
    <col min="4359" max="4359" width="10" style="57" customWidth="1"/>
    <col min="4360" max="4360" width="40" style="57" customWidth="1"/>
    <col min="4361" max="4361" width="12.5703125" style="57" customWidth="1"/>
    <col min="4362" max="4363" width="10.42578125" style="57" customWidth="1"/>
    <col min="4364" max="4364" width="11.5703125" style="57" customWidth="1"/>
    <col min="4365" max="4366" width="10.42578125" style="57" customWidth="1"/>
    <col min="4367" max="4367" width="6.5703125" style="57" customWidth="1"/>
    <col min="4368" max="4368" width="11.42578125" style="57" customWidth="1"/>
    <col min="4369" max="4369" width="4.140625" style="57" customWidth="1"/>
    <col min="4370" max="4370" width="18.5703125" style="57" customWidth="1"/>
    <col min="4371" max="4371" width="2.140625" style="57" customWidth="1"/>
    <col min="4372" max="4372" width="10.42578125" style="57" customWidth="1"/>
    <col min="4373" max="4614" width="9.140625" style="57"/>
    <col min="4615" max="4615" width="10" style="57" customWidth="1"/>
    <col min="4616" max="4616" width="40" style="57" customWidth="1"/>
    <col min="4617" max="4617" width="12.5703125" style="57" customWidth="1"/>
    <col min="4618" max="4619" width="10.42578125" style="57" customWidth="1"/>
    <col min="4620" max="4620" width="11.5703125" style="57" customWidth="1"/>
    <col min="4621" max="4622" width="10.42578125" style="57" customWidth="1"/>
    <col min="4623" max="4623" width="6.5703125" style="57" customWidth="1"/>
    <col min="4624" max="4624" width="11.42578125" style="57" customWidth="1"/>
    <col min="4625" max="4625" width="4.140625" style="57" customWidth="1"/>
    <col min="4626" max="4626" width="18.5703125" style="57" customWidth="1"/>
    <col min="4627" max="4627" width="2.140625" style="57" customWidth="1"/>
    <col min="4628" max="4628" width="10.42578125" style="57" customWidth="1"/>
    <col min="4629" max="4870" width="9.140625" style="57"/>
    <col min="4871" max="4871" width="10" style="57" customWidth="1"/>
    <col min="4872" max="4872" width="40" style="57" customWidth="1"/>
    <col min="4873" max="4873" width="12.5703125" style="57" customWidth="1"/>
    <col min="4874" max="4875" width="10.42578125" style="57" customWidth="1"/>
    <col min="4876" max="4876" width="11.5703125" style="57" customWidth="1"/>
    <col min="4877" max="4878" width="10.42578125" style="57" customWidth="1"/>
    <col min="4879" max="4879" width="6.5703125" style="57" customWidth="1"/>
    <col min="4880" max="4880" width="11.42578125" style="57" customWidth="1"/>
    <col min="4881" max="4881" width="4.140625" style="57" customWidth="1"/>
    <col min="4882" max="4882" width="18.5703125" style="57" customWidth="1"/>
    <col min="4883" max="4883" width="2.140625" style="57" customWidth="1"/>
    <col min="4884" max="4884" width="10.42578125" style="57" customWidth="1"/>
    <col min="4885" max="5126" width="9.140625" style="57"/>
    <col min="5127" max="5127" width="10" style="57" customWidth="1"/>
    <col min="5128" max="5128" width="40" style="57" customWidth="1"/>
    <col min="5129" max="5129" width="12.5703125" style="57" customWidth="1"/>
    <col min="5130" max="5131" width="10.42578125" style="57" customWidth="1"/>
    <col min="5132" max="5132" width="11.5703125" style="57" customWidth="1"/>
    <col min="5133" max="5134" width="10.42578125" style="57" customWidth="1"/>
    <col min="5135" max="5135" width="6.5703125" style="57" customWidth="1"/>
    <col min="5136" max="5136" width="11.42578125" style="57" customWidth="1"/>
    <col min="5137" max="5137" width="4.140625" style="57" customWidth="1"/>
    <col min="5138" max="5138" width="18.5703125" style="57" customWidth="1"/>
    <col min="5139" max="5139" width="2.140625" style="57" customWidth="1"/>
    <col min="5140" max="5140" width="10.42578125" style="57" customWidth="1"/>
    <col min="5141" max="5382" width="9.140625" style="57"/>
    <col min="5383" max="5383" width="10" style="57" customWidth="1"/>
    <col min="5384" max="5384" width="40" style="57" customWidth="1"/>
    <col min="5385" max="5385" width="12.5703125" style="57" customWidth="1"/>
    <col min="5386" max="5387" width="10.42578125" style="57" customWidth="1"/>
    <col min="5388" max="5388" width="11.5703125" style="57" customWidth="1"/>
    <col min="5389" max="5390" width="10.42578125" style="57" customWidth="1"/>
    <col min="5391" max="5391" width="6.5703125" style="57" customWidth="1"/>
    <col min="5392" max="5392" width="11.42578125" style="57" customWidth="1"/>
    <col min="5393" max="5393" width="4.140625" style="57" customWidth="1"/>
    <col min="5394" max="5394" width="18.5703125" style="57" customWidth="1"/>
    <col min="5395" max="5395" width="2.140625" style="57" customWidth="1"/>
    <col min="5396" max="5396" width="10.42578125" style="57" customWidth="1"/>
    <col min="5397" max="5638" width="9.140625" style="57"/>
    <col min="5639" max="5639" width="10" style="57" customWidth="1"/>
    <col min="5640" max="5640" width="40" style="57" customWidth="1"/>
    <col min="5641" max="5641" width="12.5703125" style="57" customWidth="1"/>
    <col min="5642" max="5643" width="10.42578125" style="57" customWidth="1"/>
    <col min="5644" max="5644" width="11.5703125" style="57" customWidth="1"/>
    <col min="5645" max="5646" width="10.42578125" style="57" customWidth="1"/>
    <col min="5647" max="5647" width="6.5703125" style="57" customWidth="1"/>
    <col min="5648" max="5648" width="11.42578125" style="57" customWidth="1"/>
    <col min="5649" max="5649" width="4.140625" style="57" customWidth="1"/>
    <col min="5650" max="5650" width="18.5703125" style="57" customWidth="1"/>
    <col min="5651" max="5651" width="2.140625" style="57" customWidth="1"/>
    <col min="5652" max="5652" width="10.42578125" style="57" customWidth="1"/>
    <col min="5653" max="5894" width="9.140625" style="57"/>
    <col min="5895" max="5895" width="10" style="57" customWidth="1"/>
    <col min="5896" max="5896" width="40" style="57" customWidth="1"/>
    <col min="5897" max="5897" width="12.5703125" style="57" customWidth="1"/>
    <col min="5898" max="5899" width="10.42578125" style="57" customWidth="1"/>
    <col min="5900" max="5900" width="11.5703125" style="57" customWidth="1"/>
    <col min="5901" max="5902" width="10.42578125" style="57" customWidth="1"/>
    <col min="5903" max="5903" width="6.5703125" style="57" customWidth="1"/>
    <col min="5904" max="5904" width="11.42578125" style="57" customWidth="1"/>
    <col min="5905" max="5905" width="4.140625" style="57" customWidth="1"/>
    <col min="5906" max="5906" width="18.5703125" style="57" customWidth="1"/>
    <col min="5907" max="5907" width="2.140625" style="57" customWidth="1"/>
    <col min="5908" max="5908" width="10.42578125" style="57" customWidth="1"/>
    <col min="5909" max="6150" width="9.140625" style="57"/>
    <col min="6151" max="6151" width="10" style="57" customWidth="1"/>
    <col min="6152" max="6152" width="40" style="57" customWidth="1"/>
    <col min="6153" max="6153" width="12.5703125" style="57" customWidth="1"/>
    <col min="6154" max="6155" width="10.42578125" style="57" customWidth="1"/>
    <col min="6156" max="6156" width="11.5703125" style="57" customWidth="1"/>
    <col min="6157" max="6158" width="10.42578125" style="57" customWidth="1"/>
    <col min="6159" max="6159" width="6.5703125" style="57" customWidth="1"/>
    <col min="6160" max="6160" width="11.42578125" style="57" customWidth="1"/>
    <col min="6161" max="6161" width="4.140625" style="57" customWidth="1"/>
    <col min="6162" max="6162" width="18.5703125" style="57" customWidth="1"/>
    <col min="6163" max="6163" width="2.140625" style="57" customWidth="1"/>
    <col min="6164" max="6164" width="10.42578125" style="57" customWidth="1"/>
    <col min="6165" max="6406" width="9.140625" style="57"/>
    <col min="6407" max="6407" width="10" style="57" customWidth="1"/>
    <col min="6408" max="6408" width="40" style="57" customWidth="1"/>
    <col min="6409" max="6409" width="12.5703125" style="57" customWidth="1"/>
    <col min="6410" max="6411" width="10.42578125" style="57" customWidth="1"/>
    <col min="6412" max="6412" width="11.5703125" style="57" customWidth="1"/>
    <col min="6413" max="6414" width="10.42578125" style="57" customWidth="1"/>
    <col min="6415" max="6415" width="6.5703125" style="57" customWidth="1"/>
    <col min="6416" max="6416" width="11.42578125" style="57" customWidth="1"/>
    <col min="6417" max="6417" width="4.140625" style="57" customWidth="1"/>
    <col min="6418" max="6418" width="18.5703125" style="57" customWidth="1"/>
    <col min="6419" max="6419" width="2.140625" style="57" customWidth="1"/>
    <col min="6420" max="6420" width="10.42578125" style="57" customWidth="1"/>
    <col min="6421" max="6662" width="9.140625" style="57"/>
    <col min="6663" max="6663" width="10" style="57" customWidth="1"/>
    <col min="6664" max="6664" width="40" style="57" customWidth="1"/>
    <col min="6665" max="6665" width="12.5703125" style="57" customWidth="1"/>
    <col min="6666" max="6667" width="10.42578125" style="57" customWidth="1"/>
    <col min="6668" max="6668" width="11.5703125" style="57" customWidth="1"/>
    <col min="6669" max="6670" width="10.42578125" style="57" customWidth="1"/>
    <col min="6671" max="6671" width="6.5703125" style="57" customWidth="1"/>
    <col min="6672" max="6672" width="11.42578125" style="57" customWidth="1"/>
    <col min="6673" max="6673" width="4.140625" style="57" customWidth="1"/>
    <col min="6674" max="6674" width="18.5703125" style="57" customWidth="1"/>
    <col min="6675" max="6675" width="2.140625" style="57" customWidth="1"/>
    <col min="6676" max="6676" width="10.42578125" style="57" customWidth="1"/>
    <col min="6677" max="6918" width="9.140625" style="57"/>
    <col min="6919" max="6919" width="10" style="57" customWidth="1"/>
    <col min="6920" max="6920" width="40" style="57" customWidth="1"/>
    <col min="6921" max="6921" width="12.5703125" style="57" customWidth="1"/>
    <col min="6922" max="6923" width="10.42578125" style="57" customWidth="1"/>
    <col min="6924" max="6924" width="11.5703125" style="57" customWidth="1"/>
    <col min="6925" max="6926" width="10.42578125" style="57" customWidth="1"/>
    <col min="6927" max="6927" width="6.5703125" style="57" customWidth="1"/>
    <col min="6928" max="6928" width="11.42578125" style="57" customWidth="1"/>
    <col min="6929" max="6929" width="4.140625" style="57" customWidth="1"/>
    <col min="6930" max="6930" width="18.5703125" style="57" customWidth="1"/>
    <col min="6931" max="6931" width="2.140625" style="57" customWidth="1"/>
    <col min="6932" max="6932" width="10.42578125" style="57" customWidth="1"/>
    <col min="6933" max="7174" width="9.140625" style="57"/>
    <col min="7175" max="7175" width="10" style="57" customWidth="1"/>
    <col min="7176" max="7176" width="40" style="57" customWidth="1"/>
    <col min="7177" max="7177" width="12.5703125" style="57" customWidth="1"/>
    <col min="7178" max="7179" width="10.42578125" style="57" customWidth="1"/>
    <col min="7180" max="7180" width="11.5703125" style="57" customWidth="1"/>
    <col min="7181" max="7182" width="10.42578125" style="57" customWidth="1"/>
    <col min="7183" max="7183" width="6.5703125" style="57" customWidth="1"/>
    <col min="7184" max="7184" width="11.42578125" style="57" customWidth="1"/>
    <col min="7185" max="7185" width="4.140625" style="57" customWidth="1"/>
    <col min="7186" max="7186" width="18.5703125" style="57" customWidth="1"/>
    <col min="7187" max="7187" width="2.140625" style="57" customWidth="1"/>
    <col min="7188" max="7188" width="10.42578125" style="57" customWidth="1"/>
    <col min="7189" max="7430" width="9.140625" style="57"/>
    <col min="7431" max="7431" width="10" style="57" customWidth="1"/>
    <col min="7432" max="7432" width="40" style="57" customWidth="1"/>
    <col min="7433" max="7433" width="12.5703125" style="57" customWidth="1"/>
    <col min="7434" max="7435" width="10.42578125" style="57" customWidth="1"/>
    <col min="7436" max="7436" width="11.5703125" style="57" customWidth="1"/>
    <col min="7437" max="7438" width="10.42578125" style="57" customWidth="1"/>
    <col min="7439" max="7439" width="6.5703125" style="57" customWidth="1"/>
    <col min="7440" max="7440" width="11.42578125" style="57" customWidth="1"/>
    <col min="7441" max="7441" width="4.140625" style="57" customWidth="1"/>
    <col min="7442" max="7442" width="18.5703125" style="57" customWidth="1"/>
    <col min="7443" max="7443" width="2.140625" style="57" customWidth="1"/>
    <col min="7444" max="7444" width="10.42578125" style="57" customWidth="1"/>
    <col min="7445" max="7686" width="9.140625" style="57"/>
    <col min="7687" max="7687" width="10" style="57" customWidth="1"/>
    <col min="7688" max="7688" width="40" style="57" customWidth="1"/>
    <col min="7689" max="7689" width="12.5703125" style="57" customWidth="1"/>
    <col min="7690" max="7691" width="10.42578125" style="57" customWidth="1"/>
    <col min="7692" max="7692" width="11.5703125" style="57" customWidth="1"/>
    <col min="7693" max="7694" width="10.42578125" style="57" customWidth="1"/>
    <col min="7695" max="7695" width="6.5703125" style="57" customWidth="1"/>
    <col min="7696" max="7696" width="11.42578125" style="57" customWidth="1"/>
    <col min="7697" max="7697" width="4.140625" style="57" customWidth="1"/>
    <col min="7698" max="7698" width="18.5703125" style="57" customWidth="1"/>
    <col min="7699" max="7699" width="2.140625" style="57" customWidth="1"/>
    <col min="7700" max="7700" width="10.42578125" style="57" customWidth="1"/>
    <col min="7701" max="7942" width="9.140625" style="57"/>
    <col min="7943" max="7943" width="10" style="57" customWidth="1"/>
    <col min="7944" max="7944" width="40" style="57" customWidth="1"/>
    <col min="7945" max="7945" width="12.5703125" style="57" customWidth="1"/>
    <col min="7946" max="7947" width="10.42578125" style="57" customWidth="1"/>
    <col min="7948" max="7948" width="11.5703125" style="57" customWidth="1"/>
    <col min="7949" max="7950" width="10.42578125" style="57" customWidth="1"/>
    <col min="7951" max="7951" width="6.5703125" style="57" customWidth="1"/>
    <col min="7952" max="7952" width="11.42578125" style="57" customWidth="1"/>
    <col min="7953" max="7953" width="4.140625" style="57" customWidth="1"/>
    <col min="7954" max="7954" width="18.5703125" style="57" customWidth="1"/>
    <col min="7955" max="7955" width="2.140625" style="57" customWidth="1"/>
    <col min="7956" max="7956" width="10.42578125" style="57" customWidth="1"/>
    <col min="7957" max="8198" width="9.140625" style="57"/>
    <col min="8199" max="8199" width="10" style="57" customWidth="1"/>
    <col min="8200" max="8200" width="40" style="57" customWidth="1"/>
    <col min="8201" max="8201" width="12.5703125" style="57" customWidth="1"/>
    <col min="8202" max="8203" width="10.42578125" style="57" customWidth="1"/>
    <col min="8204" max="8204" width="11.5703125" style="57" customWidth="1"/>
    <col min="8205" max="8206" width="10.42578125" style="57" customWidth="1"/>
    <col min="8207" max="8207" width="6.5703125" style="57" customWidth="1"/>
    <col min="8208" max="8208" width="11.42578125" style="57" customWidth="1"/>
    <col min="8209" max="8209" width="4.140625" style="57" customWidth="1"/>
    <col min="8210" max="8210" width="18.5703125" style="57" customWidth="1"/>
    <col min="8211" max="8211" width="2.140625" style="57" customWidth="1"/>
    <col min="8212" max="8212" width="10.42578125" style="57" customWidth="1"/>
    <col min="8213" max="8454" width="9.140625" style="57"/>
    <col min="8455" max="8455" width="10" style="57" customWidth="1"/>
    <col min="8456" max="8456" width="40" style="57" customWidth="1"/>
    <col min="8457" max="8457" width="12.5703125" style="57" customWidth="1"/>
    <col min="8458" max="8459" width="10.42578125" style="57" customWidth="1"/>
    <col min="8460" max="8460" width="11.5703125" style="57" customWidth="1"/>
    <col min="8461" max="8462" width="10.42578125" style="57" customWidth="1"/>
    <col min="8463" max="8463" width="6.5703125" style="57" customWidth="1"/>
    <col min="8464" max="8464" width="11.42578125" style="57" customWidth="1"/>
    <col min="8465" max="8465" width="4.140625" style="57" customWidth="1"/>
    <col min="8466" max="8466" width="18.5703125" style="57" customWidth="1"/>
    <col min="8467" max="8467" width="2.140625" style="57" customWidth="1"/>
    <col min="8468" max="8468" width="10.42578125" style="57" customWidth="1"/>
    <col min="8469" max="8710" width="9.140625" style="57"/>
    <col min="8711" max="8711" width="10" style="57" customWidth="1"/>
    <col min="8712" max="8712" width="40" style="57" customWidth="1"/>
    <col min="8713" max="8713" width="12.5703125" style="57" customWidth="1"/>
    <col min="8714" max="8715" width="10.42578125" style="57" customWidth="1"/>
    <col min="8716" max="8716" width="11.5703125" style="57" customWidth="1"/>
    <col min="8717" max="8718" width="10.42578125" style="57" customWidth="1"/>
    <col min="8719" max="8719" width="6.5703125" style="57" customWidth="1"/>
    <col min="8720" max="8720" width="11.42578125" style="57" customWidth="1"/>
    <col min="8721" max="8721" width="4.140625" style="57" customWidth="1"/>
    <col min="8722" max="8722" width="18.5703125" style="57" customWidth="1"/>
    <col min="8723" max="8723" width="2.140625" style="57" customWidth="1"/>
    <col min="8724" max="8724" width="10.42578125" style="57" customWidth="1"/>
    <col min="8725" max="8966" width="9.140625" style="57"/>
    <col min="8967" max="8967" width="10" style="57" customWidth="1"/>
    <col min="8968" max="8968" width="40" style="57" customWidth="1"/>
    <col min="8969" max="8969" width="12.5703125" style="57" customWidth="1"/>
    <col min="8970" max="8971" width="10.42578125" style="57" customWidth="1"/>
    <col min="8972" max="8972" width="11.5703125" style="57" customWidth="1"/>
    <col min="8973" max="8974" width="10.42578125" style="57" customWidth="1"/>
    <col min="8975" max="8975" width="6.5703125" style="57" customWidth="1"/>
    <col min="8976" max="8976" width="11.42578125" style="57" customWidth="1"/>
    <col min="8977" max="8977" width="4.140625" style="57" customWidth="1"/>
    <col min="8978" max="8978" width="18.5703125" style="57" customWidth="1"/>
    <col min="8979" max="8979" width="2.140625" style="57" customWidth="1"/>
    <col min="8980" max="8980" width="10.42578125" style="57" customWidth="1"/>
    <col min="8981" max="9222" width="9.140625" style="57"/>
    <col min="9223" max="9223" width="10" style="57" customWidth="1"/>
    <col min="9224" max="9224" width="40" style="57" customWidth="1"/>
    <col min="9225" max="9225" width="12.5703125" style="57" customWidth="1"/>
    <col min="9226" max="9227" width="10.42578125" style="57" customWidth="1"/>
    <col min="9228" max="9228" width="11.5703125" style="57" customWidth="1"/>
    <col min="9229" max="9230" width="10.42578125" style="57" customWidth="1"/>
    <col min="9231" max="9231" width="6.5703125" style="57" customWidth="1"/>
    <col min="9232" max="9232" width="11.42578125" style="57" customWidth="1"/>
    <col min="9233" max="9233" width="4.140625" style="57" customWidth="1"/>
    <col min="9234" max="9234" width="18.5703125" style="57" customWidth="1"/>
    <col min="9235" max="9235" width="2.140625" style="57" customWidth="1"/>
    <col min="9236" max="9236" width="10.42578125" style="57" customWidth="1"/>
    <col min="9237" max="9478" width="9.140625" style="57"/>
    <col min="9479" max="9479" width="10" style="57" customWidth="1"/>
    <col min="9480" max="9480" width="40" style="57" customWidth="1"/>
    <col min="9481" max="9481" width="12.5703125" style="57" customWidth="1"/>
    <col min="9482" max="9483" width="10.42578125" style="57" customWidth="1"/>
    <col min="9484" max="9484" width="11.5703125" style="57" customWidth="1"/>
    <col min="9485" max="9486" width="10.42578125" style="57" customWidth="1"/>
    <col min="9487" max="9487" width="6.5703125" style="57" customWidth="1"/>
    <col min="9488" max="9488" width="11.42578125" style="57" customWidth="1"/>
    <col min="9489" max="9489" width="4.140625" style="57" customWidth="1"/>
    <col min="9490" max="9490" width="18.5703125" style="57" customWidth="1"/>
    <col min="9491" max="9491" width="2.140625" style="57" customWidth="1"/>
    <col min="9492" max="9492" width="10.42578125" style="57" customWidth="1"/>
    <col min="9493" max="9734" width="9.140625" style="57"/>
    <col min="9735" max="9735" width="10" style="57" customWidth="1"/>
    <col min="9736" max="9736" width="40" style="57" customWidth="1"/>
    <col min="9737" max="9737" width="12.5703125" style="57" customWidth="1"/>
    <col min="9738" max="9739" width="10.42578125" style="57" customWidth="1"/>
    <col min="9740" max="9740" width="11.5703125" style="57" customWidth="1"/>
    <col min="9741" max="9742" width="10.42578125" style="57" customWidth="1"/>
    <col min="9743" max="9743" width="6.5703125" style="57" customWidth="1"/>
    <col min="9744" max="9744" width="11.42578125" style="57" customWidth="1"/>
    <col min="9745" max="9745" width="4.140625" style="57" customWidth="1"/>
    <col min="9746" max="9746" width="18.5703125" style="57" customWidth="1"/>
    <col min="9747" max="9747" width="2.140625" style="57" customWidth="1"/>
    <col min="9748" max="9748" width="10.42578125" style="57" customWidth="1"/>
    <col min="9749" max="9990" width="9.140625" style="57"/>
    <col min="9991" max="9991" width="10" style="57" customWidth="1"/>
    <col min="9992" max="9992" width="40" style="57" customWidth="1"/>
    <col min="9993" max="9993" width="12.5703125" style="57" customWidth="1"/>
    <col min="9994" max="9995" width="10.42578125" style="57" customWidth="1"/>
    <col min="9996" max="9996" width="11.5703125" style="57" customWidth="1"/>
    <col min="9997" max="9998" width="10.42578125" style="57" customWidth="1"/>
    <col min="9999" max="9999" width="6.5703125" style="57" customWidth="1"/>
    <col min="10000" max="10000" width="11.42578125" style="57" customWidth="1"/>
    <col min="10001" max="10001" width="4.140625" style="57" customWidth="1"/>
    <col min="10002" max="10002" width="18.5703125" style="57" customWidth="1"/>
    <col min="10003" max="10003" width="2.140625" style="57" customWidth="1"/>
    <col min="10004" max="10004" width="10.42578125" style="57" customWidth="1"/>
    <col min="10005" max="10246" width="9.140625" style="57"/>
    <col min="10247" max="10247" width="10" style="57" customWidth="1"/>
    <col min="10248" max="10248" width="40" style="57" customWidth="1"/>
    <col min="10249" max="10249" width="12.5703125" style="57" customWidth="1"/>
    <col min="10250" max="10251" width="10.42578125" style="57" customWidth="1"/>
    <col min="10252" max="10252" width="11.5703125" style="57" customWidth="1"/>
    <col min="10253" max="10254" width="10.42578125" style="57" customWidth="1"/>
    <col min="10255" max="10255" width="6.5703125" style="57" customWidth="1"/>
    <col min="10256" max="10256" width="11.42578125" style="57" customWidth="1"/>
    <col min="10257" max="10257" width="4.140625" style="57" customWidth="1"/>
    <col min="10258" max="10258" width="18.5703125" style="57" customWidth="1"/>
    <col min="10259" max="10259" width="2.140625" style="57" customWidth="1"/>
    <col min="10260" max="10260" width="10.42578125" style="57" customWidth="1"/>
    <col min="10261" max="10502" width="9.140625" style="57"/>
    <col min="10503" max="10503" width="10" style="57" customWidth="1"/>
    <col min="10504" max="10504" width="40" style="57" customWidth="1"/>
    <col min="10505" max="10505" width="12.5703125" style="57" customWidth="1"/>
    <col min="10506" max="10507" width="10.42578125" style="57" customWidth="1"/>
    <col min="10508" max="10508" width="11.5703125" style="57" customWidth="1"/>
    <col min="10509" max="10510" width="10.42578125" style="57" customWidth="1"/>
    <col min="10511" max="10511" width="6.5703125" style="57" customWidth="1"/>
    <col min="10512" max="10512" width="11.42578125" style="57" customWidth="1"/>
    <col min="10513" max="10513" width="4.140625" style="57" customWidth="1"/>
    <col min="10514" max="10514" width="18.5703125" style="57" customWidth="1"/>
    <col min="10515" max="10515" width="2.140625" style="57" customWidth="1"/>
    <col min="10516" max="10516" width="10.42578125" style="57" customWidth="1"/>
    <col min="10517" max="10758" width="9.140625" style="57"/>
    <col min="10759" max="10759" width="10" style="57" customWidth="1"/>
    <col min="10760" max="10760" width="40" style="57" customWidth="1"/>
    <col min="10761" max="10761" width="12.5703125" style="57" customWidth="1"/>
    <col min="10762" max="10763" width="10.42578125" style="57" customWidth="1"/>
    <col min="10764" max="10764" width="11.5703125" style="57" customWidth="1"/>
    <col min="10765" max="10766" width="10.42578125" style="57" customWidth="1"/>
    <col min="10767" max="10767" width="6.5703125" style="57" customWidth="1"/>
    <col min="10768" max="10768" width="11.42578125" style="57" customWidth="1"/>
    <col min="10769" max="10769" width="4.140625" style="57" customWidth="1"/>
    <col min="10770" max="10770" width="18.5703125" style="57" customWidth="1"/>
    <col min="10771" max="10771" width="2.140625" style="57" customWidth="1"/>
    <col min="10772" max="10772" width="10.42578125" style="57" customWidth="1"/>
    <col min="10773" max="11014" width="9.140625" style="57"/>
    <col min="11015" max="11015" width="10" style="57" customWidth="1"/>
    <col min="11016" max="11016" width="40" style="57" customWidth="1"/>
    <col min="11017" max="11017" width="12.5703125" style="57" customWidth="1"/>
    <col min="11018" max="11019" width="10.42578125" style="57" customWidth="1"/>
    <col min="11020" max="11020" width="11.5703125" style="57" customWidth="1"/>
    <col min="11021" max="11022" width="10.42578125" style="57" customWidth="1"/>
    <col min="11023" max="11023" width="6.5703125" style="57" customWidth="1"/>
    <col min="11024" max="11024" width="11.42578125" style="57" customWidth="1"/>
    <col min="11025" max="11025" width="4.140625" style="57" customWidth="1"/>
    <col min="11026" max="11026" width="18.5703125" style="57" customWidth="1"/>
    <col min="11027" max="11027" width="2.140625" style="57" customWidth="1"/>
    <col min="11028" max="11028" width="10.42578125" style="57" customWidth="1"/>
    <col min="11029" max="11270" width="9.140625" style="57"/>
    <col min="11271" max="11271" width="10" style="57" customWidth="1"/>
    <col min="11272" max="11272" width="40" style="57" customWidth="1"/>
    <col min="11273" max="11273" width="12.5703125" style="57" customWidth="1"/>
    <col min="11274" max="11275" width="10.42578125" style="57" customWidth="1"/>
    <col min="11276" max="11276" width="11.5703125" style="57" customWidth="1"/>
    <col min="11277" max="11278" width="10.42578125" style="57" customWidth="1"/>
    <col min="11279" max="11279" width="6.5703125" style="57" customWidth="1"/>
    <col min="11280" max="11280" width="11.42578125" style="57" customWidth="1"/>
    <col min="11281" max="11281" width="4.140625" style="57" customWidth="1"/>
    <col min="11282" max="11282" width="18.5703125" style="57" customWidth="1"/>
    <col min="11283" max="11283" width="2.140625" style="57" customWidth="1"/>
    <col min="11284" max="11284" width="10.42578125" style="57" customWidth="1"/>
    <col min="11285" max="11526" width="9.140625" style="57"/>
    <col min="11527" max="11527" width="10" style="57" customWidth="1"/>
    <col min="11528" max="11528" width="40" style="57" customWidth="1"/>
    <col min="11529" max="11529" width="12.5703125" style="57" customWidth="1"/>
    <col min="11530" max="11531" width="10.42578125" style="57" customWidth="1"/>
    <col min="11532" max="11532" width="11.5703125" style="57" customWidth="1"/>
    <col min="11533" max="11534" width="10.42578125" style="57" customWidth="1"/>
    <col min="11535" max="11535" width="6.5703125" style="57" customWidth="1"/>
    <col min="11536" max="11536" width="11.42578125" style="57" customWidth="1"/>
    <col min="11537" max="11537" width="4.140625" style="57" customWidth="1"/>
    <col min="11538" max="11538" width="18.5703125" style="57" customWidth="1"/>
    <col min="11539" max="11539" width="2.140625" style="57" customWidth="1"/>
    <col min="11540" max="11540" width="10.42578125" style="57" customWidth="1"/>
    <col min="11541" max="11782" width="9.140625" style="57"/>
    <col min="11783" max="11783" width="10" style="57" customWidth="1"/>
    <col min="11784" max="11784" width="40" style="57" customWidth="1"/>
    <col min="11785" max="11785" width="12.5703125" style="57" customWidth="1"/>
    <col min="11786" max="11787" width="10.42578125" style="57" customWidth="1"/>
    <col min="11788" max="11788" width="11.5703125" style="57" customWidth="1"/>
    <col min="11789" max="11790" width="10.42578125" style="57" customWidth="1"/>
    <col min="11791" max="11791" width="6.5703125" style="57" customWidth="1"/>
    <col min="11792" max="11792" width="11.42578125" style="57" customWidth="1"/>
    <col min="11793" max="11793" width="4.140625" style="57" customWidth="1"/>
    <col min="11794" max="11794" width="18.5703125" style="57" customWidth="1"/>
    <col min="11795" max="11795" width="2.140625" style="57" customWidth="1"/>
    <col min="11796" max="11796" width="10.42578125" style="57" customWidth="1"/>
    <col min="11797" max="12038" width="9.140625" style="57"/>
    <col min="12039" max="12039" width="10" style="57" customWidth="1"/>
    <col min="12040" max="12040" width="40" style="57" customWidth="1"/>
    <col min="12041" max="12041" width="12.5703125" style="57" customWidth="1"/>
    <col min="12042" max="12043" width="10.42578125" style="57" customWidth="1"/>
    <col min="12044" max="12044" width="11.5703125" style="57" customWidth="1"/>
    <col min="12045" max="12046" width="10.42578125" style="57" customWidth="1"/>
    <col min="12047" max="12047" width="6.5703125" style="57" customWidth="1"/>
    <col min="12048" max="12048" width="11.42578125" style="57" customWidth="1"/>
    <col min="12049" max="12049" width="4.140625" style="57" customWidth="1"/>
    <col min="12050" max="12050" width="18.5703125" style="57" customWidth="1"/>
    <col min="12051" max="12051" width="2.140625" style="57" customWidth="1"/>
    <col min="12052" max="12052" width="10.42578125" style="57" customWidth="1"/>
    <col min="12053" max="12294" width="9.140625" style="57"/>
    <col min="12295" max="12295" width="10" style="57" customWidth="1"/>
    <col min="12296" max="12296" width="40" style="57" customWidth="1"/>
    <col min="12297" max="12297" width="12.5703125" style="57" customWidth="1"/>
    <col min="12298" max="12299" width="10.42578125" style="57" customWidth="1"/>
    <col min="12300" max="12300" width="11.5703125" style="57" customWidth="1"/>
    <col min="12301" max="12302" width="10.42578125" style="57" customWidth="1"/>
    <col min="12303" max="12303" width="6.5703125" style="57" customWidth="1"/>
    <col min="12304" max="12304" width="11.42578125" style="57" customWidth="1"/>
    <col min="12305" max="12305" width="4.140625" style="57" customWidth="1"/>
    <col min="12306" max="12306" width="18.5703125" style="57" customWidth="1"/>
    <col min="12307" max="12307" width="2.140625" style="57" customWidth="1"/>
    <col min="12308" max="12308" width="10.42578125" style="57" customWidth="1"/>
    <col min="12309" max="12550" width="9.140625" style="57"/>
    <col min="12551" max="12551" width="10" style="57" customWidth="1"/>
    <col min="12552" max="12552" width="40" style="57" customWidth="1"/>
    <col min="12553" max="12553" width="12.5703125" style="57" customWidth="1"/>
    <col min="12554" max="12555" width="10.42578125" style="57" customWidth="1"/>
    <col min="12556" max="12556" width="11.5703125" style="57" customWidth="1"/>
    <col min="12557" max="12558" width="10.42578125" style="57" customWidth="1"/>
    <col min="12559" max="12559" width="6.5703125" style="57" customWidth="1"/>
    <col min="12560" max="12560" width="11.42578125" style="57" customWidth="1"/>
    <col min="12561" max="12561" width="4.140625" style="57" customWidth="1"/>
    <col min="12562" max="12562" width="18.5703125" style="57" customWidth="1"/>
    <col min="12563" max="12563" width="2.140625" style="57" customWidth="1"/>
    <col min="12564" max="12564" width="10.42578125" style="57" customWidth="1"/>
    <col min="12565" max="12806" width="9.140625" style="57"/>
    <col min="12807" max="12807" width="10" style="57" customWidth="1"/>
    <col min="12808" max="12808" width="40" style="57" customWidth="1"/>
    <col min="12809" max="12809" width="12.5703125" style="57" customWidth="1"/>
    <col min="12810" max="12811" width="10.42578125" style="57" customWidth="1"/>
    <col min="12812" max="12812" width="11.5703125" style="57" customWidth="1"/>
    <col min="12813" max="12814" width="10.42578125" style="57" customWidth="1"/>
    <col min="12815" max="12815" width="6.5703125" style="57" customWidth="1"/>
    <col min="12816" max="12816" width="11.42578125" style="57" customWidth="1"/>
    <col min="12817" max="12817" width="4.140625" style="57" customWidth="1"/>
    <col min="12818" max="12818" width="18.5703125" style="57" customWidth="1"/>
    <col min="12819" max="12819" width="2.140625" style="57" customWidth="1"/>
    <col min="12820" max="12820" width="10.42578125" style="57" customWidth="1"/>
    <col min="12821" max="13062" width="9.140625" style="57"/>
    <col min="13063" max="13063" width="10" style="57" customWidth="1"/>
    <col min="13064" max="13064" width="40" style="57" customWidth="1"/>
    <col min="13065" max="13065" width="12.5703125" style="57" customWidth="1"/>
    <col min="13066" max="13067" width="10.42578125" style="57" customWidth="1"/>
    <col min="13068" max="13068" width="11.5703125" style="57" customWidth="1"/>
    <col min="13069" max="13070" width="10.42578125" style="57" customWidth="1"/>
    <col min="13071" max="13071" width="6.5703125" style="57" customWidth="1"/>
    <col min="13072" max="13072" width="11.42578125" style="57" customWidth="1"/>
    <col min="13073" max="13073" width="4.140625" style="57" customWidth="1"/>
    <col min="13074" max="13074" width="18.5703125" style="57" customWidth="1"/>
    <col min="13075" max="13075" width="2.140625" style="57" customWidth="1"/>
    <col min="13076" max="13076" width="10.42578125" style="57" customWidth="1"/>
    <col min="13077" max="13318" width="9.140625" style="57"/>
    <col min="13319" max="13319" width="10" style="57" customWidth="1"/>
    <col min="13320" max="13320" width="40" style="57" customWidth="1"/>
    <col min="13321" max="13321" width="12.5703125" style="57" customWidth="1"/>
    <col min="13322" max="13323" width="10.42578125" style="57" customWidth="1"/>
    <col min="13324" max="13324" width="11.5703125" style="57" customWidth="1"/>
    <col min="13325" max="13326" width="10.42578125" style="57" customWidth="1"/>
    <col min="13327" max="13327" width="6.5703125" style="57" customWidth="1"/>
    <col min="13328" max="13328" width="11.42578125" style="57" customWidth="1"/>
    <col min="13329" max="13329" width="4.140625" style="57" customWidth="1"/>
    <col min="13330" max="13330" width="18.5703125" style="57" customWidth="1"/>
    <col min="13331" max="13331" width="2.140625" style="57" customWidth="1"/>
    <col min="13332" max="13332" width="10.42578125" style="57" customWidth="1"/>
    <col min="13333" max="13574" width="9.140625" style="57"/>
    <col min="13575" max="13575" width="10" style="57" customWidth="1"/>
    <col min="13576" max="13576" width="40" style="57" customWidth="1"/>
    <col min="13577" max="13577" width="12.5703125" style="57" customWidth="1"/>
    <col min="13578" max="13579" width="10.42578125" style="57" customWidth="1"/>
    <col min="13580" max="13580" width="11.5703125" style="57" customWidth="1"/>
    <col min="13581" max="13582" width="10.42578125" style="57" customWidth="1"/>
    <col min="13583" max="13583" width="6.5703125" style="57" customWidth="1"/>
    <col min="13584" max="13584" width="11.42578125" style="57" customWidth="1"/>
    <col min="13585" max="13585" width="4.140625" style="57" customWidth="1"/>
    <col min="13586" max="13586" width="18.5703125" style="57" customWidth="1"/>
    <col min="13587" max="13587" width="2.140625" style="57" customWidth="1"/>
    <col min="13588" max="13588" width="10.42578125" style="57" customWidth="1"/>
    <col min="13589" max="13830" width="9.140625" style="57"/>
    <col min="13831" max="13831" width="10" style="57" customWidth="1"/>
    <col min="13832" max="13832" width="40" style="57" customWidth="1"/>
    <col min="13833" max="13833" width="12.5703125" style="57" customWidth="1"/>
    <col min="13834" max="13835" width="10.42578125" style="57" customWidth="1"/>
    <col min="13836" max="13836" width="11.5703125" style="57" customWidth="1"/>
    <col min="13837" max="13838" width="10.42578125" style="57" customWidth="1"/>
    <col min="13839" max="13839" width="6.5703125" style="57" customWidth="1"/>
    <col min="13840" max="13840" width="11.42578125" style="57" customWidth="1"/>
    <col min="13841" max="13841" width="4.140625" style="57" customWidth="1"/>
    <col min="13842" max="13842" width="18.5703125" style="57" customWidth="1"/>
    <col min="13843" max="13843" width="2.140625" style="57" customWidth="1"/>
    <col min="13844" max="13844" width="10.42578125" style="57" customWidth="1"/>
    <col min="13845" max="14086" width="9.140625" style="57"/>
    <col min="14087" max="14087" width="10" style="57" customWidth="1"/>
    <col min="14088" max="14088" width="40" style="57" customWidth="1"/>
    <col min="14089" max="14089" width="12.5703125" style="57" customWidth="1"/>
    <col min="14090" max="14091" width="10.42578125" style="57" customWidth="1"/>
    <col min="14092" max="14092" width="11.5703125" style="57" customWidth="1"/>
    <col min="14093" max="14094" width="10.42578125" style="57" customWidth="1"/>
    <col min="14095" max="14095" width="6.5703125" style="57" customWidth="1"/>
    <col min="14096" max="14096" width="11.42578125" style="57" customWidth="1"/>
    <col min="14097" max="14097" width="4.140625" style="57" customWidth="1"/>
    <col min="14098" max="14098" width="18.5703125" style="57" customWidth="1"/>
    <col min="14099" max="14099" width="2.140625" style="57" customWidth="1"/>
    <col min="14100" max="14100" width="10.42578125" style="57" customWidth="1"/>
    <col min="14101" max="14342" width="9.140625" style="57"/>
    <col min="14343" max="14343" width="10" style="57" customWidth="1"/>
    <col min="14344" max="14344" width="40" style="57" customWidth="1"/>
    <col min="14345" max="14345" width="12.5703125" style="57" customWidth="1"/>
    <col min="14346" max="14347" width="10.42578125" style="57" customWidth="1"/>
    <col min="14348" max="14348" width="11.5703125" style="57" customWidth="1"/>
    <col min="14349" max="14350" width="10.42578125" style="57" customWidth="1"/>
    <col min="14351" max="14351" width="6.5703125" style="57" customWidth="1"/>
    <col min="14352" max="14352" width="11.42578125" style="57" customWidth="1"/>
    <col min="14353" max="14353" width="4.140625" style="57" customWidth="1"/>
    <col min="14354" max="14354" width="18.5703125" style="57" customWidth="1"/>
    <col min="14355" max="14355" width="2.140625" style="57" customWidth="1"/>
    <col min="14356" max="14356" width="10.42578125" style="57" customWidth="1"/>
    <col min="14357" max="14598" width="9.140625" style="57"/>
    <col min="14599" max="14599" width="10" style="57" customWidth="1"/>
    <col min="14600" max="14600" width="40" style="57" customWidth="1"/>
    <col min="14601" max="14601" width="12.5703125" style="57" customWidth="1"/>
    <col min="14602" max="14603" width="10.42578125" style="57" customWidth="1"/>
    <col min="14604" max="14604" width="11.5703125" style="57" customWidth="1"/>
    <col min="14605" max="14606" width="10.42578125" style="57" customWidth="1"/>
    <col min="14607" max="14607" width="6.5703125" style="57" customWidth="1"/>
    <col min="14608" max="14608" width="11.42578125" style="57" customWidth="1"/>
    <col min="14609" max="14609" width="4.140625" style="57" customWidth="1"/>
    <col min="14610" max="14610" width="18.5703125" style="57" customWidth="1"/>
    <col min="14611" max="14611" width="2.140625" style="57" customWidth="1"/>
    <col min="14612" max="14612" width="10.42578125" style="57" customWidth="1"/>
    <col min="14613" max="14854" width="9.140625" style="57"/>
    <col min="14855" max="14855" width="10" style="57" customWidth="1"/>
    <col min="14856" max="14856" width="40" style="57" customWidth="1"/>
    <col min="14857" max="14857" width="12.5703125" style="57" customWidth="1"/>
    <col min="14858" max="14859" width="10.42578125" style="57" customWidth="1"/>
    <col min="14860" max="14860" width="11.5703125" style="57" customWidth="1"/>
    <col min="14861" max="14862" width="10.42578125" style="57" customWidth="1"/>
    <col min="14863" max="14863" width="6.5703125" style="57" customWidth="1"/>
    <col min="14864" max="14864" width="11.42578125" style="57" customWidth="1"/>
    <col min="14865" max="14865" width="4.140625" style="57" customWidth="1"/>
    <col min="14866" max="14866" width="18.5703125" style="57" customWidth="1"/>
    <col min="14867" max="14867" width="2.140625" style="57" customWidth="1"/>
    <col min="14868" max="14868" width="10.42578125" style="57" customWidth="1"/>
    <col min="14869" max="15110" width="9.140625" style="57"/>
    <col min="15111" max="15111" width="10" style="57" customWidth="1"/>
    <col min="15112" max="15112" width="40" style="57" customWidth="1"/>
    <col min="15113" max="15113" width="12.5703125" style="57" customWidth="1"/>
    <col min="15114" max="15115" width="10.42578125" style="57" customWidth="1"/>
    <col min="15116" max="15116" width="11.5703125" style="57" customWidth="1"/>
    <col min="15117" max="15118" width="10.42578125" style="57" customWidth="1"/>
    <col min="15119" max="15119" width="6.5703125" style="57" customWidth="1"/>
    <col min="15120" max="15120" width="11.42578125" style="57" customWidth="1"/>
    <col min="15121" max="15121" width="4.140625" style="57" customWidth="1"/>
    <col min="15122" max="15122" width="18.5703125" style="57" customWidth="1"/>
    <col min="15123" max="15123" width="2.140625" style="57" customWidth="1"/>
    <col min="15124" max="15124" width="10.42578125" style="57" customWidth="1"/>
    <col min="15125" max="15366" width="9.140625" style="57"/>
    <col min="15367" max="15367" width="10" style="57" customWidth="1"/>
    <col min="15368" max="15368" width="40" style="57" customWidth="1"/>
    <col min="15369" max="15369" width="12.5703125" style="57" customWidth="1"/>
    <col min="15370" max="15371" width="10.42578125" style="57" customWidth="1"/>
    <col min="15372" max="15372" width="11.5703125" style="57" customWidth="1"/>
    <col min="15373" max="15374" width="10.42578125" style="57" customWidth="1"/>
    <col min="15375" max="15375" width="6.5703125" style="57" customWidth="1"/>
    <col min="15376" max="15376" width="11.42578125" style="57" customWidth="1"/>
    <col min="15377" max="15377" width="4.140625" style="57" customWidth="1"/>
    <col min="15378" max="15378" width="18.5703125" style="57" customWidth="1"/>
    <col min="15379" max="15379" width="2.140625" style="57" customWidth="1"/>
    <col min="15380" max="15380" width="10.42578125" style="57" customWidth="1"/>
    <col min="15381" max="15622" width="9.140625" style="57"/>
    <col min="15623" max="15623" width="10" style="57" customWidth="1"/>
    <col min="15624" max="15624" width="40" style="57" customWidth="1"/>
    <col min="15625" max="15625" width="12.5703125" style="57" customWidth="1"/>
    <col min="15626" max="15627" width="10.42578125" style="57" customWidth="1"/>
    <col min="15628" max="15628" width="11.5703125" style="57" customWidth="1"/>
    <col min="15629" max="15630" width="10.42578125" style="57" customWidth="1"/>
    <col min="15631" max="15631" width="6.5703125" style="57" customWidth="1"/>
    <col min="15632" max="15632" width="11.42578125" style="57" customWidth="1"/>
    <col min="15633" max="15633" width="4.140625" style="57" customWidth="1"/>
    <col min="15634" max="15634" width="18.5703125" style="57" customWidth="1"/>
    <col min="15635" max="15635" width="2.140625" style="57" customWidth="1"/>
    <col min="15636" max="15636" width="10.42578125" style="57" customWidth="1"/>
    <col min="15637" max="15878" width="9.140625" style="57"/>
    <col min="15879" max="15879" width="10" style="57" customWidth="1"/>
    <col min="15880" max="15880" width="40" style="57" customWidth="1"/>
    <col min="15881" max="15881" width="12.5703125" style="57" customWidth="1"/>
    <col min="15882" max="15883" width="10.42578125" style="57" customWidth="1"/>
    <col min="15884" max="15884" width="11.5703125" style="57" customWidth="1"/>
    <col min="15885" max="15886" width="10.42578125" style="57" customWidth="1"/>
    <col min="15887" max="15887" width="6.5703125" style="57" customWidth="1"/>
    <col min="15888" max="15888" width="11.42578125" style="57" customWidth="1"/>
    <col min="15889" max="15889" width="4.140625" style="57" customWidth="1"/>
    <col min="15890" max="15890" width="18.5703125" style="57" customWidth="1"/>
    <col min="15891" max="15891" width="2.140625" style="57" customWidth="1"/>
    <col min="15892" max="15892" width="10.42578125" style="57" customWidth="1"/>
    <col min="15893" max="16134" width="9.140625" style="57"/>
    <col min="16135" max="16135" width="10" style="57" customWidth="1"/>
    <col min="16136" max="16136" width="40" style="57" customWidth="1"/>
    <col min="16137" max="16137" width="12.5703125" style="57" customWidth="1"/>
    <col min="16138" max="16139" width="10.42578125" style="57" customWidth="1"/>
    <col min="16140" max="16140" width="11.5703125" style="57" customWidth="1"/>
    <col min="16141" max="16142" width="10.42578125" style="57" customWidth="1"/>
    <col min="16143" max="16143" width="6.5703125" style="57" customWidth="1"/>
    <col min="16144" max="16144" width="11.42578125" style="57" customWidth="1"/>
    <col min="16145" max="16145" width="4.140625" style="57" customWidth="1"/>
    <col min="16146" max="16146" width="18.5703125" style="57" customWidth="1"/>
    <col min="16147" max="16147" width="2.140625" style="57" customWidth="1"/>
    <col min="16148" max="16148" width="10.42578125" style="57" customWidth="1"/>
    <col min="16149" max="16384" width="9.140625" style="57"/>
  </cols>
  <sheetData>
    <row r="1" spans="2:21" ht="13.5" customHeight="1" x14ac:dyDescent="0.25">
      <c r="H1" s="781" t="s">
        <v>38</v>
      </c>
      <c r="I1" s="781"/>
      <c r="J1" s="781"/>
      <c r="K1" s="781"/>
      <c r="L1" s="781"/>
      <c r="M1" s="782" t="s">
        <v>39</v>
      </c>
      <c r="N1" s="782"/>
      <c r="O1" s="783" t="s">
        <v>40</v>
      </c>
      <c r="P1" s="783"/>
      <c r="Q1" s="783"/>
    </row>
    <row r="2" spans="2:21" s="59" customFormat="1" ht="15" customHeight="1" x14ac:dyDescent="0.25">
      <c r="B2" s="60" t="s">
        <v>41</v>
      </c>
      <c r="C2" s="61" t="s">
        <v>42</v>
      </c>
      <c r="D2" s="61" t="s">
        <v>43</v>
      </c>
      <c r="E2" s="61" t="s">
        <v>44</v>
      </c>
      <c r="F2" s="61" t="s">
        <v>45</v>
      </c>
      <c r="G2" s="62" t="s">
        <v>46</v>
      </c>
      <c r="H2" s="60" t="s">
        <v>47</v>
      </c>
      <c r="I2" s="61" t="s">
        <v>48</v>
      </c>
      <c r="J2" s="62" t="s">
        <v>47</v>
      </c>
      <c r="K2" s="62" t="s">
        <v>48</v>
      </c>
      <c r="L2" s="63" t="s">
        <v>49</v>
      </c>
      <c r="M2" s="64" t="s">
        <v>39</v>
      </c>
      <c r="N2" s="63" t="s">
        <v>49</v>
      </c>
      <c r="O2" s="64" t="s">
        <v>47</v>
      </c>
      <c r="P2" s="65" t="s">
        <v>48</v>
      </c>
      <c r="Q2" s="63" t="s">
        <v>49</v>
      </c>
      <c r="R2" s="66" t="s">
        <v>50</v>
      </c>
    </row>
    <row r="3" spans="2:21" ht="15" customHeight="1" x14ac:dyDescent="0.25">
      <c r="B3" s="67">
        <v>2</v>
      </c>
      <c r="C3" s="68" t="s">
        <v>51</v>
      </c>
      <c r="D3" s="68" t="s">
        <v>52</v>
      </c>
      <c r="E3" s="69">
        <v>44599</v>
      </c>
      <c r="F3" s="69"/>
      <c r="G3" s="70"/>
      <c r="H3" s="71"/>
      <c r="I3" s="72"/>
      <c r="J3" s="73"/>
      <c r="K3" s="73"/>
      <c r="L3" s="74">
        <f>(I3-H3)</f>
        <v>0</v>
      </c>
      <c r="M3" s="75"/>
      <c r="N3" s="76"/>
      <c r="O3" s="108"/>
      <c r="P3" s="109"/>
      <c r="Q3" s="79">
        <v>0</v>
      </c>
      <c r="R3" s="80"/>
      <c r="T3" s="81" t="s">
        <v>53</v>
      </c>
      <c r="U3" s="82">
        <v>3</v>
      </c>
    </row>
    <row r="4" spans="2:21" ht="15" customHeight="1" x14ac:dyDescent="0.25">
      <c r="B4" s="67">
        <v>1</v>
      </c>
      <c r="C4" s="68" t="s">
        <v>54</v>
      </c>
      <c r="D4" s="68" t="s">
        <v>52</v>
      </c>
      <c r="E4" s="69">
        <v>44599</v>
      </c>
      <c r="F4" s="69"/>
      <c r="G4" s="70"/>
      <c r="H4" s="71"/>
      <c r="I4" s="72"/>
      <c r="J4" s="73"/>
      <c r="K4" s="73"/>
      <c r="L4" s="74">
        <f>(I4-H4)</f>
        <v>0</v>
      </c>
      <c r="M4" s="75"/>
      <c r="N4" s="76"/>
      <c r="O4" s="77"/>
      <c r="P4" s="78"/>
      <c r="Q4" s="79"/>
      <c r="R4" s="80"/>
      <c r="T4" s="83" t="s">
        <v>44</v>
      </c>
      <c r="U4" s="84">
        <v>0</v>
      </c>
    </row>
    <row r="5" spans="2:21" ht="15" customHeight="1" x14ac:dyDescent="0.25">
      <c r="B5" s="85">
        <v>3</v>
      </c>
      <c r="C5" s="86" t="s">
        <v>55</v>
      </c>
      <c r="D5" s="86" t="s">
        <v>52</v>
      </c>
      <c r="E5" s="87">
        <v>44602</v>
      </c>
      <c r="F5" s="87"/>
      <c r="G5" s="88"/>
      <c r="H5" s="89">
        <v>45407</v>
      </c>
      <c r="I5" s="90">
        <v>45408</v>
      </c>
      <c r="J5" s="91"/>
      <c r="K5" s="91"/>
      <c r="L5" s="92">
        <v>2</v>
      </c>
      <c r="M5" s="93"/>
      <c r="N5" s="94"/>
      <c r="O5" s="95"/>
      <c r="P5" s="96"/>
      <c r="Q5" s="97"/>
      <c r="R5" s="98"/>
      <c r="T5" s="83" t="s">
        <v>45</v>
      </c>
      <c r="U5" s="84">
        <v>0</v>
      </c>
    </row>
    <row r="6" spans="2:21" ht="15" customHeight="1" x14ac:dyDescent="0.25">
      <c r="L6" s="99">
        <f>SUM(L3:L5)</f>
        <v>2</v>
      </c>
      <c r="N6" s="99">
        <f>SUM(N3:N5)</f>
        <v>0</v>
      </c>
      <c r="O6" s="99"/>
      <c r="P6" s="99"/>
      <c r="Q6" s="99">
        <f>SUM(Q3:Q5)</f>
        <v>0</v>
      </c>
      <c r="T6" s="100" t="s">
        <v>56</v>
      </c>
      <c r="U6" s="101">
        <f>U3+U4-U5</f>
        <v>3</v>
      </c>
    </row>
    <row r="7" spans="2:21" ht="15" customHeight="1" x14ac:dyDescent="0.25"/>
    <row r="8" spans="2:21" ht="15" customHeight="1" x14ac:dyDescent="0.25">
      <c r="T8" s="81" t="s">
        <v>57</v>
      </c>
      <c r="U8" s="82">
        <v>2</v>
      </c>
    </row>
    <row r="9" spans="2:21" ht="15" customHeight="1" x14ac:dyDescent="0.25">
      <c r="T9" s="100" t="s">
        <v>13</v>
      </c>
      <c r="U9" s="101">
        <f>U6+U8</f>
        <v>5</v>
      </c>
    </row>
    <row r="10" spans="2:21" ht="15" customHeight="1" x14ac:dyDescent="0.25"/>
    <row r="11" spans="2:21" ht="15" customHeight="1" x14ac:dyDescent="0.25">
      <c r="T11" s="784" t="s">
        <v>58</v>
      </c>
      <c r="U11" s="784"/>
    </row>
    <row r="12" spans="2:21" ht="15" customHeight="1" x14ac:dyDescent="0.25">
      <c r="T12" s="83" t="s">
        <v>38</v>
      </c>
      <c r="U12" s="102">
        <f>L6</f>
        <v>2</v>
      </c>
    </row>
    <row r="13" spans="2:21" ht="15" customHeight="1" x14ac:dyDescent="0.25">
      <c r="T13" s="103" t="s">
        <v>39</v>
      </c>
      <c r="U13" s="104">
        <f>N6</f>
        <v>0</v>
      </c>
    </row>
    <row r="14" spans="2:21" ht="15" customHeight="1" x14ac:dyDescent="0.25"/>
    <row r="15" spans="2:21" ht="15" customHeight="1" x14ac:dyDescent="0.25">
      <c r="T15" s="81" t="s">
        <v>40</v>
      </c>
      <c r="U15" s="105">
        <f>Q6</f>
        <v>0</v>
      </c>
    </row>
    <row r="16" spans="2:21" ht="15" customHeight="1" x14ac:dyDescent="0.25">
      <c r="T16" s="103" t="s">
        <v>59</v>
      </c>
      <c r="U16" s="104">
        <v>0</v>
      </c>
    </row>
    <row r="17" spans="20:21" ht="15" customHeight="1" x14ac:dyDescent="0.25"/>
    <row r="18" spans="20:21" ht="15" customHeight="1" x14ac:dyDescent="0.25">
      <c r="T18" s="106" t="s">
        <v>22</v>
      </c>
      <c r="U18" s="107">
        <v>20</v>
      </c>
    </row>
    <row r="19" spans="20:21" ht="15" customHeight="1" x14ac:dyDescent="0.25"/>
    <row r="20" spans="20:21" ht="15" customHeight="1" x14ac:dyDescent="0.25"/>
    <row r="21" spans="20:21" ht="15" customHeight="1" x14ac:dyDescent="0.25"/>
    <row r="22" spans="20:21" ht="15" customHeight="1" x14ac:dyDescent="0.25"/>
    <row r="23" spans="20:21" ht="15" customHeight="1" x14ac:dyDescent="0.25"/>
    <row r="24" spans="20:21" ht="15" customHeight="1" x14ac:dyDescent="0.25"/>
    <row r="25" spans="20:21" ht="15" customHeight="1" x14ac:dyDescent="0.25"/>
    <row r="26" spans="20:21" ht="15" customHeight="1" x14ac:dyDescent="0.25"/>
    <row r="27" spans="20:21" ht="15" customHeight="1" x14ac:dyDescent="0.25"/>
    <row r="28" spans="20:21" ht="15" customHeight="1" x14ac:dyDescent="0.25"/>
    <row r="29" spans="20:21" ht="15" customHeight="1" x14ac:dyDescent="0.25"/>
    <row r="30" spans="20:21" ht="15" customHeight="1" x14ac:dyDescent="0.25"/>
    <row r="31" spans="20:21" ht="15" customHeight="1" x14ac:dyDescent="0.25"/>
    <row r="32" spans="20:21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</sheetData>
  <mergeCells count="4">
    <mergeCell ref="H1:L1"/>
    <mergeCell ref="M1:N1"/>
    <mergeCell ref="O1:Q1"/>
    <mergeCell ref="T11:U11"/>
  </mergeCells>
  <pageMargins left="0.25" right="0.25" top="0.75" bottom="0.75" header="0.511811023622047" footer="0.511811023622047"/>
  <pageSetup paperSize="9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U36"/>
  <sheetViews>
    <sheetView showGridLines="0" zoomScaleNormal="100" workbookViewId="0">
      <selection activeCell="E15" sqref="E15"/>
    </sheetView>
  </sheetViews>
  <sheetFormatPr defaultColWidth="9.140625" defaultRowHeight="12.75" x14ac:dyDescent="0.25"/>
  <cols>
    <col min="1" max="1" width="9.140625" style="57"/>
    <col min="2" max="2" width="10" style="57" customWidth="1"/>
    <col min="3" max="3" width="40" style="57" customWidth="1"/>
    <col min="4" max="4" width="12.5703125" style="57" customWidth="1"/>
    <col min="5" max="6" width="10.42578125" style="57" customWidth="1"/>
    <col min="7" max="7" width="11.5703125" style="57" customWidth="1"/>
    <col min="8" max="9" width="10.42578125" style="57" customWidth="1"/>
    <col min="10" max="10" width="5" style="57" customWidth="1"/>
    <col min="11" max="11" width="3.85546875" style="57" customWidth="1"/>
    <col min="12" max="12" width="4.140625" style="57" customWidth="1"/>
    <col min="13" max="13" width="11.42578125" style="58" customWidth="1"/>
    <col min="14" max="14" width="4.140625" style="57" customWidth="1"/>
    <col min="15" max="16" width="10.42578125" style="57" customWidth="1"/>
    <col min="17" max="17" width="4.140625" style="57" customWidth="1"/>
    <col min="18" max="18" width="27.140625" style="57" customWidth="1"/>
    <col min="19" max="19" width="2.140625" style="57" customWidth="1"/>
    <col min="20" max="20" width="13.140625" style="57" customWidth="1"/>
    <col min="21" max="21" width="3" style="57" customWidth="1"/>
    <col min="22" max="262" width="9.140625" style="57"/>
    <col min="263" max="263" width="10" style="57" customWidth="1"/>
    <col min="264" max="264" width="40" style="57" customWidth="1"/>
    <col min="265" max="265" width="12.5703125" style="57" customWidth="1"/>
    <col min="266" max="267" width="10.42578125" style="57" customWidth="1"/>
    <col min="268" max="268" width="11.5703125" style="57" customWidth="1"/>
    <col min="269" max="270" width="10.42578125" style="57" customWidth="1"/>
    <col min="271" max="271" width="6.5703125" style="57" customWidth="1"/>
    <col min="272" max="272" width="11.42578125" style="57" customWidth="1"/>
    <col min="273" max="273" width="4.140625" style="57" customWidth="1"/>
    <col min="274" max="274" width="18.5703125" style="57" customWidth="1"/>
    <col min="275" max="275" width="2.140625" style="57" customWidth="1"/>
    <col min="276" max="276" width="10.42578125" style="57" customWidth="1"/>
    <col min="277" max="518" width="9.140625" style="57"/>
    <col min="519" max="519" width="10" style="57" customWidth="1"/>
    <col min="520" max="520" width="40" style="57" customWidth="1"/>
    <col min="521" max="521" width="12.5703125" style="57" customWidth="1"/>
    <col min="522" max="523" width="10.42578125" style="57" customWidth="1"/>
    <col min="524" max="524" width="11.5703125" style="57" customWidth="1"/>
    <col min="525" max="526" width="10.42578125" style="57" customWidth="1"/>
    <col min="527" max="527" width="6.5703125" style="57" customWidth="1"/>
    <col min="528" max="528" width="11.42578125" style="57" customWidth="1"/>
    <col min="529" max="529" width="4.140625" style="57" customWidth="1"/>
    <col min="530" max="530" width="18.5703125" style="57" customWidth="1"/>
    <col min="531" max="531" width="2.140625" style="57" customWidth="1"/>
    <col min="532" max="532" width="10.42578125" style="57" customWidth="1"/>
    <col min="533" max="774" width="9.140625" style="57"/>
    <col min="775" max="775" width="10" style="57" customWidth="1"/>
    <col min="776" max="776" width="40" style="57" customWidth="1"/>
    <col min="777" max="777" width="12.5703125" style="57" customWidth="1"/>
    <col min="778" max="779" width="10.42578125" style="57" customWidth="1"/>
    <col min="780" max="780" width="11.5703125" style="57" customWidth="1"/>
    <col min="781" max="782" width="10.42578125" style="57" customWidth="1"/>
    <col min="783" max="783" width="6.5703125" style="57" customWidth="1"/>
    <col min="784" max="784" width="11.42578125" style="57" customWidth="1"/>
    <col min="785" max="785" width="4.140625" style="57" customWidth="1"/>
    <col min="786" max="786" width="18.5703125" style="57" customWidth="1"/>
    <col min="787" max="787" width="2.140625" style="57" customWidth="1"/>
    <col min="788" max="788" width="10.42578125" style="57" customWidth="1"/>
    <col min="789" max="1030" width="9.140625" style="57"/>
    <col min="1031" max="1031" width="10" style="57" customWidth="1"/>
    <col min="1032" max="1032" width="40" style="57" customWidth="1"/>
    <col min="1033" max="1033" width="12.5703125" style="57" customWidth="1"/>
    <col min="1034" max="1035" width="10.42578125" style="57" customWidth="1"/>
    <col min="1036" max="1036" width="11.5703125" style="57" customWidth="1"/>
    <col min="1037" max="1038" width="10.42578125" style="57" customWidth="1"/>
    <col min="1039" max="1039" width="6.5703125" style="57" customWidth="1"/>
    <col min="1040" max="1040" width="11.42578125" style="57" customWidth="1"/>
    <col min="1041" max="1041" width="4.140625" style="57" customWidth="1"/>
    <col min="1042" max="1042" width="18.5703125" style="57" customWidth="1"/>
    <col min="1043" max="1043" width="2.140625" style="57" customWidth="1"/>
    <col min="1044" max="1044" width="10.42578125" style="57" customWidth="1"/>
    <col min="1045" max="1286" width="9.140625" style="57"/>
    <col min="1287" max="1287" width="10" style="57" customWidth="1"/>
    <col min="1288" max="1288" width="40" style="57" customWidth="1"/>
    <col min="1289" max="1289" width="12.5703125" style="57" customWidth="1"/>
    <col min="1290" max="1291" width="10.42578125" style="57" customWidth="1"/>
    <col min="1292" max="1292" width="11.5703125" style="57" customWidth="1"/>
    <col min="1293" max="1294" width="10.42578125" style="57" customWidth="1"/>
    <col min="1295" max="1295" width="6.5703125" style="57" customWidth="1"/>
    <col min="1296" max="1296" width="11.42578125" style="57" customWidth="1"/>
    <col min="1297" max="1297" width="4.140625" style="57" customWidth="1"/>
    <col min="1298" max="1298" width="18.5703125" style="57" customWidth="1"/>
    <col min="1299" max="1299" width="2.140625" style="57" customWidth="1"/>
    <col min="1300" max="1300" width="10.42578125" style="57" customWidth="1"/>
    <col min="1301" max="1542" width="9.140625" style="57"/>
    <col min="1543" max="1543" width="10" style="57" customWidth="1"/>
    <col min="1544" max="1544" width="40" style="57" customWidth="1"/>
    <col min="1545" max="1545" width="12.5703125" style="57" customWidth="1"/>
    <col min="1546" max="1547" width="10.42578125" style="57" customWidth="1"/>
    <col min="1548" max="1548" width="11.5703125" style="57" customWidth="1"/>
    <col min="1549" max="1550" width="10.42578125" style="57" customWidth="1"/>
    <col min="1551" max="1551" width="6.5703125" style="57" customWidth="1"/>
    <col min="1552" max="1552" width="11.42578125" style="57" customWidth="1"/>
    <col min="1553" max="1553" width="4.140625" style="57" customWidth="1"/>
    <col min="1554" max="1554" width="18.5703125" style="57" customWidth="1"/>
    <col min="1555" max="1555" width="2.140625" style="57" customWidth="1"/>
    <col min="1556" max="1556" width="10.42578125" style="57" customWidth="1"/>
    <col min="1557" max="1798" width="9.140625" style="57"/>
    <col min="1799" max="1799" width="10" style="57" customWidth="1"/>
    <col min="1800" max="1800" width="40" style="57" customWidth="1"/>
    <col min="1801" max="1801" width="12.5703125" style="57" customWidth="1"/>
    <col min="1802" max="1803" width="10.42578125" style="57" customWidth="1"/>
    <col min="1804" max="1804" width="11.5703125" style="57" customWidth="1"/>
    <col min="1805" max="1806" width="10.42578125" style="57" customWidth="1"/>
    <col min="1807" max="1807" width="6.5703125" style="57" customWidth="1"/>
    <col min="1808" max="1808" width="11.42578125" style="57" customWidth="1"/>
    <col min="1809" max="1809" width="4.140625" style="57" customWidth="1"/>
    <col min="1810" max="1810" width="18.5703125" style="57" customWidth="1"/>
    <col min="1811" max="1811" width="2.140625" style="57" customWidth="1"/>
    <col min="1812" max="1812" width="10.42578125" style="57" customWidth="1"/>
    <col min="1813" max="2054" width="9.140625" style="57"/>
    <col min="2055" max="2055" width="10" style="57" customWidth="1"/>
    <col min="2056" max="2056" width="40" style="57" customWidth="1"/>
    <col min="2057" max="2057" width="12.5703125" style="57" customWidth="1"/>
    <col min="2058" max="2059" width="10.42578125" style="57" customWidth="1"/>
    <col min="2060" max="2060" width="11.5703125" style="57" customWidth="1"/>
    <col min="2061" max="2062" width="10.42578125" style="57" customWidth="1"/>
    <col min="2063" max="2063" width="6.5703125" style="57" customWidth="1"/>
    <col min="2064" max="2064" width="11.42578125" style="57" customWidth="1"/>
    <col min="2065" max="2065" width="4.140625" style="57" customWidth="1"/>
    <col min="2066" max="2066" width="18.5703125" style="57" customWidth="1"/>
    <col min="2067" max="2067" width="2.140625" style="57" customWidth="1"/>
    <col min="2068" max="2068" width="10.42578125" style="57" customWidth="1"/>
    <col min="2069" max="2310" width="9.140625" style="57"/>
    <col min="2311" max="2311" width="10" style="57" customWidth="1"/>
    <col min="2312" max="2312" width="40" style="57" customWidth="1"/>
    <col min="2313" max="2313" width="12.5703125" style="57" customWidth="1"/>
    <col min="2314" max="2315" width="10.42578125" style="57" customWidth="1"/>
    <col min="2316" max="2316" width="11.5703125" style="57" customWidth="1"/>
    <col min="2317" max="2318" width="10.42578125" style="57" customWidth="1"/>
    <col min="2319" max="2319" width="6.5703125" style="57" customWidth="1"/>
    <col min="2320" max="2320" width="11.42578125" style="57" customWidth="1"/>
    <col min="2321" max="2321" width="4.140625" style="57" customWidth="1"/>
    <col min="2322" max="2322" width="18.5703125" style="57" customWidth="1"/>
    <col min="2323" max="2323" width="2.140625" style="57" customWidth="1"/>
    <col min="2324" max="2324" width="10.42578125" style="57" customWidth="1"/>
    <col min="2325" max="2566" width="9.140625" style="57"/>
    <col min="2567" max="2567" width="10" style="57" customWidth="1"/>
    <col min="2568" max="2568" width="40" style="57" customWidth="1"/>
    <col min="2569" max="2569" width="12.5703125" style="57" customWidth="1"/>
    <col min="2570" max="2571" width="10.42578125" style="57" customWidth="1"/>
    <col min="2572" max="2572" width="11.5703125" style="57" customWidth="1"/>
    <col min="2573" max="2574" width="10.42578125" style="57" customWidth="1"/>
    <col min="2575" max="2575" width="6.5703125" style="57" customWidth="1"/>
    <col min="2576" max="2576" width="11.42578125" style="57" customWidth="1"/>
    <col min="2577" max="2577" width="4.140625" style="57" customWidth="1"/>
    <col min="2578" max="2578" width="18.5703125" style="57" customWidth="1"/>
    <col min="2579" max="2579" width="2.140625" style="57" customWidth="1"/>
    <col min="2580" max="2580" width="10.42578125" style="57" customWidth="1"/>
    <col min="2581" max="2822" width="9.140625" style="57"/>
    <col min="2823" max="2823" width="10" style="57" customWidth="1"/>
    <col min="2824" max="2824" width="40" style="57" customWidth="1"/>
    <col min="2825" max="2825" width="12.5703125" style="57" customWidth="1"/>
    <col min="2826" max="2827" width="10.42578125" style="57" customWidth="1"/>
    <col min="2828" max="2828" width="11.5703125" style="57" customWidth="1"/>
    <col min="2829" max="2830" width="10.42578125" style="57" customWidth="1"/>
    <col min="2831" max="2831" width="6.5703125" style="57" customWidth="1"/>
    <col min="2832" max="2832" width="11.42578125" style="57" customWidth="1"/>
    <col min="2833" max="2833" width="4.140625" style="57" customWidth="1"/>
    <col min="2834" max="2834" width="18.5703125" style="57" customWidth="1"/>
    <col min="2835" max="2835" width="2.140625" style="57" customWidth="1"/>
    <col min="2836" max="2836" width="10.42578125" style="57" customWidth="1"/>
    <col min="2837" max="3078" width="9.140625" style="57"/>
    <col min="3079" max="3079" width="10" style="57" customWidth="1"/>
    <col min="3080" max="3080" width="40" style="57" customWidth="1"/>
    <col min="3081" max="3081" width="12.5703125" style="57" customWidth="1"/>
    <col min="3082" max="3083" width="10.42578125" style="57" customWidth="1"/>
    <col min="3084" max="3084" width="11.5703125" style="57" customWidth="1"/>
    <col min="3085" max="3086" width="10.42578125" style="57" customWidth="1"/>
    <col min="3087" max="3087" width="6.5703125" style="57" customWidth="1"/>
    <col min="3088" max="3088" width="11.42578125" style="57" customWidth="1"/>
    <col min="3089" max="3089" width="4.140625" style="57" customWidth="1"/>
    <col min="3090" max="3090" width="18.5703125" style="57" customWidth="1"/>
    <col min="3091" max="3091" width="2.140625" style="57" customWidth="1"/>
    <col min="3092" max="3092" width="10.42578125" style="57" customWidth="1"/>
    <col min="3093" max="3334" width="9.140625" style="57"/>
    <col min="3335" max="3335" width="10" style="57" customWidth="1"/>
    <col min="3336" max="3336" width="40" style="57" customWidth="1"/>
    <col min="3337" max="3337" width="12.5703125" style="57" customWidth="1"/>
    <col min="3338" max="3339" width="10.42578125" style="57" customWidth="1"/>
    <col min="3340" max="3340" width="11.5703125" style="57" customWidth="1"/>
    <col min="3341" max="3342" width="10.42578125" style="57" customWidth="1"/>
    <col min="3343" max="3343" width="6.5703125" style="57" customWidth="1"/>
    <col min="3344" max="3344" width="11.42578125" style="57" customWidth="1"/>
    <col min="3345" max="3345" width="4.140625" style="57" customWidth="1"/>
    <col min="3346" max="3346" width="18.5703125" style="57" customWidth="1"/>
    <col min="3347" max="3347" width="2.140625" style="57" customWidth="1"/>
    <col min="3348" max="3348" width="10.42578125" style="57" customWidth="1"/>
    <col min="3349" max="3590" width="9.140625" style="57"/>
    <col min="3591" max="3591" width="10" style="57" customWidth="1"/>
    <col min="3592" max="3592" width="40" style="57" customWidth="1"/>
    <col min="3593" max="3593" width="12.5703125" style="57" customWidth="1"/>
    <col min="3594" max="3595" width="10.42578125" style="57" customWidth="1"/>
    <col min="3596" max="3596" width="11.5703125" style="57" customWidth="1"/>
    <col min="3597" max="3598" width="10.42578125" style="57" customWidth="1"/>
    <col min="3599" max="3599" width="6.5703125" style="57" customWidth="1"/>
    <col min="3600" max="3600" width="11.42578125" style="57" customWidth="1"/>
    <col min="3601" max="3601" width="4.140625" style="57" customWidth="1"/>
    <col min="3602" max="3602" width="18.5703125" style="57" customWidth="1"/>
    <col min="3603" max="3603" width="2.140625" style="57" customWidth="1"/>
    <col min="3604" max="3604" width="10.42578125" style="57" customWidth="1"/>
    <col min="3605" max="3846" width="9.140625" style="57"/>
    <col min="3847" max="3847" width="10" style="57" customWidth="1"/>
    <col min="3848" max="3848" width="40" style="57" customWidth="1"/>
    <col min="3849" max="3849" width="12.5703125" style="57" customWidth="1"/>
    <col min="3850" max="3851" width="10.42578125" style="57" customWidth="1"/>
    <col min="3852" max="3852" width="11.5703125" style="57" customWidth="1"/>
    <col min="3853" max="3854" width="10.42578125" style="57" customWidth="1"/>
    <col min="3855" max="3855" width="6.5703125" style="57" customWidth="1"/>
    <col min="3856" max="3856" width="11.42578125" style="57" customWidth="1"/>
    <col min="3857" max="3857" width="4.140625" style="57" customWidth="1"/>
    <col min="3858" max="3858" width="18.5703125" style="57" customWidth="1"/>
    <col min="3859" max="3859" width="2.140625" style="57" customWidth="1"/>
    <col min="3860" max="3860" width="10.42578125" style="57" customWidth="1"/>
    <col min="3861" max="4102" width="9.140625" style="57"/>
    <col min="4103" max="4103" width="10" style="57" customWidth="1"/>
    <col min="4104" max="4104" width="40" style="57" customWidth="1"/>
    <col min="4105" max="4105" width="12.5703125" style="57" customWidth="1"/>
    <col min="4106" max="4107" width="10.42578125" style="57" customWidth="1"/>
    <col min="4108" max="4108" width="11.5703125" style="57" customWidth="1"/>
    <col min="4109" max="4110" width="10.42578125" style="57" customWidth="1"/>
    <col min="4111" max="4111" width="6.5703125" style="57" customWidth="1"/>
    <col min="4112" max="4112" width="11.42578125" style="57" customWidth="1"/>
    <col min="4113" max="4113" width="4.140625" style="57" customWidth="1"/>
    <col min="4114" max="4114" width="18.5703125" style="57" customWidth="1"/>
    <col min="4115" max="4115" width="2.140625" style="57" customWidth="1"/>
    <col min="4116" max="4116" width="10.42578125" style="57" customWidth="1"/>
    <col min="4117" max="4358" width="9.140625" style="57"/>
    <col min="4359" max="4359" width="10" style="57" customWidth="1"/>
    <col min="4360" max="4360" width="40" style="57" customWidth="1"/>
    <col min="4361" max="4361" width="12.5703125" style="57" customWidth="1"/>
    <col min="4362" max="4363" width="10.42578125" style="57" customWidth="1"/>
    <col min="4364" max="4364" width="11.5703125" style="57" customWidth="1"/>
    <col min="4365" max="4366" width="10.42578125" style="57" customWidth="1"/>
    <col min="4367" max="4367" width="6.5703125" style="57" customWidth="1"/>
    <col min="4368" max="4368" width="11.42578125" style="57" customWidth="1"/>
    <col min="4369" max="4369" width="4.140625" style="57" customWidth="1"/>
    <col min="4370" max="4370" width="18.5703125" style="57" customWidth="1"/>
    <col min="4371" max="4371" width="2.140625" style="57" customWidth="1"/>
    <col min="4372" max="4372" width="10.42578125" style="57" customWidth="1"/>
    <col min="4373" max="4614" width="9.140625" style="57"/>
    <col min="4615" max="4615" width="10" style="57" customWidth="1"/>
    <col min="4616" max="4616" width="40" style="57" customWidth="1"/>
    <col min="4617" max="4617" width="12.5703125" style="57" customWidth="1"/>
    <col min="4618" max="4619" width="10.42578125" style="57" customWidth="1"/>
    <col min="4620" max="4620" width="11.5703125" style="57" customWidth="1"/>
    <col min="4621" max="4622" width="10.42578125" style="57" customWidth="1"/>
    <col min="4623" max="4623" width="6.5703125" style="57" customWidth="1"/>
    <col min="4624" max="4624" width="11.42578125" style="57" customWidth="1"/>
    <col min="4625" max="4625" width="4.140625" style="57" customWidth="1"/>
    <col min="4626" max="4626" width="18.5703125" style="57" customWidth="1"/>
    <col min="4627" max="4627" width="2.140625" style="57" customWidth="1"/>
    <col min="4628" max="4628" width="10.42578125" style="57" customWidth="1"/>
    <col min="4629" max="4870" width="9.140625" style="57"/>
    <col min="4871" max="4871" width="10" style="57" customWidth="1"/>
    <col min="4872" max="4872" width="40" style="57" customWidth="1"/>
    <col min="4873" max="4873" width="12.5703125" style="57" customWidth="1"/>
    <col min="4874" max="4875" width="10.42578125" style="57" customWidth="1"/>
    <col min="4876" max="4876" width="11.5703125" style="57" customWidth="1"/>
    <col min="4877" max="4878" width="10.42578125" style="57" customWidth="1"/>
    <col min="4879" max="4879" width="6.5703125" style="57" customWidth="1"/>
    <col min="4880" max="4880" width="11.42578125" style="57" customWidth="1"/>
    <col min="4881" max="4881" width="4.140625" style="57" customWidth="1"/>
    <col min="4882" max="4882" width="18.5703125" style="57" customWidth="1"/>
    <col min="4883" max="4883" width="2.140625" style="57" customWidth="1"/>
    <col min="4884" max="4884" width="10.42578125" style="57" customWidth="1"/>
    <col min="4885" max="5126" width="9.140625" style="57"/>
    <col min="5127" max="5127" width="10" style="57" customWidth="1"/>
    <col min="5128" max="5128" width="40" style="57" customWidth="1"/>
    <col min="5129" max="5129" width="12.5703125" style="57" customWidth="1"/>
    <col min="5130" max="5131" width="10.42578125" style="57" customWidth="1"/>
    <col min="5132" max="5132" width="11.5703125" style="57" customWidth="1"/>
    <col min="5133" max="5134" width="10.42578125" style="57" customWidth="1"/>
    <col min="5135" max="5135" width="6.5703125" style="57" customWidth="1"/>
    <col min="5136" max="5136" width="11.42578125" style="57" customWidth="1"/>
    <col min="5137" max="5137" width="4.140625" style="57" customWidth="1"/>
    <col min="5138" max="5138" width="18.5703125" style="57" customWidth="1"/>
    <col min="5139" max="5139" width="2.140625" style="57" customWidth="1"/>
    <col min="5140" max="5140" width="10.42578125" style="57" customWidth="1"/>
    <col min="5141" max="5382" width="9.140625" style="57"/>
    <col min="5383" max="5383" width="10" style="57" customWidth="1"/>
    <col min="5384" max="5384" width="40" style="57" customWidth="1"/>
    <col min="5385" max="5385" width="12.5703125" style="57" customWidth="1"/>
    <col min="5386" max="5387" width="10.42578125" style="57" customWidth="1"/>
    <col min="5388" max="5388" width="11.5703125" style="57" customWidth="1"/>
    <col min="5389" max="5390" width="10.42578125" style="57" customWidth="1"/>
    <col min="5391" max="5391" width="6.5703125" style="57" customWidth="1"/>
    <col min="5392" max="5392" width="11.42578125" style="57" customWidth="1"/>
    <col min="5393" max="5393" width="4.140625" style="57" customWidth="1"/>
    <col min="5394" max="5394" width="18.5703125" style="57" customWidth="1"/>
    <col min="5395" max="5395" width="2.140625" style="57" customWidth="1"/>
    <col min="5396" max="5396" width="10.42578125" style="57" customWidth="1"/>
    <col min="5397" max="5638" width="9.140625" style="57"/>
    <col min="5639" max="5639" width="10" style="57" customWidth="1"/>
    <col min="5640" max="5640" width="40" style="57" customWidth="1"/>
    <col min="5641" max="5641" width="12.5703125" style="57" customWidth="1"/>
    <col min="5642" max="5643" width="10.42578125" style="57" customWidth="1"/>
    <col min="5644" max="5644" width="11.5703125" style="57" customWidth="1"/>
    <col min="5645" max="5646" width="10.42578125" style="57" customWidth="1"/>
    <col min="5647" max="5647" width="6.5703125" style="57" customWidth="1"/>
    <col min="5648" max="5648" width="11.42578125" style="57" customWidth="1"/>
    <col min="5649" max="5649" width="4.140625" style="57" customWidth="1"/>
    <col min="5650" max="5650" width="18.5703125" style="57" customWidth="1"/>
    <col min="5651" max="5651" width="2.140625" style="57" customWidth="1"/>
    <col min="5652" max="5652" width="10.42578125" style="57" customWidth="1"/>
    <col min="5653" max="5894" width="9.140625" style="57"/>
    <col min="5895" max="5895" width="10" style="57" customWidth="1"/>
    <col min="5896" max="5896" width="40" style="57" customWidth="1"/>
    <col min="5897" max="5897" width="12.5703125" style="57" customWidth="1"/>
    <col min="5898" max="5899" width="10.42578125" style="57" customWidth="1"/>
    <col min="5900" max="5900" width="11.5703125" style="57" customWidth="1"/>
    <col min="5901" max="5902" width="10.42578125" style="57" customWidth="1"/>
    <col min="5903" max="5903" width="6.5703125" style="57" customWidth="1"/>
    <col min="5904" max="5904" width="11.42578125" style="57" customWidth="1"/>
    <col min="5905" max="5905" width="4.140625" style="57" customWidth="1"/>
    <col min="5906" max="5906" width="18.5703125" style="57" customWidth="1"/>
    <col min="5907" max="5907" width="2.140625" style="57" customWidth="1"/>
    <col min="5908" max="5908" width="10.42578125" style="57" customWidth="1"/>
    <col min="5909" max="6150" width="9.140625" style="57"/>
    <col min="6151" max="6151" width="10" style="57" customWidth="1"/>
    <col min="6152" max="6152" width="40" style="57" customWidth="1"/>
    <col min="6153" max="6153" width="12.5703125" style="57" customWidth="1"/>
    <col min="6154" max="6155" width="10.42578125" style="57" customWidth="1"/>
    <col min="6156" max="6156" width="11.5703125" style="57" customWidth="1"/>
    <col min="6157" max="6158" width="10.42578125" style="57" customWidth="1"/>
    <col min="6159" max="6159" width="6.5703125" style="57" customWidth="1"/>
    <col min="6160" max="6160" width="11.42578125" style="57" customWidth="1"/>
    <col min="6161" max="6161" width="4.140625" style="57" customWidth="1"/>
    <col min="6162" max="6162" width="18.5703125" style="57" customWidth="1"/>
    <col min="6163" max="6163" width="2.140625" style="57" customWidth="1"/>
    <col min="6164" max="6164" width="10.42578125" style="57" customWidth="1"/>
    <col min="6165" max="6406" width="9.140625" style="57"/>
    <col min="6407" max="6407" width="10" style="57" customWidth="1"/>
    <col min="6408" max="6408" width="40" style="57" customWidth="1"/>
    <col min="6409" max="6409" width="12.5703125" style="57" customWidth="1"/>
    <col min="6410" max="6411" width="10.42578125" style="57" customWidth="1"/>
    <col min="6412" max="6412" width="11.5703125" style="57" customWidth="1"/>
    <col min="6413" max="6414" width="10.42578125" style="57" customWidth="1"/>
    <col min="6415" max="6415" width="6.5703125" style="57" customWidth="1"/>
    <col min="6416" max="6416" width="11.42578125" style="57" customWidth="1"/>
    <col min="6417" max="6417" width="4.140625" style="57" customWidth="1"/>
    <col min="6418" max="6418" width="18.5703125" style="57" customWidth="1"/>
    <col min="6419" max="6419" width="2.140625" style="57" customWidth="1"/>
    <col min="6420" max="6420" width="10.42578125" style="57" customWidth="1"/>
    <col min="6421" max="6662" width="9.140625" style="57"/>
    <col min="6663" max="6663" width="10" style="57" customWidth="1"/>
    <col min="6664" max="6664" width="40" style="57" customWidth="1"/>
    <col min="6665" max="6665" width="12.5703125" style="57" customWidth="1"/>
    <col min="6666" max="6667" width="10.42578125" style="57" customWidth="1"/>
    <col min="6668" max="6668" width="11.5703125" style="57" customWidth="1"/>
    <col min="6669" max="6670" width="10.42578125" style="57" customWidth="1"/>
    <col min="6671" max="6671" width="6.5703125" style="57" customWidth="1"/>
    <col min="6672" max="6672" width="11.42578125" style="57" customWidth="1"/>
    <col min="6673" max="6673" width="4.140625" style="57" customWidth="1"/>
    <col min="6674" max="6674" width="18.5703125" style="57" customWidth="1"/>
    <col min="6675" max="6675" width="2.140625" style="57" customWidth="1"/>
    <col min="6676" max="6676" width="10.42578125" style="57" customWidth="1"/>
    <col min="6677" max="6918" width="9.140625" style="57"/>
    <col min="6919" max="6919" width="10" style="57" customWidth="1"/>
    <col min="6920" max="6920" width="40" style="57" customWidth="1"/>
    <col min="6921" max="6921" width="12.5703125" style="57" customWidth="1"/>
    <col min="6922" max="6923" width="10.42578125" style="57" customWidth="1"/>
    <col min="6924" max="6924" width="11.5703125" style="57" customWidth="1"/>
    <col min="6925" max="6926" width="10.42578125" style="57" customWidth="1"/>
    <col min="6927" max="6927" width="6.5703125" style="57" customWidth="1"/>
    <col min="6928" max="6928" width="11.42578125" style="57" customWidth="1"/>
    <col min="6929" max="6929" width="4.140625" style="57" customWidth="1"/>
    <col min="6930" max="6930" width="18.5703125" style="57" customWidth="1"/>
    <col min="6931" max="6931" width="2.140625" style="57" customWidth="1"/>
    <col min="6932" max="6932" width="10.42578125" style="57" customWidth="1"/>
    <col min="6933" max="7174" width="9.140625" style="57"/>
    <col min="7175" max="7175" width="10" style="57" customWidth="1"/>
    <col min="7176" max="7176" width="40" style="57" customWidth="1"/>
    <col min="7177" max="7177" width="12.5703125" style="57" customWidth="1"/>
    <col min="7178" max="7179" width="10.42578125" style="57" customWidth="1"/>
    <col min="7180" max="7180" width="11.5703125" style="57" customWidth="1"/>
    <col min="7181" max="7182" width="10.42578125" style="57" customWidth="1"/>
    <col min="7183" max="7183" width="6.5703125" style="57" customWidth="1"/>
    <col min="7184" max="7184" width="11.42578125" style="57" customWidth="1"/>
    <col min="7185" max="7185" width="4.140625" style="57" customWidth="1"/>
    <col min="7186" max="7186" width="18.5703125" style="57" customWidth="1"/>
    <col min="7187" max="7187" width="2.140625" style="57" customWidth="1"/>
    <col min="7188" max="7188" width="10.42578125" style="57" customWidth="1"/>
    <col min="7189" max="7430" width="9.140625" style="57"/>
    <col min="7431" max="7431" width="10" style="57" customWidth="1"/>
    <col min="7432" max="7432" width="40" style="57" customWidth="1"/>
    <col min="7433" max="7433" width="12.5703125" style="57" customWidth="1"/>
    <col min="7434" max="7435" width="10.42578125" style="57" customWidth="1"/>
    <col min="7436" max="7436" width="11.5703125" style="57" customWidth="1"/>
    <col min="7437" max="7438" width="10.42578125" style="57" customWidth="1"/>
    <col min="7439" max="7439" width="6.5703125" style="57" customWidth="1"/>
    <col min="7440" max="7440" width="11.42578125" style="57" customWidth="1"/>
    <col min="7441" max="7441" width="4.140625" style="57" customWidth="1"/>
    <col min="7442" max="7442" width="18.5703125" style="57" customWidth="1"/>
    <col min="7443" max="7443" width="2.140625" style="57" customWidth="1"/>
    <col min="7444" max="7444" width="10.42578125" style="57" customWidth="1"/>
    <col min="7445" max="7686" width="9.140625" style="57"/>
    <col min="7687" max="7687" width="10" style="57" customWidth="1"/>
    <col min="7688" max="7688" width="40" style="57" customWidth="1"/>
    <col min="7689" max="7689" width="12.5703125" style="57" customWidth="1"/>
    <col min="7690" max="7691" width="10.42578125" style="57" customWidth="1"/>
    <col min="7692" max="7692" width="11.5703125" style="57" customWidth="1"/>
    <col min="7693" max="7694" width="10.42578125" style="57" customWidth="1"/>
    <col min="7695" max="7695" width="6.5703125" style="57" customWidth="1"/>
    <col min="7696" max="7696" width="11.42578125" style="57" customWidth="1"/>
    <col min="7697" max="7697" width="4.140625" style="57" customWidth="1"/>
    <col min="7698" max="7698" width="18.5703125" style="57" customWidth="1"/>
    <col min="7699" max="7699" width="2.140625" style="57" customWidth="1"/>
    <col min="7700" max="7700" width="10.42578125" style="57" customWidth="1"/>
    <col min="7701" max="7942" width="9.140625" style="57"/>
    <col min="7943" max="7943" width="10" style="57" customWidth="1"/>
    <col min="7944" max="7944" width="40" style="57" customWidth="1"/>
    <col min="7945" max="7945" width="12.5703125" style="57" customWidth="1"/>
    <col min="7946" max="7947" width="10.42578125" style="57" customWidth="1"/>
    <col min="7948" max="7948" width="11.5703125" style="57" customWidth="1"/>
    <col min="7949" max="7950" width="10.42578125" style="57" customWidth="1"/>
    <col min="7951" max="7951" width="6.5703125" style="57" customWidth="1"/>
    <col min="7952" max="7952" width="11.42578125" style="57" customWidth="1"/>
    <col min="7953" max="7953" width="4.140625" style="57" customWidth="1"/>
    <col min="7954" max="7954" width="18.5703125" style="57" customWidth="1"/>
    <col min="7955" max="7955" width="2.140625" style="57" customWidth="1"/>
    <col min="7956" max="7956" width="10.42578125" style="57" customWidth="1"/>
    <col min="7957" max="8198" width="9.140625" style="57"/>
    <col min="8199" max="8199" width="10" style="57" customWidth="1"/>
    <col min="8200" max="8200" width="40" style="57" customWidth="1"/>
    <col min="8201" max="8201" width="12.5703125" style="57" customWidth="1"/>
    <col min="8202" max="8203" width="10.42578125" style="57" customWidth="1"/>
    <col min="8204" max="8204" width="11.5703125" style="57" customWidth="1"/>
    <col min="8205" max="8206" width="10.42578125" style="57" customWidth="1"/>
    <col min="8207" max="8207" width="6.5703125" style="57" customWidth="1"/>
    <col min="8208" max="8208" width="11.42578125" style="57" customWidth="1"/>
    <col min="8209" max="8209" width="4.140625" style="57" customWidth="1"/>
    <col min="8210" max="8210" width="18.5703125" style="57" customWidth="1"/>
    <col min="8211" max="8211" width="2.140625" style="57" customWidth="1"/>
    <col min="8212" max="8212" width="10.42578125" style="57" customWidth="1"/>
    <col min="8213" max="8454" width="9.140625" style="57"/>
    <col min="8455" max="8455" width="10" style="57" customWidth="1"/>
    <col min="8456" max="8456" width="40" style="57" customWidth="1"/>
    <col min="8457" max="8457" width="12.5703125" style="57" customWidth="1"/>
    <col min="8458" max="8459" width="10.42578125" style="57" customWidth="1"/>
    <col min="8460" max="8460" width="11.5703125" style="57" customWidth="1"/>
    <col min="8461" max="8462" width="10.42578125" style="57" customWidth="1"/>
    <col min="8463" max="8463" width="6.5703125" style="57" customWidth="1"/>
    <col min="8464" max="8464" width="11.42578125" style="57" customWidth="1"/>
    <col min="8465" max="8465" width="4.140625" style="57" customWidth="1"/>
    <col min="8466" max="8466" width="18.5703125" style="57" customWidth="1"/>
    <col min="8467" max="8467" width="2.140625" style="57" customWidth="1"/>
    <col min="8468" max="8468" width="10.42578125" style="57" customWidth="1"/>
    <col min="8469" max="8710" width="9.140625" style="57"/>
    <col min="8711" max="8711" width="10" style="57" customWidth="1"/>
    <col min="8712" max="8712" width="40" style="57" customWidth="1"/>
    <col min="8713" max="8713" width="12.5703125" style="57" customWidth="1"/>
    <col min="8714" max="8715" width="10.42578125" style="57" customWidth="1"/>
    <col min="8716" max="8716" width="11.5703125" style="57" customWidth="1"/>
    <col min="8717" max="8718" width="10.42578125" style="57" customWidth="1"/>
    <col min="8719" max="8719" width="6.5703125" style="57" customWidth="1"/>
    <col min="8720" max="8720" width="11.42578125" style="57" customWidth="1"/>
    <col min="8721" max="8721" width="4.140625" style="57" customWidth="1"/>
    <col min="8722" max="8722" width="18.5703125" style="57" customWidth="1"/>
    <col min="8723" max="8723" width="2.140625" style="57" customWidth="1"/>
    <col min="8724" max="8724" width="10.42578125" style="57" customWidth="1"/>
    <col min="8725" max="8966" width="9.140625" style="57"/>
    <col min="8967" max="8967" width="10" style="57" customWidth="1"/>
    <col min="8968" max="8968" width="40" style="57" customWidth="1"/>
    <col min="8969" max="8969" width="12.5703125" style="57" customWidth="1"/>
    <col min="8970" max="8971" width="10.42578125" style="57" customWidth="1"/>
    <col min="8972" max="8972" width="11.5703125" style="57" customWidth="1"/>
    <col min="8973" max="8974" width="10.42578125" style="57" customWidth="1"/>
    <col min="8975" max="8975" width="6.5703125" style="57" customWidth="1"/>
    <col min="8976" max="8976" width="11.42578125" style="57" customWidth="1"/>
    <col min="8977" max="8977" width="4.140625" style="57" customWidth="1"/>
    <col min="8978" max="8978" width="18.5703125" style="57" customWidth="1"/>
    <col min="8979" max="8979" width="2.140625" style="57" customWidth="1"/>
    <col min="8980" max="8980" width="10.42578125" style="57" customWidth="1"/>
    <col min="8981" max="9222" width="9.140625" style="57"/>
    <col min="9223" max="9223" width="10" style="57" customWidth="1"/>
    <col min="9224" max="9224" width="40" style="57" customWidth="1"/>
    <col min="9225" max="9225" width="12.5703125" style="57" customWidth="1"/>
    <col min="9226" max="9227" width="10.42578125" style="57" customWidth="1"/>
    <col min="9228" max="9228" width="11.5703125" style="57" customWidth="1"/>
    <col min="9229" max="9230" width="10.42578125" style="57" customWidth="1"/>
    <col min="9231" max="9231" width="6.5703125" style="57" customWidth="1"/>
    <col min="9232" max="9232" width="11.42578125" style="57" customWidth="1"/>
    <col min="9233" max="9233" width="4.140625" style="57" customWidth="1"/>
    <col min="9234" max="9234" width="18.5703125" style="57" customWidth="1"/>
    <col min="9235" max="9235" width="2.140625" style="57" customWidth="1"/>
    <col min="9236" max="9236" width="10.42578125" style="57" customWidth="1"/>
    <col min="9237" max="9478" width="9.140625" style="57"/>
    <col min="9479" max="9479" width="10" style="57" customWidth="1"/>
    <col min="9480" max="9480" width="40" style="57" customWidth="1"/>
    <col min="9481" max="9481" width="12.5703125" style="57" customWidth="1"/>
    <col min="9482" max="9483" width="10.42578125" style="57" customWidth="1"/>
    <col min="9484" max="9484" width="11.5703125" style="57" customWidth="1"/>
    <col min="9485" max="9486" width="10.42578125" style="57" customWidth="1"/>
    <col min="9487" max="9487" width="6.5703125" style="57" customWidth="1"/>
    <col min="9488" max="9488" width="11.42578125" style="57" customWidth="1"/>
    <col min="9489" max="9489" width="4.140625" style="57" customWidth="1"/>
    <col min="9490" max="9490" width="18.5703125" style="57" customWidth="1"/>
    <col min="9491" max="9491" width="2.140625" style="57" customWidth="1"/>
    <col min="9492" max="9492" width="10.42578125" style="57" customWidth="1"/>
    <col min="9493" max="9734" width="9.140625" style="57"/>
    <col min="9735" max="9735" width="10" style="57" customWidth="1"/>
    <col min="9736" max="9736" width="40" style="57" customWidth="1"/>
    <col min="9737" max="9737" width="12.5703125" style="57" customWidth="1"/>
    <col min="9738" max="9739" width="10.42578125" style="57" customWidth="1"/>
    <col min="9740" max="9740" width="11.5703125" style="57" customWidth="1"/>
    <col min="9741" max="9742" width="10.42578125" style="57" customWidth="1"/>
    <col min="9743" max="9743" width="6.5703125" style="57" customWidth="1"/>
    <col min="9744" max="9744" width="11.42578125" style="57" customWidth="1"/>
    <col min="9745" max="9745" width="4.140625" style="57" customWidth="1"/>
    <col min="9746" max="9746" width="18.5703125" style="57" customWidth="1"/>
    <col min="9747" max="9747" width="2.140625" style="57" customWidth="1"/>
    <col min="9748" max="9748" width="10.42578125" style="57" customWidth="1"/>
    <col min="9749" max="9990" width="9.140625" style="57"/>
    <col min="9991" max="9991" width="10" style="57" customWidth="1"/>
    <col min="9992" max="9992" width="40" style="57" customWidth="1"/>
    <col min="9993" max="9993" width="12.5703125" style="57" customWidth="1"/>
    <col min="9994" max="9995" width="10.42578125" style="57" customWidth="1"/>
    <col min="9996" max="9996" width="11.5703125" style="57" customWidth="1"/>
    <col min="9997" max="9998" width="10.42578125" style="57" customWidth="1"/>
    <col min="9999" max="9999" width="6.5703125" style="57" customWidth="1"/>
    <col min="10000" max="10000" width="11.42578125" style="57" customWidth="1"/>
    <col min="10001" max="10001" width="4.140625" style="57" customWidth="1"/>
    <col min="10002" max="10002" width="18.5703125" style="57" customWidth="1"/>
    <col min="10003" max="10003" width="2.140625" style="57" customWidth="1"/>
    <col min="10004" max="10004" width="10.42578125" style="57" customWidth="1"/>
    <col min="10005" max="10246" width="9.140625" style="57"/>
    <col min="10247" max="10247" width="10" style="57" customWidth="1"/>
    <col min="10248" max="10248" width="40" style="57" customWidth="1"/>
    <col min="10249" max="10249" width="12.5703125" style="57" customWidth="1"/>
    <col min="10250" max="10251" width="10.42578125" style="57" customWidth="1"/>
    <col min="10252" max="10252" width="11.5703125" style="57" customWidth="1"/>
    <col min="10253" max="10254" width="10.42578125" style="57" customWidth="1"/>
    <col min="10255" max="10255" width="6.5703125" style="57" customWidth="1"/>
    <col min="10256" max="10256" width="11.42578125" style="57" customWidth="1"/>
    <col min="10257" max="10257" width="4.140625" style="57" customWidth="1"/>
    <col min="10258" max="10258" width="18.5703125" style="57" customWidth="1"/>
    <col min="10259" max="10259" width="2.140625" style="57" customWidth="1"/>
    <col min="10260" max="10260" width="10.42578125" style="57" customWidth="1"/>
    <col min="10261" max="10502" width="9.140625" style="57"/>
    <col min="10503" max="10503" width="10" style="57" customWidth="1"/>
    <col min="10504" max="10504" width="40" style="57" customWidth="1"/>
    <col min="10505" max="10505" width="12.5703125" style="57" customWidth="1"/>
    <col min="10506" max="10507" width="10.42578125" style="57" customWidth="1"/>
    <col min="10508" max="10508" width="11.5703125" style="57" customWidth="1"/>
    <col min="10509" max="10510" width="10.42578125" style="57" customWidth="1"/>
    <col min="10511" max="10511" width="6.5703125" style="57" customWidth="1"/>
    <col min="10512" max="10512" width="11.42578125" style="57" customWidth="1"/>
    <col min="10513" max="10513" width="4.140625" style="57" customWidth="1"/>
    <col min="10514" max="10514" width="18.5703125" style="57" customWidth="1"/>
    <col min="10515" max="10515" width="2.140625" style="57" customWidth="1"/>
    <col min="10516" max="10516" width="10.42578125" style="57" customWidth="1"/>
    <col min="10517" max="10758" width="9.140625" style="57"/>
    <col min="10759" max="10759" width="10" style="57" customWidth="1"/>
    <col min="10760" max="10760" width="40" style="57" customWidth="1"/>
    <col min="10761" max="10761" width="12.5703125" style="57" customWidth="1"/>
    <col min="10762" max="10763" width="10.42578125" style="57" customWidth="1"/>
    <col min="10764" max="10764" width="11.5703125" style="57" customWidth="1"/>
    <col min="10765" max="10766" width="10.42578125" style="57" customWidth="1"/>
    <col min="10767" max="10767" width="6.5703125" style="57" customWidth="1"/>
    <col min="10768" max="10768" width="11.42578125" style="57" customWidth="1"/>
    <col min="10769" max="10769" width="4.140625" style="57" customWidth="1"/>
    <col min="10770" max="10770" width="18.5703125" style="57" customWidth="1"/>
    <col min="10771" max="10771" width="2.140625" style="57" customWidth="1"/>
    <col min="10772" max="10772" width="10.42578125" style="57" customWidth="1"/>
    <col min="10773" max="11014" width="9.140625" style="57"/>
    <col min="11015" max="11015" width="10" style="57" customWidth="1"/>
    <col min="11016" max="11016" width="40" style="57" customWidth="1"/>
    <col min="11017" max="11017" width="12.5703125" style="57" customWidth="1"/>
    <col min="11018" max="11019" width="10.42578125" style="57" customWidth="1"/>
    <col min="11020" max="11020" width="11.5703125" style="57" customWidth="1"/>
    <col min="11021" max="11022" width="10.42578125" style="57" customWidth="1"/>
    <col min="11023" max="11023" width="6.5703125" style="57" customWidth="1"/>
    <col min="11024" max="11024" width="11.42578125" style="57" customWidth="1"/>
    <col min="11025" max="11025" width="4.140625" style="57" customWidth="1"/>
    <col min="11026" max="11026" width="18.5703125" style="57" customWidth="1"/>
    <col min="11027" max="11027" width="2.140625" style="57" customWidth="1"/>
    <col min="11028" max="11028" width="10.42578125" style="57" customWidth="1"/>
    <col min="11029" max="11270" width="9.140625" style="57"/>
    <col min="11271" max="11271" width="10" style="57" customWidth="1"/>
    <col min="11272" max="11272" width="40" style="57" customWidth="1"/>
    <col min="11273" max="11273" width="12.5703125" style="57" customWidth="1"/>
    <col min="11274" max="11275" width="10.42578125" style="57" customWidth="1"/>
    <col min="11276" max="11276" width="11.5703125" style="57" customWidth="1"/>
    <col min="11277" max="11278" width="10.42578125" style="57" customWidth="1"/>
    <col min="11279" max="11279" width="6.5703125" style="57" customWidth="1"/>
    <col min="11280" max="11280" width="11.42578125" style="57" customWidth="1"/>
    <col min="11281" max="11281" width="4.140625" style="57" customWidth="1"/>
    <col min="11282" max="11282" width="18.5703125" style="57" customWidth="1"/>
    <col min="11283" max="11283" width="2.140625" style="57" customWidth="1"/>
    <col min="11284" max="11284" width="10.42578125" style="57" customWidth="1"/>
    <col min="11285" max="11526" width="9.140625" style="57"/>
    <col min="11527" max="11527" width="10" style="57" customWidth="1"/>
    <col min="11528" max="11528" width="40" style="57" customWidth="1"/>
    <col min="11529" max="11529" width="12.5703125" style="57" customWidth="1"/>
    <col min="11530" max="11531" width="10.42578125" style="57" customWidth="1"/>
    <col min="11532" max="11532" width="11.5703125" style="57" customWidth="1"/>
    <col min="11533" max="11534" width="10.42578125" style="57" customWidth="1"/>
    <col min="11535" max="11535" width="6.5703125" style="57" customWidth="1"/>
    <col min="11536" max="11536" width="11.42578125" style="57" customWidth="1"/>
    <col min="11537" max="11537" width="4.140625" style="57" customWidth="1"/>
    <col min="11538" max="11538" width="18.5703125" style="57" customWidth="1"/>
    <col min="11539" max="11539" width="2.140625" style="57" customWidth="1"/>
    <col min="11540" max="11540" width="10.42578125" style="57" customWidth="1"/>
    <col min="11541" max="11782" width="9.140625" style="57"/>
    <col min="11783" max="11783" width="10" style="57" customWidth="1"/>
    <col min="11784" max="11784" width="40" style="57" customWidth="1"/>
    <col min="11785" max="11785" width="12.5703125" style="57" customWidth="1"/>
    <col min="11786" max="11787" width="10.42578125" style="57" customWidth="1"/>
    <col min="11788" max="11788" width="11.5703125" style="57" customWidth="1"/>
    <col min="11789" max="11790" width="10.42578125" style="57" customWidth="1"/>
    <col min="11791" max="11791" width="6.5703125" style="57" customWidth="1"/>
    <col min="11792" max="11792" width="11.42578125" style="57" customWidth="1"/>
    <col min="11793" max="11793" width="4.140625" style="57" customWidth="1"/>
    <col min="11794" max="11794" width="18.5703125" style="57" customWidth="1"/>
    <col min="11795" max="11795" width="2.140625" style="57" customWidth="1"/>
    <col min="11796" max="11796" width="10.42578125" style="57" customWidth="1"/>
    <col min="11797" max="12038" width="9.140625" style="57"/>
    <col min="12039" max="12039" width="10" style="57" customWidth="1"/>
    <col min="12040" max="12040" width="40" style="57" customWidth="1"/>
    <col min="12041" max="12041" width="12.5703125" style="57" customWidth="1"/>
    <col min="12042" max="12043" width="10.42578125" style="57" customWidth="1"/>
    <col min="12044" max="12044" width="11.5703125" style="57" customWidth="1"/>
    <col min="12045" max="12046" width="10.42578125" style="57" customWidth="1"/>
    <col min="12047" max="12047" width="6.5703125" style="57" customWidth="1"/>
    <col min="12048" max="12048" width="11.42578125" style="57" customWidth="1"/>
    <col min="12049" max="12049" width="4.140625" style="57" customWidth="1"/>
    <col min="12050" max="12050" width="18.5703125" style="57" customWidth="1"/>
    <col min="12051" max="12051" width="2.140625" style="57" customWidth="1"/>
    <col min="12052" max="12052" width="10.42578125" style="57" customWidth="1"/>
    <col min="12053" max="12294" width="9.140625" style="57"/>
    <col min="12295" max="12295" width="10" style="57" customWidth="1"/>
    <col min="12296" max="12296" width="40" style="57" customWidth="1"/>
    <col min="12297" max="12297" width="12.5703125" style="57" customWidth="1"/>
    <col min="12298" max="12299" width="10.42578125" style="57" customWidth="1"/>
    <col min="12300" max="12300" width="11.5703125" style="57" customWidth="1"/>
    <col min="12301" max="12302" width="10.42578125" style="57" customWidth="1"/>
    <col min="12303" max="12303" width="6.5703125" style="57" customWidth="1"/>
    <col min="12304" max="12304" width="11.42578125" style="57" customWidth="1"/>
    <col min="12305" max="12305" width="4.140625" style="57" customWidth="1"/>
    <col min="12306" max="12306" width="18.5703125" style="57" customWidth="1"/>
    <col min="12307" max="12307" width="2.140625" style="57" customWidth="1"/>
    <col min="12308" max="12308" width="10.42578125" style="57" customWidth="1"/>
    <col min="12309" max="12550" width="9.140625" style="57"/>
    <col min="12551" max="12551" width="10" style="57" customWidth="1"/>
    <col min="12552" max="12552" width="40" style="57" customWidth="1"/>
    <col min="12553" max="12553" width="12.5703125" style="57" customWidth="1"/>
    <col min="12554" max="12555" width="10.42578125" style="57" customWidth="1"/>
    <col min="12556" max="12556" width="11.5703125" style="57" customWidth="1"/>
    <col min="12557" max="12558" width="10.42578125" style="57" customWidth="1"/>
    <col min="12559" max="12559" width="6.5703125" style="57" customWidth="1"/>
    <col min="12560" max="12560" width="11.42578125" style="57" customWidth="1"/>
    <col min="12561" max="12561" width="4.140625" style="57" customWidth="1"/>
    <col min="12562" max="12562" width="18.5703125" style="57" customWidth="1"/>
    <col min="12563" max="12563" width="2.140625" style="57" customWidth="1"/>
    <col min="12564" max="12564" width="10.42578125" style="57" customWidth="1"/>
    <col min="12565" max="12806" width="9.140625" style="57"/>
    <col min="12807" max="12807" width="10" style="57" customWidth="1"/>
    <col min="12808" max="12808" width="40" style="57" customWidth="1"/>
    <col min="12809" max="12809" width="12.5703125" style="57" customWidth="1"/>
    <col min="12810" max="12811" width="10.42578125" style="57" customWidth="1"/>
    <col min="12812" max="12812" width="11.5703125" style="57" customWidth="1"/>
    <col min="12813" max="12814" width="10.42578125" style="57" customWidth="1"/>
    <col min="12815" max="12815" width="6.5703125" style="57" customWidth="1"/>
    <col min="12816" max="12816" width="11.42578125" style="57" customWidth="1"/>
    <col min="12817" max="12817" width="4.140625" style="57" customWidth="1"/>
    <col min="12818" max="12818" width="18.5703125" style="57" customWidth="1"/>
    <col min="12819" max="12819" width="2.140625" style="57" customWidth="1"/>
    <col min="12820" max="12820" width="10.42578125" style="57" customWidth="1"/>
    <col min="12821" max="13062" width="9.140625" style="57"/>
    <col min="13063" max="13063" width="10" style="57" customWidth="1"/>
    <col min="13064" max="13064" width="40" style="57" customWidth="1"/>
    <col min="13065" max="13065" width="12.5703125" style="57" customWidth="1"/>
    <col min="13066" max="13067" width="10.42578125" style="57" customWidth="1"/>
    <col min="13068" max="13068" width="11.5703125" style="57" customWidth="1"/>
    <col min="13069" max="13070" width="10.42578125" style="57" customWidth="1"/>
    <col min="13071" max="13071" width="6.5703125" style="57" customWidth="1"/>
    <col min="13072" max="13072" width="11.42578125" style="57" customWidth="1"/>
    <col min="13073" max="13073" width="4.140625" style="57" customWidth="1"/>
    <col min="13074" max="13074" width="18.5703125" style="57" customWidth="1"/>
    <col min="13075" max="13075" width="2.140625" style="57" customWidth="1"/>
    <col min="13076" max="13076" width="10.42578125" style="57" customWidth="1"/>
    <col min="13077" max="13318" width="9.140625" style="57"/>
    <col min="13319" max="13319" width="10" style="57" customWidth="1"/>
    <col min="13320" max="13320" width="40" style="57" customWidth="1"/>
    <col min="13321" max="13321" width="12.5703125" style="57" customWidth="1"/>
    <col min="13322" max="13323" width="10.42578125" style="57" customWidth="1"/>
    <col min="13324" max="13324" width="11.5703125" style="57" customWidth="1"/>
    <col min="13325" max="13326" width="10.42578125" style="57" customWidth="1"/>
    <col min="13327" max="13327" width="6.5703125" style="57" customWidth="1"/>
    <col min="13328" max="13328" width="11.42578125" style="57" customWidth="1"/>
    <col min="13329" max="13329" width="4.140625" style="57" customWidth="1"/>
    <col min="13330" max="13330" width="18.5703125" style="57" customWidth="1"/>
    <col min="13331" max="13331" width="2.140625" style="57" customWidth="1"/>
    <col min="13332" max="13332" width="10.42578125" style="57" customWidth="1"/>
    <col min="13333" max="13574" width="9.140625" style="57"/>
    <col min="13575" max="13575" width="10" style="57" customWidth="1"/>
    <col min="13576" max="13576" width="40" style="57" customWidth="1"/>
    <col min="13577" max="13577" width="12.5703125" style="57" customWidth="1"/>
    <col min="13578" max="13579" width="10.42578125" style="57" customWidth="1"/>
    <col min="13580" max="13580" width="11.5703125" style="57" customWidth="1"/>
    <col min="13581" max="13582" width="10.42578125" style="57" customWidth="1"/>
    <col min="13583" max="13583" width="6.5703125" style="57" customWidth="1"/>
    <col min="13584" max="13584" width="11.42578125" style="57" customWidth="1"/>
    <col min="13585" max="13585" width="4.140625" style="57" customWidth="1"/>
    <col min="13586" max="13586" width="18.5703125" style="57" customWidth="1"/>
    <col min="13587" max="13587" width="2.140625" style="57" customWidth="1"/>
    <col min="13588" max="13588" width="10.42578125" style="57" customWidth="1"/>
    <col min="13589" max="13830" width="9.140625" style="57"/>
    <col min="13831" max="13831" width="10" style="57" customWidth="1"/>
    <col min="13832" max="13832" width="40" style="57" customWidth="1"/>
    <col min="13833" max="13833" width="12.5703125" style="57" customWidth="1"/>
    <col min="13834" max="13835" width="10.42578125" style="57" customWidth="1"/>
    <col min="13836" max="13836" width="11.5703125" style="57" customWidth="1"/>
    <col min="13837" max="13838" width="10.42578125" style="57" customWidth="1"/>
    <col min="13839" max="13839" width="6.5703125" style="57" customWidth="1"/>
    <col min="13840" max="13840" width="11.42578125" style="57" customWidth="1"/>
    <col min="13841" max="13841" width="4.140625" style="57" customWidth="1"/>
    <col min="13842" max="13842" width="18.5703125" style="57" customWidth="1"/>
    <col min="13843" max="13843" width="2.140625" style="57" customWidth="1"/>
    <col min="13844" max="13844" width="10.42578125" style="57" customWidth="1"/>
    <col min="13845" max="14086" width="9.140625" style="57"/>
    <col min="14087" max="14087" width="10" style="57" customWidth="1"/>
    <col min="14088" max="14088" width="40" style="57" customWidth="1"/>
    <col min="14089" max="14089" width="12.5703125" style="57" customWidth="1"/>
    <col min="14090" max="14091" width="10.42578125" style="57" customWidth="1"/>
    <col min="14092" max="14092" width="11.5703125" style="57" customWidth="1"/>
    <col min="14093" max="14094" width="10.42578125" style="57" customWidth="1"/>
    <col min="14095" max="14095" width="6.5703125" style="57" customWidth="1"/>
    <col min="14096" max="14096" width="11.42578125" style="57" customWidth="1"/>
    <col min="14097" max="14097" width="4.140625" style="57" customWidth="1"/>
    <col min="14098" max="14098" width="18.5703125" style="57" customWidth="1"/>
    <col min="14099" max="14099" width="2.140625" style="57" customWidth="1"/>
    <col min="14100" max="14100" width="10.42578125" style="57" customWidth="1"/>
    <col min="14101" max="14342" width="9.140625" style="57"/>
    <col min="14343" max="14343" width="10" style="57" customWidth="1"/>
    <col min="14344" max="14344" width="40" style="57" customWidth="1"/>
    <col min="14345" max="14345" width="12.5703125" style="57" customWidth="1"/>
    <col min="14346" max="14347" width="10.42578125" style="57" customWidth="1"/>
    <col min="14348" max="14348" width="11.5703125" style="57" customWidth="1"/>
    <col min="14349" max="14350" width="10.42578125" style="57" customWidth="1"/>
    <col min="14351" max="14351" width="6.5703125" style="57" customWidth="1"/>
    <col min="14352" max="14352" width="11.42578125" style="57" customWidth="1"/>
    <col min="14353" max="14353" width="4.140625" style="57" customWidth="1"/>
    <col min="14354" max="14354" width="18.5703125" style="57" customWidth="1"/>
    <col min="14355" max="14355" width="2.140625" style="57" customWidth="1"/>
    <col min="14356" max="14356" width="10.42578125" style="57" customWidth="1"/>
    <col min="14357" max="14598" width="9.140625" style="57"/>
    <col min="14599" max="14599" width="10" style="57" customWidth="1"/>
    <col min="14600" max="14600" width="40" style="57" customWidth="1"/>
    <col min="14601" max="14601" width="12.5703125" style="57" customWidth="1"/>
    <col min="14602" max="14603" width="10.42578125" style="57" customWidth="1"/>
    <col min="14604" max="14604" width="11.5703125" style="57" customWidth="1"/>
    <col min="14605" max="14606" width="10.42578125" style="57" customWidth="1"/>
    <col min="14607" max="14607" width="6.5703125" style="57" customWidth="1"/>
    <col min="14608" max="14608" width="11.42578125" style="57" customWidth="1"/>
    <col min="14609" max="14609" width="4.140625" style="57" customWidth="1"/>
    <col min="14610" max="14610" width="18.5703125" style="57" customWidth="1"/>
    <col min="14611" max="14611" width="2.140625" style="57" customWidth="1"/>
    <col min="14612" max="14612" width="10.42578125" style="57" customWidth="1"/>
    <col min="14613" max="14854" width="9.140625" style="57"/>
    <col min="14855" max="14855" width="10" style="57" customWidth="1"/>
    <col min="14856" max="14856" width="40" style="57" customWidth="1"/>
    <col min="14857" max="14857" width="12.5703125" style="57" customWidth="1"/>
    <col min="14858" max="14859" width="10.42578125" style="57" customWidth="1"/>
    <col min="14860" max="14860" width="11.5703125" style="57" customWidth="1"/>
    <col min="14861" max="14862" width="10.42578125" style="57" customWidth="1"/>
    <col min="14863" max="14863" width="6.5703125" style="57" customWidth="1"/>
    <col min="14864" max="14864" width="11.42578125" style="57" customWidth="1"/>
    <col min="14865" max="14865" width="4.140625" style="57" customWidth="1"/>
    <col min="14866" max="14866" width="18.5703125" style="57" customWidth="1"/>
    <col min="14867" max="14867" width="2.140625" style="57" customWidth="1"/>
    <col min="14868" max="14868" width="10.42578125" style="57" customWidth="1"/>
    <col min="14869" max="15110" width="9.140625" style="57"/>
    <col min="15111" max="15111" width="10" style="57" customWidth="1"/>
    <col min="15112" max="15112" width="40" style="57" customWidth="1"/>
    <col min="15113" max="15113" width="12.5703125" style="57" customWidth="1"/>
    <col min="15114" max="15115" width="10.42578125" style="57" customWidth="1"/>
    <col min="15116" max="15116" width="11.5703125" style="57" customWidth="1"/>
    <col min="15117" max="15118" width="10.42578125" style="57" customWidth="1"/>
    <col min="15119" max="15119" width="6.5703125" style="57" customWidth="1"/>
    <col min="15120" max="15120" width="11.42578125" style="57" customWidth="1"/>
    <col min="15121" max="15121" width="4.140625" style="57" customWidth="1"/>
    <col min="15122" max="15122" width="18.5703125" style="57" customWidth="1"/>
    <col min="15123" max="15123" width="2.140625" style="57" customWidth="1"/>
    <col min="15124" max="15124" width="10.42578125" style="57" customWidth="1"/>
    <col min="15125" max="15366" width="9.140625" style="57"/>
    <col min="15367" max="15367" width="10" style="57" customWidth="1"/>
    <col min="15368" max="15368" width="40" style="57" customWidth="1"/>
    <col min="15369" max="15369" width="12.5703125" style="57" customWidth="1"/>
    <col min="15370" max="15371" width="10.42578125" style="57" customWidth="1"/>
    <col min="15372" max="15372" width="11.5703125" style="57" customWidth="1"/>
    <col min="15373" max="15374" width="10.42578125" style="57" customWidth="1"/>
    <col min="15375" max="15375" width="6.5703125" style="57" customWidth="1"/>
    <col min="15376" max="15376" width="11.42578125" style="57" customWidth="1"/>
    <col min="15377" max="15377" width="4.140625" style="57" customWidth="1"/>
    <col min="15378" max="15378" width="18.5703125" style="57" customWidth="1"/>
    <col min="15379" max="15379" width="2.140625" style="57" customWidth="1"/>
    <col min="15380" max="15380" width="10.42578125" style="57" customWidth="1"/>
    <col min="15381" max="15622" width="9.140625" style="57"/>
    <col min="15623" max="15623" width="10" style="57" customWidth="1"/>
    <col min="15624" max="15624" width="40" style="57" customWidth="1"/>
    <col min="15625" max="15625" width="12.5703125" style="57" customWidth="1"/>
    <col min="15626" max="15627" width="10.42578125" style="57" customWidth="1"/>
    <col min="15628" max="15628" width="11.5703125" style="57" customWidth="1"/>
    <col min="15629" max="15630" width="10.42578125" style="57" customWidth="1"/>
    <col min="15631" max="15631" width="6.5703125" style="57" customWidth="1"/>
    <col min="15632" max="15632" width="11.42578125" style="57" customWidth="1"/>
    <col min="15633" max="15633" width="4.140625" style="57" customWidth="1"/>
    <col min="15634" max="15634" width="18.5703125" style="57" customWidth="1"/>
    <col min="15635" max="15635" width="2.140625" style="57" customWidth="1"/>
    <col min="15636" max="15636" width="10.42578125" style="57" customWidth="1"/>
    <col min="15637" max="15878" width="9.140625" style="57"/>
    <col min="15879" max="15879" width="10" style="57" customWidth="1"/>
    <col min="15880" max="15880" width="40" style="57" customWidth="1"/>
    <col min="15881" max="15881" width="12.5703125" style="57" customWidth="1"/>
    <col min="15882" max="15883" width="10.42578125" style="57" customWidth="1"/>
    <col min="15884" max="15884" width="11.5703125" style="57" customWidth="1"/>
    <col min="15885" max="15886" width="10.42578125" style="57" customWidth="1"/>
    <col min="15887" max="15887" width="6.5703125" style="57" customWidth="1"/>
    <col min="15888" max="15888" width="11.42578125" style="57" customWidth="1"/>
    <col min="15889" max="15889" width="4.140625" style="57" customWidth="1"/>
    <col min="15890" max="15890" width="18.5703125" style="57" customWidth="1"/>
    <col min="15891" max="15891" width="2.140625" style="57" customWidth="1"/>
    <col min="15892" max="15892" width="10.42578125" style="57" customWidth="1"/>
    <col min="15893" max="16134" width="9.140625" style="57"/>
    <col min="16135" max="16135" width="10" style="57" customWidth="1"/>
    <col min="16136" max="16136" width="40" style="57" customWidth="1"/>
    <col min="16137" max="16137" width="12.5703125" style="57" customWidth="1"/>
    <col min="16138" max="16139" width="10.42578125" style="57" customWidth="1"/>
    <col min="16140" max="16140" width="11.5703125" style="57" customWidth="1"/>
    <col min="16141" max="16142" width="10.42578125" style="57" customWidth="1"/>
    <col min="16143" max="16143" width="6.5703125" style="57" customWidth="1"/>
    <col min="16144" max="16144" width="11.42578125" style="57" customWidth="1"/>
    <col min="16145" max="16145" width="4.140625" style="57" customWidth="1"/>
    <col min="16146" max="16146" width="18.5703125" style="57" customWidth="1"/>
    <col min="16147" max="16147" width="2.140625" style="57" customWidth="1"/>
    <col min="16148" max="16148" width="10.42578125" style="57" customWidth="1"/>
    <col min="16149" max="16384" width="9.140625" style="57"/>
  </cols>
  <sheetData>
    <row r="1" spans="2:21" ht="13.5" customHeight="1" x14ac:dyDescent="0.25">
      <c r="H1" s="781" t="s">
        <v>38</v>
      </c>
      <c r="I1" s="781"/>
      <c r="J1" s="781"/>
      <c r="K1" s="781"/>
      <c r="L1" s="781"/>
      <c r="M1" s="782" t="s">
        <v>39</v>
      </c>
      <c r="N1" s="782"/>
      <c r="O1" s="783" t="s">
        <v>40</v>
      </c>
      <c r="P1" s="783"/>
      <c r="Q1" s="783"/>
    </row>
    <row r="2" spans="2:21" s="59" customFormat="1" ht="15" customHeight="1" x14ac:dyDescent="0.25">
      <c r="B2" s="60" t="s">
        <v>41</v>
      </c>
      <c r="C2" s="61" t="s">
        <v>42</v>
      </c>
      <c r="D2" s="61" t="s">
        <v>43</v>
      </c>
      <c r="E2" s="61" t="s">
        <v>44</v>
      </c>
      <c r="F2" s="61" t="s">
        <v>45</v>
      </c>
      <c r="G2" s="62" t="s">
        <v>46</v>
      </c>
      <c r="H2" s="60" t="s">
        <v>47</v>
      </c>
      <c r="I2" s="61" t="s">
        <v>48</v>
      </c>
      <c r="J2" s="62" t="s">
        <v>47</v>
      </c>
      <c r="K2" s="62" t="s">
        <v>48</v>
      </c>
      <c r="L2" s="63" t="s">
        <v>49</v>
      </c>
      <c r="M2" s="64" t="s">
        <v>39</v>
      </c>
      <c r="N2" s="63" t="s">
        <v>49</v>
      </c>
      <c r="O2" s="64" t="s">
        <v>47</v>
      </c>
      <c r="P2" s="65" t="s">
        <v>48</v>
      </c>
      <c r="Q2" s="63" t="s">
        <v>49</v>
      </c>
      <c r="R2" s="66" t="s">
        <v>50</v>
      </c>
    </row>
    <row r="3" spans="2:21" ht="15" customHeight="1" x14ac:dyDescent="0.25">
      <c r="B3" s="67">
        <v>2</v>
      </c>
      <c r="C3" s="68" t="s">
        <v>51</v>
      </c>
      <c r="D3" s="110" t="s">
        <v>60</v>
      </c>
      <c r="E3" s="69">
        <v>44599</v>
      </c>
      <c r="F3" s="69"/>
      <c r="G3" s="70"/>
      <c r="H3" s="71"/>
      <c r="I3" s="72"/>
      <c r="J3" s="73"/>
      <c r="K3" s="73"/>
      <c r="L3" s="74">
        <f>(I3-H3)</f>
        <v>0</v>
      </c>
      <c r="M3" s="75"/>
      <c r="N3" s="76"/>
      <c r="O3" s="108"/>
      <c r="P3" s="109"/>
      <c r="Q3" s="79">
        <v>0</v>
      </c>
      <c r="R3" s="80"/>
      <c r="T3" s="81" t="s">
        <v>53</v>
      </c>
      <c r="U3" s="82">
        <v>3</v>
      </c>
    </row>
    <row r="4" spans="2:21" ht="15" customHeight="1" x14ac:dyDescent="0.25">
      <c r="B4" s="111">
        <v>1</v>
      </c>
      <c r="C4" s="112" t="s">
        <v>54</v>
      </c>
      <c r="D4" s="113" t="s">
        <v>60</v>
      </c>
      <c r="E4" s="114">
        <v>44599</v>
      </c>
      <c r="F4" s="114">
        <v>45443</v>
      </c>
      <c r="G4" s="70"/>
      <c r="H4" s="71"/>
      <c r="I4" s="72"/>
      <c r="J4" s="73"/>
      <c r="K4" s="73"/>
      <c r="L4" s="74">
        <f>(I4-H4)</f>
        <v>0</v>
      </c>
      <c r="M4" s="75"/>
      <c r="N4" s="76"/>
      <c r="O4" s="77"/>
      <c r="P4" s="78"/>
      <c r="Q4" s="79"/>
      <c r="R4" s="80" t="s">
        <v>61</v>
      </c>
      <c r="T4" s="83" t="s">
        <v>44</v>
      </c>
      <c r="U4" s="84">
        <v>1</v>
      </c>
    </row>
    <row r="5" spans="2:21" ht="15" customHeight="1" x14ac:dyDescent="0.25">
      <c r="B5" s="115">
        <v>3</v>
      </c>
      <c r="C5" s="116" t="s">
        <v>55</v>
      </c>
      <c r="D5" s="117" t="s">
        <v>60</v>
      </c>
      <c r="E5" s="118">
        <v>44602</v>
      </c>
      <c r="F5" s="118"/>
      <c r="G5" s="119"/>
      <c r="H5" s="120"/>
      <c r="I5" s="121"/>
      <c r="J5" s="122"/>
      <c r="K5" s="122"/>
      <c r="L5" s="123">
        <v>0</v>
      </c>
      <c r="M5" s="124"/>
      <c r="N5" s="125"/>
      <c r="O5" s="126"/>
      <c r="P5" s="127"/>
      <c r="Q5" s="128"/>
      <c r="R5" s="129"/>
      <c r="T5" s="83" t="s">
        <v>45</v>
      </c>
      <c r="U5" s="84">
        <v>1</v>
      </c>
    </row>
    <row r="6" spans="2:21" ht="15" customHeight="1" x14ac:dyDescent="0.25">
      <c r="B6" s="85">
        <v>4</v>
      </c>
      <c r="C6" s="86" t="s">
        <v>62</v>
      </c>
      <c r="D6" s="130" t="s">
        <v>60</v>
      </c>
      <c r="E6" s="87">
        <v>45426</v>
      </c>
      <c r="F6" s="87"/>
      <c r="G6" s="88"/>
      <c r="H6" s="89"/>
      <c r="I6" s="90"/>
      <c r="J6" s="90"/>
      <c r="K6" s="90"/>
      <c r="L6" s="92">
        <v>0</v>
      </c>
      <c r="M6" s="93"/>
      <c r="N6" s="94"/>
      <c r="O6" s="95"/>
      <c r="P6" s="96"/>
      <c r="Q6" s="97"/>
      <c r="R6" s="98"/>
      <c r="T6" s="100" t="s">
        <v>56</v>
      </c>
      <c r="U6" s="101">
        <f>U3+U4-U5</f>
        <v>3</v>
      </c>
    </row>
    <row r="7" spans="2:21" ht="15" customHeight="1" x14ac:dyDescent="0.25">
      <c r="L7" s="99">
        <f>SUM(L3:L5)</f>
        <v>0</v>
      </c>
      <c r="N7" s="99">
        <f>SUM(N3:N5)</f>
        <v>0</v>
      </c>
      <c r="O7" s="99"/>
      <c r="P7" s="99"/>
      <c r="Q7" s="99">
        <f>SUM(Q3:Q5)</f>
        <v>0</v>
      </c>
    </row>
    <row r="8" spans="2:21" ht="15" customHeight="1" x14ac:dyDescent="0.25">
      <c r="T8" s="81" t="s">
        <v>57</v>
      </c>
      <c r="U8" s="82">
        <v>2</v>
      </c>
    </row>
    <row r="9" spans="2:21" ht="15" customHeight="1" x14ac:dyDescent="0.25">
      <c r="T9" s="100" t="s">
        <v>13</v>
      </c>
      <c r="U9" s="101">
        <f>U6+U8</f>
        <v>5</v>
      </c>
    </row>
    <row r="10" spans="2:21" ht="15" customHeight="1" x14ac:dyDescent="0.25"/>
    <row r="11" spans="2:21" ht="15" customHeight="1" x14ac:dyDescent="0.25">
      <c r="T11" s="784" t="s">
        <v>58</v>
      </c>
      <c r="U11" s="784"/>
    </row>
    <row r="12" spans="2:21" ht="15" customHeight="1" x14ac:dyDescent="0.25">
      <c r="T12" s="83" t="s">
        <v>38</v>
      </c>
      <c r="U12" s="102">
        <f>L7</f>
        <v>0</v>
      </c>
    </row>
    <row r="13" spans="2:21" ht="15" customHeight="1" x14ac:dyDescent="0.25">
      <c r="T13" s="103" t="s">
        <v>39</v>
      </c>
      <c r="U13" s="104">
        <f>N7</f>
        <v>0</v>
      </c>
    </row>
    <row r="14" spans="2:21" ht="15" customHeight="1" x14ac:dyDescent="0.25"/>
    <row r="15" spans="2:21" ht="15" customHeight="1" x14ac:dyDescent="0.25">
      <c r="T15" s="81" t="s">
        <v>40</v>
      </c>
      <c r="U15" s="105">
        <f>Q7</f>
        <v>0</v>
      </c>
    </row>
    <row r="16" spans="2:21" ht="15" customHeight="1" x14ac:dyDescent="0.25">
      <c r="T16" s="103" t="s">
        <v>59</v>
      </c>
      <c r="U16" s="104">
        <v>0</v>
      </c>
    </row>
    <row r="17" spans="20:21" ht="15" customHeight="1" x14ac:dyDescent="0.25"/>
    <row r="18" spans="20:21" ht="15" customHeight="1" x14ac:dyDescent="0.25">
      <c r="T18" s="106" t="s">
        <v>22</v>
      </c>
      <c r="U18" s="107">
        <v>21</v>
      </c>
    </row>
    <row r="19" spans="20:21" ht="15" customHeight="1" x14ac:dyDescent="0.25"/>
    <row r="20" spans="20:21" ht="15" customHeight="1" x14ac:dyDescent="0.25"/>
    <row r="21" spans="20:21" ht="15" customHeight="1" x14ac:dyDescent="0.25"/>
    <row r="22" spans="20:21" ht="15" customHeight="1" x14ac:dyDescent="0.25"/>
    <row r="23" spans="20:21" ht="15" customHeight="1" x14ac:dyDescent="0.25"/>
    <row r="24" spans="20:21" ht="15" customHeight="1" x14ac:dyDescent="0.25"/>
    <row r="25" spans="20:21" ht="15" customHeight="1" x14ac:dyDescent="0.25"/>
    <row r="26" spans="20:21" ht="15" customHeight="1" x14ac:dyDescent="0.25"/>
    <row r="27" spans="20:21" ht="15" customHeight="1" x14ac:dyDescent="0.25"/>
    <row r="28" spans="20:21" ht="15" customHeight="1" x14ac:dyDescent="0.25"/>
    <row r="29" spans="20:21" ht="15" customHeight="1" x14ac:dyDescent="0.25"/>
    <row r="30" spans="20:21" ht="15" customHeight="1" x14ac:dyDescent="0.25"/>
    <row r="31" spans="20:21" ht="15" customHeight="1" x14ac:dyDescent="0.25"/>
    <row r="32" spans="20:21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</sheetData>
  <mergeCells count="4">
    <mergeCell ref="H1:L1"/>
    <mergeCell ref="M1:N1"/>
    <mergeCell ref="O1:Q1"/>
    <mergeCell ref="T11:U11"/>
  </mergeCells>
  <pageMargins left="0.25" right="0.25" top="0.75" bottom="0.75" header="0.511811023622047" footer="0.511811023622047"/>
  <pageSetup paperSize="9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U36"/>
  <sheetViews>
    <sheetView showGridLines="0" zoomScaleNormal="100" workbookViewId="0">
      <selection activeCell="E15" sqref="E15"/>
    </sheetView>
  </sheetViews>
  <sheetFormatPr defaultColWidth="9.140625" defaultRowHeight="12.75" x14ac:dyDescent="0.25"/>
  <cols>
    <col min="1" max="1" width="9.140625" style="57"/>
    <col min="2" max="2" width="10" style="57" customWidth="1"/>
    <col min="3" max="3" width="40" style="57" customWidth="1"/>
    <col min="4" max="4" width="12.5703125" style="57" customWidth="1"/>
    <col min="5" max="6" width="10.42578125" style="57" customWidth="1"/>
    <col min="7" max="7" width="11.5703125" style="57" customWidth="1"/>
    <col min="8" max="11" width="10.42578125" style="57" customWidth="1"/>
    <col min="12" max="12" width="4.140625" style="57" customWidth="1"/>
    <col min="13" max="13" width="11.42578125" style="58" customWidth="1"/>
    <col min="14" max="14" width="4.140625" style="57" customWidth="1"/>
    <col min="15" max="16" width="10.42578125" style="57" customWidth="1"/>
    <col min="17" max="17" width="4.140625" style="57" customWidth="1"/>
    <col min="18" max="18" width="27.140625" style="57" customWidth="1"/>
    <col min="19" max="19" width="2.140625" style="57" customWidth="1"/>
    <col min="20" max="20" width="13.140625" style="57" customWidth="1"/>
    <col min="21" max="21" width="3" style="57" customWidth="1"/>
    <col min="22" max="262" width="9.140625" style="57"/>
    <col min="263" max="263" width="10" style="57" customWidth="1"/>
    <col min="264" max="264" width="40" style="57" customWidth="1"/>
    <col min="265" max="265" width="12.5703125" style="57" customWidth="1"/>
    <col min="266" max="267" width="10.42578125" style="57" customWidth="1"/>
    <col min="268" max="268" width="11.5703125" style="57" customWidth="1"/>
    <col min="269" max="270" width="10.42578125" style="57" customWidth="1"/>
    <col min="271" max="271" width="6.5703125" style="57" customWidth="1"/>
    <col min="272" max="272" width="11.42578125" style="57" customWidth="1"/>
    <col min="273" max="273" width="4.140625" style="57" customWidth="1"/>
    <col min="274" max="274" width="18.5703125" style="57" customWidth="1"/>
    <col min="275" max="275" width="2.140625" style="57" customWidth="1"/>
    <col min="276" max="276" width="10.42578125" style="57" customWidth="1"/>
    <col min="277" max="518" width="9.140625" style="57"/>
    <col min="519" max="519" width="10" style="57" customWidth="1"/>
    <col min="520" max="520" width="40" style="57" customWidth="1"/>
    <col min="521" max="521" width="12.5703125" style="57" customWidth="1"/>
    <col min="522" max="523" width="10.42578125" style="57" customWidth="1"/>
    <col min="524" max="524" width="11.5703125" style="57" customWidth="1"/>
    <col min="525" max="526" width="10.42578125" style="57" customWidth="1"/>
    <col min="527" max="527" width="6.5703125" style="57" customWidth="1"/>
    <col min="528" max="528" width="11.42578125" style="57" customWidth="1"/>
    <col min="529" max="529" width="4.140625" style="57" customWidth="1"/>
    <col min="530" max="530" width="18.5703125" style="57" customWidth="1"/>
    <col min="531" max="531" width="2.140625" style="57" customWidth="1"/>
    <col min="532" max="532" width="10.42578125" style="57" customWidth="1"/>
    <col min="533" max="774" width="9.140625" style="57"/>
    <col min="775" max="775" width="10" style="57" customWidth="1"/>
    <col min="776" max="776" width="40" style="57" customWidth="1"/>
    <col min="777" max="777" width="12.5703125" style="57" customWidth="1"/>
    <col min="778" max="779" width="10.42578125" style="57" customWidth="1"/>
    <col min="780" max="780" width="11.5703125" style="57" customWidth="1"/>
    <col min="781" max="782" width="10.42578125" style="57" customWidth="1"/>
    <col min="783" max="783" width="6.5703125" style="57" customWidth="1"/>
    <col min="784" max="784" width="11.42578125" style="57" customWidth="1"/>
    <col min="785" max="785" width="4.140625" style="57" customWidth="1"/>
    <col min="786" max="786" width="18.5703125" style="57" customWidth="1"/>
    <col min="787" max="787" width="2.140625" style="57" customWidth="1"/>
    <col min="788" max="788" width="10.42578125" style="57" customWidth="1"/>
    <col min="789" max="1030" width="9.140625" style="57"/>
    <col min="1031" max="1031" width="10" style="57" customWidth="1"/>
    <col min="1032" max="1032" width="40" style="57" customWidth="1"/>
    <col min="1033" max="1033" width="12.5703125" style="57" customWidth="1"/>
    <col min="1034" max="1035" width="10.42578125" style="57" customWidth="1"/>
    <col min="1036" max="1036" width="11.5703125" style="57" customWidth="1"/>
    <col min="1037" max="1038" width="10.42578125" style="57" customWidth="1"/>
    <col min="1039" max="1039" width="6.5703125" style="57" customWidth="1"/>
    <col min="1040" max="1040" width="11.42578125" style="57" customWidth="1"/>
    <col min="1041" max="1041" width="4.140625" style="57" customWidth="1"/>
    <col min="1042" max="1042" width="18.5703125" style="57" customWidth="1"/>
    <col min="1043" max="1043" width="2.140625" style="57" customWidth="1"/>
    <col min="1044" max="1044" width="10.42578125" style="57" customWidth="1"/>
    <col min="1045" max="1286" width="9.140625" style="57"/>
    <col min="1287" max="1287" width="10" style="57" customWidth="1"/>
    <col min="1288" max="1288" width="40" style="57" customWidth="1"/>
    <col min="1289" max="1289" width="12.5703125" style="57" customWidth="1"/>
    <col min="1290" max="1291" width="10.42578125" style="57" customWidth="1"/>
    <col min="1292" max="1292" width="11.5703125" style="57" customWidth="1"/>
    <col min="1293" max="1294" width="10.42578125" style="57" customWidth="1"/>
    <col min="1295" max="1295" width="6.5703125" style="57" customWidth="1"/>
    <col min="1296" max="1296" width="11.42578125" style="57" customWidth="1"/>
    <col min="1297" max="1297" width="4.140625" style="57" customWidth="1"/>
    <col min="1298" max="1298" width="18.5703125" style="57" customWidth="1"/>
    <col min="1299" max="1299" width="2.140625" style="57" customWidth="1"/>
    <col min="1300" max="1300" width="10.42578125" style="57" customWidth="1"/>
    <col min="1301" max="1542" width="9.140625" style="57"/>
    <col min="1543" max="1543" width="10" style="57" customWidth="1"/>
    <col min="1544" max="1544" width="40" style="57" customWidth="1"/>
    <col min="1545" max="1545" width="12.5703125" style="57" customWidth="1"/>
    <col min="1546" max="1547" width="10.42578125" style="57" customWidth="1"/>
    <col min="1548" max="1548" width="11.5703125" style="57" customWidth="1"/>
    <col min="1549" max="1550" width="10.42578125" style="57" customWidth="1"/>
    <col min="1551" max="1551" width="6.5703125" style="57" customWidth="1"/>
    <col min="1552" max="1552" width="11.42578125" style="57" customWidth="1"/>
    <col min="1553" max="1553" width="4.140625" style="57" customWidth="1"/>
    <col min="1554" max="1554" width="18.5703125" style="57" customWidth="1"/>
    <col min="1555" max="1555" width="2.140625" style="57" customWidth="1"/>
    <col min="1556" max="1556" width="10.42578125" style="57" customWidth="1"/>
    <col min="1557" max="1798" width="9.140625" style="57"/>
    <col min="1799" max="1799" width="10" style="57" customWidth="1"/>
    <col min="1800" max="1800" width="40" style="57" customWidth="1"/>
    <col min="1801" max="1801" width="12.5703125" style="57" customWidth="1"/>
    <col min="1802" max="1803" width="10.42578125" style="57" customWidth="1"/>
    <col min="1804" max="1804" width="11.5703125" style="57" customWidth="1"/>
    <col min="1805" max="1806" width="10.42578125" style="57" customWidth="1"/>
    <col min="1807" max="1807" width="6.5703125" style="57" customWidth="1"/>
    <col min="1808" max="1808" width="11.42578125" style="57" customWidth="1"/>
    <col min="1809" max="1809" width="4.140625" style="57" customWidth="1"/>
    <col min="1810" max="1810" width="18.5703125" style="57" customWidth="1"/>
    <col min="1811" max="1811" width="2.140625" style="57" customWidth="1"/>
    <col min="1812" max="1812" width="10.42578125" style="57" customWidth="1"/>
    <col min="1813" max="2054" width="9.140625" style="57"/>
    <col min="2055" max="2055" width="10" style="57" customWidth="1"/>
    <col min="2056" max="2056" width="40" style="57" customWidth="1"/>
    <col min="2057" max="2057" width="12.5703125" style="57" customWidth="1"/>
    <col min="2058" max="2059" width="10.42578125" style="57" customWidth="1"/>
    <col min="2060" max="2060" width="11.5703125" style="57" customWidth="1"/>
    <col min="2061" max="2062" width="10.42578125" style="57" customWidth="1"/>
    <col min="2063" max="2063" width="6.5703125" style="57" customWidth="1"/>
    <col min="2064" max="2064" width="11.42578125" style="57" customWidth="1"/>
    <col min="2065" max="2065" width="4.140625" style="57" customWidth="1"/>
    <col min="2066" max="2066" width="18.5703125" style="57" customWidth="1"/>
    <col min="2067" max="2067" width="2.140625" style="57" customWidth="1"/>
    <col min="2068" max="2068" width="10.42578125" style="57" customWidth="1"/>
    <col min="2069" max="2310" width="9.140625" style="57"/>
    <col min="2311" max="2311" width="10" style="57" customWidth="1"/>
    <col min="2312" max="2312" width="40" style="57" customWidth="1"/>
    <col min="2313" max="2313" width="12.5703125" style="57" customWidth="1"/>
    <col min="2314" max="2315" width="10.42578125" style="57" customWidth="1"/>
    <col min="2316" max="2316" width="11.5703125" style="57" customWidth="1"/>
    <col min="2317" max="2318" width="10.42578125" style="57" customWidth="1"/>
    <col min="2319" max="2319" width="6.5703125" style="57" customWidth="1"/>
    <col min="2320" max="2320" width="11.42578125" style="57" customWidth="1"/>
    <col min="2321" max="2321" width="4.140625" style="57" customWidth="1"/>
    <col min="2322" max="2322" width="18.5703125" style="57" customWidth="1"/>
    <col min="2323" max="2323" width="2.140625" style="57" customWidth="1"/>
    <col min="2324" max="2324" width="10.42578125" style="57" customWidth="1"/>
    <col min="2325" max="2566" width="9.140625" style="57"/>
    <col min="2567" max="2567" width="10" style="57" customWidth="1"/>
    <col min="2568" max="2568" width="40" style="57" customWidth="1"/>
    <col min="2569" max="2569" width="12.5703125" style="57" customWidth="1"/>
    <col min="2570" max="2571" width="10.42578125" style="57" customWidth="1"/>
    <col min="2572" max="2572" width="11.5703125" style="57" customWidth="1"/>
    <col min="2573" max="2574" width="10.42578125" style="57" customWidth="1"/>
    <col min="2575" max="2575" width="6.5703125" style="57" customWidth="1"/>
    <col min="2576" max="2576" width="11.42578125" style="57" customWidth="1"/>
    <col min="2577" max="2577" width="4.140625" style="57" customWidth="1"/>
    <col min="2578" max="2578" width="18.5703125" style="57" customWidth="1"/>
    <col min="2579" max="2579" width="2.140625" style="57" customWidth="1"/>
    <col min="2580" max="2580" width="10.42578125" style="57" customWidth="1"/>
    <col min="2581" max="2822" width="9.140625" style="57"/>
    <col min="2823" max="2823" width="10" style="57" customWidth="1"/>
    <col min="2824" max="2824" width="40" style="57" customWidth="1"/>
    <col min="2825" max="2825" width="12.5703125" style="57" customWidth="1"/>
    <col min="2826" max="2827" width="10.42578125" style="57" customWidth="1"/>
    <col min="2828" max="2828" width="11.5703125" style="57" customWidth="1"/>
    <col min="2829" max="2830" width="10.42578125" style="57" customWidth="1"/>
    <col min="2831" max="2831" width="6.5703125" style="57" customWidth="1"/>
    <col min="2832" max="2832" width="11.42578125" style="57" customWidth="1"/>
    <col min="2833" max="2833" width="4.140625" style="57" customWidth="1"/>
    <col min="2834" max="2834" width="18.5703125" style="57" customWidth="1"/>
    <col min="2835" max="2835" width="2.140625" style="57" customWidth="1"/>
    <col min="2836" max="2836" width="10.42578125" style="57" customWidth="1"/>
    <col min="2837" max="3078" width="9.140625" style="57"/>
    <col min="3079" max="3079" width="10" style="57" customWidth="1"/>
    <col min="3080" max="3080" width="40" style="57" customWidth="1"/>
    <col min="3081" max="3081" width="12.5703125" style="57" customWidth="1"/>
    <col min="3082" max="3083" width="10.42578125" style="57" customWidth="1"/>
    <col min="3084" max="3084" width="11.5703125" style="57" customWidth="1"/>
    <col min="3085" max="3086" width="10.42578125" style="57" customWidth="1"/>
    <col min="3087" max="3087" width="6.5703125" style="57" customWidth="1"/>
    <col min="3088" max="3088" width="11.42578125" style="57" customWidth="1"/>
    <col min="3089" max="3089" width="4.140625" style="57" customWidth="1"/>
    <col min="3090" max="3090" width="18.5703125" style="57" customWidth="1"/>
    <col min="3091" max="3091" width="2.140625" style="57" customWidth="1"/>
    <col min="3092" max="3092" width="10.42578125" style="57" customWidth="1"/>
    <col min="3093" max="3334" width="9.140625" style="57"/>
    <col min="3335" max="3335" width="10" style="57" customWidth="1"/>
    <col min="3336" max="3336" width="40" style="57" customWidth="1"/>
    <col min="3337" max="3337" width="12.5703125" style="57" customWidth="1"/>
    <col min="3338" max="3339" width="10.42578125" style="57" customWidth="1"/>
    <col min="3340" max="3340" width="11.5703125" style="57" customWidth="1"/>
    <col min="3341" max="3342" width="10.42578125" style="57" customWidth="1"/>
    <col min="3343" max="3343" width="6.5703125" style="57" customWidth="1"/>
    <col min="3344" max="3344" width="11.42578125" style="57" customWidth="1"/>
    <col min="3345" max="3345" width="4.140625" style="57" customWidth="1"/>
    <col min="3346" max="3346" width="18.5703125" style="57" customWidth="1"/>
    <col min="3347" max="3347" width="2.140625" style="57" customWidth="1"/>
    <col min="3348" max="3348" width="10.42578125" style="57" customWidth="1"/>
    <col min="3349" max="3590" width="9.140625" style="57"/>
    <col min="3591" max="3591" width="10" style="57" customWidth="1"/>
    <col min="3592" max="3592" width="40" style="57" customWidth="1"/>
    <col min="3593" max="3593" width="12.5703125" style="57" customWidth="1"/>
    <col min="3594" max="3595" width="10.42578125" style="57" customWidth="1"/>
    <col min="3596" max="3596" width="11.5703125" style="57" customWidth="1"/>
    <col min="3597" max="3598" width="10.42578125" style="57" customWidth="1"/>
    <col min="3599" max="3599" width="6.5703125" style="57" customWidth="1"/>
    <col min="3600" max="3600" width="11.42578125" style="57" customWidth="1"/>
    <col min="3601" max="3601" width="4.140625" style="57" customWidth="1"/>
    <col min="3602" max="3602" width="18.5703125" style="57" customWidth="1"/>
    <col min="3603" max="3603" width="2.140625" style="57" customWidth="1"/>
    <col min="3604" max="3604" width="10.42578125" style="57" customWidth="1"/>
    <col min="3605" max="3846" width="9.140625" style="57"/>
    <col min="3847" max="3847" width="10" style="57" customWidth="1"/>
    <col min="3848" max="3848" width="40" style="57" customWidth="1"/>
    <col min="3849" max="3849" width="12.5703125" style="57" customWidth="1"/>
    <col min="3850" max="3851" width="10.42578125" style="57" customWidth="1"/>
    <col min="3852" max="3852" width="11.5703125" style="57" customWidth="1"/>
    <col min="3853" max="3854" width="10.42578125" style="57" customWidth="1"/>
    <col min="3855" max="3855" width="6.5703125" style="57" customWidth="1"/>
    <col min="3856" max="3856" width="11.42578125" style="57" customWidth="1"/>
    <col min="3857" max="3857" width="4.140625" style="57" customWidth="1"/>
    <col min="3858" max="3858" width="18.5703125" style="57" customWidth="1"/>
    <col min="3859" max="3859" width="2.140625" style="57" customWidth="1"/>
    <col min="3860" max="3860" width="10.42578125" style="57" customWidth="1"/>
    <col min="3861" max="4102" width="9.140625" style="57"/>
    <col min="4103" max="4103" width="10" style="57" customWidth="1"/>
    <col min="4104" max="4104" width="40" style="57" customWidth="1"/>
    <col min="4105" max="4105" width="12.5703125" style="57" customWidth="1"/>
    <col min="4106" max="4107" width="10.42578125" style="57" customWidth="1"/>
    <col min="4108" max="4108" width="11.5703125" style="57" customWidth="1"/>
    <col min="4109" max="4110" width="10.42578125" style="57" customWidth="1"/>
    <col min="4111" max="4111" width="6.5703125" style="57" customWidth="1"/>
    <col min="4112" max="4112" width="11.42578125" style="57" customWidth="1"/>
    <col min="4113" max="4113" width="4.140625" style="57" customWidth="1"/>
    <col min="4114" max="4114" width="18.5703125" style="57" customWidth="1"/>
    <col min="4115" max="4115" width="2.140625" style="57" customWidth="1"/>
    <col min="4116" max="4116" width="10.42578125" style="57" customWidth="1"/>
    <col min="4117" max="4358" width="9.140625" style="57"/>
    <col min="4359" max="4359" width="10" style="57" customWidth="1"/>
    <col min="4360" max="4360" width="40" style="57" customWidth="1"/>
    <col min="4361" max="4361" width="12.5703125" style="57" customWidth="1"/>
    <col min="4362" max="4363" width="10.42578125" style="57" customWidth="1"/>
    <col min="4364" max="4364" width="11.5703125" style="57" customWidth="1"/>
    <col min="4365" max="4366" width="10.42578125" style="57" customWidth="1"/>
    <col min="4367" max="4367" width="6.5703125" style="57" customWidth="1"/>
    <col min="4368" max="4368" width="11.42578125" style="57" customWidth="1"/>
    <col min="4369" max="4369" width="4.140625" style="57" customWidth="1"/>
    <col min="4370" max="4370" width="18.5703125" style="57" customWidth="1"/>
    <col min="4371" max="4371" width="2.140625" style="57" customWidth="1"/>
    <col min="4372" max="4372" width="10.42578125" style="57" customWidth="1"/>
    <col min="4373" max="4614" width="9.140625" style="57"/>
    <col min="4615" max="4615" width="10" style="57" customWidth="1"/>
    <col min="4616" max="4616" width="40" style="57" customWidth="1"/>
    <col min="4617" max="4617" width="12.5703125" style="57" customWidth="1"/>
    <col min="4618" max="4619" width="10.42578125" style="57" customWidth="1"/>
    <col min="4620" max="4620" width="11.5703125" style="57" customWidth="1"/>
    <col min="4621" max="4622" width="10.42578125" style="57" customWidth="1"/>
    <col min="4623" max="4623" width="6.5703125" style="57" customWidth="1"/>
    <col min="4624" max="4624" width="11.42578125" style="57" customWidth="1"/>
    <col min="4625" max="4625" width="4.140625" style="57" customWidth="1"/>
    <col min="4626" max="4626" width="18.5703125" style="57" customWidth="1"/>
    <col min="4627" max="4627" width="2.140625" style="57" customWidth="1"/>
    <col min="4628" max="4628" width="10.42578125" style="57" customWidth="1"/>
    <col min="4629" max="4870" width="9.140625" style="57"/>
    <col min="4871" max="4871" width="10" style="57" customWidth="1"/>
    <col min="4872" max="4872" width="40" style="57" customWidth="1"/>
    <col min="4873" max="4873" width="12.5703125" style="57" customWidth="1"/>
    <col min="4874" max="4875" width="10.42578125" style="57" customWidth="1"/>
    <col min="4876" max="4876" width="11.5703125" style="57" customWidth="1"/>
    <col min="4877" max="4878" width="10.42578125" style="57" customWidth="1"/>
    <col min="4879" max="4879" width="6.5703125" style="57" customWidth="1"/>
    <col min="4880" max="4880" width="11.42578125" style="57" customWidth="1"/>
    <col min="4881" max="4881" width="4.140625" style="57" customWidth="1"/>
    <col min="4882" max="4882" width="18.5703125" style="57" customWidth="1"/>
    <col min="4883" max="4883" width="2.140625" style="57" customWidth="1"/>
    <col min="4884" max="4884" width="10.42578125" style="57" customWidth="1"/>
    <col min="4885" max="5126" width="9.140625" style="57"/>
    <col min="5127" max="5127" width="10" style="57" customWidth="1"/>
    <col min="5128" max="5128" width="40" style="57" customWidth="1"/>
    <col min="5129" max="5129" width="12.5703125" style="57" customWidth="1"/>
    <col min="5130" max="5131" width="10.42578125" style="57" customWidth="1"/>
    <col min="5132" max="5132" width="11.5703125" style="57" customWidth="1"/>
    <col min="5133" max="5134" width="10.42578125" style="57" customWidth="1"/>
    <col min="5135" max="5135" width="6.5703125" style="57" customWidth="1"/>
    <col min="5136" max="5136" width="11.42578125" style="57" customWidth="1"/>
    <col min="5137" max="5137" width="4.140625" style="57" customWidth="1"/>
    <col min="5138" max="5138" width="18.5703125" style="57" customWidth="1"/>
    <col min="5139" max="5139" width="2.140625" style="57" customWidth="1"/>
    <col min="5140" max="5140" width="10.42578125" style="57" customWidth="1"/>
    <col min="5141" max="5382" width="9.140625" style="57"/>
    <col min="5383" max="5383" width="10" style="57" customWidth="1"/>
    <col min="5384" max="5384" width="40" style="57" customWidth="1"/>
    <col min="5385" max="5385" width="12.5703125" style="57" customWidth="1"/>
    <col min="5386" max="5387" width="10.42578125" style="57" customWidth="1"/>
    <col min="5388" max="5388" width="11.5703125" style="57" customWidth="1"/>
    <col min="5389" max="5390" width="10.42578125" style="57" customWidth="1"/>
    <col min="5391" max="5391" width="6.5703125" style="57" customWidth="1"/>
    <col min="5392" max="5392" width="11.42578125" style="57" customWidth="1"/>
    <col min="5393" max="5393" width="4.140625" style="57" customWidth="1"/>
    <col min="5394" max="5394" width="18.5703125" style="57" customWidth="1"/>
    <col min="5395" max="5395" width="2.140625" style="57" customWidth="1"/>
    <col min="5396" max="5396" width="10.42578125" style="57" customWidth="1"/>
    <col min="5397" max="5638" width="9.140625" style="57"/>
    <col min="5639" max="5639" width="10" style="57" customWidth="1"/>
    <col min="5640" max="5640" width="40" style="57" customWidth="1"/>
    <col min="5641" max="5641" width="12.5703125" style="57" customWidth="1"/>
    <col min="5642" max="5643" width="10.42578125" style="57" customWidth="1"/>
    <col min="5644" max="5644" width="11.5703125" style="57" customWidth="1"/>
    <col min="5645" max="5646" width="10.42578125" style="57" customWidth="1"/>
    <col min="5647" max="5647" width="6.5703125" style="57" customWidth="1"/>
    <col min="5648" max="5648" width="11.42578125" style="57" customWidth="1"/>
    <col min="5649" max="5649" width="4.140625" style="57" customWidth="1"/>
    <col min="5650" max="5650" width="18.5703125" style="57" customWidth="1"/>
    <col min="5651" max="5651" width="2.140625" style="57" customWidth="1"/>
    <col min="5652" max="5652" width="10.42578125" style="57" customWidth="1"/>
    <col min="5653" max="5894" width="9.140625" style="57"/>
    <col min="5895" max="5895" width="10" style="57" customWidth="1"/>
    <col min="5896" max="5896" width="40" style="57" customWidth="1"/>
    <col min="5897" max="5897" width="12.5703125" style="57" customWidth="1"/>
    <col min="5898" max="5899" width="10.42578125" style="57" customWidth="1"/>
    <col min="5900" max="5900" width="11.5703125" style="57" customWidth="1"/>
    <col min="5901" max="5902" width="10.42578125" style="57" customWidth="1"/>
    <col min="5903" max="5903" width="6.5703125" style="57" customWidth="1"/>
    <col min="5904" max="5904" width="11.42578125" style="57" customWidth="1"/>
    <col min="5905" max="5905" width="4.140625" style="57" customWidth="1"/>
    <col min="5906" max="5906" width="18.5703125" style="57" customWidth="1"/>
    <col min="5907" max="5907" width="2.140625" style="57" customWidth="1"/>
    <col min="5908" max="5908" width="10.42578125" style="57" customWidth="1"/>
    <col min="5909" max="6150" width="9.140625" style="57"/>
    <col min="6151" max="6151" width="10" style="57" customWidth="1"/>
    <col min="6152" max="6152" width="40" style="57" customWidth="1"/>
    <col min="6153" max="6153" width="12.5703125" style="57" customWidth="1"/>
    <col min="6154" max="6155" width="10.42578125" style="57" customWidth="1"/>
    <col min="6156" max="6156" width="11.5703125" style="57" customWidth="1"/>
    <col min="6157" max="6158" width="10.42578125" style="57" customWidth="1"/>
    <col min="6159" max="6159" width="6.5703125" style="57" customWidth="1"/>
    <col min="6160" max="6160" width="11.42578125" style="57" customWidth="1"/>
    <col min="6161" max="6161" width="4.140625" style="57" customWidth="1"/>
    <col min="6162" max="6162" width="18.5703125" style="57" customWidth="1"/>
    <col min="6163" max="6163" width="2.140625" style="57" customWidth="1"/>
    <col min="6164" max="6164" width="10.42578125" style="57" customWidth="1"/>
    <col min="6165" max="6406" width="9.140625" style="57"/>
    <col min="6407" max="6407" width="10" style="57" customWidth="1"/>
    <col min="6408" max="6408" width="40" style="57" customWidth="1"/>
    <col min="6409" max="6409" width="12.5703125" style="57" customWidth="1"/>
    <col min="6410" max="6411" width="10.42578125" style="57" customWidth="1"/>
    <col min="6412" max="6412" width="11.5703125" style="57" customWidth="1"/>
    <col min="6413" max="6414" width="10.42578125" style="57" customWidth="1"/>
    <col min="6415" max="6415" width="6.5703125" style="57" customWidth="1"/>
    <col min="6416" max="6416" width="11.42578125" style="57" customWidth="1"/>
    <col min="6417" max="6417" width="4.140625" style="57" customWidth="1"/>
    <col min="6418" max="6418" width="18.5703125" style="57" customWidth="1"/>
    <col min="6419" max="6419" width="2.140625" style="57" customWidth="1"/>
    <col min="6420" max="6420" width="10.42578125" style="57" customWidth="1"/>
    <col min="6421" max="6662" width="9.140625" style="57"/>
    <col min="6663" max="6663" width="10" style="57" customWidth="1"/>
    <col min="6664" max="6664" width="40" style="57" customWidth="1"/>
    <col min="6665" max="6665" width="12.5703125" style="57" customWidth="1"/>
    <col min="6666" max="6667" width="10.42578125" style="57" customWidth="1"/>
    <col min="6668" max="6668" width="11.5703125" style="57" customWidth="1"/>
    <col min="6669" max="6670" width="10.42578125" style="57" customWidth="1"/>
    <col min="6671" max="6671" width="6.5703125" style="57" customWidth="1"/>
    <col min="6672" max="6672" width="11.42578125" style="57" customWidth="1"/>
    <col min="6673" max="6673" width="4.140625" style="57" customWidth="1"/>
    <col min="6674" max="6674" width="18.5703125" style="57" customWidth="1"/>
    <col min="6675" max="6675" width="2.140625" style="57" customWidth="1"/>
    <col min="6676" max="6676" width="10.42578125" style="57" customWidth="1"/>
    <col min="6677" max="6918" width="9.140625" style="57"/>
    <col min="6919" max="6919" width="10" style="57" customWidth="1"/>
    <col min="6920" max="6920" width="40" style="57" customWidth="1"/>
    <col min="6921" max="6921" width="12.5703125" style="57" customWidth="1"/>
    <col min="6922" max="6923" width="10.42578125" style="57" customWidth="1"/>
    <col min="6924" max="6924" width="11.5703125" style="57" customWidth="1"/>
    <col min="6925" max="6926" width="10.42578125" style="57" customWidth="1"/>
    <col min="6927" max="6927" width="6.5703125" style="57" customWidth="1"/>
    <col min="6928" max="6928" width="11.42578125" style="57" customWidth="1"/>
    <col min="6929" max="6929" width="4.140625" style="57" customWidth="1"/>
    <col min="6930" max="6930" width="18.5703125" style="57" customWidth="1"/>
    <col min="6931" max="6931" width="2.140625" style="57" customWidth="1"/>
    <col min="6932" max="6932" width="10.42578125" style="57" customWidth="1"/>
    <col min="6933" max="7174" width="9.140625" style="57"/>
    <col min="7175" max="7175" width="10" style="57" customWidth="1"/>
    <col min="7176" max="7176" width="40" style="57" customWidth="1"/>
    <col min="7177" max="7177" width="12.5703125" style="57" customWidth="1"/>
    <col min="7178" max="7179" width="10.42578125" style="57" customWidth="1"/>
    <col min="7180" max="7180" width="11.5703125" style="57" customWidth="1"/>
    <col min="7181" max="7182" width="10.42578125" style="57" customWidth="1"/>
    <col min="7183" max="7183" width="6.5703125" style="57" customWidth="1"/>
    <col min="7184" max="7184" width="11.42578125" style="57" customWidth="1"/>
    <col min="7185" max="7185" width="4.140625" style="57" customWidth="1"/>
    <col min="7186" max="7186" width="18.5703125" style="57" customWidth="1"/>
    <col min="7187" max="7187" width="2.140625" style="57" customWidth="1"/>
    <col min="7188" max="7188" width="10.42578125" style="57" customWidth="1"/>
    <col min="7189" max="7430" width="9.140625" style="57"/>
    <col min="7431" max="7431" width="10" style="57" customWidth="1"/>
    <col min="7432" max="7432" width="40" style="57" customWidth="1"/>
    <col min="7433" max="7433" width="12.5703125" style="57" customWidth="1"/>
    <col min="7434" max="7435" width="10.42578125" style="57" customWidth="1"/>
    <col min="7436" max="7436" width="11.5703125" style="57" customWidth="1"/>
    <col min="7437" max="7438" width="10.42578125" style="57" customWidth="1"/>
    <col min="7439" max="7439" width="6.5703125" style="57" customWidth="1"/>
    <col min="7440" max="7440" width="11.42578125" style="57" customWidth="1"/>
    <col min="7441" max="7441" width="4.140625" style="57" customWidth="1"/>
    <col min="7442" max="7442" width="18.5703125" style="57" customWidth="1"/>
    <col min="7443" max="7443" width="2.140625" style="57" customWidth="1"/>
    <col min="7444" max="7444" width="10.42578125" style="57" customWidth="1"/>
    <col min="7445" max="7686" width="9.140625" style="57"/>
    <col min="7687" max="7687" width="10" style="57" customWidth="1"/>
    <col min="7688" max="7688" width="40" style="57" customWidth="1"/>
    <col min="7689" max="7689" width="12.5703125" style="57" customWidth="1"/>
    <col min="7690" max="7691" width="10.42578125" style="57" customWidth="1"/>
    <col min="7692" max="7692" width="11.5703125" style="57" customWidth="1"/>
    <col min="7693" max="7694" width="10.42578125" style="57" customWidth="1"/>
    <col min="7695" max="7695" width="6.5703125" style="57" customWidth="1"/>
    <col min="7696" max="7696" width="11.42578125" style="57" customWidth="1"/>
    <col min="7697" max="7697" width="4.140625" style="57" customWidth="1"/>
    <col min="7698" max="7698" width="18.5703125" style="57" customWidth="1"/>
    <col min="7699" max="7699" width="2.140625" style="57" customWidth="1"/>
    <col min="7700" max="7700" width="10.42578125" style="57" customWidth="1"/>
    <col min="7701" max="7942" width="9.140625" style="57"/>
    <col min="7943" max="7943" width="10" style="57" customWidth="1"/>
    <col min="7944" max="7944" width="40" style="57" customWidth="1"/>
    <col min="7945" max="7945" width="12.5703125" style="57" customWidth="1"/>
    <col min="7946" max="7947" width="10.42578125" style="57" customWidth="1"/>
    <col min="7948" max="7948" width="11.5703125" style="57" customWidth="1"/>
    <col min="7949" max="7950" width="10.42578125" style="57" customWidth="1"/>
    <col min="7951" max="7951" width="6.5703125" style="57" customWidth="1"/>
    <col min="7952" max="7952" width="11.42578125" style="57" customWidth="1"/>
    <col min="7953" max="7953" width="4.140625" style="57" customWidth="1"/>
    <col min="7954" max="7954" width="18.5703125" style="57" customWidth="1"/>
    <col min="7955" max="7955" width="2.140625" style="57" customWidth="1"/>
    <col min="7956" max="7956" width="10.42578125" style="57" customWidth="1"/>
    <col min="7957" max="8198" width="9.140625" style="57"/>
    <col min="8199" max="8199" width="10" style="57" customWidth="1"/>
    <col min="8200" max="8200" width="40" style="57" customWidth="1"/>
    <col min="8201" max="8201" width="12.5703125" style="57" customWidth="1"/>
    <col min="8202" max="8203" width="10.42578125" style="57" customWidth="1"/>
    <col min="8204" max="8204" width="11.5703125" style="57" customWidth="1"/>
    <col min="8205" max="8206" width="10.42578125" style="57" customWidth="1"/>
    <col min="8207" max="8207" width="6.5703125" style="57" customWidth="1"/>
    <col min="8208" max="8208" width="11.42578125" style="57" customWidth="1"/>
    <col min="8209" max="8209" width="4.140625" style="57" customWidth="1"/>
    <col min="8210" max="8210" width="18.5703125" style="57" customWidth="1"/>
    <col min="8211" max="8211" width="2.140625" style="57" customWidth="1"/>
    <col min="8212" max="8212" width="10.42578125" style="57" customWidth="1"/>
    <col min="8213" max="8454" width="9.140625" style="57"/>
    <col min="8455" max="8455" width="10" style="57" customWidth="1"/>
    <col min="8456" max="8456" width="40" style="57" customWidth="1"/>
    <col min="8457" max="8457" width="12.5703125" style="57" customWidth="1"/>
    <col min="8458" max="8459" width="10.42578125" style="57" customWidth="1"/>
    <col min="8460" max="8460" width="11.5703125" style="57" customWidth="1"/>
    <col min="8461" max="8462" width="10.42578125" style="57" customWidth="1"/>
    <col min="8463" max="8463" width="6.5703125" style="57" customWidth="1"/>
    <col min="8464" max="8464" width="11.42578125" style="57" customWidth="1"/>
    <col min="8465" max="8465" width="4.140625" style="57" customWidth="1"/>
    <col min="8466" max="8466" width="18.5703125" style="57" customWidth="1"/>
    <col min="8467" max="8467" width="2.140625" style="57" customWidth="1"/>
    <col min="8468" max="8468" width="10.42578125" style="57" customWidth="1"/>
    <col min="8469" max="8710" width="9.140625" style="57"/>
    <col min="8711" max="8711" width="10" style="57" customWidth="1"/>
    <col min="8712" max="8712" width="40" style="57" customWidth="1"/>
    <col min="8713" max="8713" width="12.5703125" style="57" customWidth="1"/>
    <col min="8714" max="8715" width="10.42578125" style="57" customWidth="1"/>
    <col min="8716" max="8716" width="11.5703125" style="57" customWidth="1"/>
    <col min="8717" max="8718" width="10.42578125" style="57" customWidth="1"/>
    <col min="8719" max="8719" width="6.5703125" style="57" customWidth="1"/>
    <col min="8720" max="8720" width="11.42578125" style="57" customWidth="1"/>
    <col min="8721" max="8721" width="4.140625" style="57" customWidth="1"/>
    <col min="8722" max="8722" width="18.5703125" style="57" customWidth="1"/>
    <col min="8723" max="8723" width="2.140625" style="57" customWidth="1"/>
    <col min="8724" max="8724" width="10.42578125" style="57" customWidth="1"/>
    <col min="8725" max="8966" width="9.140625" style="57"/>
    <col min="8967" max="8967" width="10" style="57" customWidth="1"/>
    <col min="8968" max="8968" width="40" style="57" customWidth="1"/>
    <col min="8969" max="8969" width="12.5703125" style="57" customWidth="1"/>
    <col min="8970" max="8971" width="10.42578125" style="57" customWidth="1"/>
    <col min="8972" max="8972" width="11.5703125" style="57" customWidth="1"/>
    <col min="8973" max="8974" width="10.42578125" style="57" customWidth="1"/>
    <col min="8975" max="8975" width="6.5703125" style="57" customWidth="1"/>
    <col min="8976" max="8976" width="11.42578125" style="57" customWidth="1"/>
    <col min="8977" max="8977" width="4.140625" style="57" customWidth="1"/>
    <col min="8978" max="8978" width="18.5703125" style="57" customWidth="1"/>
    <col min="8979" max="8979" width="2.140625" style="57" customWidth="1"/>
    <col min="8980" max="8980" width="10.42578125" style="57" customWidth="1"/>
    <col min="8981" max="9222" width="9.140625" style="57"/>
    <col min="9223" max="9223" width="10" style="57" customWidth="1"/>
    <col min="9224" max="9224" width="40" style="57" customWidth="1"/>
    <col min="9225" max="9225" width="12.5703125" style="57" customWidth="1"/>
    <col min="9226" max="9227" width="10.42578125" style="57" customWidth="1"/>
    <col min="9228" max="9228" width="11.5703125" style="57" customWidth="1"/>
    <col min="9229" max="9230" width="10.42578125" style="57" customWidth="1"/>
    <col min="9231" max="9231" width="6.5703125" style="57" customWidth="1"/>
    <col min="9232" max="9232" width="11.42578125" style="57" customWidth="1"/>
    <col min="9233" max="9233" width="4.140625" style="57" customWidth="1"/>
    <col min="9234" max="9234" width="18.5703125" style="57" customWidth="1"/>
    <col min="9235" max="9235" width="2.140625" style="57" customWidth="1"/>
    <col min="9236" max="9236" width="10.42578125" style="57" customWidth="1"/>
    <col min="9237" max="9478" width="9.140625" style="57"/>
    <col min="9479" max="9479" width="10" style="57" customWidth="1"/>
    <col min="9480" max="9480" width="40" style="57" customWidth="1"/>
    <col min="9481" max="9481" width="12.5703125" style="57" customWidth="1"/>
    <col min="9482" max="9483" width="10.42578125" style="57" customWidth="1"/>
    <col min="9484" max="9484" width="11.5703125" style="57" customWidth="1"/>
    <col min="9485" max="9486" width="10.42578125" style="57" customWidth="1"/>
    <col min="9487" max="9487" width="6.5703125" style="57" customWidth="1"/>
    <col min="9488" max="9488" width="11.42578125" style="57" customWidth="1"/>
    <col min="9489" max="9489" width="4.140625" style="57" customWidth="1"/>
    <col min="9490" max="9490" width="18.5703125" style="57" customWidth="1"/>
    <col min="9491" max="9491" width="2.140625" style="57" customWidth="1"/>
    <col min="9492" max="9492" width="10.42578125" style="57" customWidth="1"/>
    <col min="9493" max="9734" width="9.140625" style="57"/>
    <col min="9735" max="9735" width="10" style="57" customWidth="1"/>
    <col min="9736" max="9736" width="40" style="57" customWidth="1"/>
    <col min="9737" max="9737" width="12.5703125" style="57" customWidth="1"/>
    <col min="9738" max="9739" width="10.42578125" style="57" customWidth="1"/>
    <col min="9740" max="9740" width="11.5703125" style="57" customWidth="1"/>
    <col min="9741" max="9742" width="10.42578125" style="57" customWidth="1"/>
    <col min="9743" max="9743" width="6.5703125" style="57" customWidth="1"/>
    <col min="9744" max="9744" width="11.42578125" style="57" customWidth="1"/>
    <col min="9745" max="9745" width="4.140625" style="57" customWidth="1"/>
    <col min="9746" max="9746" width="18.5703125" style="57" customWidth="1"/>
    <col min="9747" max="9747" width="2.140625" style="57" customWidth="1"/>
    <col min="9748" max="9748" width="10.42578125" style="57" customWidth="1"/>
    <col min="9749" max="9990" width="9.140625" style="57"/>
    <col min="9991" max="9991" width="10" style="57" customWidth="1"/>
    <col min="9992" max="9992" width="40" style="57" customWidth="1"/>
    <col min="9993" max="9993" width="12.5703125" style="57" customWidth="1"/>
    <col min="9994" max="9995" width="10.42578125" style="57" customWidth="1"/>
    <col min="9996" max="9996" width="11.5703125" style="57" customWidth="1"/>
    <col min="9997" max="9998" width="10.42578125" style="57" customWidth="1"/>
    <col min="9999" max="9999" width="6.5703125" style="57" customWidth="1"/>
    <col min="10000" max="10000" width="11.42578125" style="57" customWidth="1"/>
    <col min="10001" max="10001" width="4.140625" style="57" customWidth="1"/>
    <col min="10002" max="10002" width="18.5703125" style="57" customWidth="1"/>
    <col min="10003" max="10003" width="2.140625" style="57" customWidth="1"/>
    <col min="10004" max="10004" width="10.42578125" style="57" customWidth="1"/>
    <col min="10005" max="10246" width="9.140625" style="57"/>
    <col min="10247" max="10247" width="10" style="57" customWidth="1"/>
    <col min="10248" max="10248" width="40" style="57" customWidth="1"/>
    <col min="10249" max="10249" width="12.5703125" style="57" customWidth="1"/>
    <col min="10250" max="10251" width="10.42578125" style="57" customWidth="1"/>
    <col min="10252" max="10252" width="11.5703125" style="57" customWidth="1"/>
    <col min="10253" max="10254" width="10.42578125" style="57" customWidth="1"/>
    <col min="10255" max="10255" width="6.5703125" style="57" customWidth="1"/>
    <col min="10256" max="10256" width="11.42578125" style="57" customWidth="1"/>
    <col min="10257" max="10257" width="4.140625" style="57" customWidth="1"/>
    <col min="10258" max="10258" width="18.5703125" style="57" customWidth="1"/>
    <col min="10259" max="10259" width="2.140625" style="57" customWidth="1"/>
    <col min="10260" max="10260" width="10.42578125" style="57" customWidth="1"/>
    <col min="10261" max="10502" width="9.140625" style="57"/>
    <col min="10503" max="10503" width="10" style="57" customWidth="1"/>
    <col min="10504" max="10504" width="40" style="57" customWidth="1"/>
    <col min="10505" max="10505" width="12.5703125" style="57" customWidth="1"/>
    <col min="10506" max="10507" width="10.42578125" style="57" customWidth="1"/>
    <col min="10508" max="10508" width="11.5703125" style="57" customWidth="1"/>
    <col min="10509" max="10510" width="10.42578125" style="57" customWidth="1"/>
    <col min="10511" max="10511" width="6.5703125" style="57" customWidth="1"/>
    <col min="10512" max="10512" width="11.42578125" style="57" customWidth="1"/>
    <col min="10513" max="10513" width="4.140625" style="57" customWidth="1"/>
    <col min="10514" max="10514" width="18.5703125" style="57" customWidth="1"/>
    <col min="10515" max="10515" width="2.140625" style="57" customWidth="1"/>
    <col min="10516" max="10516" width="10.42578125" style="57" customWidth="1"/>
    <col min="10517" max="10758" width="9.140625" style="57"/>
    <col min="10759" max="10759" width="10" style="57" customWidth="1"/>
    <col min="10760" max="10760" width="40" style="57" customWidth="1"/>
    <col min="10761" max="10761" width="12.5703125" style="57" customWidth="1"/>
    <col min="10762" max="10763" width="10.42578125" style="57" customWidth="1"/>
    <col min="10764" max="10764" width="11.5703125" style="57" customWidth="1"/>
    <col min="10765" max="10766" width="10.42578125" style="57" customWidth="1"/>
    <col min="10767" max="10767" width="6.5703125" style="57" customWidth="1"/>
    <col min="10768" max="10768" width="11.42578125" style="57" customWidth="1"/>
    <col min="10769" max="10769" width="4.140625" style="57" customWidth="1"/>
    <col min="10770" max="10770" width="18.5703125" style="57" customWidth="1"/>
    <col min="10771" max="10771" width="2.140625" style="57" customWidth="1"/>
    <col min="10772" max="10772" width="10.42578125" style="57" customWidth="1"/>
    <col min="10773" max="11014" width="9.140625" style="57"/>
    <col min="11015" max="11015" width="10" style="57" customWidth="1"/>
    <col min="11016" max="11016" width="40" style="57" customWidth="1"/>
    <col min="11017" max="11017" width="12.5703125" style="57" customWidth="1"/>
    <col min="11018" max="11019" width="10.42578125" style="57" customWidth="1"/>
    <col min="11020" max="11020" width="11.5703125" style="57" customWidth="1"/>
    <col min="11021" max="11022" width="10.42578125" style="57" customWidth="1"/>
    <col min="11023" max="11023" width="6.5703125" style="57" customWidth="1"/>
    <col min="11024" max="11024" width="11.42578125" style="57" customWidth="1"/>
    <col min="11025" max="11025" width="4.140625" style="57" customWidth="1"/>
    <col min="11026" max="11026" width="18.5703125" style="57" customWidth="1"/>
    <col min="11027" max="11027" width="2.140625" style="57" customWidth="1"/>
    <col min="11028" max="11028" width="10.42578125" style="57" customWidth="1"/>
    <col min="11029" max="11270" width="9.140625" style="57"/>
    <col min="11271" max="11271" width="10" style="57" customWidth="1"/>
    <col min="11272" max="11272" width="40" style="57" customWidth="1"/>
    <col min="11273" max="11273" width="12.5703125" style="57" customWidth="1"/>
    <col min="11274" max="11275" width="10.42578125" style="57" customWidth="1"/>
    <col min="11276" max="11276" width="11.5703125" style="57" customWidth="1"/>
    <col min="11277" max="11278" width="10.42578125" style="57" customWidth="1"/>
    <col min="11279" max="11279" width="6.5703125" style="57" customWidth="1"/>
    <col min="11280" max="11280" width="11.42578125" style="57" customWidth="1"/>
    <col min="11281" max="11281" width="4.140625" style="57" customWidth="1"/>
    <col min="11282" max="11282" width="18.5703125" style="57" customWidth="1"/>
    <col min="11283" max="11283" width="2.140625" style="57" customWidth="1"/>
    <col min="11284" max="11284" width="10.42578125" style="57" customWidth="1"/>
    <col min="11285" max="11526" width="9.140625" style="57"/>
    <col min="11527" max="11527" width="10" style="57" customWidth="1"/>
    <col min="11528" max="11528" width="40" style="57" customWidth="1"/>
    <col min="11529" max="11529" width="12.5703125" style="57" customWidth="1"/>
    <col min="11530" max="11531" width="10.42578125" style="57" customWidth="1"/>
    <col min="11532" max="11532" width="11.5703125" style="57" customWidth="1"/>
    <col min="11533" max="11534" width="10.42578125" style="57" customWidth="1"/>
    <col min="11535" max="11535" width="6.5703125" style="57" customWidth="1"/>
    <col min="11536" max="11536" width="11.42578125" style="57" customWidth="1"/>
    <col min="11537" max="11537" width="4.140625" style="57" customWidth="1"/>
    <col min="11538" max="11538" width="18.5703125" style="57" customWidth="1"/>
    <col min="11539" max="11539" width="2.140625" style="57" customWidth="1"/>
    <col min="11540" max="11540" width="10.42578125" style="57" customWidth="1"/>
    <col min="11541" max="11782" width="9.140625" style="57"/>
    <col min="11783" max="11783" width="10" style="57" customWidth="1"/>
    <col min="11784" max="11784" width="40" style="57" customWidth="1"/>
    <col min="11785" max="11785" width="12.5703125" style="57" customWidth="1"/>
    <col min="11786" max="11787" width="10.42578125" style="57" customWidth="1"/>
    <col min="11788" max="11788" width="11.5703125" style="57" customWidth="1"/>
    <col min="11789" max="11790" width="10.42578125" style="57" customWidth="1"/>
    <col min="11791" max="11791" width="6.5703125" style="57" customWidth="1"/>
    <col min="11792" max="11792" width="11.42578125" style="57" customWidth="1"/>
    <col min="11793" max="11793" width="4.140625" style="57" customWidth="1"/>
    <col min="11794" max="11794" width="18.5703125" style="57" customWidth="1"/>
    <col min="11795" max="11795" width="2.140625" style="57" customWidth="1"/>
    <col min="11796" max="11796" width="10.42578125" style="57" customWidth="1"/>
    <col min="11797" max="12038" width="9.140625" style="57"/>
    <col min="12039" max="12039" width="10" style="57" customWidth="1"/>
    <col min="12040" max="12040" width="40" style="57" customWidth="1"/>
    <col min="12041" max="12041" width="12.5703125" style="57" customWidth="1"/>
    <col min="12042" max="12043" width="10.42578125" style="57" customWidth="1"/>
    <col min="12044" max="12044" width="11.5703125" style="57" customWidth="1"/>
    <col min="12045" max="12046" width="10.42578125" style="57" customWidth="1"/>
    <col min="12047" max="12047" width="6.5703125" style="57" customWidth="1"/>
    <col min="12048" max="12048" width="11.42578125" style="57" customWidth="1"/>
    <col min="12049" max="12049" width="4.140625" style="57" customWidth="1"/>
    <col min="12050" max="12050" width="18.5703125" style="57" customWidth="1"/>
    <col min="12051" max="12051" width="2.140625" style="57" customWidth="1"/>
    <col min="12052" max="12052" width="10.42578125" style="57" customWidth="1"/>
    <col min="12053" max="12294" width="9.140625" style="57"/>
    <col min="12295" max="12295" width="10" style="57" customWidth="1"/>
    <col min="12296" max="12296" width="40" style="57" customWidth="1"/>
    <col min="12297" max="12297" width="12.5703125" style="57" customWidth="1"/>
    <col min="12298" max="12299" width="10.42578125" style="57" customWidth="1"/>
    <col min="12300" max="12300" width="11.5703125" style="57" customWidth="1"/>
    <col min="12301" max="12302" width="10.42578125" style="57" customWidth="1"/>
    <col min="12303" max="12303" width="6.5703125" style="57" customWidth="1"/>
    <col min="12304" max="12304" width="11.42578125" style="57" customWidth="1"/>
    <col min="12305" max="12305" width="4.140625" style="57" customWidth="1"/>
    <col min="12306" max="12306" width="18.5703125" style="57" customWidth="1"/>
    <col min="12307" max="12307" width="2.140625" style="57" customWidth="1"/>
    <col min="12308" max="12308" width="10.42578125" style="57" customWidth="1"/>
    <col min="12309" max="12550" width="9.140625" style="57"/>
    <col min="12551" max="12551" width="10" style="57" customWidth="1"/>
    <col min="12552" max="12552" width="40" style="57" customWidth="1"/>
    <col min="12553" max="12553" width="12.5703125" style="57" customWidth="1"/>
    <col min="12554" max="12555" width="10.42578125" style="57" customWidth="1"/>
    <col min="12556" max="12556" width="11.5703125" style="57" customWidth="1"/>
    <col min="12557" max="12558" width="10.42578125" style="57" customWidth="1"/>
    <col min="12559" max="12559" width="6.5703125" style="57" customWidth="1"/>
    <col min="12560" max="12560" width="11.42578125" style="57" customWidth="1"/>
    <col min="12561" max="12561" width="4.140625" style="57" customWidth="1"/>
    <col min="12562" max="12562" width="18.5703125" style="57" customWidth="1"/>
    <col min="12563" max="12563" width="2.140625" style="57" customWidth="1"/>
    <col min="12564" max="12564" width="10.42578125" style="57" customWidth="1"/>
    <col min="12565" max="12806" width="9.140625" style="57"/>
    <col min="12807" max="12807" width="10" style="57" customWidth="1"/>
    <col min="12808" max="12808" width="40" style="57" customWidth="1"/>
    <col min="12809" max="12809" width="12.5703125" style="57" customWidth="1"/>
    <col min="12810" max="12811" width="10.42578125" style="57" customWidth="1"/>
    <col min="12812" max="12812" width="11.5703125" style="57" customWidth="1"/>
    <col min="12813" max="12814" width="10.42578125" style="57" customWidth="1"/>
    <col min="12815" max="12815" width="6.5703125" style="57" customWidth="1"/>
    <col min="12816" max="12816" width="11.42578125" style="57" customWidth="1"/>
    <col min="12817" max="12817" width="4.140625" style="57" customWidth="1"/>
    <col min="12818" max="12818" width="18.5703125" style="57" customWidth="1"/>
    <col min="12819" max="12819" width="2.140625" style="57" customWidth="1"/>
    <col min="12820" max="12820" width="10.42578125" style="57" customWidth="1"/>
    <col min="12821" max="13062" width="9.140625" style="57"/>
    <col min="13063" max="13063" width="10" style="57" customWidth="1"/>
    <col min="13064" max="13064" width="40" style="57" customWidth="1"/>
    <col min="13065" max="13065" width="12.5703125" style="57" customWidth="1"/>
    <col min="13066" max="13067" width="10.42578125" style="57" customWidth="1"/>
    <col min="13068" max="13068" width="11.5703125" style="57" customWidth="1"/>
    <col min="13069" max="13070" width="10.42578125" style="57" customWidth="1"/>
    <col min="13071" max="13071" width="6.5703125" style="57" customWidth="1"/>
    <col min="13072" max="13072" width="11.42578125" style="57" customWidth="1"/>
    <col min="13073" max="13073" width="4.140625" style="57" customWidth="1"/>
    <col min="13074" max="13074" width="18.5703125" style="57" customWidth="1"/>
    <col min="13075" max="13075" width="2.140625" style="57" customWidth="1"/>
    <col min="13076" max="13076" width="10.42578125" style="57" customWidth="1"/>
    <col min="13077" max="13318" width="9.140625" style="57"/>
    <col min="13319" max="13319" width="10" style="57" customWidth="1"/>
    <col min="13320" max="13320" width="40" style="57" customWidth="1"/>
    <col min="13321" max="13321" width="12.5703125" style="57" customWidth="1"/>
    <col min="13322" max="13323" width="10.42578125" style="57" customWidth="1"/>
    <col min="13324" max="13324" width="11.5703125" style="57" customWidth="1"/>
    <col min="13325" max="13326" width="10.42578125" style="57" customWidth="1"/>
    <col min="13327" max="13327" width="6.5703125" style="57" customWidth="1"/>
    <col min="13328" max="13328" width="11.42578125" style="57" customWidth="1"/>
    <col min="13329" max="13329" width="4.140625" style="57" customWidth="1"/>
    <col min="13330" max="13330" width="18.5703125" style="57" customWidth="1"/>
    <col min="13331" max="13331" width="2.140625" style="57" customWidth="1"/>
    <col min="13332" max="13332" width="10.42578125" style="57" customWidth="1"/>
    <col min="13333" max="13574" width="9.140625" style="57"/>
    <col min="13575" max="13575" width="10" style="57" customWidth="1"/>
    <col min="13576" max="13576" width="40" style="57" customWidth="1"/>
    <col min="13577" max="13577" width="12.5703125" style="57" customWidth="1"/>
    <col min="13578" max="13579" width="10.42578125" style="57" customWidth="1"/>
    <col min="13580" max="13580" width="11.5703125" style="57" customWidth="1"/>
    <col min="13581" max="13582" width="10.42578125" style="57" customWidth="1"/>
    <col min="13583" max="13583" width="6.5703125" style="57" customWidth="1"/>
    <col min="13584" max="13584" width="11.42578125" style="57" customWidth="1"/>
    <col min="13585" max="13585" width="4.140625" style="57" customWidth="1"/>
    <col min="13586" max="13586" width="18.5703125" style="57" customWidth="1"/>
    <col min="13587" max="13587" width="2.140625" style="57" customWidth="1"/>
    <col min="13588" max="13588" width="10.42578125" style="57" customWidth="1"/>
    <col min="13589" max="13830" width="9.140625" style="57"/>
    <col min="13831" max="13831" width="10" style="57" customWidth="1"/>
    <col min="13832" max="13832" width="40" style="57" customWidth="1"/>
    <col min="13833" max="13833" width="12.5703125" style="57" customWidth="1"/>
    <col min="13834" max="13835" width="10.42578125" style="57" customWidth="1"/>
    <col min="13836" max="13836" width="11.5703125" style="57" customWidth="1"/>
    <col min="13837" max="13838" width="10.42578125" style="57" customWidth="1"/>
    <col min="13839" max="13839" width="6.5703125" style="57" customWidth="1"/>
    <col min="13840" max="13840" width="11.42578125" style="57" customWidth="1"/>
    <col min="13841" max="13841" width="4.140625" style="57" customWidth="1"/>
    <col min="13842" max="13842" width="18.5703125" style="57" customWidth="1"/>
    <col min="13843" max="13843" width="2.140625" style="57" customWidth="1"/>
    <col min="13844" max="13844" width="10.42578125" style="57" customWidth="1"/>
    <col min="13845" max="14086" width="9.140625" style="57"/>
    <col min="14087" max="14087" width="10" style="57" customWidth="1"/>
    <col min="14088" max="14088" width="40" style="57" customWidth="1"/>
    <col min="14089" max="14089" width="12.5703125" style="57" customWidth="1"/>
    <col min="14090" max="14091" width="10.42578125" style="57" customWidth="1"/>
    <col min="14092" max="14092" width="11.5703125" style="57" customWidth="1"/>
    <col min="14093" max="14094" width="10.42578125" style="57" customWidth="1"/>
    <col min="14095" max="14095" width="6.5703125" style="57" customWidth="1"/>
    <col min="14096" max="14096" width="11.42578125" style="57" customWidth="1"/>
    <col min="14097" max="14097" width="4.140625" style="57" customWidth="1"/>
    <col min="14098" max="14098" width="18.5703125" style="57" customWidth="1"/>
    <col min="14099" max="14099" width="2.140625" style="57" customWidth="1"/>
    <col min="14100" max="14100" width="10.42578125" style="57" customWidth="1"/>
    <col min="14101" max="14342" width="9.140625" style="57"/>
    <col min="14343" max="14343" width="10" style="57" customWidth="1"/>
    <col min="14344" max="14344" width="40" style="57" customWidth="1"/>
    <col min="14345" max="14345" width="12.5703125" style="57" customWidth="1"/>
    <col min="14346" max="14347" width="10.42578125" style="57" customWidth="1"/>
    <col min="14348" max="14348" width="11.5703125" style="57" customWidth="1"/>
    <col min="14349" max="14350" width="10.42578125" style="57" customWidth="1"/>
    <col min="14351" max="14351" width="6.5703125" style="57" customWidth="1"/>
    <col min="14352" max="14352" width="11.42578125" style="57" customWidth="1"/>
    <col min="14353" max="14353" width="4.140625" style="57" customWidth="1"/>
    <col min="14354" max="14354" width="18.5703125" style="57" customWidth="1"/>
    <col min="14355" max="14355" width="2.140625" style="57" customWidth="1"/>
    <col min="14356" max="14356" width="10.42578125" style="57" customWidth="1"/>
    <col min="14357" max="14598" width="9.140625" style="57"/>
    <col min="14599" max="14599" width="10" style="57" customWidth="1"/>
    <col min="14600" max="14600" width="40" style="57" customWidth="1"/>
    <col min="14601" max="14601" width="12.5703125" style="57" customWidth="1"/>
    <col min="14602" max="14603" width="10.42578125" style="57" customWidth="1"/>
    <col min="14604" max="14604" width="11.5703125" style="57" customWidth="1"/>
    <col min="14605" max="14606" width="10.42578125" style="57" customWidth="1"/>
    <col min="14607" max="14607" width="6.5703125" style="57" customWidth="1"/>
    <col min="14608" max="14608" width="11.42578125" style="57" customWidth="1"/>
    <col min="14609" max="14609" width="4.140625" style="57" customWidth="1"/>
    <col min="14610" max="14610" width="18.5703125" style="57" customWidth="1"/>
    <col min="14611" max="14611" width="2.140625" style="57" customWidth="1"/>
    <col min="14612" max="14612" width="10.42578125" style="57" customWidth="1"/>
    <col min="14613" max="14854" width="9.140625" style="57"/>
    <col min="14855" max="14855" width="10" style="57" customWidth="1"/>
    <col min="14856" max="14856" width="40" style="57" customWidth="1"/>
    <col min="14857" max="14857" width="12.5703125" style="57" customWidth="1"/>
    <col min="14858" max="14859" width="10.42578125" style="57" customWidth="1"/>
    <col min="14860" max="14860" width="11.5703125" style="57" customWidth="1"/>
    <col min="14861" max="14862" width="10.42578125" style="57" customWidth="1"/>
    <col min="14863" max="14863" width="6.5703125" style="57" customWidth="1"/>
    <col min="14864" max="14864" width="11.42578125" style="57" customWidth="1"/>
    <col min="14865" max="14865" width="4.140625" style="57" customWidth="1"/>
    <col min="14866" max="14866" width="18.5703125" style="57" customWidth="1"/>
    <col min="14867" max="14867" width="2.140625" style="57" customWidth="1"/>
    <col min="14868" max="14868" width="10.42578125" style="57" customWidth="1"/>
    <col min="14869" max="15110" width="9.140625" style="57"/>
    <col min="15111" max="15111" width="10" style="57" customWidth="1"/>
    <col min="15112" max="15112" width="40" style="57" customWidth="1"/>
    <col min="15113" max="15113" width="12.5703125" style="57" customWidth="1"/>
    <col min="15114" max="15115" width="10.42578125" style="57" customWidth="1"/>
    <col min="15116" max="15116" width="11.5703125" style="57" customWidth="1"/>
    <col min="15117" max="15118" width="10.42578125" style="57" customWidth="1"/>
    <col min="15119" max="15119" width="6.5703125" style="57" customWidth="1"/>
    <col min="15120" max="15120" width="11.42578125" style="57" customWidth="1"/>
    <col min="15121" max="15121" width="4.140625" style="57" customWidth="1"/>
    <col min="15122" max="15122" width="18.5703125" style="57" customWidth="1"/>
    <col min="15123" max="15123" width="2.140625" style="57" customWidth="1"/>
    <col min="15124" max="15124" width="10.42578125" style="57" customWidth="1"/>
    <col min="15125" max="15366" width="9.140625" style="57"/>
    <col min="15367" max="15367" width="10" style="57" customWidth="1"/>
    <col min="15368" max="15368" width="40" style="57" customWidth="1"/>
    <col min="15369" max="15369" width="12.5703125" style="57" customWidth="1"/>
    <col min="15370" max="15371" width="10.42578125" style="57" customWidth="1"/>
    <col min="15372" max="15372" width="11.5703125" style="57" customWidth="1"/>
    <col min="15373" max="15374" width="10.42578125" style="57" customWidth="1"/>
    <col min="15375" max="15375" width="6.5703125" style="57" customWidth="1"/>
    <col min="15376" max="15376" width="11.42578125" style="57" customWidth="1"/>
    <col min="15377" max="15377" width="4.140625" style="57" customWidth="1"/>
    <col min="15378" max="15378" width="18.5703125" style="57" customWidth="1"/>
    <col min="15379" max="15379" width="2.140625" style="57" customWidth="1"/>
    <col min="15380" max="15380" width="10.42578125" style="57" customWidth="1"/>
    <col min="15381" max="15622" width="9.140625" style="57"/>
    <col min="15623" max="15623" width="10" style="57" customWidth="1"/>
    <col min="15624" max="15624" width="40" style="57" customWidth="1"/>
    <col min="15625" max="15625" width="12.5703125" style="57" customWidth="1"/>
    <col min="15626" max="15627" width="10.42578125" style="57" customWidth="1"/>
    <col min="15628" max="15628" width="11.5703125" style="57" customWidth="1"/>
    <col min="15629" max="15630" width="10.42578125" style="57" customWidth="1"/>
    <col min="15631" max="15631" width="6.5703125" style="57" customWidth="1"/>
    <col min="15632" max="15632" width="11.42578125" style="57" customWidth="1"/>
    <col min="15633" max="15633" width="4.140625" style="57" customWidth="1"/>
    <col min="15634" max="15634" width="18.5703125" style="57" customWidth="1"/>
    <col min="15635" max="15635" width="2.140625" style="57" customWidth="1"/>
    <col min="15636" max="15636" width="10.42578125" style="57" customWidth="1"/>
    <col min="15637" max="15878" width="9.140625" style="57"/>
    <col min="15879" max="15879" width="10" style="57" customWidth="1"/>
    <col min="15880" max="15880" width="40" style="57" customWidth="1"/>
    <col min="15881" max="15881" width="12.5703125" style="57" customWidth="1"/>
    <col min="15882" max="15883" width="10.42578125" style="57" customWidth="1"/>
    <col min="15884" max="15884" width="11.5703125" style="57" customWidth="1"/>
    <col min="15885" max="15886" width="10.42578125" style="57" customWidth="1"/>
    <col min="15887" max="15887" width="6.5703125" style="57" customWidth="1"/>
    <col min="15888" max="15888" width="11.42578125" style="57" customWidth="1"/>
    <col min="15889" max="15889" width="4.140625" style="57" customWidth="1"/>
    <col min="15890" max="15890" width="18.5703125" style="57" customWidth="1"/>
    <col min="15891" max="15891" width="2.140625" style="57" customWidth="1"/>
    <col min="15892" max="15892" width="10.42578125" style="57" customWidth="1"/>
    <col min="15893" max="16134" width="9.140625" style="57"/>
    <col min="16135" max="16135" width="10" style="57" customWidth="1"/>
    <col min="16136" max="16136" width="40" style="57" customWidth="1"/>
    <col min="16137" max="16137" width="12.5703125" style="57" customWidth="1"/>
    <col min="16138" max="16139" width="10.42578125" style="57" customWidth="1"/>
    <col min="16140" max="16140" width="11.5703125" style="57" customWidth="1"/>
    <col min="16141" max="16142" width="10.42578125" style="57" customWidth="1"/>
    <col min="16143" max="16143" width="6.5703125" style="57" customWidth="1"/>
    <col min="16144" max="16144" width="11.42578125" style="57" customWidth="1"/>
    <col min="16145" max="16145" width="4.140625" style="57" customWidth="1"/>
    <col min="16146" max="16146" width="18.5703125" style="57" customWidth="1"/>
    <col min="16147" max="16147" width="2.140625" style="57" customWidth="1"/>
    <col min="16148" max="16148" width="10.42578125" style="57" customWidth="1"/>
    <col min="16149" max="16384" width="9.140625" style="57"/>
  </cols>
  <sheetData>
    <row r="1" spans="2:21" ht="13.5" customHeight="1" x14ac:dyDescent="0.25">
      <c r="H1" s="781" t="s">
        <v>38</v>
      </c>
      <c r="I1" s="781"/>
      <c r="J1" s="781"/>
      <c r="K1" s="781"/>
      <c r="L1" s="781"/>
      <c r="M1" s="781" t="s">
        <v>39</v>
      </c>
      <c r="N1" s="781"/>
      <c r="O1" s="783" t="s">
        <v>40</v>
      </c>
      <c r="P1" s="783"/>
      <c r="Q1" s="783"/>
    </row>
    <row r="2" spans="2:21" s="59" customFormat="1" ht="15" customHeight="1" x14ac:dyDescent="0.25">
      <c r="B2" s="60" t="s">
        <v>41</v>
      </c>
      <c r="C2" s="61" t="s">
        <v>42</v>
      </c>
      <c r="D2" s="61" t="s">
        <v>43</v>
      </c>
      <c r="E2" s="61" t="s">
        <v>44</v>
      </c>
      <c r="F2" s="61" t="s">
        <v>45</v>
      </c>
      <c r="G2" s="61" t="s">
        <v>46</v>
      </c>
      <c r="H2" s="61" t="s">
        <v>47</v>
      </c>
      <c r="I2" s="61" t="s">
        <v>48</v>
      </c>
      <c r="J2" s="61" t="s">
        <v>47</v>
      </c>
      <c r="K2" s="61" t="s">
        <v>48</v>
      </c>
      <c r="L2" s="65" t="s">
        <v>49</v>
      </c>
      <c r="M2" s="65" t="s">
        <v>39</v>
      </c>
      <c r="N2" s="65" t="s">
        <v>49</v>
      </c>
      <c r="O2" s="65" t="s">
        <v>47</v>
      </c>
      <c r="P2" s="65" t="s">
        <v>48</v>
      </c>
      <c r="Q2" s="65" t="s">
        <v>49</v>
      </c>
      <c r="R2" s="63" t="s">
        <v>50</v>
      </c>
    </row>
    <row r="3" spans="2:21" ht="15" customHeight="1" x14ac:dyDescent="0.25">
      <c r="B3" s="67">
        <v>2</v>
      </c>
      <c r="C3" s="68" t="s">
        <v>51</v>
      </c>
      <c r="D3" s="110" t="s">
        <v>60</v>
      </c>
      <c r="E3" s="69">
        <v>44599</v>
      </c>
      <c r="F3" s="69"/>
      <c r="G3" s="68"/>
      <c r="H3" s="72"/>
      <c r="I3" s="72"/>
      <c r="J3" s="72"/>
      <c r="K3" s="72"/>
      <c r="L3" s="131">
        <f>(I3-H3)</f>
        <v>0</v>
      </c>
      <c r="M3" s="132"/>
      <c r="N3" s="133"/>
      <c r="O3" s="109"/>
      <c r="P3" s="109"/>
      <c r="Q3" s="78">
        <v>0</v>
      </c>
      <c r="R3" s="134"/>
      <c r="T3" s="81" t="s">
        <v>53</v>
      </c>
      <c r="U3" s="82">
        <v>3</v>
      </c>
    </row>
    <row r="4" spans="2:21" ht="15" customHeight="1" x14ac:dyDescent="0.25">
      <c r="B4" s="67">
        <v>3</v>
      </c>
      <c r="C4" s="68" t="s">
        <v>55</v>
      </c>
      <c r="D4" s="110" t="s">
        <v>60</v>
      </c>
      <c r="E4" s="69">
        <v>44602</v>
      </c>
      <c r="F4" s="69"/>
      <c r="G4" s="68"/>
      <c r="H4" s="72"/>
      <c r="I4" s="72"/>
      <c r="J4" s="72"/>
      <c r="K4" s="72"/>
      <c r="L4" s="131">
        <v>0</v>
      </c>
      <c r="M4" s="132"/>
      <c r="N4" s="133"/>
      <c r="O4" s="109"/>
      <c r="P4" s="109"/>
      <c r="Q4" s="78">
        <v>0</v>
      </c>
      <c r="R4" s="134"/>
      <c r="T4" s="83" t="s">
        <v>44</v>
      </c>
      <c r="U4" s="84">
        <v>0</v>
      </c>
    </row>
    <row r="5" spans="2:21" ht="15" customHeight="1" x14ac:dyDescent="0.25">
      <c r="B5" s="85">
        <v>4</v>
      </c>
      <c r="C5" s="86" t="s">
        <v>62</v>
      </c>
      <c r="D5" s="130" t="s">
        <v>60</v>
      </c>
      <c r="E5" s="87">
        <v>45426</v>
      </c>
      <c r="F5" s="87"/>
      <c r="G5" s="86"/>
      <c r="H5" s="72"/>
      <c r="I5" s="72"/>
      <c r="J5" s="72"/>
      <c r="K5" s="72"/>
      <c r="L5" s="135">
        <v>0</v>
      </c>
      <c r="M5" s="136"/>
      <c r="N5" s="137"/>
      <c r="O5" s="96"/>
      <c r="P5" s="96"/>
      <c r="Q5" s="138">
        <v>0</v>
      </c>
      <c r="R5" s="139"/>
      <c r="T5" s="83" t="s">
        <v>45</v>
      </c>
      <c r="U5" s="84">
        <v>0</v>
      </c>
    </row>
    <row r="6" spans="2:21" ht="15" customHeight="1" x14ac:dyDescent="0.25">
      <c r="L6" s="99">
        <f>SUM(L3:L5)</f>
        <v>0</v>
      </c>
      <c r="N6" s="99">
        <f>SUM(N3:N4)</f>
        <v>0</v>
      </c>
      <c r="O6" s="99"/>
      <c r="P6" s="99"/>
      <c r="Q6" s="99">
        <f>SUM(Q3:Q4)</f>
        <v>0</v>
      </c>
      <c r="T6" s="100" t="s">
        <v>56</v>
      </c>
      <c r="U6" s="101">
        <f>U3+U4-U5</f>
        <v>3</v>
      </c>
    </row>
    <row r="7" spans="2:21" ht="15" customHeight="1" x14ac:dyDescent="0.25"/>
    <row r="8" spans="2:21" ht="15" customHeight="1" x14ac:dyDescent="0.25">
      <c r="T8" s="81" t="s">
        <v>57</v>
      </c>
      <c r="U8" s="82">
        <v>2</v>
      </c>
    </row>
    <row r="9" spans="2:21" ht="15" customHeight="1" x14ac:dyDescent="0.25">
      <c r="T9" s="100" t="s">
        <v>13</v>
      </c>
      <c r="U9" s="101">
        <f>U6+U8</f>
        <v>5</v>
      </c>
    </row>
    <row r="10" spans="2:21" ht="15" customHeight="1" x14ac:dyDescent="0.25"/>
    <row r="11" spans="2:21" ht="15" customHeight="1" x14ac:dyDescent="0.25">
      <c r="T11" s="784" t="s">
        <v>58</v>
      </c>
      <c r="U11" s="784"/>
    </row>
    <row r="12" spans="2:21" ht="15" customHeight="1" x14ac:dyDescent="0.25">
      <c r="T12" s="83" t="s">
        <v>38</v>
      </c>
      <c r="U12" s="102">
        <f>L6</f>
        <v>0</v>
      </c>
    </row>
    <row r="13" spans="2:21" ht="15" customHeight="1" x14ac:dyDescent="0.25">
      <c r="T13" s="103" t="s">
        <v>39</v>
      </c>
      <c r="U13" s="104">
        <f>N6</f>
        <v>0</v>
      </c>
    </row>
    <row r="14" spans="2:21" ht="15" customHeight="1" x14ac:dyDescent="0.25"/>
    <row r="15" spans="2:21" ht="15" customHeight="1" x14ac:dyDescent="0.25">
      <c r="T15" s="81" t="s">
        <v>40</v>
      </c>
      <c r="U15" s="105">
        <f>Q6</f>
        <v>0</v>
      </c>
    </row>
    <row r="16" spans="2:21" ht="15" customHeight="1" x14ac:dyDescent="0.25">
      <c r="T16" s="103" t="s">
        <v>59</v>
      </c>
      <c r="U16" s="104">
        <v>0</v>
      </c>
    </row>
    <row r="17" spans="20:21" ht="15" customHeight="1" x14ac:dyDescent="0.25"/>
    <row r="18" spans="20:21" ht="15" customHeight="1" x14ac:dyDescent="0.25">
      <c r="T18" s="106" t="s">
        <v>22</v>
      </c>
      <c r="U18" s="107">
        <v>20</v>
      </c>
    </row>
    <row r="19" spans="20:21" ht="15" customHeight="1" x14ac:dyDescent="0.25"/>
    <row r="20" spans="20:21" ht="15" customHeight="1" x14ac:dyDescent="0.25"/>
    <row r="21" spans="20:21" ht="15" customHeight="1" x14ac:dyDescent="0.25"/>
    <row r="22" spans="20:21" ht="15" customHeight="1" x14ac:dyDescent="0.25"/>
    <row r="23" spans="20:21" ht="15" customHeight="1" x14ac:dyDescent="0.25"/>
    <row r="24" spans="20:21" ht="15" customHeight="1" x14ac:dyDescent="0.25"/>
    <row r="25" spans="20:21" ht="15" customHeight="1" x14ac:dyDescent="0.25"/>
    <row r="26" spans="20:21" ht="15" customHeight="1" x14ac:dyDescent="0.25"/>
    <row r="27" spans="20:21" ht="15" customHeight="1" x14ac:dyDescent="0.25"/>
    <row r="28" spans="20:21" ht="15" customHeight="1" x14ac:dyDescent="0.25"/>
    <row r="29" spans="20:21" ht="15" customHeight="1" x14ac:dyDescent="0.25"/>
    <row r="30" spans="20:21" ht="15" customHeight="1" x14ac:dyDescent="0.25"/>
    <row r="31" spans="20:21" ht="15" customHeight="1" x14ac:dyDescent="0.25"/>
    <row r="32" spans="20:21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</sheetData>
  <mergeCells count="4">
    <mergeCell ref="H1:L1"/>
    <mergeCell ref="M1:N1"/>
    <mergeCell ref="O1:Q1"/>
    <mergeCell ref="T11:U11"/>
  </mergeCells>
  <pageMargins left="0.25" right="0.25" top="0.75" bottom="0.75" header="0.511811023622047" footer="0.511811023622047"/>
  <pageSetup paperSize="9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U36"/>
  <sheetViews>
    <sheetView showGridLines="0" zoomScaleNormal="100" workbookViewId="0">
      <selection activeCell="E15" sqref="E15"/>
    </sheetView>
  </sheetViews>
  <sheetFormatPr defaultColWidth="9.140625" defaultRowHeight="12.75" x14ac:dyDescent="0.25"/>
  <cols>
    <col min="1" max="1" width="9.140625" style="57"/>
    <col min="2" max="2" width="10" style="57" customWidth="1"/>
    <col min="3" max="3" width="40" style="57" customWidth="1"/>
    <col min="4" max="4" width="12.5703125" style="57" customWidth="1"/>
    <col min="5" max="6" width="10.42578125" style="57" customWidth="1"/>
    <col min="7" max="7" width="11.5703125" style="57" customWidth="1"/>
    <col min="8" max="11" width="10.42578125" style="57" customWidth="1"/>
    <col min="12" max="12" width="4.140625" style="57" customWidth="1"/>
    <col min="13" max="13" width="11.42578125" style="58" customWidth="1"/>
    <col min="14" max="14" width="4.140625" style="57" customWidth="1"/>
    <col min="15" max="16" width="10.42578125" style="57" customWidth="1"/>
    <col min="17" max="17" width="4.140625" style="57" customWidth="1"/>
    <col min="18" max="18" width="27.140625" style="57" customWidth="1"/>
    <col min="19" max="19" width="2.140625" style="57" customWidth="1"/>
    <col min="20" max="20" width="13.140625" style="57" customWidth="1"/>
    <col min="21" max="21" width="3" style="57" customWidth="1"/>
    <col min="22" max="262" width="9.140625" style="57"/>
    <col min="263" max="263" width="10" style="57" customWidth="1"/>
    <col min="264" max="264" width="40" style="57" customWidth="1"/>
    <col min="265" max="265" width="12.5703125" style="57" customWidth="1"/>
    <col min="266" max="267" width="10.42578125" style="57" customWidth="1"/>
    <col min="268" max="268" width="11.5703125" style="57" customWidth="1"/>
    <col min="269" max="270" width="10.42578125" style="57" customWidth="1"/>
    <col min="271" max="271" width="6.5703125" style="57" customWidth="1"/>
    <col min="272" max="272" width="11.42578125" style="57" customWidth="1"/>
    <col min="273" max="273" width="4.140625" style="57" customWidth="1"/>
    <col min="274" max="274" width="18.5703125" style="57" customWidth="1"/>
    <col min="275" max="275" width="2.140625" style="57" customWidth="1"/>
    <col min="276" max="276" width="10.42578125" style="57" customWidth="1"/>
    <col min="277" max="518" width="9.140625" style="57"/>
    <col min="519" max="519" width="10" style="57" customWidth="1"/>
    <col min="520" max="520" width="40" style="57" customWidth="1"/>
    <col min="521" max="521" width="12.5703125" style="57" customWidth="1"/>
    <col min="522" max="523" width="10.42578125" style="57" customWidth="1"/>
    <col min="524" max="524" width="11.5703125" style="57" customWidth="1"/>
    <col min="525" max="526" width="10.42578125" style="57" customWidth="1"/>
    <col min="527" max="527" width="6.5703125" style="57" customWidth="1"/>
    <col min="528" max="528" width="11.42578125" style="57" customWidth="1"/>
    <col min="529" max="529" width="4.140625" style="57" customWidth="1"/>
    <col min="530" max="530" width="18.5703125" style="57" customWidth="1"/>
    <col min="531" max="531" width="2.140625" style="57" customWidth="1"/>
    <col min="532" max="532" width="10.42578125" style="57" customWidth="1"/>
    <col min="533" max="774" width="9.140625" style="57"/>
    <col min="775" max="775" width="10" style="57" customWidth="1"/>
    <col min="776" max="776" width="40" style="57" customWidth="1"/>
    <col min="777" max="777" width="12.5703125" style="57" customWidth="1"/>
    <col min="778" max="779" width="10.42578125" style="57" customWidth="1"/>
    <col min="780" max="780" width="11.5703125" style="57" customWidth="1"/>
    <col min="781" max="782" width="10.42578125" style="57" customWidth="1"/>
    <col min="783" max="783" width="6.5703125" style="57" customWidth="1"/>
    <col min="784" max="784" width="11.42578125" style="57" customWidth="1"/>
    <col min="785" max="785" width="4.140625" style="57" customWidth="1"/>
    <col min="786" max="786" width="18.5703125" style="57" customWidth="1"/>
    <col min="787" max="787" width="2.140625" style="57" customWidth="1"/>
    <col min="788" max="788" width="10.42578125" style="57" customWidth="1"/>
    <col min="789" max="1030" width="9.140625" style="57"/>
    <col min="1031" max="1031" width="10" style="57" customWidth="1"/>
    <col min="1032" max="1032" width="40" style="57" customWidth="1"/>
    <col min="1033" max="1033" width="12.5703125" style="57" customWidth="1"/>
    <col min="1034" max="1035" width="10.42578125" style="57" customWidth="1"/>
    <col min="1036" max="1036" width="11.5703125" style="57" customWidth="1"/>
    <col min="1037" max="1038" width="10.42578125" style="57" customWidth="1"/>
    <col min="1039" max="1039" width="6.5703125" style="57" customWidth="1"/>
    <col min="1040" max="1040" width="11.42578125" style="57" customWidth="1"/>
    <col min="1041" max="1041" width="4.140625" style="57" customWidth="1"/>
    <col min="1042" max="1042" width="18.5703125" style="57" customWidth="1"/>
    <col min="1043" max="1043" width="2.140625" style="57" customWidth="1"/>
    <col min="1044" max="1044" width="10.42578125" style="57" customWidth="1"/>
    <col min="1045" max="1286" width="9.140625" style="57"/>
    <col min="1287" max="1287" width="10" style="57" customWidth="1"/>
    <col min="1288" max="1288" width="40" style="57" customWidth="1"/>
    <col min="1289" max="1289" width="12.5703125" style="57" customWidth="1"/>
    <col min="1290" max="1291" width="10.42578125" style="57" customWidth="1"/>
    <col min="1292" max="1292" width="11.5703125" style="57" customWidth="1"/>
    <col min="1293" max="1294" width="10.42578125" style="57" customWidth="1"/>
    <col min="1295" max="1295" width="6.5703125" style="57" customWidth="1"/>
    <col min="1296" max="1296" width="11.42578125" style="57" customWidth="1"/>
    <col min="1297" max="1297" width="4.140625" style="57" customWidth="1"/>
    <col min="1298" max="1298" width="18.5703125" style="57" customWidth="1"/>
    <col min="1299" max="1299" width="2.140625" style="57" customWidth="1"/>
    <col min="1300" max="1300" width="10.42578125" style="57" customWidth="1"/>
    <col min="1301" max="1542" width="9.140625" style="57"/>
    <col min="1543" max="1543" width="10" style="57" customWidth="1"/>
    <col min="1544" max="1544" width="40" style="57" customWidth="1"/>
    <col min="1545" max="1545" width="12.5703125" style="57" customWidth="1"/>
    <col min="1546" max="1547" width="10.42578125" style="57" customWidth="1"/>
    <col min="1548" max="1548" width="11.5703125" style="57" customWidth="1"/>
    <col min="1549" max="1550" width="10.42578125" style="57" customWidth="1"/>
    <col min="1551" max="1551" width="6.5703125" style="57" customWidth="1"/>
    <col min="1552" max="1552" width="11.42578125" style="57" customWidth="1"/>
    <col min="1553" max="1553" width="4.140625" style="57" customWidth="1"/>
    <col min="1554" max="1554" width="18.5703125" style="57" customWidth="1"/>
    <col min="1555" max="1555" width="2.140625" style="57" customWidth="1"/>
    <col min="1556" max="1556" width="10.42578125" style="57" customWidth="1"/>
    <col min="1557" max="1798" width="9.140625" style="57"/>
    <col min="1799" max="1799" width="10" style="57" customWidth="1"/>
    <col min="1800" max="1800" width="40" style="57" customWidth="1"/>
    <col min="1801" max="1801" width="12.5703125" style="57" customWidth="1"/>
    <col min="1802" max="1803" width="10.42578125" style="57" customWidth="1"/>
    <col min="1804" max="1804" width="11.5703125" style="57" customWidth="1"/>
    <col min="1805" max="1806" width="10.42578125" style="57" customWidth="1"/>
    <col min="1807" max="1807" width="6.5703125" style="57" customWidth="1"/>
    <col min="1808" max="1808" width="11.42578125" style="57" customWidth="1"/>
    <col min="1809" max="1809" width="4.140625" style="57" customWidth="1"/>
    <col min="1810" max="1810" width="18.5703125" style="57" customWidth="1"/>
    <col min="1811" max="1811" width="2.140625" style="57" customWidth="1"/>
    <col min="1812" max="1812" width="10.42578125" style="57" customWidth="1"/>
    <col min="1813" max="2054" width="9.140625" style="57"/>
    <col min="2055" max="2055" width="10" style="57" customWidth="1"/>
    <col min="2056" max="2056" width="40" style="57" customWidth="1"/>
    <col min="2057" max="2057" width="12.5703125" style="57" customWidth="1"/>
    <col min="2058" max="2059" width="10.42578125" style="57" customWidth="1"/>
    <col min="2060" max="2060" width="11.5703125" style="57" customWidth="1"/>
    <col min="2061" max="2062" width="10.42578125" style="57" customWidth="1"/>
    <col min="2063" max="2063" width="6.5703125" style="57" customWidth="1"/>
    <col min="2064" max="2064" width="11.42578125" style="57" customWidth="1"/>
    <col min="2065" max="2065" width="4.140625" style="57" customWidth="1"/>
    <col min="2066" max="2066" width="18.5703125" style="57" customWidth="1"/>
    <col min="2067" max="2067" width="2.140625" style="57" customWidth="1"/>
    <col min="2068" max="2068" width="10.42578125" style="57" customWidth="1"/>
    <col min="2069" max="2310" width="9.140625" style="57"/>
    <col min="2311" max="2311" width="10" style="57" customWidth="1"/>
    <col min="2312" max="2312" width="40" style="57" customWidth="1"/>
    <col min="2313" max="2313" width="12.5703125" style="57" customWidth="1"/>
    <col min="2314" max="2315" width="10.42578125" style="57" customWidth="1"/>
    <col min="2316" max="2316" width="11.5703125" style="57" customWidth="1"/>
    <col min="2317" max="2318" width="10.42578125" style="57" customWidth="1"/>
    <col min="2319" max="2319" width="6.5703125" style="57" customWidth="1"/>
    <col min="2320" max="2320" width="11.42578125" style="57" customWidth="1"/>
    <col min="2321" max="2321" width="4.140625" style="57" customWidth="1"/>
    <col min="2322" max="2322" width="18.5703125" style="57" customWidth="1"/>
    <col min="2323" max="2323" width="2.140625" style="57" customWidth="1"/>
    <col min="2324" max="2324" width="10.42578125" style="57" customWidth="1"/>
    <col min="2325" max="2566" width="9.140625" style="57"/>
    <col min="2567" max="2567" width="10" style="57" customWidth="1"/>
    <col min="2568" max="2568" width="40" style="57" customWidth="1"/>
    <col min="2569" max="2569" width="12.5703125" style="57" customWidth="1"/>
    <col min="2570" max="2571" width="10.42578125" style="57" customWidth="1"/>
    <col min="2572" max="2572" width="11.5703125" style="57" customWidth="1"/>
    <col min="2573" max="2574" width="10.42578125" style="57" customWidth="1"/>
    <col min="2575" max="2575" width="6.5703125" style="57" customWidth="1"/>
    <col min="2576" max="2576" width="11.42578125" style="57" customWidth="1"/>
    <col min="2577" max="2577" width="4.140625" style="57" customWidth="1"/>
    <col min="2578" max="2578" width="18.5703125" style="57" customWidth="1"/>
    <col min="2579" max="2579" width="2.140625" style="57" customWidth="1"/>
    <col min="2580" max="2580" width="10.42578125" style="57" customWidth="1"/>
    <col min="2581" max="2822" width="9.140625" style="57"/>
    <col min="2823" max="2823" width="10" style="57" customWidth="1"/>
    <col min="2824" max="2824" width="40" style="57" customWidth="1"/>
    <col min="2825" max="2825" width="12.5703125" style="57" customWidth="1"/>
    <col min="2826" max="2827" width="10.42578125" style="57" customWidth="1"/>
    <col min="2828" max="2828" width="11.5703125" style="57" customWidth="1"/>
    <col min="2829" max="2830" width="10.42578125" style="57" customWidth="1"/>
    <col min="2831" max="2831" width="6.5703125" style="57" customWidth="1"/>
    <col min="2832" max="2832" width="11.42578125" style="57" customWidth="1"/>
    <col min="2833" max="2833" width="4.140625" style="57" customWidth="1"/>
    <col min="2834" max="2834" width="18.5703125" style="57" customWidth="1"/>
    <col min="2835" max="2835" width="2.140625" style="57" customWidth="1"/>
    <col min="2836" max="2836" width="10.42578125" style="57" customWidth="1"/>
    <col min="2837" max="3078" width="9.140625" style="57"/>
    <col min="3079" max="3079" width="10" style="57" customWidth="1"/>
    <col min="3080" max="3080" width="40" style="57" customWidth="1"/>
    <col min="3081" max="3081" width="12.5703125" style="57" customWidth="1"/>
    <col min="3082" max="3083" width="10.42578125" style="57" customWidth="1"/>
    <col min="3084" max="3084" width="11.5703125" style="57" customWidth="1"/>
    <col min="3085" max="3086" width="10.42578125" style="57" customWidth="1"/>
    <col min="3087" max="3087" width="6.5703125" style="57" customWidth="1"/>
    <col min="3088" max="3088" width="11.42578125" style="57" customWidth="1"/>
    <col min="3089" max="3089" width="4.140625" style="57" customWidth="1"/>
    <col min="3090" max="3090" width="18.5703125" style="57" customWidth="1"/>
    <col min="3091" max="3091" width="2.140625" style="57" customWidth="1"/>
    <col min="3092" max="3092" width="10.42578125" style="57" customWidth="1"/>
    <col min="3093" max="3334" width="9.140625" style="57"/>
    <col min="3335" max="3335" width="10" style="57" customWidth="1"/>
    <col min="3336" max="3336" width="40" style="57" customWidth="1"/>
    <col min="3337" max="3337" width="12.5703125" style="57" customWidth="1"/>
    <col min="3338" max="3339" width="10.42578125" style="57" customWidth="1"/>
    <col min="3340" max="3340" width="11.5703125" style="57" customWidth="1"/>
    <col min="3341" max="3342" width="10.42578125" style="57" customWidth="1"/>
    <col min="3343" max="3343" width="6.5703125" style="57" customWidth="1"/>
    <col min="3344" max="3344" width="11.42578125" style="57" customWidth="1"/>
    <col min="3345" max="3345" width="4.140625" style="57" customWidth="1"/>
    <col min="3346" max="3346" width="18.5703125" style="57" customWidth="1"/>
    <col min="3347" max="3347" width="2.140625" style="57" customWidth="1"/>
    <col min="3348" max="3348" width="10.42578125" style="57" customWidth="1"/>
    <col min="3349" max="3590" width="9.140625" style="57"/>
    <col min="3591" max="3591" width="10" style="57" customWidth="1"/>
    <col min="3592" max="3592" width="40" style="57" customWidth="1"/>
    <col min="3593" max="3593" width="12.5703125" style="57" customWidth="1"/>
    <col min="3594" max="3595" width="10.42578125" style="57" customWidth="1"/>
    <col min="3596" max="3596" width="11.5703125" style="57" customWidth="1"/>
    <col min="3597" max="3598" width="10.42578125" style="57" customWidth="1"/>
    <col min="3599" max="3599" width="6.5703125" style="57" customWidth="1"/>
    <col min="3600" max="3600" width="11.42578125" style="57" customWidth="1"/>
    <col min="3601" max="3601" width="4.140625" style="57" customWidth="1"/>
    <col min="3602" max="3602" width="18.5703125" style="57" customWidth="1"/>
    <col min="3603" max="3603" width="2.140625" style="57" customWidth="1"/>
    <col min="3604" max="3604" width="10.42578125" style="57" customWidth="1"/>
    <col min="3605" max="3846" width="9.140625" style="57"/>
    <col min="3847" max="3847" width="10" style="57" customWidth="1"/>
    <col min="3848" max="3848" width="40" style="57" customWidth="1"/>
    <col min="3849" max="3849" width="12.5703125" style="57" customWidth="1"/>
    <col min="3850" max="3851" width="10.42578125" style="57" customWidth="1"/>
    <col min="3852" max="3852" width="11.5703125" style="57" customWidth="1"/>
    <col min="3853" max="3854" width="10.42578125" style="57" customWidth="1"/>
    <col min="3855" max="3855" width="6.5703125" style="57" customWidth="1"/>
    <col min="3856" max="3856" width="11.42578125" style="57" customWidth="1"/>
    <col min="3857" max="3857" width="4.140625" style="57" customWidth="1"/>
    <col min="3858" max="3858" width="18.5703125" style="57" customWidth="1"/>
    <col min="3859" max="3859" width="2.140625" style="57" customWidth="1"/>
    <col min="3860" max="3860" width="10.42578125" style="57" customWidth="1"/>
    <col min="3861" max="4102" width="9.140625" style="57"/>
    <col min="4103" max="4103" width="10" style="57" customWidth="1"/>
    <col min="4104" max="4104" width="40" style="57" customWidth="1"/>
    <col min="4105" max="4105" width="12.5703125" style="57" customWidth="1"/>
    <col min="4106" max="4107" width="10.42578125" style="57" customWidth="1"/>
    <col min="4108" max="4108" width="11.5703125" style="57" customWidth="1"/>
    <col min="4109" max="4110" width="10.42578125" style="57" customWidth="1"/>
    <col min="4111" max="4111" width="6.5703125" style="57" customWidth="1"/>
    <col min="4112" max="4112" width="11.42578125" style="57" customWidth="1"/>
    <col min="4113" max="4113" width="4.140625" style="57" customWidth="1"/>
    <col min="4114" max="4114" width="18.5703125" style="57" customWidth="1"/>
    <col min="4115" max="4115" width="2.140625" style="57" customWidth="1"/>
    <col min="4116" max="4116" width="10.42578125" style="57" customWidth="1"/>
    <col min="4117" max="4358" width="9.140625" style="57"/>
    <col min="4359" max="4359" width="10" style="57" customWidth="1"/>
    <col min="4360" max="4360" width="40" style="57" customWidth="1"/>
    <col min="4361" max="4361" width="12.5703125" style="57" customWidth="1"/>
    <col min="4362" max="4363" width="10.42578125" style="57" customWidth="1"/>
    <col min="4364" max="4364" width="11.5703125" style="57" customWidth="1"/>
    <col min="4365" max="4366" width="10.42578125" style="57" customWidth="1"/>
    <col min="4367" max="4367" width="6.5703125" style="57" customWidth="1"/>
    <col min="4368" max="4368" width="11.42578125" style="57" customWidth="1"/>
    <col min="4369" max="4369" width="4.140625" style="57" customWidth="1"/>
    <col min="4370" max="4370" width="18.5703125" style="57" customWidth="1"/>
    <col min="4371" max="4371" width="2.140625" style="57" customWidth="1"/>
    <col min="4372" max="4372" width="10.42578125" style="57" customWidth="1"/>
    <col min="4373" max="4614" width="9.140625" style="57"/>
    <col min="4615" max="4615" width="10" style="57" customWidth="1"/>
    <col min="4616" max="4616" width="40" style="57" customWidth="1"/>
    <col min="4617" max="4617" width="12.5703125" style="57" customWidth="1"/>
    <col min="4618" max="4619" width="10.42578125" style="57" customWidth="1"/>
    <col min="4620" max="4620" width="11.5703125" style="57" customWidth="1"/>
    <col min="4621" max="4622" width="10.42578125" style="57" customWidth="1"/>
    <col min="4623" max="4623" width="6.5703125" style="57" customWidth="1"/>
    <col min="4624" max="4624" width="11.42578125" style="57" customWidth="1"/>
    <col min="4625" max="4625" width="4.140625" style="57" customWidth="1"/>
    <col min="4626" max="4626" width="18.5703125" style="57" customWidth="1"/>
    <col min="4627" max="4627" width="2.140625" style="57" customWidth="1"/>
    <col min="4628" max="4628" width="10.42578125" style="57" customWidth="1"/>
    <col min="4629" max="4870" width="9.140625" style="57"/>
    <col min="4871" max="4871" width="10" style="57" customWidth="1"/>
    <col min="4872" max="4872" width="40" style="57" customWidth="1"/>
    <col min="4873" max="4873" width="12.5703125" style="57" customWidth="1"/>
    <col min="4874" max="4875" width="10.42578125" style="57" customWidth="1"/>
    <col min="4876" max="4876" width="11.5703125" style="57" customWidth="1"/>
    <col min="4877" max="4878" width="10.42578125" style="57" customWidth="1"/>
    <col min="4879" max="4879" width="6.5703125" style="57" customWidth="1"/>
    <col min="4880" max="4880" width="11.42578125" style="57" customWidth="1"/>
    <col min="4881" max="4881" width="4.140625" style="57" customWidth="1"/>
    <col min="4882" max="4882" width="18.5703125" style="57" customWidth="1"/>
    <col min="4883" max="4883" width="2.140625" style="57" customWidth="1"/>
    <col min="4884" max="4884" width="10.42578125" style="57" customWidth="1"/>
    <col min="4885" max="5126" width="9.140625" style="57"/>
    <col min="5127" max="5127" width="10" style="57" customWidth="1"/>
    <col min="5128" max="5128" width="40" style="57" customWidth="1"/>
    <col min="5129" max="5129" width="12.5703125" style="57" customWidth="1"/>
    <col min="5130" max="5131" width="10.42578125" style="57" customWidth="1"/>
    <col min="5132" max="5132" width="11.5703125" style="57" customWidth="1"/>
    <col min="5133" max="5134" width="10.42578125" style="57" customWidth="1"/>
    <col min="5135" max="5135" width="6.5703125" style="57" customWidth="1"/>
    <col min="5136" max="5136" width="11.42578125" style="57" customWidth="1"/>
    <col min="5137" max="5137" width="4.140625" style="57" customWidth="1"/>
    <col min="5138" max="5138" width="18.5703125" style="57" customWidth="1"/>
    <col min="5139" max="5139" width="2.140625" style="57" customWidth="1"/>
    <col min="5140" max="5140" width="10.42578125" style="57" customWidth="1"/>
    <col min="5141" max="5382" width="9.140625" style="57"/>
    <col min="5383" max="5383" width="10" style="57" customWidth="1"/>
    <col min="5384" max="5384" width="40" style="57" customWidth="1"/>
    <col min="5385" max="5385" width="12.5703125" style="57" customWidth="1"/>
    <col min="5386" max="5387" width="10.42578125" style="57" customWidth="1"/>
    <col min="5388" max="5388" width="11.5703125" style="57" customWidth="1"/>
    <col min="5389" max="5390" width="10.42578125" style="57" customWidth="1"/>
    <col min="5391" max="5391" width="6.5703125" style="57" customWidth="1"/>
    <col min="5392" max="5392" width="11.42578125" style="57" customWidth="1"/>
    <col min="5393" max="5393" width="4.140625" style="57" customWidth="1"/>
    <col min="5394" max="5394" width="18.5703125" style="57" customWidth="1"/>
    <col min="5395" max="5395" width="2.140625" style="57" customWidth="1"/>
    <col min="5396" max="5396" width="10.42578125" style="57" customWidth="1"/>
    <col min="5397" max="5638" width="9.140625" style="57"/>
    <col min="5639" max="5639" width="10" style="57" customWidth="1"/>
    <col min="5640" max="5640" width="40" style="57" customWidth="1"/>
    <col min="5641" max="5641" width="12.5703125" style="57" customWidth="1"/>
    <col min="5642" max="5643" width="10.42578125" style="57" customWidth="1"/>
    <col min="5644" max="5644" width="11.5703125" style="57" customWidth="1"/>
    <col min="5645" max="5646" width="10.42578125" style="57" customWidth="1"/>
    <col min="5647" max="5647" width="6.5703125" style="57" customWidth="1"/>
    <col min="5648" max="5648" width="11.42578125" style="57" customWidth="1"/>
    <col min="5649" max="5649" width="4.140625" style="57" customWidth="1"/>
    <col min="5650" max="5650" width="18.5703125" style="57" customWidth="1"/>
    <col min="5651" max="5651" width="2.140625" style="57" customWidth="1"/>
    <col min="5652" max="5652" width="10.42578125" style="57" customWidth="1"/>
    <col min="5653" max="5894" width="9.140625" style="57"/>
    <col min="5895" max="5895" width="10" style="57" customWidth="1"/>
    <col min="5896" max="5896" width="40" style="57" customWidth="1"/>
    <col min="5897" max="5897" width="12.5703125" style="57" customWidth="1"/>
    <col min="5898" max="5899" width="10.42578125" style="57" customWidth="1"/>
    <col min="5900" max="5900" width="11.5703125" style="57" customWidth="1"/>
    <col min="5901" max="5902" width="10.42578125" style="57" customWidth="1"/>
    <col min="5903" max="5903" width="6.5703125" style="57" customWidth="1"/>
    <col min="5904" max="5904" width="11.42578125" style="57" customWidth="1"/>
    <col min="5905" max="5905" width="4.140625" style="57" customWidth="1"/>
    <col min="5906" max="5906" width="18.5703125" style="57" customWidth="1"/>
    <col min="5907" max="5907" width="2.140625" style="57" customWidth="1"/>
    <col min="5908" max="5908" width="10.42578125" style="57" customWidth="1"/>
    <col min="5909" max="6150" width="9.140625" style="57"/>
    <col min="6151" max="6151" width="10" style="57" customWidth="1"/>
    <col min="6152" max="6152" width="40" style="57" customWidth="1"/>
    <col min="6153" max="6153" width="12.5703125" style="57" customWidth="1"/>
    <col min="6154" max="6155" width="10.42578125" style="57" customWidth="1"/>
    <col min="6156" max="6156" width="11.5703125" style="57" customWidth="1"/>
    <col min="6157" max="6158" width="10.42578125" style="57" customWidth="1"/>
    <col min="6159" max="6159" width="6.5703125" style="57" customWidth="1"/>
    <col min="6160" max="6160" width="11.42578125" style="57" customWidth="1"/>
    <col min="6161" max="6161" width="4.140625" style="57" customWidth="1"/>
    <col min="6162" max="6162" width="18.5703125" style="57" customWidth="1"/>
    <col min="6163" max="6163" width="2.140625" style="57" customWidth="1"/>
    <col min="6164" max="6164" width="10.42578125" style="57" customWidth="1"/>
    <col min="6165" max="6406" width="9.140625" style="57"/>
    <col min="6407" max="6407" width="10" style="57" customWidth="1"/>
    <col min="6408" max="6408" width="40" style="57" customWidth="1"/>
    <col min="6409" max="6409" width="12.5703125" style="57" customWidth="1"/>
    <col min="6410" max="6411" width="10.42578125" style="57" customWidth="1"/>
    <col min="6412" max="6412" width="11.5703125" style="57" customWidth="1"/>
    <col min="6413" max="6414" width="10.42578125" style="57" customWidth="1"/>
    <col min="6415" max="6415" width="6.5703125" style="57" customWidth="1"/>
    <col min="6416" max="6416" width="11.42578125" style="57" customWidth="1"/>
    <col min="6417" max="6417" width="4.140625" style="57" customWidth="1"/>
    <col min="6418" max="6418" width="18.5703125" style="57" customWidth="1"/>
    <col min="6419" max="6419" width="2.140625" style="57" customWidth="1"/>
    <col min="6420" max="6420" width="10.42578125" style="57" customWidth="1"/>
    <col min="6421" max="6662" width="9.140625" style="57"/>
    <col min="6663" max="6663" width="10" style="57" customWidth="1"/>
    <col min="6664" max="6664" width="40" style="57" customWidth="1"/>
    <col min="6665" max="6665" width="12.5703125" style="57" customWidth="1"/>
    <col min="6666" max="6667" width="10.42578125" style="57" customWidth="1"/>
    <col min="6668" max="6668" width="11.5703125" style="57" customWidth="1"/>
    <col min="6669" max="6670" width="10.42578125" style="57" customWidth="1"/>
    <col min="6671" max="6671" width="6.5703125" style="57" customWidth="1"/>
    <col min="6672" max="6672" width="11.42578125" style="57" customWidth="1"/>
    <col min="6673" max="6673" width="4.140625" style="57" customWidth="1"/>
    <col min="6674" max="6674" width="18.5703125" style="57" customWidth="1"/>
    <col min="6675" max="6675" width="2.140625" style="57" customWidth="1"/>
    <col min="6676" max="6676" width="10.42578125" style="57" customWidth="1"/>
    <col min="6677" max="6918" width="9.140625" style="57"/>
    <col min="6919" max="6919" width="10" style="57" customWidth="1"/>
    <col min="6920" max="6920" width="40" style="57" customWidth="1"/>
    <col min="6921" max="6921" width="12.5703125" style="57" customWidth="1"/>
    <col min="6922" max="6923" width="10.42578125" style="57" customWidth="1"/>
    <col min="6924" max="6924" width="11.5703125" style="57" customWidth="1"/>
    <col min="6925" max="6926" width="10.42578125" style="57" customWidth="1"/>
    <col min="6927" max="6927" width="6.5703125" style="57" customWidth="1"/>
    <col min="6928" max="6928" width="11.42578125" style="57" customWidth="1"/>
    <col min="6929" max="6929" width="4.140625" style="57" customWidth="1"/>
    <col min="6930" max="6930" width="18.5703125" style="57" customWidth="1"/>
    <col min="6931" max="6931" width="2.140625" style="57" customWidth="1"/>
    <col min="6932" max="6932" width="10.42578125" style="57" customWidth="1"/>
    <col min="6933" max="7174" width="9.140625" style="57"/>
    <col min="7175" max="7175" width="10" style="57" customWidth="1"/>
    <col min="7176" max="7176" width="40" style="57" customWidth="1"/>
    <col min="7177" max="7177" width="12.5703125" style="57" customWidth="1"/>
    <col min="7178" max="7179" width="10.42578125" style="57" customWidth="1"/>
    <col min="7180" max="7180" width="11.5703125" style="57" customWidth="1"/>
    <col min="7181" max="7182" width="10.42578125" style="57" customWidth="1"/>
    <col min="7183" max="7183" width="6.5703125" style="57" customWidth="1"/>
    <col min="7184" max="7184" width="11.42578125" style="57" customWidth="1"/>
    <col min="7185" max="7185" width="4.140625" style="57" customWidth="1"/>
    <col min="7186" max="7186" width="18.5703125" style="57" customWidth="1"/>
    <col min="7187" max="7187" width="2.140625" style="57" customWidth="1"/>
    <col min="7188" max="7188" width="10.42578125" style="57" customWidth="1"/>
    <col min="7189" max="7430" width="9.140625" style="57"/>
    <col min="7431" max="7431" width="10" style="57" customWidth="1"/>
    <col min="7432" max="7432" width="40" style="57" customWidth="1"/>
    <col min="7433" max="7433" width="12.5703125" style="57" customWidth="1"/>
    <col min="7434" max="7435" width="10.42578125" style="57" customWidth="1"/>
    <col min="7436" max="7436" width="11.5703125" style="57" customWidth="1"/>
    <col min="7437" max="7438" width="10.42578125" style="57" customWidth="1"/>
    <col min="7439" max="7439" width="6.5703125" style="57" customWidth="1"/>
    <col min="7440" max="7440" width="11.42578125" style="57" customWidth="1"/>
    <col min="7441" max="7441" width="4.140625" style="57" customWidth="1"/>
    <col min="7442" max="7442" width="18.5703125" style="57" customWidth="1"/>
    <col min="7443" max="7443" width="2.140625" style="57" customWidth="1"/>
    <col min="7444" max="7444" width="10.42578125" style="57" customWidth="1"/>
    <col min="7445" max="7686" width="9.140625" style="57"/>
    <col min="7687" max="7687" width="10" style="57" customWidth="1"/>
    <col min="7688" max="7688" width="40" style="57" customWidth="1"/>
    <col min="7689" max="7689" width="12.5703125" style="57" customWidth="1"/>
    <col min="7690" max="7691" width="10.42578125" style="57" customWidth="1"/>
    <col min="7692" max="7692" width="11.5703125" style="57" customWidth="1"/>
    <col min="7693" max="7694" width="10.42578125" style="57" customWidth="1"/>
    <col min="7695" max="7695" width="6.5703125" style="57" customWidth="1"/>
    <col min="7696" max="7696" width="11.42578125" style="57" customWidth="1"/>
    <col min="7697" max="7697" width="4.140625" style="57" customWidth="1"/>
    <col min="7698" max="7698" width="18.5703125" style="57" customWidth="1"/>
    <col min="7699" max="7699" width="2.140625" style="57" customWidth="1"/>
    <col min="7700" max="7700" width="10.42578125" style="57" customWidth="1"/>
    <col min="7701" max="7942" width="9.140625" style="57"/>
    <col min="7943" max="7943" width="10" style="57" customWidth="1"/>
    <col min="7944" max="7944" width="40" style="57" customWidth="1"/>
    <col min="7945" max="7945" width="12.5703125" style="57" customWidth="1"/>
    <col min="7946" max="7947" width="10.42578125" style="57" customWidth="1"/>
    <col min="7948" max="7948" width="11.5703125" style="57" customWidth="1"/>
    <col min="7949" max="7950" width="10.42578125" style="57" customWidth="1"/>
    <col min="7951" max="7951" width="6.5703125" style="57" customWidth="1"/>
    <col min="7952" max="7952" width="11.42578125" style="57" customWidth="1"/>
    <col min="7953" max="7953" width="4.140625" style="57" customWidth="1"/>
    <col min="7954" max="7954" width="18.5703125" style="57" customWidth="1"/>
    <col min="7955" max="7955" width="2.140625" style="57" customWidth="1"/>
    <col min="7956" max="7956" width="10.42578125" style="57" customWidth="1"/>
    <col min="7957" max="8198" width="9.140625" style="57"/>
    <col min="8199" max="8199" width="10" style="57" customWidth="1"/>
    <col min="8200" max="8200" width="40" style="57" customWidth="1"/>
    <col min="8201" max="8201" width="12.5703125" style="57" customWidth="1"/>
    <col min="8202" max="8203" width="10.42578125" style="57" customWidth="1"/>
    <col min="8204" max="8204" width="11.5703125" style="57" customWidth="1"/>
    <col min="8205" max="8206" width="10.42578125" style="57" customWidth="1"/>
    <col min="8207" max="8207" width="6.5703125" style="57" customWidth="1"/>
    <col min="8208" max="8208" width="11.42578125" style="57" customWidth="1"/>
    <col min="8209" max="8209" width="4.140625" style="57" customWidth="1"/>
    <col min="8210" max="8210" width="18.5703125" style="57" customWidth="1"/>
    <col min="8211" max="8211" width="2.140625" style="57" customWidth="1"/>
    <col min="8212" max="8212" width="10.42578125" style="57" customWidth="1"/>
    <col min="8213" max="8454" width="9.140625" style="57"/>
    <col min="8455" max="8455" width="10" style="57" customWidth="1"/>
    <col min="8456" max="8456" width="40" style="57" customWidth="1"/>
    <col min="8457" max="8457" width="12.5703125" style="57" customWidth="1"/>
    <col min="8458" max="8459" width="10.42578125" style="57" customWidth="1"/>
    <col min="8460" max="8460" width="11.5703125" style="57" customWidth="1"/>
    <col min="8461" max="8462" width="10.42578125" style="57" customWidth="1"/>
    <col min="8463" max="8463" width="6.5703125" style="57" customWidth="1"/>
    <col min="8464" max="8464" width="11.42578125" style="57" customWidth="1"/>
    <col min="8465" max="8465" width="4.140625" style="57" customWidth="1"/>
    <col min="8466" max="8466" width="18.5703125" style="57" customWidth="1"/>
    <col min="8467" max="8467" width="2.140625" style="57" customWidth="1"/>
    <col min="8468" max="8468" width="10.42578125" style="57" customWidth="1"/>
    <col min="8469" max="8710" width="9.140625" style="57"/>
    <col min="8711" max="8711" width="10" style="57" customWidth="1"/>
    <col min="8712" max="8712" width="40" style="57" customWidth="1"/>
    <col min="8713" max="8713" width="12.5703125" style="57" customWidth="1"/>
    <col min="8714" max="8715" width="10.42578125" style="57" customWidth="1"/>
    <col min="8716" max="8716" width="11.5703125" style="57" customWidth="1"/>
    <col min="8717" max="8718" width="10.42578125" style="57" customWidth="1"/>
    <col min="8719" max="8719" width="6.5703125" style="57" customWidth="1"/>
    <col min="8720" max="8720" width="11.42578125" style="57" customWidth="1"/>
    <col min="8721" max="8721" width="4.140625" style="57" customWidth="1"/>
    <col min="8722" max="8722" width="18.5703125" style="57" customWidth="1"/>
    <col min="8723" max="8723" width="2.140625" style="57" customWidth="1"/>
    <col min="8724" max="8724" width="10.42578125" style="57" customWidth="1"/>
    <col min="8725" max="8966" width="9.140625" style="57"/>
    <col min="8967" max="8967" width="10" style="57" customWidth="1"/>
    <col min="8968" max="8968" width="40" style="57" customWidth="1"/>
    <col min="8969" max="8969" width="12.5703125" style="57" customWidth="1"/>
    <col min="8970" max="8971" width="10.42578125" style="57" customWidth="1"/>
    <col min="8972" max="8972" width="11.5703125" style="57" customWidth="1"/>
    <col min="8973" max="8974" width="10.42578125" style="57" customWidth="1"/>
    <col min="8975" max="8975" width="6.5703125" style="57" customWidth="1"/>
    <col min="8976" max="8976" width="11.42578125" style="57" customWidth="1"/>
    <col min="8977" max="8977" width="4.140625" style="57" customWidth="1"/>
    <col min="8978" max="8978" width="18.5703125" style="57" customWidth="1"/>
    <col min="8979" max="8979" width="2.140625" style="57" customWidth="1"/>
    <col min="8980" max="8980" width="10.42578125" style="57" customWidth="1"/>
    <col min="8981" max="9222" width="9.140625" style="57"/>
    <col min="9223" max="9223" width="10" style="57" customWidth="1"/>
    <col min="9224" max="9224" width="40" style="57" customWidth="1"/>
    <col min="9225" max="9225" width="12.5703125" style="57" customWidth="1"/>
    <col min="9226" max="9227" width="10.42578125" style="57" customWidth="1"/>
    <col min="9228" max="9228" width="11.5703125" style="57" customWidth="1"/>
    <col min="9229" max="9230" width="10.42578125" style="57" customWidth="1"/>
    <col min="9231" max="9231" width="6.5703125" style="57" customWidth="1"/>
    <col min="9232" max="9232" width="11.42578125" style="57" customWidth="1"/>
    <col min="9233" max="9233" width="4.140625" style="57" customWidth="1"/>
    <col min="9234" max="9234" width="18.5703125" style="57" customWidth="1"/>
    <col min="9235" max="9235" width="2.140625" style="57" customWidth="1"/>
    <col min="9236" max="9236" width="10.42578125" style="57" customWidth="1"/>
    <col min="9237" max="9478" width="9.140625" style="57"/>
    <col min="9479" max="9479" width="10" style="57" customWidth="1"/>
    <col min="9480" max="9480" width="40" style="57" customWidth="1"/>
    <col min="9481" max="9481" width="12.5703125" style="57" customWidth="1"/>
    <col min="9482" max="9483" width="10.42578125" style="57" customWidth="1"/>
    <col min="9484" max="9484" width="11.5703125" style="57" customWidth="1"/>
    <col min="9485" max="9486" width="10.42578125" style="57" customWidth="1"/>
    <col min="9487" max="9487" width="6.5703125" style="57" customWidth="1"/>
    <col min="9488" max="9488" width="11.42578125" style="57" customWidth="1"/>
    <col min="9489" max="9489" width="4.140625" style="57" customWidth="1"/>
    <col min="9490" max="9490" width="18.5703125" style="57" customWidth="1"/>
    <col min="9491" max="9491" width="2.140625" style="57" customWidth="1"/>
    <col min="9492" max="9492" width="10.42578125" style="57" customWidth="1"/>
    <col min="9493" max="9734" width="9.140625" style="57"/>
    <col min="9735" max="9735" width="10" style="57" customWidth="1"/>
    <col min="9736" max="9736" width="40" style="57" customWidth="1"/>
    <col min="9737" max="9737" width="12.5703125" style="57" customWidth="1"/>
    <col min="9738" max="9739" width="10.42578125" style="57" customWidth="1"/>
    <col min="9740" max="9740" width="11.5703125" style="57" customWidth="1"/>
    <col min="9741" max="9742" width="10.42578125" style="57" customWidth="1"/>
    <col min="9743" max="9743" width="6.5703125" style="57" customWidth="1"/>
    <col min="9744" max="9744" width="11.42578125" style="57" customWidth="1"/>
    <col min="9745" max="9745" width="4.140625" style="57" customWidth="1"/>
    <col min="9746" max="9746" width="18.5703125" style="57" customWidth="1"/>
    <col min="9747" max="9747" width="2.140625" style="57" customWidth="1"/>
    <col min="9748" max="9748" width="10.42578125" style="57" customWidth="1"/>
    <col min="9749" max="9990" width="9.140625" style="57"/>
    <col min="9991" max="9991" width="10" style="57" customWidth="1"/>
    <col min="9992" max="9992" width="40" style="57" customWidth="1"/>
    <col min="9993" max="9993" width="12.5703125" style="57" customWidth="1"/>
    <col min="9994" max="9995" width="10.42578125" style="57" customWidth="1"/>
    <col min="9996" max="9996" width="11.5703125" style="57" customWidth="1"/>
    <col min="9997" max="9998" width="10.42578125" style="57" customWidth="1"/>
    <col min="9999" max="9999" width="6.5703125" style="57" customWidth="1"/>
    <col min="10000" max="10000" width="11.42578125" style="57" customWidth="1"/>
    <col min="10001" max="10001" width="4.140625" style="57" customWidth="1"/>
    <col min="10002" max="10002" width="18.5703125" style="57" customWidth="1"/>
    <col min="10003" max="10003" width="2.140625" style="57" customWidth="1"/>
    <col min="10004" max="10004" width="10.42578125" style="57" customWidth="1"/>
    <col min="10005" max="10246" width="9.140625" style="57"/>
    <col min="10247" max="10247" width="10" style="57" customWidth="1"/>
    <col min="10248" max="10248" width="40" style="57" customWidth="1"/>
    <col min="10249" max="10249" width="12.5703125" style="57" customWidth="1"/>
    <col min="10250" max="10251" width="10.42578125" style="57" customWidth="1"/>
    <col min="10252" max="10252" width="11.5703125" style="57" customWidth="1"/>
    <col min="10253" max="10254" width="10.42578125" style="57" customWidth="1"/>
    <col min="10255" max="10255" width="6.5703125" style="57" customWidth="1"/>
    <col min="10256" max="10256" width="11.42578125" style="57" customWidth="1"/>
    <col min="10257" max="10257" width="4.140625" style="57" customWidth="1"/>
    <col min="10258" max="10258" width="18.5703125" style="57" customWidth="1"/>
    <col min="10259" max="10259" width="2.140625" style="57" customWidth="1"/>
    <col min="10260" max="10260" width="10.42578125" style="57" customWidth="1"/>
    <col min="10261" max="10502" width="9.140625" style="57"/>
    <col min="10503" max="10503" width="10" style="57" customWidth="1"/>
    <col min="10504" max="10504" width="40" style="57" customWidth="1"/>
    <col min="10505" max="10505" width="12.5703125" style="57" customWidth="1"/>
    <col min="10506" max="10507" width="10.42578125" style="57" customWidth="1"/>
    <col min="10508" max="10508" width="11.5703125" style="57" customWidth="1"/>
    <col min="10509" max="10510" width="10.42578125" style="57" customWidth="1"/>
    <col min="10511" max="10511" width="6.5703125" style="57" customWidth="1"/>
    <col min="10512" max="10512" width="11.42578125" style="57" customWidth="1"/>
    <col min="10513" max="10513" width="4.140625" style="57" customWidth="1"/>
    <col min="10514" max="10514" width="18.5703125" style="57" customWidth="1"/>
    <col min="10515" max="10515" width="2.140625" style="57" customWidth="1"/>
    <col min="10516" max="10516" width="10.42578125" style="57" customWidth="1"/>
    <col min="10517" max="10758" width="9.140625" style="57"/>
    <col min="10759" max="10759" width="10" style="57" customWidth="1"/>
    <col min="10760" max="10760" width="40" style="57" customWidth="1"/>
    <col min="10761" max="10761" width="12.5703125" style="57" customWidth="1"/>
    <col min="10762" max="10763" width="10.42578125" style="57" customWidth="1"/>
    <col min="10764" max="10764" width="11.5703125" style="57" customWidth="1"/>
    <col min="10765" max="10766" width="10.42578125" style="57" customWidth="1"/>
    <col min="10767" max="10767" width="6.5703125" style="57" customWidth="1"/>
    <col min="10768" max="10768" width="11.42578125" style="57" customWidth="1"/>
    <col min="10769" max="10769" width="4.140625" style="57" customWidth="1"/>
    <col min="10770" max="10770" width="18.5703125" style="57" customWidth="1"/>
    <col min="10771" max="10771" width="2.140625" style="57" customWidth="1"/>
    <col min="10772" max="10772" width="10.42578125" style="57" customWidth="1"/>
    <col min="10773" max="11014" width="9.140625" style="57"/>
    <col min="11015" max="11015" width="10" style="57" customWidth="1"/>
    <col min="11016" max="11016" width="40" style="57" customWidth="1"/>
    <col min="11017" max="11017" width="12.5703125" style="57" customWidth="1"/>
    <col min="11018" max="11019" width="10.42578125" style="57" customWidth="1"/>
    <col min="11020" max="11020" width="11.5703125" style="57" customWidth="1"/>
    <col min="11021" max="11022" width="10.42578125" style="57" customWidth="1"/>
    <col min="11023" max="11023" width="6.5703125" style="57" customWidth="1"/>
    <col min="11024" max="11024" width="11.42578125" style="57" customWidth="1"/>
    <col min="11025" max="11025" width="4.140625" style="57" customWidth="1"/>
    <col min="11026" max="11026" width="18.5703125" style="57" customWidth="1"/>
    <col min="11027" max="11027" width="2.140625" style="57" customWidth="1"/>
    <col min="11028" max="11028" width="10.42578125" style="57" customWidth="1"/>
    <col min="11029" max="11270" width="9.140625" style="57"/>
    <col min="11271" max="11271" width="10" style="57" customWidth="1"/>
    <col min="11272" max="11272" width="40" style="57" customWidth="1"/>
    <col min="11273" max="11273" width="12.5703125" style="57" customWidth="1"/>
    <col min="11274" max="11275" width="10.42578125" style="57" customWidth="1"/>
    <col min="11276" max="11276" width="11.5703125" style="57" customWidth="1"/>
    <col min="11277" max="11278" width="10.42578125" style="57" customWidth="1"/>
    <col min="11279" max="11279" width="6.5703125" style="57" customWidth="1"/>
    <col min="11280" max="11280" width="11.42578125" style="57" customWidth="1"/>
    <col min="11281" max="11281" width="4.140625" style="57" customWidth="1"/>
    <col min="11282" max="11282" width="18.5703125" style="57" customWidth="1"/>
    <col min="11283" max="11283" width="2.140625" style="57" customWidth="1"/>
    <col min="11284" max="11284" width="10.42578125" style="57" customWidth="1"/>
    <col min="11285" max="11526" width="9.140625" style="57"/>
    <col min="11527" max="11527" width="10" style="57" customWidth="1"/>
    <col min="11528" max="11528" width="40" style="57" customWidth="1"/>
    <col min="11529" max="11529" width="12.5703125" style="57" customWidth="1"/>
    <col min="11530" max="11531" width="10.42578125" style="57" customWidth="1"/>
    <col min="11532" max="11532" width="11.5703125" style="57" customWidth="1"/>
    <col min="11533" max="11534" width="10.42578125" style="57" customWidth="1"/>
    <col min="11535" max="11535" width="6.5703125" style="57" customWidth="1"/>
    <col min="11536" max="11536" width="11.42578125" style="57" customWidth="1"/>
    <col min="11537" max="11537" width="4.140625" style="57" customWidth="1"/>
    <col min="11538" max="11538" width="18.5703125" style="57" customWidth="1"/>
    <col min="11539" max="11539" width="2.140625" style="57" customWidth="1"/>
    <col min="11540" max="11540" width="10.42578125" style="57" customWidth="1"/>
    <col min="11541" max="11782" width="9.140625" style="57"/>
    <col min="11783" max="11783" width="10" style="57" customWidth="1"/>
    <col min="11784" max="11784" width="40" style="57" customWidth="1"/>
    <col min="11785" max="11785" width="12.5703125" style="57" customWidth="1"/>
    <col min="11786" max="11787" width="10.42578125" style="57" customWidth="1"/>
    <col min="11788" max="11788" width="11.5703125" style="57" customWidth="1"/>
    <col min="11789" max="11790" width="10.42578125" style="57" customWidth="1"/>
    <col min="11791" max="11791" width="6.5703125" style="57" customWidth="1"/>
    <col min="11792" max="11792" width="11.42578125" style="57" customWidth="1"/>
    <col min="11793" max="11793" width="4.140625" style="57" customWidth="1"/>
    <col min="11794" max="11794" width="18.5703125" style="57" customWidth="1"/>
    <col min="11795" max="11795" width="2.140625" style="57" customWidth="1"/>
    <col min="11796" max="11796" width="10.42578125" style="57" customWidth="1"/>
    <col min="11797" max="12038" width="9.140625" style="57"/>
    <col min="12039" max="12039" width="10" style="57" customWidth="1"/>
    <col min="12040" max="12040" width="40" style="57" customWidth="1"/>
    <col min="12041" max="12041" width="12.5703125" style="57" customWidth="1"/>
    <col min="12042" max="12043" width="10.42578125" style="57" customWidth="1"/>
    <col min="12044" max="12044" width="11.5703125" style="57" customWidth="1"/>
    <col min="12045" max="12046" width="10.42578125" style="57" customWidth="1"/>
    <col min="12047" max="12047" width="6.5703125" style="57" customWidth="1"/>
    <col min="12048" max="12048" width="11.42578125" style="57" customWidth="1"/>
    <col min="12049" max="12049" width="4.140625" style="57" customWidth="1"/>
    <col min="12050" max="12050" width="18.5703125" style="57" customWidth="1"/>
    <col min="12051" max="12051" width="2.140625" style="57" customWidth="1"/>
    <col min="12052" max="12052" width="10.42578125" style="57" customWidth="1"/>
    <col min="12053" max="12294" width="9.140625" style="57"/>
    <col min="12295" max="12295" width="10" style="57" customWidth="1"/>
    <col min="12296" max="12296" width="40" style="57" customWidth="1"/>
    <col min="12297" max="12297" width="12.5703125" style="57" customWidth="1"/>
    <col min="12298" max="12299" width="10.42578125" style="57" customWidth="1"/>
    <col min="12300" max="12300" width="11.5703125" style="57" customWidth="1"/>
    <col min="12301" max="12302" width="10.42578125" style="57" customWidth="1"/>
    <col min="12303" max="12303" width="6.5703125" style="57" customWidth="1"/>
    <col min="12304" max="12304" width="11.42578125" style="57" customWidth="1"/>
    <col min="12305" max="12305" width="4.140625" style="57" customWidth="1"/>
    <col min="12306" max="12306" width="18.5703125" style="57" customWidth="1"/>
    <col min="12307" max="12307" width="2.140625" style="57" customWidth="1"/>
    <col min="12308" max="12308" width="10.42578125" style="57" customWidth="1"/>
    <col min="12309" max="12550" width="9.140625" style="57"/>
    <col min="12551" max="12551" width="10" style="57" customWidth="1"/>
    <col min="12552" max="12552" width="40" style="57" customWidth="1"/>
    <col min="12553" max="12553" width="12.5703125" style="57" customWidth="1"/>
    <col min="12554" max="12555" width="10.42578125" style="57" customWidth="1"/>
    <col min="12556" max="12556" width="11.5703125" style="57" customWidth="1"/>
    <col min="12557" max="12558" width="10.42578125" style="57" customWidth="1"/>
    <col min="12559" max="12559" width="6.5703125" style="57" customWidth="1"/>
    <col min="12560" max="12560" width="11.42578125" style="57" customWidth="1"/>
    <col min="12561" max="12561" width="4.140625" style="57" customWidth="1"/>
    <col min="12562" max="12562" width="18.5703125" style="57" customWidth="1"/>
    <col min="12563" max="12563" width="2.140625" style="57" customWidth="1"/>
    <col min="12564" max="12564" width="10.42578125" style="57" customWidth="1"/>
    <col min="12565" max="12806" width="9.140625" style="57"/>
    <col min="12807" max="12807" width="10" style="57" customWidth="1"/>
    <col min="12808" max="12808" width="40" style="57" customWidth="1"/>
    <col min="12809" max="12809" width="12.5703125" style="57" customWidth="1"/>
    <col min="12810" max="12811" width="10.42578125" style="57" customWidth="1"/>
    <col min="12812" max="12812" width="11.5703125" style="57" customWidth="1"/>
    <col min="12813" max="12814" width="10.42578125" style="57" customWidth="1"/>
    <col min="12815" max="12815" width="6.5703125" style="57" customWidth="1"/>
    <col min="12816" max="12816" width="11.42578125" style="57" customWidth="1"/>
    <col min="12817" max="12817" width="4.140625" style="57" customWidth="1"/>
    <col min="12818" max="12818" width="18.5703125" style="57" customWidth="1"/>
    <col min="12819" max="12819" width="2.140625" style="57" customWidth="1"/>
    <col min="12820" max="12820" width="10.42578125" style="57" customWidth="1"/>
    <col min="12821" max="13062" width="9.140625" style="57"/>
    <col min="13063" max="13063" width="10" style="57" customWidth="1"/>
    <col min="13064" max="13064" width="40" style="57" customWidth="1"/>
    <col min="13065" max="13065" width="12.5703125" style="57" customWidth="1"/>
    <col min="13066" max="13067" width="10.42578125" style="57" customWidth="1"/>
    <col min="13068" max="13068" width="11.5703125" style="57" customWidth="1"/>
    <col min="13069" max="13070" width="10.42578125" style="57" customWidth="1"/>
    <col min="13071" max="13071" width="6.5703125" style="57" customWidth="1"/>
    <col min="13072" max="13072" width="11.42578125" style="57" customWidth="1"/>
    <col min="13073" max="13073" width="4.140625" style="57" customWidth="1"/>
    <col min="13074" max="13074" width="18.5703125" style="57" customWidth="1"/>
    <col min="13075" max="13075" width="2.140625" style="57" customWidth="1"/>
    <col min="13076" max="13076" width="10.42578125" style="57" customWidth="1"/>
    <col min="13077" max="13318" width="9.140625" style="57"/>
    <col min="13319" max="13319" width="10" style="57" customWidth="1"/>
    <col min="13320" max="13320" width="40" style="57" customWidth="1"/>
    <col min="13321" max="13321" width="12.5703125" style="57" customWidth="1"/>
    <col min="13322" max="13323" width="10.42578125" style="57" customWidth="1"/>
    <col min="13324" max="13324" width="11.5703125" style="57" customWidth="1"/>
    <col min="13325" max="13326" width="10.42578125" style="57" customWidth="1"/>
    <col min="13327" max="13327" width="6.5703125" style="57" customWidth="1"/>
    <col min="13328" max="13328" width="11.42578125" style="57" customWidth="1"/>
    <col min="13329" max="13329" width="4.140625" style="57" customWidth="1"/>
    <col min="13330" max="13330" width="18.5703125" style="57" customWidth="1"/>
    <col min="13331" max="13331" width="2.140625" style="57" customWidth="1"/>
    <col min="13332" max="13332" width="10.42578125" style="57" customWidth="1"/>
    <col min="13333" max="13574" width="9.140625" style="57"/>
    <col min="13575" max="13575" width="10" style="57" customWidth="1"/>
    <col min="13576" max="13576" width="40" style="57" customWidth="1"/>
    <col min="13577" max="13577" width="12.5703125" style="57" customWidth="1"/>
    <col min="13578" max="13579" width="10.42578125" style="57" customWidth="1"/>
    <col min="13580" max="13580" width="11.5703125" style="57" customWidth="1"/>
    <col min="13581" max="13582" width="10.42578125" style="57" customWidth="1"/>
    <col min="13583" max="13583" width="6.5703125" style="57" customWidth="1"/>
    <col min="13584" max="13584" width="11.42578125" style="57" customWidth="1"/>
    <col min="13585" max="13585" width="4.140625" style="57" customWidth="1"/>
    <col min="13586" max="13586" width="18.5703125" style="57" customWidth="1"/>
    <col min="13587" max="13587" width="2.140625" style="57" customWidth="1"/>
    <col min="13588" max="13588" width="10.42578125" style="57" customWidth="1"/>
    <col min="13589" max="13830" width="9.140625" style="57"/>
    <col min="13831" max="13831" width="10" style="57" customWidth="1"/>
    <col min="13832" max="13832" width="40" style="57" customWidth="1"/>
    <col min="13833" max="13833" width="12.5703125" style="57" customWidth="1"/>
    <col min="13834" max="13835" width="10.42578125" style="57" customWidth="1"/>
    <col min="13836" max="13836" width="11.5703125" style="57" customWidth="1"/>
    <col min="13837" max="13838" width="10.42578125" style="57" customWidth="1"/>
    <col min="13839" max="13839" width="6.5703125" style="57" customWidth="1"/>
    <col min="13840" max="13840" width="11.42578125" style="57" customWidth="1"/>
    <col min="13841" max="13841" width="4.140625" style="57" customWidth="1"/>
    <col min="13842" max="13842" width="18.5703125" style="57" customWidth="1"/>
    <col min="13843" max="13843" width="2.140625" style="57" customWidth="1"/>
    <col min="13844" max="13844" width="10.42578125" style="57" customWidth="1"/>
    <col min="13845" max="14086" width="9.140625" style="57"/>
    <col min="14087" max="14087" width="10" style="57" customWidth="1"/>
    <col min="14088" max="14088" width="40" style="57" customWidth="1"/>
    <col min="14089" max="14089" width="12.5703125" style="57" customWidth="1"/>
    <col min="14090" max="14091" width="10.42578125" style="57" customWidth="1"/>
    <col min="14092" max="14092" width="11.5703125" style="57" customWidth="1"/>
    <col min="14093" max="14094" width="10.42578125" style="57" customWidth="1"/>
    <col min="14095" max="14095" width="6.5703125" style="57" customWidth="1"/>
    <col min="14096" max="14096" width="11.42578125" style="57" customWidth="1"/>
    <col min="14097" max="14097" width="4.140625" style="57" customWidth="1"/>
    <col min="14098" max="14098" width="18.5703125" style="57" customWidth="1"/>
    <col min="14099" max="14099" width="2.140625" style="57" customWidth="1"/>
    <col min="14100" max="14100" width="10.42578125" style="57" customWidth="1"/>
    <col min="14101" max="14342" width="9.140625" style="57"/>
    <col min="14343" max="14343" width="10" style="57" customWidth="1"/>
    <col min="14344" max="14344" width="40" style="57" customWidth="1"/>
    <col min="14345" max="14345" width="12.5703125" style="57" customWidth="1"/>
    <col min="14346" max="14347" width="10.42578125" style="57" customWidth="1"/>
    <col min="14348" max="14348" width="11.5703125" style="57" customWidth="1"/>
    <col min="14349" max="14350" width="10.42578125" style="57" customWidth="1"/>
    <col min="14351" max="14351" width="6.5703125" style="57" customWidth="1"/>
    <col min="14352" max="14352" width="11.42578125" style="57" customWidth="1"/>
    <col min="14353" max="14353" width="4.140625" style="57" customWidth="1"/>
    <col min="14354" max="14354" width="18.5703125" style="57" customWidth="1"/>
    <col min="14355" max="14355" width="2.140625" style="57" customWidth="1"/>
    <col min="14356" max="14356" width="10.42578125" style="57" customWidth="1"/>
    <col min="14357" max="14598" width="9.140625" style="57"/>
    <col min="14599" max="14599" width="10" style="57" customWidth="1"/>
    <col min="14600" max="14600" width="40" style="57" customWidth="1"/>
    <col min="14601" max="14601" width="12.5703125" style="57" customWidth="1"/>
    <col min="14602" max="14603" width="10.42578125" style="57" customWidth="1"/>
    <col min="14604" max="14604" width="11.5703125" style="57" customWidth="1"/>
    <col min="14605" max="14606" width="10.42578125" style="57" customWidth="1"/>
    <col min="14607" max="14607" width="6.5703125" style="57" customWidth="1"/>
    <col min="14608" max="14608" width="11.42578125" style="57" customWidth="1"/>
    <col min="14609" max="14609" width="4.140625" style="57" customWidth="1"/>
    <col min="14610" max="14610" width="18.5703125" style="57" customWidth="1"/>
    <col min="14611" max="14611" width="2.140625" style="57" customWidth="1"/>
    <col min="14612" max="14612" width="10.42578125" style="57" customWidth="1"/>
    <col min="14613" max="14854" width="9.140625" style="57"/>
    <col min="14855" max="14855" width="10" style="57" customWidth="1"/>
    <col min="14856" max="14856" width="40" style="57" customWidth="1"/>
    <col min="14857" max="14857" width="12.5703125" style="57" customWidth="1"/>
    <col min="14858" max="14859" width="10.42578125" style="57" customWidth="1"/>
    <col min="14860" max="14860" width="11.5703125" style="57" customWidth="1"/>
    <col min="14861" max="14862" width="10.42578125" style="57" customWidth="1"/>
    <col min="14863" max="14863" width="6.5703125" style="57" customWidth="1"/>
    <col min="14864" max="14864" width="11.42578125" style="57" customWidth="1"/>
    <col min="14865" max="14865" width="4.140625" style="57" customWidth="1"/>
    <col min="14866" max="14866" width="18.5703125" style="57" customWidth="1"/>
    <col min="14867" max="14867" width="2.140625" style="57" customWidth="1"/>
    <col min="14868" max="14868" width="10.42578125" style="57" customWidth="1"/>
    <col min="14869" max="15110" width="9.140625" style="57"/>
    <col min="15111" max="15111" width="10" style="57" customWidth="1"/>
    <col min="15112" max="15112" width="40" style="57" customWidth="1"/>
    <col min="15113" max="15113" width="12.5703125" style="57" customWidth="1"/>
    <col min="15114" max="15115" width="10.42578125" style="57" customWidth="1"/>
    <col min="15116" max="15116" width="11.5703125" style="57" customWidth="1"/>
    <col min="15117" max="15118" width="10.42578125" style="57" customWidth="1"/>
    <col min="15119" max="15119" width="6.5703125" style="57" customWidth="1"/>
    <col min="15120" max="15120" width="11.42578125" style="57" customWidth="1"/>
    <col min="15121" max="15121" width="4.140625" style="57" customWidth="1"/>
    <col min="15122" max="15122" width="18.5703125" style="57" customWidth="1"/>
    <col min="15123" max="15123" width="2.140625" style="57" customWidth="1"/>
    <col min="15124" max="15124" width="10.42578125" style="57" customWidth="1"/>
    <col min="15125" max="15366" width="9.140625" style="57"/>
    <col min="15367" max="15367" width="10" style="57" customWidth="1"/>
    <col min="15368" max="15368" width="40" style="57" customWidth="1"/>
    <col min="15369" max="15369" width="12.5703125" style="57" customWidth="1"/>
    <col min="15370" max="15371" width="10.42578125" style="57" customWidth="1"/>
    <col min="15372" max="15372" width="11.5703125" style="57" customWidth="1"/>
    <col min="15373" max="15374" width="10.42578125" style="57" customWidth="1"/>
    <col min="15375" max="15375" width="6.5703125" style="57" customWidth="1"/>
    <col min="15376" max="15376" width="11.42578125" style="57" customWidth="1"/>
    <col min="15377" max="15377" width="4.140625" style="57" customWidth="1"/>
    <col min="15378" max="15378" width="18.5703125" style="57" customWidth="1"/>
    <col min="15379" max="15379" width="2.140625" style="57" customWidth="1"/>
    <col min="15380" max="15380" width="10.42578125" style="57" customWidth="1"/>
    <col min="15381" max="15622" width="9.140625" style="57"/>
    <col min="15623" max="15623" width="10" style="57" customWidth="1"/>
    <col min="15624" max="15624" width="40" style="57" customWidth="1"/>
    <col min="15625" max="15625" width="12.5703125" style="57" customWidth="1"/>
    <col min="15626" max="15627" width="10.42578125" style="57" customWidth="1"/>
    <col min="15628" max="15628" width="11.5703125" style="57" customWidth="1"/>
    <col min="15629" max="15630" width="10.42578125" style="57" customWidth="1"/>
    <col min="15631" max="15631" width="6.5703125" style="57" customWidth="1"/>
    <col min="15632" max="15632" width="11.42578125" style="57" customWidth="1"/>
    <col min="15633" max="15633" width="4.140625" style="57" customWidth="1"/>
    <col min="15634" max="15634" width="18.5703125" style="57" customWidth="1"/>
    <col min="15635" max="15635" width="2.140625" style="57" customWidth="1"/>
    <col min="15636" max="15636" width="10.42578125" style="57" customWidth="1"/>
    <col min="15637" max="15878" width="9.140625" style="57"/>
    <col min="15879" max="15879" width="10" style="57" customWidth="1"/>
    <col min="15880" max="15880" width="40" style="57" customWidth="1"/>
    <col min="15881" max="15881" width="12.5703125" style="57" customWidth="1"/>
    <col min="15882" max="15883" width="10.42578125" style="57" customWidth="1"/>
    <col min="15884" max="15884" width="11.5703125" style="57" customWidth="1"/>
    <col min="15885" max="15886" width="10.42578125" style="57" customWidth="1"/>
    <col min="15887" max="15887" width="6.5703125" style="57" customWidth="1"/>
    <col min="15888" max="15888" width="11.42578125" style="57" customWidth="1"/>
    <col min="15889" max="15889" width="4.140625" style="57" customWidth="1"/>
    <col min="15890" max="15890" width="18.5703125" style="57" customWidth="1"/>
    <col min="15891" max="15891" width="2.140625" style="57" customWidth="1"/>
    <col min="15892" max="15892" width="10.42578125" style="57" customWidth="1"/>
    <col min="15893" max="16134" width="9.140625" style="57"/>
    <col min="16135" max="16135" width="10" style="57" customWidth="1"/>
    <col min="16136" max="16136" width="40" style="57" customWidth="1"/>
    <col min="16137" max="16137" width="12.5703125" style="57" customWidth="1"/>
    <col min="16138" max="16139" width="10.42578125" style="57" customWidth="1"/>
    <col min="16140" max="16140" width="11.5703125" style="57" customWidth="1"/>
    <col min="16141" max="16142" width="10.42578125" style="57" customWidth="1"/>
    <col min="16143" max="16143" width="6.5703125" style="57" customWidth="1"/>
    <col min="16144" max="16144" width="11.42578125" style="57" customWidth="1"/>
    <col min="16145" max="16145" width="4.140625" style="57" customWidth="1"/>
    <col min="16146" max="16146" width="18.5703125" style="57" customWidth="1"/>
    <col min="16147" max="16147" width="2.140625" style="57" customWidth="1"/>
    <col min="16148" max="16148" width="10.42578125" style="57" customWidth="1"/>
    <col min="16149" max="16384" width="9.140625" style="57"/>
  </cols>
  <sheetData>
    <row r="1" spans="2:21" ht="13.5" customHeight="1" x14ac:dyDescent="0.25">
      <c r="H1" s="781" t="s">
        <v>38</v>
      </c>
      <c r="I1" s="781"/>
      <c r="J1" s="781"/>
      <c r="K1" s="781"/>
      <c r="L1" s="781"/>
      <c r="M1" s="781" t="s">
        <v>39</v>
      </c>
      <c r="N1" s="781"/>
      <c r="O1" s="783" t="s">
        <v>40</v>
      </c>
      <c r="P1" s="783"/>
      <c r="Q1" s="783"/>
    </row>
    <row r="2" spans="2:21" s="59" customFormat="1" ht="15" customHeight="1" x14ac:dyDescent="0.25">
      <c r="B2" s="60" t="s">
        <v>41</v>
      </c>
      <c r="C2" s="61" t="s">
        <v>42</v>
      </c>
      <c r="D2" s="61" t="s">
        <v>43</v>
      </c>
      <c r="E2" s="61" t="s">
        <v>44</v>
      </c>
      <c r="F2" s="61" t="s">
        <v>45</v>
      </c>
      <c r="G2" s="61" t="s">
        <v>46</v>
      </c>
      <c r="H2" s="61" t="s">
        <v>47</v>
      </c>
      <c r="I2" s="61" t="s">
        <v>48</v>
      </c>
      <c r="J2" s="61" t="s">
        <v>47</v>
      </c>
      <c r="K2" s="61" t="s">
        <v>48</v>
      </c>
      <c r="L2" s="65" t="s">
        <v>49</v>
      </c>
      <c r="M2" s="65" t="s">
        <v>39</v>
      </c>
      <c r="N2" s="65" t="s">
        <v>49</v>
      </c>
      <c r="O2" s="65" t="s">
        <v>47</v>
      </c>
      <c r="P2" s="65" t="s">
        <v>48</v>
      </c>
      <c r="Q2" s="65" t="s">
        <v>49</v>
      </c>
      <c r="R2" s="63" t="s">
        <v>50</v>
      </c>
    </row>
    <row r="3" spans="2:21" ht="15" customHeight="1" x14ac:dyDescent="0.25">
      <c r="B3" s="67">
        <v>2</v>
      </c>
      <c r="C3" s="68" t="s">
        <v>51</v>
      </c>
      <c r="D3" s="110" t="s">
        <v>60</v>
      </c>
      <c r="E3" s="69">
        <v>44599</v>
      </c>
      <c r="F3" s="69"/>
      <c r="G3" s="68"/>
      <c r="H3" s="72"/>
      <c r="I3" s="72"/>
      <c r="J3" s="72"/>
      <c r="K3" s="72"/>
      <c r="L3" s="131">
        <f>(I3-H3)</f>
        <v>0</v>
      </c>
      <c r="M3" s="132"/>
      <c r="N3" s="133">
        <v>0</v>
      </c>
      <c r="O3" s="109"/>
      <c r="P3" s="109"/>
      <c r="Q3" s="78">
        <v>0</v>
      </c>
      <c r="R3" s="134"/>
      <c r="T3" s="81" t="s">
        <v>53</v>
      </c>
      <c r="U3" s="82">
        <v>3</v>
      </c>
    </row>
    <row r="4" spans="2:21" ht="15" customHeight="1" x14ac:dyDescent="0.25">
      <c r="B4" s="67">
        <v>3</v>
      </c>
      <c r="C4" s="68" t="s">
        <v>55</v>
      </c>
      <c r="D4" s="110" t="s">
        <v>60</v>
      </c>
      <c r="E4" s="69">
        <v>44602</v>
      </c>
      <c r="F4" s="69"/>
      <c r="G4" s="68"/>
      <c r="H4" s="72"/>
      <c r="I4" s="72"/>
      <c r="J4" s="72"/>
      <c r="K4" s="72"/>
      <c r="L4" s="131">
        <v>0</v>
      </c>
      <c r="M4" s="132"/>
      <c r="N4" s="133">
        <v>0</v>
      </c>
      <c r="O4" s="109"/>
      <c r="P4" s="109"/>
      <c r="Q4" s="78">
        <v>0</v>
      </c>
      <c r="R4" s="134"/>
      <c r="T4" s="83" t="s">
        <v>44</v>
      </c>
      <c r="U4" s="84">
        <v>1</v>
      </c>
    </row>
    <row r="5" spans="2:21" ht="15" customHeight="1" x14ac:dyDescent="0.25">
      <c r="B5" s="67">
        <v>5</v>
      </c>
      <c r="C5" s="116" t="s">
        <v>63</v>
      </c>
      <c r="D5" s="110" t="s">
        <v>60</v>
      </c>
      <c r="E5" s="118">
        <v>45477</v>
      </c>
      <c r="F5" s="118"/>
      <c r="G5" s="116"/>
      <c r="H5" s="121"/>
      <c r="I5" s="121"/>
      <c r="J5" s="121"/>
      <c r="K5" s="121"/>
      <c r="L5" s="131">
        <v>0</v>
      </c>
      <c r="M5" s="140"/>
      <c r="N5" s="141">
        <v>0</v>
      </c>
      <c r="O5" s="127"/>
      <c r="P5" s="127"/>
      <c r="Q5" s="78">
        <v>0</v>
      </c>
      <c r="R5" s="142"/>
      <c r="T5" s="83" t="s">
        <v>45</v>
      </c>
      <c r="U5" s="84">
        <v>0</v>
      </c>
    </row>
    <row r="6" spans="2:21" ht="15" customHeight="1" x14ac:dyDescent="0.25">
      <c r="B6" s="143">
        <v>4</v>
      </c>
      <c r="C6" s="86" t="s">
        <v>62</v>
      </c>
      <c r="D6" s="130" t="s">
        <v>60</v>
      </c>
      <c r="E6" s="87">
        <v>45426</v>
      </c>
      <c r="F6" s="87"/>
      <c r="G6" s="86"/>
      <c r="H6" s="90">
        <v>45498</v>
      </c>
      <c r="I6" s="90">
        <v>45499</v>
      </c>
      <c r="J6" s="90">
        <v>45502</v>
      </c>
      <c r="K6" s="90">
        <v>45504</v>
      </c>
      <c r="L6" s="135">
        <v>5</v>
      </c>
      <c r="M6" s="144">
        <v>45483</v>
      </c>
      <c r="N6" s="137">
        <v>1</v>
      </c>
      <c r="O6" s="96"/>
      <c r="P6" s="96"/>
      <c r="Q6" s="138">
        <v>0</v>
      </c>
      <c r="R6" s="139"/>
      <c r="T6" s="100" t="s">
        <v>56</v>
      </c>
      <c r="U6" s="101">
        <f>U3+U4-U5</f>
        <v>4</v>
      </c>
    </row>
    <row r="7" spans="2:21" ht="15" customHeight="1" x14ac:dyDescent="0.25">
      <c r="L7" s="99">
        <f>SUM(L3:L6)</f>
        <v>5</v>
      </c>
      <c r="N7" s="99">
        <f>SUM(N3:N6)</f>
        <v>1</v>
      </c>
      <c r="O7" s="99"/>
      <c r="P7" s="99"/>
      <c r="Q7" s="99">
        <f>SUM(Q3:Q6)</f>
        <v>0</v>
      </c>
    </row>
    <row r="8" spans="2:21" ht="15" customHeight="1" x14ac:dyDescent="0.25">
      <c r="T8" s="81" t="s">
        <v>57</v>
      </c>
      <c r="U8" s="82">
        <v>2</v>
      </c>
    </row>
    <row r="9" spans="2:21" ht="15" customHeight="1" x14ac:dyDescent="0.25">
      <c r="T9" s="100" t="s">
        <v>13</v>
      </c>
      <c r="U9" s="101">
        <f>U6+U8</f>
        <v>6</v>
      </c>
    </row>
    <row r="10" spans="2:21" ht="15" customHeight="1" x14ac:dyDescent="0.25"/>
    <row r="11" spans="2:21" ht="15" customHeight="1" x14ac:dyDescent="0.25">
      <c r="T11" s="784" t="s">
        <v>58</v>
      </c>
      <c r="U11" s="784"/>
    </row>
    <row r="12" spans="2:21" ht="15" customHeight="1" x14ac:dyDescent="0.25">
      <c r="T12" s="83" t="s">
        <v>38</v>
      </c>
      <c r="U12" s="102">
        <f>L7</f>
        <v>5</v>
      </c>
    </row>
    <row r="13" spans="2:21" ht="15" customHeight="1" x14ac:dyDescent="0.25">
      <c r="T13" s="103" t="s">
        <v>39</v>
      </c>
      <c r="U13" s="104">
        <f>N7</f>
        <v>1</v>
      </c>
    </row>
    <row r="14" spans="2:21" ht="15" customHeight="1" x14ac:dyDescent="0.25"/>
    <row r="15" spans="2:21" ht="15" customHeight="1" x14ac:dyDescent="0.25">
      <c r="T15" s="81" t="s">
        <v>40</v>
      </c>
      <c r="U15" s="105">
        <f>Q7</f>
        <v>0</v>
      </c>
    </row>
    <row r="16" spans="2:21" ht="15" customHeight="1" x14ac:dyDescent="0.25">
      <c r="T16" s="103" t="s">
        <v>59</v>
      </c>
      <c r="U16" s="104">
        <v>0</v>
      </c>
    </row>
    <row r="17" spans="20:21" ht="15" customHeight="1" x14ac:dyDescent="0.25"/>
    <row r="18" spans="20:21" ht="15" customHeight="1" x14ac:dyDescent="0.25">
      <c r="T18" s="106" t="s">
        <v>22</v>
      </c>
      <c r="U18" s="107">
        <v>23</v>
      </c>
    </row>
    <row r="19" spans="20:21" ht="15" customHeight="1" x14ac:dyDescent="0.25"/>
    <row r="20" spans="20:21" ht="15" customHeight="1" x14ac:dyDescent="0.25"/>
    <row r="21" spans="20:21" ht="15" customHeight="1" x14ac:dyDescent="0.25"/>
    <row r="22" spans="20:21" ht="15" customHeight="1" x14ac:dyDescent="0.25"/>
    <row r="23" spans="20:21" ht="15" customHeight="1" x14ac:dyDescent="0.25"/>
    <row r="24" spans="20:21" ht="15" customHeight="1" x14ac:dyDescent="0.25"/>
    <row r="25" spans="20:21" ht="15" customHeight="1" x14ac:dyDescent="0.25"/>
    <row r="26" spans="20:21" ht="15" customHeight="1" x14ac:dyDescent="0.25"/>
    <row r="27" spans="20:21" ht="15" customHeight="1" x14ac:dyDescent="0.25"/>
    <row r="28" spans="20:21" ht="15" customHeight="1" x14ac:dyDescent="0.25"/>
    <row r="29" spans="20:21" ht="15" customHeight="1" x14ac:dyDescent="0.25"/>
    <row r="30" spans="20:21" ht="15" customHeight="1" x14ac:dyDescent="0.25"/>
    <row r="31" spans="20:21" ht="15" customHeight="1" x14ac:dyDescent="0.25"/>
    <row r="32" spans="20:21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</sheetData>
  <mergeCells count="4">
    <mergeCell ref="H1:L1"/>
    <mergeCell ref="M1:N1"/>
    <mergeCell ref="O1:Q1"/>
    <mergeCell ref="T11:U11"/>
  </mergeCells>
  <pageMargins left="0.25" right="0.25" top="0.75" bottom="0.75" header="0.511811023622047" footer="0.511811023622047"/>
  <pageSetup paperSize="9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U36"/>
  <sheetViews>
    <sheetView showGridLines="0" zoomScaleNormal="100" workbookViewId="0">
      <selection activeCell="E15" sqref="E15"/>
    </sheetView>
  </sheetViews>
  <sheetFormatPr defaultColWidth="9.140625" defaultRowHeight="12.75" x14ac:dyDescent="0.25"/>
  <cols>
    <col min="1" max="1" width="9.140625" style="57"/>
    <col min="2" max="2" width="10" style="57" customWidth="1"/>
    <col min="3" max="3" width="40" style="57" customWidth="1"/>
    <col min="4" max="4" width="12.5703125" style="57" customWidth="1"/>
    <col min="5" max="6" width="10.42578125" style="57" customWidth="1"/>
    <col min="7" max="7" width="11.5703125" style="57" customWidth="1"/>
    <col min="8" max="11" width="10.42578125" style="57" customWidth="1"/>
    <col min="12" max="12" width="4.140625" style="57" customWidth="1"/>
    <col min="13" max="13" width="11.42578125" style="58" customWidth="1"/>
    <col min="14" max="14" width="4.140625" style="57" customWidth="1"/>
    <col min="15" max="16" width="10.42578125" style="57" customWidth="1"/>
    <col min="17" max="17" width="4.140625" style="57" customWidth="1"/>
    <col min="18" max="18" width="27.140625" style="57" customWidth="1"/>
    <col min="19" max="19" width="2.140625" style="57" customWidth="1"/>
    <col min="20" max="20" width="13.140625" style="57" customWidth="1"/>
    <col min="21" max="21" width="3" style="57" customWidth="1"/>
    <col min="22" max="262" width="9.140625" style="57"/>
    <col min="263" max="263" width="10" style="57" customWidth="1"/>
    <col min="264" max="264" width="40" style="57" customWidth="1"/>
    <col min="265" max="265" width="12.5703125" style="57" customWidth="1"/>
    <col min="266" max="267" width="10.42578125" style="57" customWidth="1"/>
    <col min="268" max="268" width="11.5703125" style="57" customWidth="1"/>
    <col min="269" max="270" width="10.42578125" style="57" customWidth="1"/>
    <col min="271" max="271" width="6.5703125" style="57" customWidth="1"/>
    <col min="272" max="272" width="11.42578125" style="57" customWidth="1"/>
    <col min="273" max="273" width="4.140625" style="57" customWidth="1"/>
    <col min="274" max="274" width="18.5703125" style="57" customWidth="1"/>
    <col min="275" max="275" width="2.140625" style="57" customWidth="1"/>
    <col min="276" max="276" width="10.42578125" style="57" customWidth="1"/>
    <col min="277" max="518" width="9.140625" style="57"/>
    <col min="519" max="519" width="10" style="57" customWidth="1"/>
    <col min="520" max="520" width="40" style="57" customWidth="1"/>
    <col min="521" max="521" width="12.5703125" style="57" customWidth="1"/>
    <col min="522" max="523" width="10.42578125" style="57" customWidth="1"/>
    <col min="524" max="524" width="11.5703125" style="57" customWidth="1"/>
    <col min="525" max="526" width="10.42578125" style="57" customWidth="1"/>
    <col min="527" max="527" width="6.5703125" style="57" customWidth="1"/>
    <col min="528" max="528" width="11.42578125" style="57" customWidth="1"/>
    <col min="529" max="529" width="4.140625" style="57" customWidth="1"/>
    <col min="530" max="530" width="18.5703125" style="57" customWidth="1"/>
    <col min="531" max="531" width="2.140625" style="57" customWidth="1"/>
    <col min="532" max="532" width="10.42578125" style="57" customWidth="1"/>
    <col min="533" max="774" width="9.140625" style="57"/>
    <col min="775" max="775" width="10" style="57" customWidth="1"/>
    <col min="776" max="776" width="40" style="57" customWidth="1"/>
    <col min="777" max="777" width="12.5703125" style="57" customWidth="1"/>
    <col min="778" max="779" width="10.42578125" style="57" customWidth="1"/>
    <col min="780" max="780" width="11.5703125" style="57" customWidth="1"/>
    <col min="781" max="782" width="10.42578125" style="57" customWidth="1"/>
    <col min="783" max="783" width="6.5703125" style="57" customWidth="1"/>
    <col min="784" max="784" width="11.42578125" style="57" customWidth="1"/>
    <col min="785" max="785" width="4.140625" style="57" customWidth="1"/>
    <col min="786" max="786" width="18.5703125" style="57" customWidth="1"/>
    <col min="787" max="787" width="2.140625" style="57" customWidth="1"/>
    <col min="788" max="788" width="10.42578125" style="57" customWidth="1"/>
    <col min="789" max="1030" width="9.140625" style="57"/>
    <col min="1031" max="1031" width="10" style="57" customWidth="1"/>
    <col min="1032" max="1032" width="40" style="57" customWidth="1"/>
    <col min="1033" max="1033" width="12.5703125" style="57" customWidth="1"/>
    <col min="1034" max="1035" width="10.42578125" style="57" customWidth="1"/>
    <col min="1036" max="1036" width="11.5703125" style="57" customWidth="1"/>
    <col min="1037" max="1038" width="10.42578125" style="57" customWidth="1"/>
    <col min="1039" max="1039" width="6.5703125" style="57" customWidth="1"/>
    <col min="1040" max="1040" width="11.42578125" style="57" customWidth="1"/>
    <col min="1041" max="1041" width="4.140625" style="57" customWidth="1"/>
    <col min="1042" max="1042" width="18.5703125" style="57" customWidth="1"/>
    <col min="1043" max="1043" width="2.140625" style="57" customWidth="1"/>
    <col min="1044" max="1044" width="10.42578125" style="57" customWidth="1"/>
    <col min="1045" max="1286" width="9.140625" style="57"/>
    <col min="1287" max="1287" width="10" style="57" customWidth="1"/>
    <col min="1288" max="1288" width="40" style="57" customWidth="1"/>
    <col min="1289" max="1289" width="12.5703125" style="57" customWidth="1"/>
    <col min="1290" max="1291" width="10.42578125" style="57" customWidth="1"/>
    <col min="1292" max="1292" width="11.5703125" style="57" customWidth="1"/>
    <col min="1293" max="1294" width="10.42578125" style="57" customWidth="1"/>
    <col min="1295" max="1295" width="6.5703125" style="57" customWidth="1"/>
    <col min="1296" max="1296" width="11.42578125" style="57" customWidth="1"/>
    <col min="1297" max="1297" width="4.140625" style="57" customWidth="1"/>
    <col min="1298" max="1298" width="18.5703125" style="57" customWidth="1"/>
    <col min="1299" max="1299" width="2.140625" style="57" customWidth="1"/>
    <col min="1300" max="1300" width="10.42578125" style="57" customWidth="1"/>
    <col min="1301" max="1542" width="9.140625" style="57"/>
    <col min="1543" max="1543" width="10" style="57" customWidth="1"/>
    <col min="1544" max="1544" width="40" style="57" customWidth="1"/>
    <col min="1545" max="1545" width="12.5703125" style="57" customWidth="1"/>
    <col min="1546" max="1547" width="10.42578125" style="57" customWidth="1"/>
    <col min="1548" max="1548" width="11.5703125" style="57" customWidth="1"/>
    <col min="1549" max="1550" width="10.42578125" style="57" customWidth="1"/>
    <col min="1551" max="1551" width="6.5703125" style="57" customWidth="1"/>
    <col min="1552" max="1552" width="11.42578125" style="57" customWidth="1"/>
    <col min="1553" max="1553" width="4.140625" style="57" customWidth="1"/>
    <col min="1554" max="1554" width="18.5703125" style="57" customWidth="1"/>
    <col min="1555" max="1555" width="2.140625" style="57" customWidth="1"/>
    <col min="1556" max="1556" width="10.42578125" style="57" customWidth="1"/>
    <col min="1557" max="1798" width="9.140625" style="57"/>
    <col min="1799" max="1799" width="10" style="57" customWidth="1"/>
    <col min="1800" max="1800" width="40" style="57" customWidth="1"/>
    <col min="1801" max="1801" width="12.5703125" style="57" customWidth="1"/>
    <col min="1802" max="1803" width="10.42578125" style="57" customWidth="1"/>
    <col min="1804" max="1804" width="11.5703125" style="57" customWidth="1"/>
    <col min="1805" max="1806" width="10.42578125" style="57" customWidth="1"/>
    <col min="1807" max="1807" width="6.5703125" style="57" customWidth="1"/>
    <col min="1808" max="1808" width="11.42578125" style="57" customWidth="1"/>
    <col min="1809" max="1809" width="4.140625" style="57" customWidth="1"/>
    <col min="1810" max="1810" width="18.5703125" style="57" customWidth="1"/>
    <col min="1811" max="1811" width="2.140625" style="57" customWidth="1"/>
    <col min="1812" max="1812" width="10.42578125" style="57" customWidth="1"/>
    <col min="1813" max="2054" width="9.140625" style="57"/>
    <col min="2055" max="2055" width="10" style="57" customWidth="1"/>
    <col min="2056" max="2056" width="40" style="57" customWidth="1"/>
    <col min="2057" max="2057" width="12.5703125" style="57" customWidth="1"/>
    <col min="2058" max="2059" width="10.42578125" style="57" customWidth="1"/>
    <col min="2060" max="2060" width="11.5703125" style="57" customWidth="1"/>
    <col min="2061" max="2062" width="10.42578125" style="57" customWidth="1"/>
    <col min="2063" max="2063" width="6.5703125" style="57" customWidth="1"/>
    <col min="2064" max="2064" width="11.42578125" style="57" customWidth="1"/>
    <col min="2065" max="2065" width="4.140625" style="57" customWidth="1"/>
    <col min="2066" max="2066" width="18.5703125" style="57" customWidth="1"/>
    <col min="2067" max="2067" width="2.140625" style="57" customWidth="1"/>
    <col min="2068" max="2068" width="10.42578125" style="57" customWidth="1"/>
    <col min="2069" max="2310" width="9.140625" style="57"/>
    <col min="2311" max="2311" width="10" style="57" customWidth="1"/>
    <col min="2312" max="2312" width="40" style="57" customWidth="1"/>
    <col min="2313" max="2313" width="12.5703125" style="57" customWidth="1"/>
    <col min="2314" max="2315" width="10.42578125" style="57" customWidth="1"/>
    <col min="2316" max="2316" width="11.5703125" style="57" customWidth="1"/>
    <col min="2317" max="2318" width="10.42578125" style="57" customWidth="1"/>
    <col min="2319" max="2319" width="6.5703125" style="57" customWidth="1"/>
    <col min="2320" max="2320" width="11.42578125" style="57" customWidth="1"/>
    <col min="2321" max="2321" width="4.140625" style="57" customWidth="1"/>
    <col min="2322" max="2322" width="18.5703125" style="57" customWidth="1"/>
    <col min="2323" max="2323" width="2.140625" style="57" customWidth="1"/>
    <col min="2324" max="2324" width="10.42578125" style="57" customWidth="1"/>
    <col min="2325" max="2566" width="9.140625" style="57"/>
    <col min="2567" max="2567" width="10" style="57" customWidth="1"/>
    <col min="2568" max="2568" width="40" style="57" customWidth="1"/>
    <col min="2569" max="2569" width="12.5703125" style="57" customWidth="1"/>
    <col min="2570" max="2571" width="10.42578125" style="57" customWidth="1"/>
    <col min="2572" max="2572" width="11.5703125" style="57" customWidth="1"/>
    <col min="2573" max="2574" width="10.42578125" style="57" customWidth="1"/>
    <col min="2575" max="2575" width="6.5703125" style="57" customWidth="1"/>
    <col min="2576" max="2576" width="11.42578125" style="57" customWidth="1"/>
    <col min="2577" max="2577" width="4.140625" style="57" customWidth="1"/>
    <col min="2578" max="2578" width="18.5703125" style="57" customWidth="1"/>
    <col min="2579" max="2579" width="2.140625" style="57" customWidth="1"/>
    <col min="2580" max="2580" width="10.42578125" style="57" customWidth="1"/>
    <col min="2581" max="2822" width="9.140625" style="57"/>
    <col min="2823" max="2823" width="10" style="57" customWidth="1"/>
    <col min="2824" max="2824" width="40" style="57" customWidth="1"/>
    <col min="2825" max="2825" width="12.5703125" style="57" customWidth="1"/>
    <col min="2826" max="2827" width="10.42578125" style="57" customWidth="1"/>
    <col min="2828" max="2828" width="11.5703125" style="57" customWidth="1"/>
    <col min="2829" max="2830" width="10.42578125" style="57" customWidth="1"/>
    <col min="2831" max="2831" width="6.5703125" style="57" customWidth="1"/>
    <col min="2832" max="2832" width="11.42578125" style="57" customWidth="1"/>
    <col min="2833" max="2833" width="4.140625" style="57" customWidth="1"/>
    <col min="2834" max="2834" width="18.5703125" style="57" customWidth="1"/>
    <col min="2835" max="2835" width="2.140625" style="57" customWidth="1"/>
    <col min="2836" max="2836" width="10.42578125" style="57" customWidth="1"/>
    <col min="2837" max="3078" width="9.140625" style="57"/>
    <col min="3079" max="3079" width="10" style="57" customWidth="1"/>
    <col min="3080" max="3080" width="40" style="57" customWidth="1"/>
    <col min="3081" max="3081" width="12.5703125" style="57" customWidth="1"/>
    <col min="3082" max="3083" width="10.42578125" style="57" customWidth="1"/>
    <col min="3084" max="3084" width="11.5703125" style="57" customWidth="1"/>
    <col min="3085" max="3086" width="10.42578125" style="57" customWidth="1"/>
    <col min="3087" max="3087" width="6.5703125" style="57" customWidth="1"/>
    <col min="3088" max="3088" width="11.42578125" style="57" customWidth="1"/>
    <col min="3089" max="3089" width="4.140625" style="57" customWidth="1"/>
    <col min="3090" max="3090" width="18.5703125" style="57" customWidth="1"/>
    <col min="3091" max="3091" width="2.140625" style="57" customWidth="1"/>
    <col min="3092" max="3092" width="10.42578125" style="57" customWidth="1"/>
    <col min="3093" max="3334" width="9.140625" style="57"/>
    <col min="3335" max="3335" width="10" style="57" customWidth="1"/>
    <col min="3336" max="3336" width="40" style="57" customWidth="1"/>
    <col min="3337" max="3337" width="12.5703125" style="57" customWidth="1"/>
    <col min="3338" max="3339" width="10.42578125" style="57" customWidth="1"/>
    <col min="3340" max="3340" width="11.5703125" style="57" customWidth="1"/>
    <col min="3341" max="3342" width="10.42578125" style="57" customWidth="1"/>
    <col min="3343" max="3343" width="6.5703125" style="57" customWidth="1"/>
    <col min="3344" max="3344" width="11.42578125" style="57" customWidth="1"/>
    <col min="3345" max="3345" width="4.140625" style="57" customWidth="1"/>
    <col min="3346" max="3346" width="18.5703125" style="57" customWidth="1"/>
    <col min="3347" max="3347" width="2.140625" style="57" customWidth="1"/>
    <col min="3348" max="3348" width="10.42578125" style="57" customWidth="1"/>
    <col min="3349" max="3590" width="9.140625" style="57"/>
    <col min="3591" max="3591" width="10" style="57" customWidth="1"/>
    <col min="3592" max="3592" width="40" style="57" customWidth="1"/>
    <col min="3593" max="3593" width="12.5703125" style="57" customWidth="1"/>
    <col min="3594" max="3595" width="10.42578125" style="57" customWidth="1"/>
    <col min="3596" max="3596" width="11.5703125" style="57" customWidth="1"/>
    <col min="3597" max="3598" width="10.42578125" style="57" customWidth="1"/>
    <col min="3599" max="3599" width="6.5703125" style="57" customWidth="1"/>
    <col min="3600" max="3600" width="11.42578125" style="57" customWidth="1"/>
    <col min="3601" max="3601" width="4.140625" style="57" customWidth="1"/>
    <col min="3602" max="3602" width="18.5703125" style="57" customWidth="1"/>
    <col min="3603" max="3603" width="2.140625" style="57" customWidth="1"/>
    <col min="3604" max="3604" width="10.42578125" style="57" customWidth="1"/>
    <col min="3605" max="3846" width="9.140625" style="57"/>
    <col min="3847" max="3847" width="10" style="57" customWidth="1"/>
    <col min="3848" max="3848" width="40" style="57" customWidth="1"/>
    <col min="3849" max="3849" width="12.5703125" style="57" customWidth="1"/>
    <col min="3850" max="3851" width="10.42578125" style="57" customWidth="1"/>
    <col min="3852" max="3852" width="11.5703125" style="57" customWidth="1"/>
    <col min="3853" max="3854" width="10.42578125" style="57" customWidth="1"/>
    <col min="3855" max="3855" width="6.5703125" style="57" customWidth="1"/>
    <col min="3856" max="3856" width="11.42578125" style="57" customWidth="1"/>
    <col min="3857" max="3857" width="4.140625" style="57" customWidth="1"/>
    <col min="3858" max="3858" width="18.5703125" style="57" customWidth="1"/>
    <col min="3859" max="3859" width="2.140625" style="57" customWidth="1"/>
    <col min="3860" max="3860" width="10.42578125" style="57" customWidth="1"/>
    <col min="3861" max="4102" width="9.140625" style="57"/>
    <col min="4103" max="4103" width="10" style="57" customWidth="1"/>
    <col min="4104" max="4104" width="40" style="57" customWidth="1"/>
    <col min="4105" max="4105" width="12.5703125" style="57" customWidth="1"/>
    <col min="4106" max="4107" width="10.42578125" style="57" customWidth="1"/>
    <col min="4108" max="4108" width="11.5703125" style="57" customWidth="1"/>
    <col min="4109" max="4110" width="10.42578125" style="57" customWidth="1"/>
    <col min="4111" max="4111" width="6.5703125" style="57" customWidth="1"/>
    <col min="4112" max="4112" width="11.42578125" style="57" customWidth="1"/>
    <col min="4113" max="4113" width="4.140625" style="57" customWidth="1"/>
    <col min="4114" max="4114" width="18.5703125" style="57" customWidth="1"/>
    <col min="4115" max="4115" width="2.140625" style="57" customWidth="1"/>
    <col min="4116" max="4116" width="10.42578125" style="57" customWidth="1"/>
    <col min="4117" max="4358" width="9.140625" style="57"/>
    <col min="4359" max="4359" width="10" style="57" customWidth="1"/>
    <col min="4360" max="4360" width="40" style="57" customWidth="1"/>
    <col min="4361" max="4361" width="12.5703125" style="57" customWidth="1"/>
    <col min="4362" max="4363" width="10.42578125" style="57" customWidth="1"/>
    <col min="4364" max="4364" width="11.5703125" style="57" customWidth="1"/>
    <col min="4365" max="4366" width="10.42578125" style="57" customWidth="1"/>
    <col min="4367" max="4367" width="6.5703125" style="57" customWidth="1"/>
    <col min="4368" max="4368" width="11.42578125" style="57" customWidth="1"/>
    <col min="4369" max="4369" width="4.140625" style="57" customWidth="1"/>
    <col min="4370" max="4370" width="18.5703125" style="57" customWidth="1"/>
    <col min="4371" max="4371" width="2.140625" style="57" customWidth="1"/>
    <col min="4372" max="4372" width="10.42578125" style="57" customWidth="1"/>
    <col min="4373" max="4614" width="9.140625" style="57"/>
    <col min="4615" max="4615" width="10" style="57" customWidth="1"/>
    <col min="4616" max="4616" width="40" style="57" customWidth="1"/>
    <col min="4617" max="4617" width="12.5703125" style="57" customWidth="1"/>
    <col min="4618" max="4619" width="10.42578125" style="57" customWidth="1"/>
    <col min="4620" max="4620" width="11.5703125" style="57" customWidth="1"/>
    <col min="4621" max="4622" width="10.42578125" style="57" customWidth="1"/>
    <col min="4623" max="4623" width="6.5703125" style="57" customWidth="1"/>
    <col min="4624" max="4624" width="11.42578125" style="57" customWidth="1"/>
    <col min="4625" max="4625" width="4.140625" style="57" customWidth="1"/>
    <col min="4626" max="4626" width="18.5703125" style="57" customWidth="1"/>
    <col min="4627" max="4627" width="2.140625" style="57" customWidth="1"/>
    <col min="4628" max="4628" width="10.42578125" style="57" customWidth="1"/>
    <col min="4629" max="4870" width="9.140625" style="57"/>
    <col min="4871" max="4871" width="10" style="57" customWidth="1"/>
    <col min="4872" max="4872" width="40" style="57" customWidth="1"/>
    <col min="4873" max="4873" width="12.5703125" style="57" customWidth="1"/>
    <col min="4874" max="4875" width="10.42578125" style="57" customWidth="1"/>
    <col min="4876" max="4876" width="11.5703125" style="57" customWidth="1"/>
    <col min="4877" max="4878" width="10.42578125" style="57" customWidth="1"/>
    <col min="4879" max="4879" width="6.5703125" style="57" customWidth="1"/>
    <col min="4880" max="4880" width="11.42578125" style="57" customWidth="1"/>
    <col min="4881" max="4881" width="4.140625" style="57" customWidth="1"/>
    <col min="4882" max="4882" width="18.5703125" style="57" customWidth="1"/>
    <col min="4883" max="4883" width="2.140625" style="57" customWidth="1"/>
    <col min="4884" max="4884" width="10.42578125" style="57" customWidth="1"/>
    <col min="4885" max="5126" width="9.140625" style="57"/>
    <col min="5127" max="5127" width="10" style="57" customWidth="1"/>
    <col min="5128" max="5128" width="40" style="57" customWidth="1"/>
    <col min="5129" max="5129" width="12.5703125" style="57" customWidth="1"/>
    <col min="5130" max="5131" width="10.42578125" style="57" customWidth="1"/>
    <col min="5132" max="5132" width="11.5703125" style="57" customWidth="1"/>
    <col min="5133" max="5134" width="10.42578125" style="57" customWidth="1"/>
    <col min="5135" max="5135" width="6.5703125" style="57" customWidth="1"/>
    <col min="5136" max="5136" width="11.42578125" style="57" customWidth="1"/>
    <col min="5137" max="5137" width="4.140625" style="57" customWidth="1"/>
    <col min="5138" max="5138" width="18.5703125" style="57" customWidth="1"/>
    <col min="5139" max="5139" width="2.140625" style="57" customWidth="1"/>
    <col min="5140" max="5140" width="10.42578125" style="57" customWidth="1"/>
    <col min="5141" max="5382" width="9.140625" style="57"/>
    <col min="5383" max="5383" width="10" style="57" customWidth="1"/>
    <col min="5384" max="5384" width="40" style="57" customWidth="1"/>
    <col min="5385" max="5385" width="12.5703125" style="57" customWidth="1"/>
    <col min="5386" max="5387" width="10.42578125" style="57" customWidth="1"/>
    <col min="5388" max="5388" width="11.5703125" style="57" customWidth="1"/>
    <col min="5389" max="5390" width="10.42578125" style="57" customWidth="1"/>
    <col min="5391" max="5391" width="6.5703125" style="57" customWidth="1"/>
    <col min="5392" max="5392" width="11.42578125" style="57" customWidth="1"/>
    <col min="5393" max="5393" width="4.140625" style="57" customWidth="1"/>
    <col min="5394" max="5394" width="18.5703125" style="57" customWidth="1"/>
    <col min="5395" max="5395" width="2.140625" style="57" customWidth="1"/>
    <col min="5396" max="5396" width="10.42578125" style="57" customWidth="1"/>
    <col min="5397" max="5638" width="9.140625" style="57"/>
    <col min="5639" max="5639" width="10" style="57" customWidth="1"/>
    <col min="5640" max="5640" width="40" style="57" customWidth="1"/>
    <col min="5641" max="5641" width="12.5703125" style="57" customWidth="1"/>
    <col min="5642" max="5643" width="10.42578125" style="57" customWidth="1"/>
    <col min="5644" max="5644" width="11.5703125" style="57" customWidth="1"/>
    <col min="5645" max="5646" width="10.42578125" style="57" customWidth="1"/>
    <col min="5647" max="5647" width="6.5703125" style="57" customWidth="1"/>
    <col min="5648" max="5648" width="11.42578125" style="57" customWidth="1"/>
    <col min="5649" max="5649" width="4.140625" style="57" customWidth="1"/>
    <col min="5650" max="5650" width="18.5703125" style="57" customWidth="1"/>
    <col min="5651" max="5651" width="2.140625" style="57" customWidth="1"/>
    <col min="5652" max="5652" width="10.42578125" style="57" customWidth="1"/>
    <col min="5653" max="5894" width="9.140625" style="57"/>
    <col min="5895" max="5895" width="10" style="57" customWidth="1"/>
    <col min="5896" max="5896" width="40" style="57" customWidth="1"/>
    <col min="5897" max="5897" width="12.5703125" style="57" customWidth="1"/>
    <col min="5898" max="5899" width="10.42578125" style="57" customWidth="1"/>
    <col min="5900" max="5900" width="11.5703125" style="57" customWidth="1"/>
    <col min="5901" max="5902" width="10.42578125" style="57" customWidth="1"/>
    <col min="5903" max="5903" width="6.5703125" style="57" customWidth="1"/>
    <col min="5904" max="5904" width="11.42578125" style="57" customWidth="1"/>
    <col min="5905" max="5905" width="4.140625" style="57" customWidth="1"/>
    <col min="5906" max="5906" width="18.5703125" style="57" customWidth="1"/>
    <col min="5907" max="5907" width="2.140625" style="57" customWidth="1"/>
    <col min="5908" max="5908" width="10.42578125" style="57" customWidth="1"/>
    <col min="5909" max="6150" width="9.140625" style="57"/>
    <col min="6151" max="6151" width="10" style="57" customWidth="1"/>
    <col min="6152" max="6152" width="40" style="57" customWidth="1"/>
    <col min="6153" max="6153" width="12.5703125" style="57" customWidth="1"/>
    <col min="6154" max="6155" width="10.42578125" style="57" customWidth="1"/>
    <col min="6156" max="6156" width="11.5703125" style="57" customWidth="1"/>
    <col min="6157" max="6158" width="10.42578125" style="57" customWidth="1"/>
    <col min="6159" max="6159" width="6.5703125" style="57" customWidth="1"/>
    <col min="6160" max="6160" width="11.42578125" style="57" customWidth="1"/>
    <col min="6161" max="6161" width="4.140625" style="57" customWidth="1"/>
    <col min="6162" max="6162" width="18.5703125" style="57" customWidth="1"/>
    <col min="6163" max="6163" width="2.140625" style="57" customWidth="1"/>
    <col min="6164" max="6164" width="10.42578125" style="57" customWidth="1"/>
    <col min="6165" max="6406" width="9.140625" style="57"/>
    <col min="6407" max="6407" width="10" style="57" customWidth="1"/>
    <col min="6408" max="6408" width="40" style="57" customWidth="1"/>
    <col min="6409" max="6409" width="12.5703125" style="57" customWidth="1"/>
    <col min="6410" max="6411" width="10.42578125" style="57" customWidth="1"/>
    <col min="6412" max="6412" width="11.5703125" style="57" customWidth="1"/>
    <col min="6413" max="6414" width="10.42578125" style="57" customWidth="1"/>
    <col min="6415" max="6415" width="6.5703125" style="57" customWidth="1"/>
    <col min="6416" max="6416" width="11.42578125" style="57" customWidth="1"/>
    <col min="6417" max="6417" width="4.140625" style="57" customWidth="1"/>
    <col min="6418" max="6418" width="18.5703125" style="57" customWidth="1"/>
    <col min="6419" max="6419" width="2.140625" style="57" customWidth="1"/>
    <col min="6420" max="6420" width="10.42578125" style="57" customWidth="1"/>
    <col min="6421" max="6662" width="9.140625" style="57"/>
    <col min="6663" max="6663" width="10" style="57" customWidth="1"/>
    <col min="6664" max="6664" width="40" style="57" customWidth="1"/>
    <col min="6665" max="6665" width="12.5703125" style="57" customWidth="1"/>
    <col min="6666" max="6667" width="10.42578125" style="57" customWidth="1"/>
    <col min="6668" max="6668" width="11.5703125" style="57" customWidth="1"/>
    <col min="6669" max="6670" width="10.42578125" style="57" customWidth="1"/>
    <col min="6671" max="6671" width="6.5703125" style="57" customWidth="1"/>
    <col min="6672" max="6672" width="11.42578125" style="57" customWidth="1"/>
    <col min="6673" max="6673" width="4.140625" style="57" customWidth="1"/>
    <col min="6674" max="6674" width="18.5703125" style="57" customWidth="1"/>
    <col min="6675" max="6675" width="2.140625" style="57" customWidth="1"/>
    <col min="6676" max="6676" width="10.42578125" style="57" customWidth="1"/>
    <col min="6677" max="6918" width="9.140625" style="57"/>
    <col min="6919" max="6919" width="10" style="57" customWidth="1"/>
    <col min="6920" max="6920" width="40" style="57" customWidth="1"/>
    <col min="6921" max="6921" width="12.5703125" style="57" customWidth="1"/>
    <col min="6922" max="6923" width="10.42578125" style="57" customWidth="1"/>
    <col min="6924" max="6924" width="11.5703125" style="57" customWidth="1"/>
    <col min="6925" max="6926" width="10.42578125" style="57" customWidth="1"/>
    <col min="6927" max="6927" width="6.5703125" style="57" customWidth="1"/>
    <col min="6928" max="6928" width="11.42578125" style="57" customWidth="1"/>
    <col min="6929" max="6929" width="4.140625" style="57" customWidth="1"/>
    <col min="6930" max="6930" width="18.5703125" style="57" customWidth="1"/>
    <col min="6931" max="6931" width="2.140625" style="57" customWidth="1"/>
    <col min="6932" max="6932" width="10.42578125" style="57" customWidth="1"/>
    <col min="6933" max="7174" width="9.140625" style="57"/>
    <col min="7175" max="7175" width="10" style="57" customWidth="1"/>
    <col min="7176" max="7176" width="40" style="57" customWidth="1"/>
    <col min="7177" max="7177" width="12.5703125" style="57" customWidth="1"/>
    <col min="7178" max="7179" width="10.42578125" style="57" customWidth="1"/>
    <col min="7180" max="7180" width="11.5703125" style="57" customWidth="1"/>
    <col min="7181" max="7182" width="10.42578125" style="57" customWidth="1"/>
    <col min="7183" max="7183" width="6.5703125" style="57" customWidth="1"/>
    <col min="7184" max="7184" width="11.42578125" style="57" customWidth="1"/>
    <col min="7185" max="7185" width="4.140625" style="57" customWidth="1"/>
    <col min="7186" max="7186" width="18.5703125" style="57" customWidth="1"/>
    <col min="7187" max="7187" width="2.140625" style="57" customWidth="1"/>
    <col min="7188" max="7188" width="10.42578125" style="57" customWidth="1"/>
    <col min="7189" max="7430" width="9.140625" style="57"/>
    <col min="7431" max="7431" width="10" style="57" customWidth="1"/>
    <col min="7432" max="7432" width="40" style="57" customWidth="1"/>
    <col min="7433" max="7433" width="12.5703125" style="57" customWidth="1"/>
    <col min="7434" max="7435" width="10.42578125" style="57" customWidth="1"/>
    <col min="7436" max="7436" width="11.5703125" style="57" customWidth="1"/>
    <col min="7437" max="7438" width="10.42578125" style="57" customWidth="1"/>
    <col min="7439" max="7439" width="6.5703125" style="57" customWidth="1"/>
    <col min="7440" max="7440" width="11.42578125" style="57" customWidth="1"/>
    <col min="7441" max="7441" width="4.140625" style="57" customWidth="1"/>
    <col min="7442" max="7442" width="18.5703125" style="57" customWidth="1"/>
    <col min="7443" max="7443" width="2.140625" style="57" customWidth="1"/>
    <col min="7444" max="7444" width="10.42578125" style="57" customWidth="1"/>
    <col min="7445" max="7686" width="9.140625" style="57"/>
    <col min="7687" max="7687" width="10" style="57" customWidth="1"/>
    <col min="7688" max="7688" width="40" style="57" customWidth="1"/>
    <col min="7689" max="7689" width="12.5703125" style="57" customWidth="1"/>
    <col min="7690" max="7691" width="10.42578125" style="57" customWidth="1"/>
    <col min="7692" max="7692" width="11.5703125" style="57" customWidth="1"/>
    <col min="7693" max="7694" width="10.42578125" style="57" customWidth="1"/>
    <col min="7695" max="7695" width="6.5703125" style="57" customWidth="1"/>
    <col min="7696" max="7696" width="11.42578125" style="57" customWidth="1"/>
    <col min="7697" max="7697" width="4.140625" style="57" customWidth="1"/>
    <col min="7698" max="7698" width="18.5703125" style="57" customWidth="1"/>
    <col min="7699" max="7699" width="2.140625" style="57" customWidth="1"/>
    <col min="7700" max="7700" width="10.42578125" style="57" customWidth="1"/>
    <col min="7701" max="7942" width="9.140625" style="57"/>
    <col min="7943" max="7943" width="10" style="57" customWidth="1"/>
    <col min="7944" max="7944" width="40" style="57" customWidth="1"/>
    <col min="7945" max="7945" width="12.5703125" style="57" customWidth="1"/>
    <col min="7946" max="7947" width="10.42578125" style="57" customWidth="1"/>
    <col min="7948" max="7948" width="11.5703125" style="57" customWidth="1"/>
    <col min="7949" max="7950" width="10.42578125" style="57" customWidth="1"/>
    <col min="7951" max="7951" width="6.5703125" style="57" customWidth="1"/>
    <col min="7952" max="7952" width="11.42578125" style="57" customWidth="1"/>
    <col min="7953" max="7953" width="4.140625" style="57" customWidth="1"/>
    <col min="7954" max="7954" width="18.5703125" style="57" customWidth="1"/>
    <col min="7955" max="7955" width="2.140625" style="57" customWidth="1"/>
    <col min="7956" max="7956" width="10.42578125" style="57" customWidth="1"/>
    <col min="7957" max="8198" width="9.140625" style="57"/>
    <col min="8199" max="8199" width="10" style="57" customWidth="1"/>
    <col min="8200" max="8200" width="40" style="57" customWidth="1"/>
    <col min="8201" max="8201" width="12.5703125" style="57" customWidth="1"/>
    <col min="8202" max="8203" width="10.42578125" style="57" customWidth="1"/>
    <col min="8204" max="8204" width="11.5703125" style="57" customWidth="1"/>
    <col min="8205" max="8206" width="10.42578125" style="57" customWidth="1"/>
    <col min="8207" max="8207" width="6.5703125" style="57" customWidth="1"/>
    <col min="8208" max="8208" width="11.42578125" style="57" customWidth="1"/>
    <col min="8209" max="8209" width="4.140625" style="57" customWidth="1"/>
    <col min="8210" max="8210" width="18.5703125" style="57" customWidth="1"/>
    <col min="8211" max="8211" width="2.140625" style="57" customWidth="1"/>
    <col min="8212" max="8212" width="10.42578125" style="57" customWidth="1"/>
    <col min="8213" max="8454" width="9.140625" style="57"/>
    <col min="8455" max="8455" width="10" style="57" customWidth="1"/>
    <col min="8456" max="8456" width="40" style="57" customWidth="1"/>
    <col min="8457" max="8457" width="12.5703125" style="57" customWidth="1"/>
    <col min="8458" max="8459" width="10.42578125" style="57" customWidth="1"/>
    <col min="8460" max="8460" width="11.5703125" style="57" customWidth="1"/>
    <col min="8461" max="8462" width="10.42578125" style="57" customWidth="1"/>
    <col min="8463" max="8463" width="6.5703125" style="57" customWidth="1"/>
    <col min="8464" max="8464" width="11.42578125" style="57" customWidth="1"/>
    <col min="8465" max="8465" width="4.140625" style="57" customWidth="1"/>
    <col min="8466" max="8466" width="18.5703125" style="57" customWidth="1"/>
    <col min="8467" max="8467" width="2.140625" style="57" customWidth="1"/>
    <col min="8468" max="8468" width="10.42578125" style="57" customWidth="1"/>
    <col min="8469" max="8710" width="9.140625" style="57"/>
    <col min="8711" max="8711" width="10" style="57" customWidth="1"/>
    <col min="8712" max="8712" width="40" style="57" customWidth="1"/>
    <col min="8713" max="8713" width="12.5703125" style="57" customWidth="1"/>
    <col min="8714" max="8715" width="10.42578125" style="57" customWidth="1"/>
    <col min="8716" max="8716" width="11.5703125" style="57" customWidth="1"/>
    <col min="8717" max="8718" width="10.42578125" style="57" customWidth="1"/>
    <col min="8719" max="8719" width="6.5703125" style="57" customWidth="1"/>
    <col min="8720" max="8720" width="11.42578125" style="57" customWidth="1"/>
    <col min="8721" max="8721" width="4.140625" style="57" customWidth="1"/>
    <col min="8722" max="8722" width="18.5703125" style="57" customWidth="1"/>
    <col min="8723" max="8723" width="2.140625" style="57" customWidth="1"/>
    <col min="8724" max="8724" width="10.42578125" style="57" customWidth="1"/>
    <col min="8725" max="8966" width="9.140625" style="57"/>
    <col min="8967" max="8967" width="10" style="57" customWidth="1"/>
    <col min="8968" max="8968" width="40" style="57" customWidth="1"/>
    <col min="8969" max="8969" width="12.5703125" style="57" customWidth="1"/>
    <col min="8970" max="8971" width="10.42578125" style="57" customWidth="1"/>
    <col min="8972" max="8972" width="11.5703125" style="57" customWidth="1"/>
    <col min="8973" max="8974" width="10.42578125" style="57" customWidth="1"/>
    <col min="8975" max="8975" width="6.5703125" style="57" customWidth="1"/>
    <col min="8976" max="8976" width="11.42578125" style="57" customWidth="1"/>
    <col min="8977" max="8977" width="4.140625" style="57" customWidth="1"/>
    <col min="8978" max="8978" width="18.5703125" style="57" customWidth="1"/>
    <col min="8979" max="8979" width="2.140625" style="57" customWidth="1"/>
    <col min="8980" max="8980" width="10.42578125" style="57" customWidth="1"/>
    <col min="8981" max="9222" width="9.140625" style="57"/>
    <col min="9223" max="9223" width="10" style="57" customWidth="1"/>
    <col min="9224" max="9224" width="40" style="57" customWidth="1"/>
    <col min="9225" max="9225" width="12.5703125" style="57" customWidth="1"/>
    <col min="9226" max="9227" width="10.42578125" style="57" customWidth="1"/>
    <col min="9228" max="9228" width="11.5703125" style="57" customWidth="1"/>
    <col min="9229" max="9230" width="10.42578125" style="57" customWidth="1"/>
    <col min="9231" max="9231" width="6.5703125" style="57" customWidth="1"/>
    <col min="9232" max="9232" width="11.42578125" style="57" customWidth="1"/>
    <col min="9233" max="9233" width="4.140625" style="57" customWidth="1"/>
    <col min="9234" max="9234" width="18.5703125" style="57" customWidth="1"/>
    <col min="9235" max="9235" width="2.140625" style="57" customWidth="1"/>
    <col min="9236" max="9236" width="10.42578125" style="57" customWidth="1"/>
    <col min="9237" max="9478" width="9.140625" style="57"/>
    <col min="9479" max="9479" width="10" style="57" customWidth="1"/>
    <col min="9480" max="9480" width="40" style="57" customWidth="1"/>
    <col min="9481" max="9481" width="12.5703125" style="57" customWidth="1"/>
    <col min="9482" max="9483" width="10.42578125" style="57" customWidth="1"/>
    <col min="9484" max="9484" width="11.5703125" style="57" customWidth="1"/>
    <col min="9485" max="9486" width="10.42578125" style="57" customWidth="1"/>
    <col min="9487" max="9487" width="6.5703125" style="57" customWidth="1"/>
    <col min="9488" max="9488" width="11.42578125" style="57" customWidth="1"/>
    <col min="9489" max="9489" width="4.140625" style="57" customWidth="1"/>
    <col min="9490" max="9490" width="18.5703125" style="57" customWidth="1"/>
    <col min="9491" max="9491" width="2.140625" style="57" customWidth="1"/>
    <col min="9492" max="9492" width="10.42578125" style="57" customWidth="1"/>
    <col min="9493" max="9734" width="9.140625" style="57"/>
    <col min="9735" max="9735" width="10" style="57" customWidth="1"/>
    <col min="9736" max="9736" width="40" style="57" customWidth="1"/>
    <col min="9737" max="9737" width="12.5703125" style="57" customWidth="1"/>
    <col min="9738" max="9739" width="10.42578125" style="57" customWidth="1"/>
    <col min="9740" max="9740" width="11.5703125" style="57" customWidth="1"/>
    <col min="9741" max="9742" width="10.42578125" style="57" customWidth="1"/>
    <col min="9743" max="9743" width="6.5703125" style="57" customWidth="1"/>
    <col min="9744" max="9744" width="11.42578125" style="57" customWidth="1"/>
    <col min="9745" max="9745" width="4.140625" style="57" customWidth="1"/>
    <col min="9746" max="9746" width="18.5703125" style="57" customWidth="1"/>
    <col min="9747" max="9747" width="2.140625" style="57" customWidth="1"/>
    <col min="9748" max="9748" width="10.42578125" style="57" customWidth="1"/>
    <col min="9749" max="9990" width="9.140625" style="57"/>
    <col min="9991" max="9991" width="10" style="57" customWidth="1"/>
    <col min="9992" max="9992" width="40" style="57" customWidth="1"/>
    <col min="9993" max="9993" width="12.5703125" style="57" customWidth="1"/>
    <col min="9994" max="9995" width="10.42578125" style="57" customWidth="1"/>
    <col min="9996" max="9996" width="11.5703125" style="57" customWidth="1"/>
    <col min="9997" max="9998" width="10.42578125" style="57" customWidth="1"/>
    <col min="9999" max="9999" width="6.5703125" style="57" customWidth="1"/>
    <col min="10000" max="10000" width="11.42578125" style="57" customWidth="1"/>
    <col min="10001" max="10001" width="4.140625" style="57" customWidth="1"/>
    <col min="10002" max="10002" width="18.5703125" style="57" customWidth="1"/>
    <col min="10003" max="10003" width="2.140625" style="57" customWidth="1"/>
    <col min="10004" max="10004" width="10.42578125" style="57" customWidth="1"/>
    <col min="10005" max="10246" width="9.140625" style="57"/>
    <col min="10247" max="10247" width="10" style="57" customWidth="1"/>
    <col min="10248" max="10248" width="40" style="57" customWidth="1"/>
    <col min="10249" max="10249" width="12.5703125" style="57" customWidth="1"/>
    <col min="10250" max="10251" width="10.42578125" style="57" customWidth="1"/>
    <col min="10252" max="10252" width="11.5703125" style="57" customWidth="1"/>
    <col min="10253" max="10254" width="10.42578125" style="57" customWidth="1"/>
    <col min="10255" max="10255" width="6.5703125" style="57" customWidth="1"/>
    <col min="10256" max="10256" width="11.42578125" style="57" customWidth="1"/>
    <col min="10257" max="10257" width="4.140625" style="57" customWidth="1"/>
    <col min="10258" max="10258" width="18.5703125" style="57" customWidth="1"/>
    <col min="10259" max="10259" width="2.140625" style="57" customWidth="1"/>
    <col min="10260" max="10260" width="10.42578125" style="57" customWidth="1"/>
    <col min="10261" max="10502" width="9.140625" style="57"/>
    <col min="10503" max="10503" width="10" style="57" customWidth="1"/>
    <col min="10504" max="10504" width="40" style="57" customWidth="1"/>
    <col min="10505" max="10505" width="12.5703125" style="57" customWidth="1"/>
    <col min="10506" max="10507" width="10.42578125" style="57" customWidth="1"/>
    <col min="10508" max="10508" width="11.5703125" style="57" customWidth="1"/>
    <col min="10509" max="10510" width="10.42578125" style="57" customWidth="1"/>
    <col min="10511" max="10511" width="6.5703125" style="57" customWidth="1"/>
    <col min="10512" max="10512" width="11.42578125" style="57" customWidth="1"/>
    <col min="10513" max="10513" width="4.140625" style="57" customWidth="1"/>
    <col min="10514" max="10514" width="18.5703125" style="57" customWidth="1"/>
    <col min="10515" max="10515" width="2.140625" style="57" customWidth="1"/>
    <col min="10516" max="10516" width="10.42578125" style="57" customWidth="1"/>
    <col min="10517" max="10758" width="9.140625" style="57"/>
    <col min="10759" max="10759" width="10" style="57" customWidth="1"/>
    <col min="10760" max="10760" width="40" style="57" customWidth="1"/>
    <col min="10761" max="10761" width="12.5703125" style="57" customWidth="1"/>
    <col min="10762" max="10763" width="10.42578125" style="57" customWidth="1"/>
    <col min="10764" max="10764" width="11.5703125" style="57" customWidth="1"/>
    <col min="10765" max="10766" width="10.42578125" style="57" customWidth="1"/>
    <col min="10767" max="10767" width="6.5703125" style="57" customWidth="1"/>
    <col min="10768" max="10768" width="11.42578125" style="57" customWidth="1"/>
    <col min="10769" max="10769" width="4.140625" style="57" customWidth="1"/>
    <col min="10770" max="10770" width="18.5703125" style="57" customWidth="1"/>
    <col min="10771" max="10771" width="2.140625" style="57" customWidth="1"/>
    <col min="10772" max="10772" width="10.42578125" style="57" customWidth="1"/>
    <col min="10773" max="11014" width="9.140625" style="57"/>
    <col min="11015" max="11015" width="10" style="57" customWidth="1"/>
    <col min="11016" max="11016" width="40" style="57" customWidth="1"/>
    <col min="11017" max="11017" width="12.5703125" style="57" customWidth="1"/>
    <col min="11018" max="11019" width="10.42578125" style="57" customWidth="1"/>
    <col min="11020" max="11020" width="11.5703125" style="57" customWidth="1"/>
    <col min="11021" max="11022" width="10.42578125" style="57" customWidth="1"/>
    <col min="11023" max="11023" width="6.5703125" style="57" customWidth="1"/>
    <col min="11024" max="11024" width="11.42578125" style="57" customWidth="1"/>
    <col min="11025" max="11025" width="4.140625" style="57" customWidth="1"/>
    <col min="11026" max="11026" width="18.5703125" style="57" customWidth="1"/>
    <col min="11027" max="11027" width="2.140625" style="57" customWidth="1"/>
    <col min="11028" max="11028" width="10.42578125" style="57" customWidth="1"/>
    <col min="11029" max="11270" width="9.140625" style="57"/>
    <col min="11271" max="11271" width="10" style="57" customWidth="1"/>
    <col min="11272" max="11272" width="40" style="57" customWidth="1"/>
    <col min="11273" max="11273" width="12.5703125" style="57" customWidth="1"/>
    <col min="11274" max="11275" width="10.42578125" style="57" customWidth="1"/>
    <col min="11276" max="11276" width="11.5703125" style="57" customWidth="1"/>
    <col min="11277" max="11278" width="10.42578125" style="57" customWidth="1"/>
    <col min="11279" max="11279" width="6.5703125" style="57" customWidth="1"/>
    <col min="11280" max="11280" width="11.42578125" style="57" customWidth="1"/>
    <col min="11281" max="11281" width="4.140625" style="57" customWidth="1"/>
    <col min="11282" max="11282" width="18.5703125" style="57" customWidth="1"/>
    <col min="11283" max="11283" width="2.140625" style="57" customWidth="1"/>
    <col min="11284" max="11284" width="10.42578125" style="57" customWidth="1"/>
    <col min="11285" max="11526" width="9.140625" style="57"/>
    <col min="11527" max="11527" width="10" style="57" customWidth="1"/>
    <col min="11528" max="11528" width="40" style="57" customWidth="1"/>
    <col min="11529" max="11529" width="12.5703125" style="57" customWidth="1"/>
    <col min="11530" max="11531" width="10.42578125" style="57" customWidth="1"/>
    <col min="11532" max="11532" width="11.5703125" style="57" customWidth="1"/>
    <col min="11533" max="11534" width="10.42578125" style="57" customWidth="1"/>
    <col min="11535" max="11535" width="6.5703125" style="57" customWidth="1"/>
    <col min="11536" max="11536" width="11.42578125" style="57" customWidth="1"/>
    <col min="11537" max="11537" width="4.140625" style="57" customWidth="1"/>
    <col min="11538" max="11538" width="18.5703125" style="57" customWidth="1"/>
    <col min="11539" max="11539" width="2.140625" style="57" customWidth="1"/>
    <col min="11540" max="11540" width="10.42578125" style="57" customWidth="1"/>
    <col min="11541" max="11782" width="9.140625" style="57"/>
    <col min="11783" max="11783" width="10" style="57" customWidth="1"/>
    <col min="11784" max="11784" width="40" style="57" customWidth="1"/>
    <col min="11785" max="11785" width="12.5703125" style="57" customWidth="1"/>
    <col min="11786" max="11787" width="10.42578125" style="57" customWidth="1"/>
    <col min="11788" max="11788" width="11.5703125" style="57" customWidth="1"/>
    <col min="11789" max="11790" width="10.42578125" style="57" customWidth="1"/>
    <col min="11791" max="11791" width="6.5703125" style="57" customWidth="1"/>
    <col min="11792" max="11792" width="11.42578125" style="57" customWidth="1"/>
    <col min="11793" max="11793" width="4.140625" style="57" customWidth="1"/>
    <col min="11794" max="11794" width="18.5703125" style="57" customWidth="1"/>
    <col min="11795" max="11795" width="2.140625" style="57" customWidth="1"/>
    <col min="11796" max="11796" width="10.42578125" style="57" customWidth="1"/>
    <col min="11797" max="12038" width="9.140625" style="57"/>
    <col min="12039" max="12039" width="10" style="57" customWidth="1"/>
    <col min="12040" max="12040" width="40" style="57" customWidth="1"/>
    <col min="12041" max="12041" width="12.5703125" style="57" customWidth="1"/>
    <col min="12042" max="12043" width="10.42578125" style="57" customWidth="1"/>
    <col min="12044" max="12044" width="11.5703125" style="57" customWidth="1"/>
    <col min="12045" max="12046" width="10.42578125" style="57" customWidth="1"/>
    <col min="12047" max="12047" width="6.5703125" style="57" customWidth="1"/>
    <col min="12048" max="12048" width="11.42578125" style="57" customWidth="1"/>
    <col min="12049" max="12049" width="4.140625" style="57" customWidth="1"/>
    <col min="12050" max="12050" width="18.5703125" style="57" customWidth="1"/>
    <col min="12051" max="12051" width="2.140625" style="57" customWidth="1"/>
    <col min="12052" max="12052" width="10.42578125" style="57" customWidth="1"/>
    <col min="12053" max="12294" width="9.140625" style="57"/>
    <col min="12295" max="12295" width="10" style="57" customWidth="1"/>
    <col min="12296" max="12296" width="40" style="57" customWidth="1"/>
    <col min="12297" max="12297" width="12.5703125" style="57" customWidth="1"/>
    <col min="12298" max="12299" width="10.42578125" style="57" customWidth="1"/>
    <col min="12300" max="12300" width="11.5703125" style="57" customWidth="1"/>
    <col min="12301" max="12302" width="10.42578125" style="57" customWidth="1"/>
    <col min="12303" max="12303" width="6.5703125" style="57" customWidth="1"/>
    <col min="12304" max="12304" width="11.42578125" style="57" customWidth="1"/>
    <col min="12305" max="12305" width="4.140625" style="57" customWidth="1"/>
    <col min="12306" max="12306" width="18.5703125" style="57" customWidth="1"/>
    <col min="12307" max="12307" width="2.140625" style="57" customWidth="1"/>
    <col min="12308" max="12308" width="10.42578125" style="57" customWidth="1"/>
    <col min="12309" max="12550" width="9.140625" style="57"/>
    <col min="12551" max="12551" width="10" style="57" customWidth="1"/>
    <col min="12552" max="12552" width="40" style="57" customWidth="1"/>
    <col min="12553" max="12553" width="12.5703125" style="57" customWidth="1"/>
    <col min="12554" max="12555" width="10.42578125" style="57" customWidth="1"/>
    <col min="12556" max="12556" width="11.5703125" style="57" customWidth="1"/>
    <col min="12557" max="12558" width="10.42578125" style="57" customWidth="1"/>
    <col min="12559" max="12559" width="6.5703125" style="57" customWidth="1"/>
    <col min="12560" max="12560" width="11.42578125" style="57" customWidth="1"/>
    <col min="12561" max="12561" width="4.140625" style="57" customWidth="1"/>
    <col min="12562" max="12562" width="18.5703125" style="57" customWidth="1"/>
    <col min="12563" max="12563" width="2.140625" style="57" customWidth="1"/>
    <col min="12564" max="12564" width="10.42578125" style="57" customWidth="1"/>
    <col min="12565" max="12806" width="9.140625" style="57"/>
    <col min="12807" max="12807" width="10" style="57" customWidth="1"/>
    <col min="12808" max="12808" width="40" style="57" customWidth="1"/>
    <col min="12809" max="12809" width="12.5703125" style="57" customWidth="1"/>
    <col min="12810" max="12811" width="10.42578125" style="57" customWidth="1"/>
    <col min="12812" max="12812" width="11.5703125" style="57" customWidth="1"/>
    <col min="12813" max="12814" width="10.42578125" style="57" customWidth="1"/>
    <col min="12815" max="12815" width="6.5703125" style="57" customWidth="1"/>
    <col min="12816" max="12816" width="11.42578125" style="57" customWidth="1"/>
    <col min="12817" max="12817" width="4.140625" style="57" customWidth="1"/>
    <col min="12818" max="12818" width="18.5703125" style="57" customWidth="1"/>
    <col min="12819" max="12819" width="2.140625" style="57" customWidth="1"/>
    <col min="12820" max="12820" width="10.42578125" style="57" customWidth="1"/>
    <col min="12821" max="13062" width="9.140625" style="57"/>
    <col min="13063" max="13063" width="10" style="57" customWidth="1"/>
    <col min="13064" max="13064" width="40" style="57" customWidth="1"/>
    <col min="13065" max="13065" width="12.5703125" style="57" customWidth="1"/>
    <col min="13066" max="13067" width="10.42578125" style="57" customWidth="1"/>
    <col min="13068" max="13068" width="11.5703125" style="57" customWidth="1"/>
    <col min="13069" max="13070" width="10.42578125" style="57" customWidth="1"/>
    <col min="13071" max="13071" width="6.5703125" style="57" customWidth="1"/>
    <col min="13072" max="13072" width="11.42578125" style="57" customWidth="1"/>
    <col min="13073" max="13073" width="4.140625" style="57" customWidth="1"/>
    <col min="13074" max="13074" width="18.5703125" style="57" customWidth="1"/>
    <col min="13075" max="13075" width="2.140625" style="57" customWidth="1"/>
    <col min="13076" max="13076" width="10.42578125" style="57" customWidth="1"/>
    <col min="13077" max="13318" width="9.140625" style="57"/>
    <col min="13319" max="13319" width="10" style="57" customWidth="1"/>
    <col min="13320" max="13320" width="40" style="57" customWidth="1"/>
    <col min="13321" max="13321" width="12.5703125" style="57" customWidth="1"/>
    <col min="13322" max="13323" width="10.42578125" style="57" customWidth="1"/>
    <col min="13324" max="13324" width="11.5703125" style="57" customWidth="1"/>
    <col min="13325" max="13326" width="10.42578125" style="57" customWidth="1"/>
    <col min="13327" max="13327" width="6.5703125" style="57" customWidth="1"/>
    <col min="13328" max="13328" width="11.42578125" style="57" customWidth="1"/>
    <col min="13329" max="13329" width="4.140625" style="57" customWidth="1"/>
    <col min="13330" max="13330" width="18.5703125" style="57" customWidth="1"/>
    <col min="13331" max="13331" width="2.140625" style="57" customWidth="1"/>
    <col min="13332" max="13332" width="10.42578125" style="57" customWidth="1"/>
    <col min="13333" max="13574" width="9.140625" style="57"/>
    <col min="13575" max="13575" width="10" style="57" customWidth="1"/>
    <col min="13576" max="13576" width="40" style="57" customWidth="1"/>
    <col min="13577" max="13577" width="12.5703125" style="57" customWidth="1"/>
    <col min="13578" max="13579" width="10.42578125" style="57" customWidth="1"/>
    <col min="13580" max="13580" width="11.5703125" style="57" customWidth="1"/>
    <col min="13581" max="13582" width="10.42578125" style="57" customWidth="1"/>
    <col min="13583" max="13583" width="6.5703125" style="57" customWidth="1"/>
    <col min="13584" max="13584" width="11.42578125" style="57" customWidth="1"/>
    <col min="13585" max="13585" width="4.140625" style="57" customWidth="1"/>
    <col min="13586" max="13586" width="18.5703125" style="57" customWidth="1"/>
    <col min="13587" max="13587" width="2.140625" style="57" customWidth="1"/>
    <col min="13588" max="13588" width="10.42578125" style="57" customWidth="1"/>
    <col min="13589" max="13830" width="9.140625" style="57"/>
    <col min="13831" max="13831" width="10" style="57" customWidth="1"/>
    <col min="13832" max="13832" width="40" style="57" customWidth="1"/>
    <col min="13833" max="13833" width="12.5703125" style="57" customWidth="1"/>
    <col min="13834" max="13835" width="10.42578125" style="57" customWidth="1"/>
    <col min="13836" max="13836" width="11.5703125" style="57" customWidth="1"/>
    <col min="13837" max="13838" width="10.42578125" style="57" customWidth="1"/>
    <col min="13839" max="13839" width="6.5703125" style="57" customWidth="1"/>
    <col min="13840" max="13840" width="11.42578125" style="57" customWidth="1"/>
    <col min="13841" max="13841" width="4.140625" style="57" customWidth="1"/>
    <col min="13842" max="13842" width="18.5703125" style="57" customWidth="1"/>
    <col min="13843" max="13843" width="2.140625" style="57" customWidth="1"/>
    <col min="13844" max="13844" width="10.42578125" style="57" customWidth="1"/>
    <col min="13845" max="14086" width="9.140625" style="57"/>
    <col min="14087" max="14087" width="10" style="57" customWidth="1"/>
    <col min="14088" max="14088" width="40" style="57" customWidth="1"/>
    <col min="14089" max="14089" width="12.5703125" style="57" customWidth="1"/>
    <col min="14090" max="14091" width="10.42578125" style="57" customWidth="1"/>
    <col min="14092" max="14092" width="11.5703125" style="57" customWidth="1"/>
    <col min="14093" max="14094" width="10.42578125" style="57" customWidth="1"/>
    <col min="14095" max="14095" width="6.5703125" style="57" customWidth="1"/>
    <col min="14096" max="14096" width="11.42578125" style="57" customWidth="1"/>
    <col min="14097" max="14097" width="4.140625" style="57" customWidth="1"/>
    <col min="14098" max="14098" width="18.5703125" style="57" customWidth="1"/>
    <col min="14099" max="14099" width="2.140625" style="57" customWidth="1"/>
    <col min="14100" max="14100" width="10.42578125" style="57" customWidth="1"/>
    <col min="14101" max="14342" width="9.140625" style="57"/>
    <col min="14343" max="14343" width="10" style="57" customWidth="1"/>
    <col min="14344" max="14344" width="40" style="57" customWidth="1"/>
    <col min="14345" max="14345" width="12.5703125" style="57" customWidth="1"/>
    <col min="14346" max="14347" width="10.42578125" style="57" customWidth="1"/>
    <col min="14348" max="14348" width="11.5703125" style="57" customWidth="1"/>
    <col min="14349" max="14350" width="10.42578125" style="57" customWidth="1"/>
    <col min="14351" max="14351" width="6.5703125" style="57" customWidth="1"/>
    <col min="14352" max="14352" width="11.42578125" style="57" customWidth="1"/>
    <col min="14353" max="14353" width="4.140625" style="57" customWidth="1"/>
    <col min="14354" max="14354" width="18.5703125" style="57" customWidth="1"/>
    <col min="14355" max="14355" width="2.140625" style="57" customWidth="1"/>
    <col min="14356" max="14356" width="10.42578125" style="57" customWidth="1"/>
    <col min="14357" max="14598" width="9.140625" style="57"/>
    <col min="14599" max="14599" width="10" style="57" customWidth="1"/>
    <col min="14600" max="14600" width="40" style="57" customWidth="1"/>
    <col min="14601" max="14601" width="12.5703125" style="57" customWidth="1"/>
    <col min="14602" max="14603" width="10.42578125" style="57" customWidth="1"/>
    <col min="14604" max="14604" width="11.5703125" style="57" customWidth="1"/>
    <col min="14605" max="14606" width="10.42578125" style="57" customWidth="1"/>
    <col min="14607" max="14607" width="6.5703125" style="57" customWidth="1"/>
    <col min="14608" max="14608" width="11.42578125" style="57" customWidth="1"/>
    <col min="14609" max="14609" width="4.140625" style="57" customWidth="1"/>
    <col min="14610" max="14610" width="18.5703125" style="57" customWidth="1"/>
    <col min="14611" max="14611" width="2.140625" style="57" customWidth="1"/>
    <col min="14612" max="14612" width="10.42578125" style="57" customWidth="1"/>
    <col min="14613" max="14854" width="9.140625" style="57"/>
    <col min="14855" max="14855" width="10" style="57" customWidth="1"/>
    <col min="14856" max="14856" width="40" style="57" customWidth="1"/>
    <col min="14857" max="14857" width="12.5703125" style="57" customWidth="1"/>
    <col min="14858" max="14859" width="10.42578125" style="57" customWidth="1"/>
    <col min="14860" max="14860" width="11.5703125" style="57" customWidth="1"/>
    <col min="14861" max="14862" width="10.42578125" style="57" customWidth="1"/>
    <col min="14863" max="14863" width="6.5703125" style="57" customWidth="1"/>
    <col min="14864" max="14864" width="11.42578125" style="57" customWidth="1"/>
    <col min="14865" max="14865" width="4.140625" style="57" customWidth="1"/>
    <col min="14866" max="14866" width="18.5703125" style="57" customWidth="1"/>
    <col min="14867" max="14867" width="2.140625" style="57" customWidth="1"/>
    <col min="14868" max="14868" width="10.42578125" style="57" customWidth="1"/>
    <col min="14869" max="15110" width="9.140625" style="57"/>
    <col min="15111" max="15111" width="10" style="57" customWidth="1"/>
    <col min="15112" max="15112" width="40" style="57" customWidth="1"/>
    <col min="15113" max="15113" width="12.5703125" style="57" customWidth="1"/>
    <col min="15114" max="15115" width="10.42578125" style="57" customWidth="1"/>
    <col min="15116" max="15116" width="11.5703125" style="57" customWidth="1"/>
    <col min="15117" max="15118" width="10.42578125" style="57" customWidth="1"/>
    <col min="15119" max="15119" width="6.5703125" style="57" customWidth="1"/>
    <col min="15120" max="15120" width="11.42578125" style="57" customWidth="1"/>
    <col min="15121" max="15121" width="4.140625" style="57" customWidth="1"/>
    <col min="15122" max="15122" width="18.5703125" style="57" customWidth="1"/>
    <col min="15123" max="15123" width="2.140625" style="57" customWidth="1"/>
    <col min="15124" max="15124" width="10.42578125" style="57" customWidth="1"/>
    <col min="15125" max="15366" width="9.140625" style="57"/>
    <col min="15367" max="15367" width="10" style="57" customWidth="1"/>
    <col min="15368" max="15368" width="40" style="57" customWidth="1"/>
    <col min="15369" max="15369" width="12.5703125" style="57" customWidth="1"/>
    <col min="15370" max="15371" width="10.42578125" style="57" customWidth="1"/>
    <col min="15372" max="15372" width="11.5703125" style="57" customWidth="1"/>
    <col min="15373" max="15374" width="10.42578125" style="57" customWidth="1"/>
    <col min="15375" max="15375" width="6.5703125" style="57" customWidth="1"/>
    <col min="15376" max="15376" width="11.42578125" style="57" customWidth="1"/>
    <col min="15377" max="15377" width="4.140625" style="57" customWidth="1"/>
    <col min="15378" max="15378" width="18.5703125" style="57" customWidth="1"/>
    <col min="15379" max="15379" width="2.140625" style="57" customWidth="1"/>
    <col min="15380" max="15380" width="10.42578125" style="57" customWidth="1"/>
    <col min="15381" max="15622" width="9.140625" style="57"/>
    <col min="15623" max="15623" width="10" style="57" customWidth="1"/>
    <col min="15624" max="15624" width="40" style="57" customWidth="1"/>
    <col min="15625" max="15625" width="12.5703125" style="57" customWidth="1"/>
    <col min="15626" max="15627" width="10.42578125" style="57" customWidth="1"/>
    <col min="15628" max="15628" width="11.5703125" style="57" customWidth="1"/>
    <col min="15629" max="15630" width="10.42578125" style="57" customWidth="1"/>
    <col min="15631" max="15631" width="6.5703125" style="57" customWidth="1"/>
    <col min="15632" max="15632" width="11.42578125" style="57" customWidth="1"/>
    <col min="15633" max="15633" width="4.140625" style="57" customWidth="1"/>
    <col min="15634" max="15634" width="18.5703125" style="57" customWidth="1"/>
    <col min="15635" max="15635" width="2.140625" style="57" customWidth="1"/>
    <col min="15636" max="15636" width="10.42578125" style="57" customWidth="1"/>
    <col min="15637" max="15878" width="9.140625" style="57"/>
    <col min="15879" max="15879" width="10" style="57" customWidth="1"/>
    <col min="15880" max="15880" width="40" style="57" customWidth="1"/>
    <col min="15881" max="15881" width="12.5703125" style="57" customWidth="1"/>
    <col min="15882" max="15883" width="10.42578125" style="57" customWidth="1"/>
    <col min="15884" max="15884" width="11.5703125" style="57" customWidth="1"/>
    <col min="15885" max="15886" width="10.42578125" style="57" customWidth="1"/>
    <col min="15887" max="15887" width="6.5703125" style="57" customWidth="1"/>
    <col min="15888" max="15888" width="11.42578125" style="57" customWidth="1"/>
    <col min="15889" max="15889" width="4.140625" style="57" customWidth="1"/>
    <col min="15890" max="15890" width="18.5703125" style="57" customWidth="1"/>
    <col min="15891" max="15891" width="2.140625" style="57" customWidth="1"/>
    <col min="15892" max="15892" width="10.42578125" style="57" customWidth="1"/>
    <col min="15893" max="16134" width="9.140625" style="57"/>
    <col min="16135" max="16135" width="10" style="57" customWidth="1"/>
    <col min="16136" max="16136" width="40" style="57" customWidth="1"/>
    <col min="16137" max="16137" width="12.5703125" style="57" customWidth="1"/>
    <col min="16138" max="16139" width="10.42578125" style="57" customWidth="1"/>
    <col min="16140" max="16140" width="11.5703125" style="57" customWidth="1"/>
    <col min="16141" max="16142" width="10.42578125" style="57" customWidth="1"/>
    <col min="16143" max="16143" width="6.5703125" style="57" customWidth="1"/>
    <col min="16144" max="16144" width="11.42578125" style="57" customWidth="1"/>
    <col min="16145" max="16145" width="4.140625" style="57" customWidth="1"/>
    <col min="16146" max="16146" width="18.5703125" style="57" customWidth="1"/>
    <col min="16147" max="16147" width="2.140625" style="57" customWidth="1"/>
    <col min="16148" max="16148" width="10.42578125" style="57" customWidth="1"/>
    <col min="16149" max="16384" width="9.140625" style="57"/>
  </cols>
  <sheetData>
    <row r="1" spans="2:21" ht="13.5" customHeight="1" x14ac:dyDescent="0.25">
      <c r="H1" s="781" t="s">
        <v>38</v>
      </c>
      <c r="I1" s="781"/>
      <c r="J1" s="781"/>
      <c r="K1" s="781"/>
      <c r="L1" s="781"/>
      <c r="M1" s="781" t="s">
        <v>39</v>
      </c>
      <c r="N1" s="781"/>
      <c r="O1" s="783" t="s">
        <v>40</v>
      </c>
      <c r="P1" s="783"/>
      <c r="Q1" s="783"/>
    </row>
    <row r="2" spans="2:21" s="59" customFormat="1" ht="15" customHeight="1" x14ac:dyDescent="0.25">
      <c r="B2" s="60" t="s">
        <v>41</v>
      </c>
      <c r="C2" s="61" t="s">
        <v>42</v>
      </c>
      <c r="D2" s="61" t="s">
        <v>43</v>
      </c>
      <c r="E2" s="61" t="s">
        <v>44</v>
      </c>
      <c r="F2" s="61" t="s">
        <v>45</v>
      </c>
      <c r="G2" s="61" t="s">
        <v>46</v>
      </c>
      <c r="H2" s="61" t="s">
        <v>47</v>
      </c>
      <c r="I2" s="61" t="s">
        <v>48</v>
      </c>
      <c r="J2" s="61" t="s">
        <v>47</v>
      </c>
      <c r="K2" s="61" t="s">
        <v>48</v>
      </c>
      <c r="L2" s="65" t="s">
        <v>49</v>
      </c>
      <c r="M2" s="65" t="s">
        <v>39</v>
      </c>
      <c r="N2" s="65" t="s">
        <v>49</v>
      </c>
      <c r="O2" s="65" t="s">
        <v>47</v>
      </c>
      <c r="P2" s="65" t="s">
        <v>48</v>
      </c>
      <c r="Q2" s="65" t="s">
        <v>49</v>
      </c>
      <c r="R2" s="63" t="s">
        <v>50</v>
      </c>
    </row>
    <row r="3" spans="2:21" ht="15" customHeight="1" x14ac:dyDescent="0.25">
      <c r="B3" s="67">
        <v>2</v>
      </c>
      <c r="C3" s="68" t="s">
        <v>51</v>
      </c>
      <c r="D3" s="110" t="s">
        <v>60</v>
      </c>
      <c r="E3" s="69">
        <v>44599</v>
      </c>
      <c r="F3" s="69"/>
      <c r="G3" s="68"/>
      <c r="H3" s="72"/>
      <c r="I3" s="72"/>
      <c r="J3" s="72"/>
      <c r="K3" s="72"/>
      <c r="L3" s="131">
        <f>(I3-H3)</f>
        <v>0</v>
      </c>
      <c r="M3" s="132"/>
      <c r="N3" s="133">
        <v>0</v>
      </c>
      <c r="O3" s="109"/>
      <c r="P3" s="109"/>
      <c r="Q3" s="78">
        <v>0</v>
      </c>
      <c r="R3" s="134"/>
      <c r="T3" s="81" t="s">
        <v>53</v>
      </c>
      <c r="U3" s="82">
        <v>4</v>
      </c>
    </row>
    <row r="4" spans="2:21" ht="15" customHeight="1" x14ac:dyDescent="0.25">
      <c r="B4" s="67">
        <v>3</v>
      </c>
      <c r="C4" s="68" t="s">
        <v>55</v>
      </c>
      <c r="D4" s="110" t="s">
        <v>60</v>
      </c>
      <c r="E4" s="69">
        <v>44602</v>
      </c>
      <c r="F4" s="69"/>
      <c r="G4" s="68"/>
      <c r="H4" s="72">
        <v>45513</v>
      </c>
      <c r="I4" s="72">
        <v>45513</v>
      </c>
      <c r="J4" s="72"/>
      <c r="K4" s="72"/>
      <c r="L4" s="131">
        <v>1</v>
      </c>
      <c r="M4" s="132"/>
      <c r="N4" s="133">
        <v>0</v>
      </c>
      <c r="O4" s="109"/>
      <c r="P4" s="109"/>
      <c r="Q4" s="78">
        <v>0</v>
      </c>
      <c r="R4" s="134"/>
      <c r="T4" s="83" t="s">
        <v>44</v>
      </c>
      <c r="U4" s="84">
        <v>0</v>
      </c>
    </row>
    <row r="5" spans="2:21" ht="15" customHeight="1" x14ac:dyDescent="0.25">
      <c r="B5" s="67">
        <v>5</v>
      </c>
      <c r="C5" s="116" t="s">
        <v>63</v>
      </c>
      <c r="D5" s="110" t="s">
        <v>60</v>
      </c>
      <c r="E5" s="118">
        <v>45477</v>
      </c>
      <c r="F5" s="118"/>
      <c r="G5" s="116"/>
      <c r="H5" s="121"/>
      <c r="I5" s="121"/>
      <c r="J5" s="121"/>
      <c r="K5" s="121"/>
      <c r="L5" s="131">
        <v>0</v>
      </c>
      <c r="M5" s="145">
        <v>45525</v>
      </c>
      <c r="N5" s="141">
        <v>1</v>
      </c>
      <c r="O5" s="127"/>
      <c r="P5" s="127"/>
      <c r="Q5" s="78">
        <v>0</v>
      </c>
      <c r="R5" s="142"/>
      <c r="T5" s="83" t="s">
        <v>45</v>
      </c>
      <c r="U5" s="84">
        <v>1</v>
      </c>
    </row>
    <row r="6" spans="2:21" ht="15" customHeight="1" x14ac:dyDescent="0.25">
      <c r="B6" s="146">
        <v>4</v>
      </c>
      <c r="C6" s="147" t="s">
        <v>62</v>
      </c>
      <c r="D6" s="148" t="s">
        <v>60</v>
      </c>
      <c r="E6" s="149">
        <v>45426</v>
      </c>
      <c r="F6" s="87"/>
      <c r="G6" s="86"/>
      <c r="H6" s="90"/>
      <c r="I6" s="90"/>
      <c r="J6" s="90"/>
      <c r="K6" s="90"/>
      <c r="L6" s="135">
        <v>0</v>
      </c>
      <c r="M6" s="144"/>
      <c r="N6" s="137">
        <v>0</v>
      </c>
      <c r="O6" s="96"/>
      <c r="P6" s="96"/>
      <c r="Q6" s="138">
        <v>0</v>
      </c>
      <c r="R6" s="150" t="s">
        <v>64</v>
      </c>
      <c r="T6" s="100" t="s">
        <v>56</v>
      </c>
      <c r="U6" s="101">
        <f>U3+U4-U5</f>
        <v>3</v>
      </c>
    </row>
    <row r="7" spans="2:21" ht="15" customHeight="1" x14ac:dyDescent="0.25">
      <c r="L7" s="99">
        <f>SUM(L3:L6)</f>
        <v>1</v>
      </c>
      <c r="N7" s="99">
        <f>SUM(N3:N6)</f>
        <v>1</v>
      </c>
      <c r="O7" s="99"/>
      <c r="P7" s="99"/>
      <c r="Q7" s="99">
        <f>SUM(Q3:Q6)</f>
        <v>0</v>
      </c>
    </row>
    <row r="8" spans="2:21" ht="15" customHeight="1" x14ac:dyDescent="0.25">
      <c r="T8" s="81" t="s">
        <v>57</v>
      </c>
      <c r="U8" s="82">
        <v>2</v>
      </c>
    </row>
    <row r="9" spans="2:21" ht="15" customHeight="1" x14ac:dyDescent="0.25">
      <c r="T9" s="100" t="s">
        <v>13</v>
      </c>
      <c r="U9" s="101">
        <f>U6+U8</f>
        <v>5</v>
      </c>
    </row>
    <row r="10" spans="2:21" ht="15" customHeight="1" x14ac:dyDescent="0.25"/>
    <row r="11" spans="2:21" ht="15" customHeight="1" x14ac:dyDescent="0.25">
      <c r="T11" s="784" t="s">
        <v>58</v>
      </c>
      <c r="U11" s="784"/>
    </row>
    <row r="12" spans="2:21" ht="15" customHeight="1" x14ac:dyDescent="0.25">
      <c r="T12" s="83" t="s">
        <v>38</v>
      </c>
      <c r="U12" s="102">
        <f>L7</f>
        <v>1</v>
      </c>
    </row>
    <row r="13" spans="2:21" ht="15" customHeight="1" x14ac:dyDescent="0.25">
      <c r="T13" s="103" t="s">
        <v>39</v>
      </c>
      <c r="U13" s="104">
        <f>N7</f>
        <v>1</v>
      </c>
    </row>
    <row r="14" spans="2:21" ht="15" customHeight="1" x14ac:dyDescent="0.25"/>
    <row r="15" spans="2:21" ht="15" customHeight="1" x14ac:dyDescent="0.25">
      <c r="T15" s="81" t="s">
        <v>40</v>
      </c>
      <c r="U15" s="105">
        <f>Q7</f>
        <v>0</v>
      </c>
    </row>
    <row r="16" spans="2:21" ht="15" customHeight="1" x14ac:dyDescent="0.25">
      <c r="T16" s="103" t="s">
        <v>59</v>
      </c>
      <c r="U16" s="104">
        <v>0</v>
      </c>
    </row>
    <row r="17" spans="20:21" ht="15" customHeight="1" x14ac:dyDescent="0.25"/>
    <row r="18" spans="20:21" ht="15" customHeight="1" x14ac:dyDescent="0.25">
      <c r="T18" s="106" t="s">
        <v>22</v>
      </c>
      <c r="U18" s="107">
        <v>22</v>
      </c>
    </row>
    <row r="19" spans="20:21" ht="15" customHeight="1" x14ac:dyDescent="0.25"/>
    <row r="20" spans="20:21" ht="15" customHeight="1" x14ac:dyDescent="0.25"/>
    <row r="21" spans="20:21" ht="15" customHeight="1" x14ac:dyDescent="0.25"/>
    <row r="22" spans="20:21" ht="15" customHeight="1" x14ac:dyDescent="0.25"/>
    <row r="23" spans="20:21" ht="15" customHeight="1" x14ac:dyDescent="0.25"/>
    <row r="24" spans="20:21" ht="15" customHeight="1" x14ac:dyDescent="0.25"/>
    <row r="25" spans="20:21" ht="15" customHeight="1" x14ac:dyDescent="0.25"/>
    <row r="26" spans="20:21" ht="15" customHeight="1" x14ac:dyDescent="0.25"/>
    <row r="27" spans="20:21" ht="15" customHeight="1" x14ac:dyDescent="0.25"/>
    <row r="28" spans="20:21" ht="15" customHeight="1" x14ac:dyDescent="0.25"/>
    <row r="29" spans="20:21" ht="15" customHeight="1" x14ac:dyDescent="0.25"/>
    <row r="30" spans="20:21" ht="15" customHeight="1" x14ac:dyDescent="0.25"/>
    <row r="31" spans="20:21" ht="15" customHeight="1" x14ac:dyDescent="0.25"/>
    <row r="32" spans="20:21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</sheetData>
  <mergeCells count="4">
    <mergeCell ref="H1:L1"/>
    <mergeCell ref="M1:N1"/>
    <mergeCell ref="O1:Q1"/>
    <mergeCell ref="T11:U11"/>
  </mergeCells>
  <pageMargins left="0.25" right="0.25" top="0.75" bottom="0.75" header="0.511811023622047" footer="0.511811023622047"/>
  <pageSetup paperSize="9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U36"/>
  <sheetViews>
    <sheetView showGridLines="0" zoomScaleNormal="100" workbookViewId="0">
      <selection activeCell="E15" sqref="E15"/>
    </sheetView>
  </sheetViews>
  <sheetFormatPr defaultColWidth="9.140625" defaultRowHeight="12.75" x14ac:dyDescent="0.25"/>
  <cols>
    <col min="1" max="1" width="9.140625" style="57"/>
    <col min="2" max="2" width="10" style="57" customWidth="1"/>
    <col min="3" max="3" width="40" style="57" customWidth="1"/>
    <col min="4" max="4" width="12.5703125" style="57" customWidth="1"/>
    <col min="5" max="6" width="10.42578125" style="57" customWidth="1"/>
    <col min="7" max="7" width="11.5703125" style="57" customWidth="1"/>
    <col min="8" max="11" width="10.42578125" style="57" customWidth="1"/>
    <col min="12" max="12" width="4.140625" style="57" customWidth="1"/>
    <col min="13" max="13" width="11.42578125" style="58" customWidth="1"/>
    <col min="14" max="14" width="4.140625" style="57" customWidth="1"/>
    <col min="15" max="16" width="10.42578125" style="57" customWidth="1"/>
    <col min="17" max="17" width="4.140625" style="57" customWidth="1"/>
    <col min="18" max="18" width="27.140625" style="57" customWidth="1"/>
    <col min="19" max="19" width="2.140625" style="57" customWidth="1"/>
    <col min="20" max="20" width="13.140625" style="57" customWidth="1"/>
    <col min="21" max="21" width="3" style="57" customWidth="1"/>
    <col min="22" max="262" width="9.140625" style="57"/>
    <col min="263" max="263" width="10" style="57" customWidth="1"/>
    <col min="264" max="264" width="40" style="57" customWidth="1"/>
    <col min="265" max="265" width="12.5703125" style="57" customWidth="1"/>
    <col min="266" max="267" width="10.42578125" style="57" customWidth="1"/>
    <col min="268" max="268" width="11.5703125" style="57" customWidth="1"/>
    <col min="269" max="270" width="10.42578125" style="57" customWidth="1"/>
    <col min="271" max="271" width="6.5703125" style="57" customWidth="1"/>
    <col min="272" max="272" width="11.42578125" style="57" customWidth="1"/>
    <col min="273" max="273" width="4.140625" style="57" customWidth="1"/>
    <col min="274" max="274" width="18.5703125" style="57" customWidth="1"/>
    <col min="275" max="275" width="2.140625" style="57" customWidth="1"/>
    <col min="276" max="276" width="10.42578125" style="57" customWidth="1"/>
    <col min="277" max="518" width="9.140625" style="57"/>
    <col min="519" max="519" width="10" style="57" customWidth="1"/>
    <col min="520" max="520" width="40" style="57" customWidth="1"/>
    <col min="521" max="521" width="12.5703125" style="57" customWidth="1"/>
    <col min="522" max="523" width="10.42578125" style="57" customWidth="1"/>
    <col min="524" max="524" width="11.5703125" style="57" customWidth="1"/>
    <col min="525" max="526" width="10.42578125" style="57" customWidth="1"/>
    <col min="527" max="527" width="6.5703125" style="57" customWidth="1"/>
    <col min="528" max="528" width="11.42578125" style="57" customWidth="1"/>
    <col min="529" max="529" width="4.140625" style="57" customWidth="1"/>
    <col min="530" max="530" width="18.5703125" style="57" customWidth="1"/>
    <col min="531" max="531" width="2.140625" style="57" customWidth="1"/>
    <col min="532" max="532" width="10.42578125" style="57" customWidth="1"/>
    <col min="533" max="774" width="9.140625" style="57"/>
    <col min="775" max="775" width="10" style="57" customWidth="1"/>
    <col min="776" max="776" width="40" style="57" customWidth="1"/>
    <col min="777" max="777" width="12.5703125" style="57" customWidth="1"/>
    <col min="778" max="779" width="10.42578125" style="57" customWidth="1"/>
    <col min="780" max="780" width="11.5703125" style="57" customWidth="1"/>
    <col min="781" max="782" width="10.42578125" style="57" customWidth="1"/>
    <col min="783" max="783" width="6.5703125" style="57" customWidth="1"/>
    <col min="784" max="784" width="11.42578125" style="57" customWidth="1"/>
    <col min="785" max="785" width="4.140625" style="57" customWidth="1"/>
    <col min="786" max="786" width="18.5703125" style="57" customWidth="1"/>
    <col min="787" max="787" width="2.140625" style="57" customWidth="1"/>
    <col min="788" max="788" width="10.42578125" style="57" customWidth="1"/>
    <col min="789" max="1030" width="9.140625" style="57"/>
    <col min="1031" max="1031" width="10" style="57" customWidth="1"/>
    <col min="1032" max="1032" width="40" style="57" customWidth="1"/>
    <col min="1033" max="1033" width="12.5703125" style="57" customWidth="1"/>
    <col min="1034" max="1035" width="10.42578125" style="57" customWidth="1"/>
    <col min="1036" max="1036" width="11.5703125" style="57" customWidth="1"/>
    <col min="1037" max="1038" width="10.42578125" style="57" customWidth="1"/>
    <col min="1039" max="1039" width="6.5703125" style="57" customWidth="1"/>
    <col min="1040" max="1040" width="11.42578125" style="57" customWidth="1"/>
    <col min="1041" max="1041" width="4.140625" style="57" customWidth="1"/>
    <col min="1042" max="1042" width="18.5703125" style="57" customWidth="1"/>
    <col min="1043" max="1043" width="2.140625" style="57" customWidth="1"/>
    <col min="1044" max="1044" width="10.42578125" style="57" customWidth="1"/>
    <col min="1045" max="1286" width="9.140625" style="57"/>
    <col min="1287" max="1287" width="10" style="57" customWidth="1"/>
    <col min="1288" max="1288" width="40" style="57" customWidth="1"/>
    <col min="1289" max="1289" width="12.5703125" style="57" customWidth="1"/>
    <col min="1290" max="1291" width="10.42578125" style="57" customWidth="1"/>
    <col min="1292" max="1292" width="11.5703125" style="57" customWidth="1"/>
    <col min="1293" max="1294" width="10.42578125" style="57" customWidth="1"/>
    <col min="1295" max="1295" width="6.5703125" style="57" customWidth="1"/>
    <col min="1296" max="1296" width="11.42578125" style="57" customWidth="1"/>
    <col min="1297" max="1297" width="4.140625" style="57" customWidth="1"/>
    <col min="1298" max="1298" width="18.5703125" style="57" customWidth="1"/>
    <col min="1299" max="1299" width="2.140625" style="57" customWidth="1"/>
    <col min="1300" max="1300" width="10.42578125" style="57" customWidth="1"/>
    <col min="1301" max="1542" width="9.140625" style="57"/>
    <col min="1543" max="1543" width="10" style="57" customWidth="1"/>
    <col min="1544" max="1544" width="40" style="57" customWidth="1"/>
    <col min="1545" max="1545" width="12.5703125" style="57" customWidth="1"/>
    <col min="1546" max="1547" width="10.42578125" style="57" customWidth="1"/>
    <col min="1548" max="1548" width="11.5703125" style="57" customWidth="1"/>
    <col min="1549" max="1550" width="10.42578125" style="57" customWidth="1"/>
    <col min="1551" max="1551" width="6.5703125" style="57" customWidth="1"/>
    <col min="1552" max="1552" width="11.42578125" style="57" customWidth="1"/>
    <col min="1553" max="1553" width="4.140625" style="57" customWidth="1"/>
    <col min="1554" max="1554" width="18.5703125" style="57" customWidth="1"/>
    <col min="1555" max="1555" width="2.140625" style="57" customWidth="1"/>
    <col min="1556" max="1556" width="10.42578125" style="57" customWidth="1"/>
    <col min="1557" max="1798" width="9.140625" style="57"/>
    <col min="1799" max="1799" width="10" style="57" customWidth="1"/>
    <col min="1800" max="1800" width="40" style="57" customWidth="1"/>
    <col min="1801" max="1801" width="12.5703125" style="57" customWidth="1"/>
    <col min="1802" max="1803" width="10.42578125" style="57" customWidth="1"/>
    <col min="1804" max="1804" width="11.5703125" style="57" customWidth="1"/>
    <col min="1805" max="1806" width="10.42578125" style="57" customWidth="1"/>
    <col min="1807" max="1807" width="6.5703125" style="57" customWidth="1"/>
    <col min="1808" max="1808" width="11.42578125" style="57" customWidth="1"/>
    <col min="1809" max="1809" width="4.140625" style="57" customWidth="1"/>
    <col min="1810" max="1810" width="18.5703125" style="57" customWidth="1"/>
    <col min="1811" max="1811" width="2.140625" style="57" customWidth="1"/>
    <col min="1812" max="1812" width="10.42578125" style="57" customWidth="1"/>
    <col min="1813" max="2054" width="9.140625" style="57"/>
    <col min="2055" max="2055" width="10" style="57" customWidth="1"/>
    <col min="2056" max="2056" width="40" style="57" customWidth="1"/>
    <col min="2057" max="2057" width="12.5703125" style="57" customWidth="1"/>
    <col min="2058" max="2059" width="10.42578125" style="57" customWidth="1"/>
    <col min="2060" max="2060" width="11.5703125" style="57" customWidth="1"/>
    <col min="2061" max="2062" width="10.42578125" style="57" customWidth="1"/>
    <col min="2063" max="2063" width="6.5703125" style="57" customWidth="1"/>
    <col min="2064" max="2064" width="11.42578125" style="57" customWidth="1"/>
    <col min="2065" max="2065" width="4.140625" style="57" customWidth="1"/>
    <col min="2066" max="2066" width="18.5703125" style="57" customWidth="1"/>
    <col min="2067" max="2067" width="2.140625" style="57" customWidth="1"/>
    <col min="2068" max="2068" width="10.42578125" style="57" customWidth="1"/>
    <col min="2069" max="2310" width="9.140625" style="57"/>
    <col min="2311" max="2311" width="10" style="57" customWidth="1"/>
    <col min="2312" max="2312" width="40" style="57" customWidth="1"/>
    <col min="2313" max="2313" width="12.5703125" style="57" customWidth="1"/>
    <col min="2314" max="2315" width="10.42578125" style="57" customWidth="1"/>
    <col min="2316" max="2316" width="11.5703125" style="57" customWidth="1"/>
    <col min="2317" max="2318" width="10.42578125" style="57" customWidth="1"/>
    <col min="2319" max="2319" width="6.5703125" style="57" customWidth="1"/>
    <col min="2320" max="2320" width="11.42578125" style="57" customWidth="1"/>
    <col min="2321" max="2321" width="4.140625" style="57" customWidth="1"/>
    <col min="2322" max="2322" width="18.5703125" style="57" customWidth="1"/>
    <col min="2323" max="2323" width="2.140625" style="57" customWidth="1"/>
    <col min="2324" max="2324" width="10.42578125" style="57" customWidth="1"/>
    <col min="2325" max="2566" width="9.140625" style="57"/>
    <col min="2567" max="2567" width="10" style="57" customWidth="1"/>
    <col min="2568" max="2568" width="40" style="57" customWidth="1"/>
    <col min="2569" max="2569" width="12.5703125" style="57" customWidth="1"/>
    <col min="2570" max="2571" width="10.42578125" style="57" customWidth="1"/>
    <col min="2572" max="2572" width="11.5703125" style="57" customWidth="1"/>
    <col min="2573" max="2574" width="10.42578125" style="57" customWidth="1"/>
    <col min="2575" max="2575" width="6.5703125" style="57" customWidth="1"/>
    <col min="2576" max="2576" width="11.42578125" style="57" customWidth="1"/>
    <col min="2577" max="2577" width="4.140625" style="57" customWidth="1"/>
    <col min="2578" max="2578" width="18.5703125" style="57" customWidth="1"/>
    <col min="2579" max="2579" width="2.140625" style="57" customWidth="1"/>
    <col min="2580" max="2580" width="10.42578125" style="57" customWidth="1"/>
    <col min="2581" max="2822" width="9.140625" style="57"/>
    <col min="2823" max="2823" width="10" style="57" customWidth="1"/>
    <col min="2824" max="2824" width="40" style="57" customWidth="1"/>
    <col min="2825" max="2825" width="12.5703125" style="57" customWidth="1"/>
    <col min="2826" max="2827" width="10.42578125" style="57" customWidth="1"/>
    <col min="2828" max="2828" width="11.5703125" style="57" customWidth="1"/>
    <col min="2829" max="2830" width="10.42578125" style="57" customWidth="1"/>
    <col min="2831" max="2831" width="6.5703125" style="57" customWidth="1"/>
    <col min="2832" max="2832" width="11.42578125" style="57" customWidth="1"/>
    <col min="2833" max="2833" width="4.140625" style="57" customWidth="1"/>
    <col min="2834" max="2834" width="18.5703125" style="57" customWidth="1"/>
    <col min="2835" max="2835" width="2.140625" style="57" customWidth="1"/>
    <col min="2836" max="2836" width="10.42578125" style="57" customWidth="1"/>
    <col min="2837" max="3078" width="9.140625" style="57"/>
    <col min="3079" max="3079" width="10" style="57" customWidth="1"/>
    <col min="3080" max="3080" width="40" style="57" customWidth="1"/>
    <col min="3081" max="3081" width="12.5703125" style="57" customWidth="1"/>
    <col min="3082" max="3083" width="10.42578125" style="57" customWidth="1"/>
    <col min="3084" max="3084" width="11.5703125" style="57" customWidth="1"/>
    <col min="3085" max="3086" width="10.42578125" style="57" customWidth="1"/>
    <col min="3087" max="3087" width="6.5703125" style="57" customWidth="1"/>
    <col min="3088" max="3088" width="11.42578125" style="57" customWidth="1"/>
    <col min="3089" max="3089" width="4.140625" style="57" customWidth="1"/>
    <col min="3090" max="3090" width="18.5703125" style="57" customWidth="1"/>
    <col min="3091" max="3091" width="2.140625" style="57" customWidth="1"/>
    <col min="3092" max="3092" width="10.42578125" style="57" customWidth="1"/>
    <col min="3093" max="3334" width="9.140625" style="57"/>
    <col min="3335" max="3335" width="10" style="57" customWidth="1"/>
    <col min="3336" max="3336" width="40" style="57" customWidth="1"/>
    <col min="3337" max="3337" width="12.5703125" style="57" customWidth="1"/>
    <col min="3338" max="3339" width="10.42578125" style="57" customWidth="1"/>
    <col min="3340" max="3340" width="11.5703125" style="57" customWidth="1"/>
    <col min="3341" max="3342" width="10.42578125" style="57" customWidth="1"/>
    <col min="3343" max="3343" width="6.5703125" style="57" customWidth="1"/>
    <col min="3344" max="3344" width="11.42578125" style="57" customWidth="1"/>
    <col min="3345" max="3345" width="4.140625" style="57" customWidth="1"/>
    <col min="3346" max="3346" width="18.5703125" style="57" customWidth="1"/>
    <col min="3347" max="3347" width="2.140625" style="57" customWidth="1"/>
    <col min="3348" max="3348" width="10.42578125" style="57" customWidth="1"/>
    <col min="3349" max="3590" width="9.140625" style="57"/>
    <col min="3591" max="3591" width="10" style="57" customWidth="1"/>
    <col min="3592" max="3592" width="40" style="57" customWidth="1"/>
    <col min="3593" max="3593" width="12.5703125" style="57" customWidth="1"/>
    <col min="3594" max="3595" width="10.42578125" style="57" customWidth="1"/>
    <col min="3596" max="3596" width="11.5703125" style="57" customWidth="1"/>
    <col min="3597" max="3598" width="10.42578125" style="57" customWidth="1"/>
    <col min="3599" max="3599" width="6.5703125" style="57" customWidth="1"/>
    <col min="3600" max="3600" width="11.42578125" style="57" customWidth="1"/>
    <col min="3601" max="3601" width="4.140625" style="57" customWidth="1"/>
    <col min="3602" max="3602" width="18.5703125" style="57" customWidth="1"/>
    <col min="3603" max="3603" width="2.140625" style="57" customWidth="1"/>
    <col min="3604" max="3604" width="10.42578125" style="57" customWidth="1"/>
    <col min="3605" max="3846" width="9.140625" style="57"/>
    <col min="3847" max="3847" width="10" style="57" customWidth="1"/>
    <col min="3848" max="3848" width="40" style="57" customWidth="1"/>
    <col min="3849" max="3849" width="12.5703125" style="57" customWidth="1"/>
    <col min="3850" max="3851" width="10.42578125" style="57" customWidth="1"/>
    <col min="3852" max="3852" width="11.5703125" style="57" customWidth="1"/>
    <col min="3853" max="3854" width="10.42578125" style="57" customWidth="1"/>
    <col min="3855" max="3855" width="6.5703125" style="57" customWidth="1"/>
    <col min="3856" max="3856" width="11.42578125" style="57" customWidth="1"/>
    <col min="3857" max="3857" width="4.140625" style="57" customWidth="1"/>
    <col min="3858" max="3858" width="18.5703125" style="57" customWidth="1"/>
    <col min="3859" max="3859" width="2.140625" style="57" customWidth="1"/>
    <col min="3860" max="3860" width="10.42578125" style="57" customWidth="1"/>
    <col min="3861" max="4102" width="9.140625" style="57"/>
    <col min="4103" max="4103" width="10" style="57" customWidth="1"/>
    <col min="4104" max="4104" width="40" style="57" customWidth="1"/>
    <col min="4105" max="4105" width="12.5703125" style="57" customWidth="1"/>
    <col min="4106" max="4107" width="10.42578125" style="57" customWidth="1"/>
    <col min="4108" max="4108" width="11.5703125" style="57" customWidth="1"/>
    <col min="4109" max="4110" width="10.42578125" style="57" customWidth="1"/>
    <col min="4111" max="4111" width="6.5703125" style="57" customWidth="1"/>
    <col min="4112" max="4112" width="11.42578125" style="57" customWidth="1"/>
    <col min="4113" max="4113" width="4.140625" style="57" customWidth="1"/>
    <col min="4114" max="4114" width="18.5703125" style="57" customWidth="1"/>
    <col min="4115" max="4115" width="2.140625" style="57" customWidth="1"/>
    <col min="4116" max="4116" width="10.42578125" style="57" customWidth="1"/>
    <col min="4117" max="4358" width="9.140625" style="57"/>
    <col min="4359" max="4359" width="10" style="57" customWidth="1"/>
    <col min="4360" max="4360" width="40" style="57" customWidth="1"/>
    <col min="4361" max="4361" width="12.5703125" style="57" customWidth="1"/>
    <col min="4362" max="4363" width="10.42578125" style="57" customWidth="1"/>
    <col min="4364" max="4364" width="11.5703125" style="57" customWidth="1"/>
    <col min="4365" max="4366" width="10.42578125" style="57" customWidth="1"/>
    <col min="4367" max="4367" width="6.5703125" style="57" customWidth="1"/>
    <col min="4368" max="4368" width="11.42578125" style="57" customWidth="1"/>
    <col min="4369" max="4369" width="4.140625" style="57" customWidth="1"/>
    <col min="4370" max="4370" width="18.5703125" style="57" customWidth="1"/>
    <col min="4371" max="4371" width="2.140625" style="57" customWidth="1"/>
    <col min="4372" max="4372" width="10.42578125" style="57" customWidth="1"/>
    <col min="4373" max="4614" width="9.140625" style="57"/>
    <col min="4615" max="4615" width="10" style="57" customWidth="1"/>
    <col min="4616" max="4616" width="40" style="57" customWidth="1"/>
    <col min="4617" max="4617" width="12.5703125" style="57" customWidth="1"/>
    <col min="4618" max="4619" width="10.42578125" style="57" customWidth="1"/>
    <col min="4620" max="4620" width="11.5703125" style="57" customWidth="1"/>
    <col min="4621" max="4622" width="10.42578125" style="57" customWidth="1"/>
    <col min="4623" max="4623" width="6.5703125" style="57" customWidth="1"/>
    <col min="4624" max="4624" width="11.42578125" style="57" customWidth="1"/>
    <col min="4625" max="4625" width="4.140625" style="57" customWidth="1"/>
    <col min="4626" max="4626" width="18.5703125" style="57" customWidth="1"/>
    <col min="4627" max="4627" width="2.140625" style="57" customWidth="1"/>
    <col min="4628" max="4628" width="10.42578125" style="57" customWidth="1"/>
    <col min="4629" max="4870" width="9.140625" style="57"/>
    <col min="4871" max="4871" width="10" style="57" customWidth="1"/>
    <col min="4872" max="4872" width="40" style="57" customWidth="1"/>
    <col min="4873" max="4873" width="12.5703125" style="57" customWidth="1"/>
    <col min="4874" max="4875" width="10.42578125" style="57" customWidth="1"/>
    <col min="4876" max="4876" width="11.5703125" style="57" customWidth="1"/>
    <col min="4877" max="4878" width="10.42578125" style="57" customWidth="1"/>
    <col min="4879" max="4879" width="6.5703125" style="57" customWidth="1"/>
    <col min="4880" max="4880" width="11.42578125" style="57" customWidth="1"/>
    <col min="4881" max="4881" width="4.140625" style="57" customWidth="1"/>
    <col min="4882" max="4882" width="18.5703125" style="57" customWidth="1"/>
    <col min="4883" max="4883" width="2.140625" style="57" customWidth="1"/>
    <col min="4884" max="4884" width="10.42578125" style="57" customWidth="1"/>
    <col min="4885" max="5126" width="9.140625" style="57"/>
    <col min="5127" max="5127" width="10" style="57" customWidth="1"/>
    <col min="5128" max="5128" width="40" style="57" customWidth="1"/>
    <col min="5129" max="5129" width="12.5703125" style="57" customWidth="1"/>
    <col min="5130" max="5131" width="10.42578125" style="57" customWidth="1"/>
    <col min="5132" max="5132" width="11.5703125" style="57" customWidth="1"/>
    <col min="5133" max="5134" width="10.42578125" style="57" customWidth="1"/>
    <col min="5135" max="5135" width="6.5703125" style="57" customWidth="1"/>
    <col min="5136" max="5136" width="11.42578125" style="57" customWidth="1"/>
    <col min="5137" max="5137" width="4.140625" style="57" customWidth="1"/>
    <col min="5138" max="5138" width="18.5703125" style="57" customWidth="1"/>
    <col min="5139" max="5139" width="2.140625" style="57" customWidth="1"/>
    <col min="5140" max="5140" width="10.42578125" style="57" customWidth="1"/>
    <col min="5141" max="5382" width="9.140625" style="57"/>
    <col min="5383" max="5383" width="10" style="57" customWidth="1"/>
    <col min="5384" max="5384" width="40" style="57" customWidth="1"/>
    <col min="5385" max="5385" width="12.5703125" style="57" customWidth="1"/>
    <col min="5386" max="5387" width="10.42578125" style="57" customWidth="1"/>
    <col min="5388" max="5388" width="11.5703125" style="57" customWidth="1"/>
    <col min="5389" max="5390" width="10.42578125" style="57" customWidth="1"/>
    <col min="5391" max="5391" width="6.5703125" style="57" customWidth="1"/>
    <col min="5392" max="5392" width="11.42578125" style="57" customWidth="1"/>
    <col min="5393" max="5393" width="4.140625" style="57" customWidth="1"/>
    <col min="5394" max="5394" width="18.5703125" style="57" customWidth="1"/>
    <col min="5395" max="5395" width="2.140625" style="57" customWidth="1"/>
    <col min="5396" max="5396" width="10.42578125" style="57" customWidth="1"/>
    <col min="5397" max="5638" width="9.140625" style="57"/>
    <col min="5639" max="5639" width="10" style="57" customWidth="1"/>
    <col min="5640" max="5640" width="40" style="57" customWidth="1"/>
    <col min="5641" max="5641" width="12.5703125" style="57" customWidth="1"/>
    <col min="5642" max="5643" width="10.42578125" style="57" customWidth="1"/>
    <col min="5644" max="5644" width="11.5703125" style="57" customWidth="1"/>
    <col min="5645" max="5646" width="10.42578125" style="57" customWidth="1"/>
    <col min="5647" max="5647" width="6.5703125" style="57" customWidth="1"/>
    <col min="5648" max="5648" width="11.42578125" style="57" customWidth="1"/>
    <col min="5649" max="5649" width="4.140625" style="57" customWidth="1"/>
    <col min="5650" max="5650" width="18.5703125" style="57" customWidth="1"/>
    <col min="5651" max="5651" width="2.140625" style="57" customWidth="1"/>
    <col min="5652" max="5652" width="10.42578125" style="57" customWidth="1"/>
    <col min="5653" max="5894" width="9.140625" style="57"/>
    <col min="5895" max="5895" width="10" style="57" customWidth="1"/>
    <col min="5896" max="5896" width="40" style="57" customWidth="1"/>
    <col min="5897" max="5897" width="12.5703125" style="57" customWidth="1"/>
    <col min="5898" max="5899" width="10.42578125" style="57" customWidth="1"/>
    <col min="5900" max="5900" width="11.5703125" style="57" customWidth="1"/>
    <col min="5901" max="5902" width="10.42578125" style="57" customWidth="1"/>
    <col min="5903" max="5903" width="6.5703125" style="57" customWidth="1"/>
    <col min="5904" max="5904" width="11.42578125" style="57" customWidth="1"/>
    <col min="5905" max="5905" width="4.140625" style="57" customWidth="1"/>
    <col min="5906" max="5906" width="18.5703125" style="57" customWidth="1"/>
    <col min="5907" max="5907" width="2.140625" style="57" customWidth="1"/>
    <col min="5908" max="5908" width="10.42578125" style="57" customWidth="1"/>
    <col min="5909" max="6150" width="9.140625" style="57"/>
    <col min="6151" max="6151" width="10" style="57" customWidth="1"/>
    <col min="6152" max="6152" width="40" style="57" customWidth="1"/>
    <col min="6153" max="6153" width="12.5703125" style="57" customWidth="1"/>
    <col min="6154" max="6155" width="10.42578125" style="57" customWidth="1"/>
    <col min="6156" max="6156" width="11.5703125" style="57" customWidth="1"/>
    <col min="6157" max="6158" width="10.42578125" style="57" customWidth="1"/>
    <col min="6159" max="6159" width="6.5703125" style="57" customWidth="1"/>
    <col min="6160" max="6160" width="11.42578125" style="57" customWidth="1"/>
    <col min="6161" max="6161" width="4.140625" style="57" customWidth="1"/>
    <col min="6162" max="6162" width="18.5703125" style="57" customWidth="1"/>
    <col min="6163" max="6163" width="2.140625" style="57" customWidth="1"/>
    <col min="6164" max="6164" width="10.42578125" style="57" customWidth="1"/>
    <col min="6165" max="6406" width="9.140625" style="57"/>
    <col min="6407" max="6407" width="10" style="57" customWidth="1"/>
    <col min="6408" max="6408" width="40" style="57" customWidth="1"/>
    <col min="6409" max="6409" width="12.5703125" style="57" customWidth="1"/>
    <col min="6410" max="6411" width="10.42578125" style="57" customWidth="1"/>
    <col min="6412" max="6412" width="11.5703125" style="57" customWidth="1"/>
    <col min="6413" max="6414" width="10.42578125" style="57" customWidth="1"/>
    <col min="6415" max="6415" width="6.5703125" style="57" customWidth="1"/>
    <col min="6416" max="6416" width="11.42578125" style="57" customWidth="1"/>
    <col min="6417" max="6417" width="4.140625" style="57" customWidth="1"/>
    <col min="6418" max="6418" width="18.5703125" style="57" customWidth="1"/>
    <col min="6419" max="6419" width="2.140625" style="57" customWidth="1"/>
    <col min="6420" max="6420" width="10.42578125" style="57" customWidth="1"/>
    <col min="6421" max="6662" width="9.140625" style="57"/>
    <col min="6663" max="6663" width="10" style="57" customWidth="1"/>
    <col min="6664" max="6664" width="40" style="57" customWidth="1"/>
    <col min="6665" max="6665" width="12.5703125" style="57" customWidth="1"/>
    <col min="6666" max="6667" width="10.42578125" style="57" customWidth="1"/>
    <col min="6668" max="6668" width="11.5703125" style="57" customWidth="1"/>
    <col min="6669" max="6670" width="10.42578125" style="57" customWidth="1"/>
    <col min="6671" max="6671" width="6.5703125" style="57" customWidth="1"/>
    <col min="6672" max="6672" width="11.42578125" style="57" customWidth="1"/>
    <col min="6673" max="6673" width="4.140625" style="57" customWidth="1"/>
    <col min="6674" max="6674" width="18.5703125" style="57" customWidth="1"/>
    <col min="6675" max="6675" width="2.140625" style="57" customWidth="1"/>
    <col min="6676" max="6676" width="10.42578125" style="57" customWidth="1"/>
    <col min="6677" max="6918" width="9.140625" style="57"/>
    <col min="6919" max="6919" width="10" style="57" customWidth="1"/>
    <col min="6920" max="6920" width="40" style="57" customWidth="1"/>
    <col min="6921" max="6921" width="12.5703125" style="57" customWidth="1"/>
    <col min="6922" max="6923" width="10.42578125" style="57" customWidth="1"/>
    <col min="6924" max="6924" width="11.5703125" style="57" customWidth="1"/>
    <col min="6925" max="6926" width="10.42578125" style="57" customWidth="1"/>
    <col min="6927" max="6927" width="6.5703125" style="57" customWidth="1"/>
    <col min="6928" max="6928" width="11.42578125" style="57" customWidth="1"/>
    <col min="6929" max="6929" width="4.140625" style="57" customWidth="1"/>
    <col min="6930" max="6930" width="18.5703125" style="57" customWidth="1"/>
    <col min="6931" max="6931" width="2.140625" style="57" customWidth="1"/>
    <col min="6932" max="6932" width="10.42578125" style="57" customWidth="1"/>
    <col min="6933" max="7174" width="9.140625" style="57"/>
    <col min="7175" max="7175" width="10" style="57" customWidth="1"/>
    <col min="7176" max="7176" width="40" style="57" customWidth="1"/>
    <col min="7177" max="7177" width="12.5703125" style="57" customWidth="1"/>
    <col min="7178" max="7179" width="10.42578125" style="57" customWidth="1"/>
    <col min="7180" max="7180" width="11.5703125" style="57" customWidth="1"/>
    <col min="7181" max="7182" width="10.42578125" style="57" customWidth="1"/>
    <col min="7183" max="7183" width="6.5703125" style="57" customWidth="1"/>
    <col min="7184" max="7184" width="11.42578125" style="57" customWidth="1"/>
    <col min="7185" max="7185" width="4.140625" style="57" customWidth="1"/>
    <col min="7186" max="7186" width="18.5703125" style="57" customWidth="1"/>
    <col min="7187" max="7187" width="2.140625" style="57" customWidth="1"/>
    <col min="7188" max="7188" width="10.42578125" style="57" customWidth="1"/>
    <col min="7189" max="7430" width="9.140625" style="57"/>
    <col min="7431" max="7431" width="10" style="57" customWidth="1"/>
    <col min="7432" max="7432" width="40" style="57" customWidth="1"/>
    <col min="7433" max="7433" width="12.5703125" style="57" customWidth="1"/>
    <col min="7434" max="7435" width="10.42578125" style="57" customWidth="1"/>
    <col min="7436" max="7436" width="11.5703125" style="57" customWidth="1"/>
    <col min="7437" max="7438" width="10.42578125" style="57" customWidth="1"/>
    <col min="7439" max="7439" width="6.5703125" style="57" customWidth="1"/>
    <col min="7440" max="7440" width="11.42578125" style="57" customWidth="1"/>
    <col min="7441" max="7441" width="4.140625" style="57" customWidth="1"/>
    <col min="7442" max="7442" width="18.5703125" style="57" customWidth="1"/>
    <col min="7443" max="7443" width="2.140625" style="57" customWidth="1"/>
    <col min="7444" max="7444" width="10.42578125" style="57" customWidth="1"/>
    <col min="7445" max="7686" width="9.140625" style="57"/>
    <col min="7687" max="7687" width="10" style="57" customWidth="1"/>
    <col min="7688" max="7688" width="40" style="57" customWidth="1"/>
    <col min="7689" max="7689" width="12.5703125" style="57" customWidth="1"/>
    <col min="7690" max="7691" width="10.42578125" style="57" customWidth="1"/>
    <col min="7692" max="7692" width="11.5703125" style="57" customWidth="1"/>
    <col min="7693" max="7694" width="10.42578125" style="57" customWidth="1"/>
    <col min="7695" max="7695" width="6.5703125" style="57" customWidth="1"/>
    <col min="7696" max="7696" width="11.42578125" style="57" customWidth="1"/>
    <col min="7697" max="7697" width="4.140625" style="57" customWidth="1"/>
    <col min="7698" max="7698" width="18.5703125" style="57" customWidth="1"/>
    <col min="7699" max="7699" width="2.140625" style="57" customWidth="1"/>
    <col min="7700" max="7700" width="10.42578125" style="57" customWidth="1"/>
    <col min="7701" max="7942" width="9.140625" style="57"/>
    <col min="7943" max="7943" width="10" style="57" customWidth="1"/>
    <col min="7944" max="7944" width="40" style="57" customWidth="1"/>
    <col min="7945" max="7945" width="12.5703125" style="57" customWidth="1"/>
    <col min="7946" max="7947" width="10.42578125" style="57" customWidth="1"/>
    <col min="7948" max="7948" width="11.5703125" style="57" customWidth="1"/>
    <col min="7949" max="7950" width="10.42578125" style="57" customWidth="1"/>
    <col min="7951" max="7951" width="6.5703125" style="57" customWidth="1"/>
    <col min="7952" max="7952" width="11.42578125" style="57" customWidth="1"/>
    <col min="7953" max="7953" width="4.140625" style="57" customWidth="1"/>
    <col min="7954" max="7954" width="18.5703125" style="57" customWidth="1"/>
    <col min="7955" max="7955" width="2.140625" style="57" customWidth="1"/>
    <col min="7956" max="7956" width="10.42578125" style="57" customWidth="1"/>
    <col min="7957" max="8198" width="9.140625" style="57"/>
    <col min="8199" max="8199" width="10" style="57" customWidth="1"/>
    <col min="8200" max="8200" width="40" style="57" customWidth="1"/>
    <col min="8201" max="8201" width="12.5703125" style="57" customWidth="1"/>
    <col min="8202" max="8203" width="10.42578125" style="57" customWidth="1"/>
    <col min="8204" max="8204" width="11.5703125" style="57" customWidth="1"/>
    <col min="8205" max="8206" width="10.42578125" style="57" customWidth="1"/>
    <col min="8207" max="8207" width="6.5703125" style="57" customWidth="1"/>
    <col min="8208" max="8208" width="11.42578125" style="57" customWidth="1"/>
    <col min="8209" max="8209" width="4.140625" style="57" customWidth="1"/>
    <col min="8210" max="8210" width="18.5703125" style="57" customWidth="1"/>
    <col min="8211" max="8211" width="2.140625" style="57" customWidth="1"/>
    <col min="8212" max="8212" width="10.42578125" style="57" customWidth="1"/>
    <col min="8213" max="8454" width="9.140625" style="57"/>
    <col min="8455" max="8455" width="10" style="57" customWidth="1"/>
    <col min="8456" max="8456" width="40" style="57" customWidth="1"/>
    <col min="8457" max="8457" width="12.5703125" style="57" customWidth="1"/>
    <col min="8458" max="8459" width="10.42578125" style="57" customWidth="1"/>
    <col min="8460" max="8460" width="11.5703125" style="57" customWidth="1"/>
    <col min="8461" max="8462" width="10.42578125" style="57" customWidth="1"/>
    <col min="8463" max="8463" width="6.5703125" style="57" customWidth="1"/>
    <col min="8464" max="8464" width="11.42578125" style="57" customWidth="1"/>
    <col min="8465" max="8465" width="4.140625" style="57" customWidth="1"/>
    <col min="8466" max="8466" width="18.5703125" style="57" customWidth="1"/>
    <col min="8467" max="8467" width="2.140625" style="57" customWidth="1"/>
    <col min="8468" max="8468" width="10.42578125" style="57" customWidth="1"/>
    <col min="8469" max="8710" width="9.140625" style="57"/>
    <col min="8711" max="8711" width="10" style="57" customWidth="1"/>
    <col min="8712" max="8712" width="40" style="57" customWidth="1"/>
    <col min="8713" max="8713" width="12.5703125" style="57" customWidth="1"/>
    <col min="8714" max="8715" width="10.42578125" style="57" customWidth="1"/>
    <col min="8716" max="8716" width="11.5703125" style="57" customWidth="1"/>
    <col min="8717" max="8718" width="10.42578125" style="57" customWidth="1"/>
    <col min="8719" max="8719" width="6.5703125" style="57" customWidth="1"/>
    <col min="8720" max="8720" width="11.42578125" style="57" customWidth="1"/>
    <col min="8721" max="8721" width="4.140625" style="57" customWidth="1"/>
    <col min="8722" max="8722" width="18.5703125" style="57" customWidth="1"/>
    <col min="8723" max="8723" width="2.140625" style="57" customWidth="1"/>
    <col min="8724" max="8724" width="10.42578125" style="57" customWidth="1"/>
    <col min="8725" max="8966" width="9.140625" style="57"/>
    <col min="8967" max="8967" width="10" style="57" customWidth="1"/>
    <col min="8968" max="8968" width="40" style="57" customWidth="1"/>
    <col min="8969" max="8969" width="12.5703125" style="57" customWidth="1"/>
    <col min="8970" max="8971" width="10.42578125" style="57" customWidth="1"/>
    <col min="8972" max="8972" width="11.5703125" style="57" customWidth="1"/>
    <col min="8973" max="8974" width="10.42578125" style="57" customWidth="1"/>
    <col min="8975" max="8975" width="6.5703125" style="57" customWidth="1"/>
    <col min="8976" max="8976" width="11.42578125" style="57" customWidth="1"/>
    <col min="8977" max="8977" width="4.140625" style="57" customWidth="1"/>
    <col min="8978" max="8978" width="18.5703125" style="57" customWidth="1"/>
    <col min="8979" max="8979" width="2.140625" style="57" customWidth="1"/>
    <col min="8980" max="8980" width="10.42578125" style="57" customWidth="1"/>
    <col min="8981" max="9222" width="9.140625" style="57"/>
    <col min="9223" max="9223" width="10" style="57" customWidth="1"/>
    <col min="9224" max="9224" width="40" style="57" customWidth="1"/>
    <col min="9225" max="9225" width="12.5703125" style="57" customWidth="1"/>
    <col min="9226" max="9227" width="10.42578125" style="57" customWidth="1"/>
    <col min="9228" max="9228" width="11.5703125" style="57" customWidth="1"/>
    <col min="9229" max="9230" width="10.42578125" style="57" customWidth="1"/>
    <col min="9231" max="9231" width="6.5703125" style="57" customWidth="1"/>
    <col min="9232" max="9232" width="11.42578125" style="57" customWidth="1"/>
    <col min="9233" max="9233" width="4.140625" style="57" customWidth="1"/>
    <col min="9234" max="9234" width="18.5703125" style="57" customWidth="1"/>
    <col min="9235" max="9235" width="2.140625" style="57" customWidth="1"/>
    <col min="9236" max="9236" width="10.42578125" style="57" customWidth="1"/>
    <col min="9237" max="9478" width="9.140625" style="57"/>
    <col min="9479" max="9479" width="10" style="57" customWidth="1"/>
    <col min="9480" max="9480" width="40" style="57" customWidth="1"/>
    <col min="9481" max="9481" width="12.5703125" style="57" customWidth="1"/>
    <col min="9482" max="9483" width="10.42578125" style="57" customWidth="1"/>
    <col min="9484" max="9484" width="11.5703125" style="57" customWidth="1"/>
    <col min="9485" max="9486" width="10.42578125" style="57" customWidth="1"/>
    <col min="9487" max="9487" width="6.5703125" style="57" customWidth="1"/>
    <col min="9488" max="9488" width="11.42578125" style="57" customWidth="1"/>
    <col min="9489" max="9489" width="4.140625" style="57" customWidth="1"/>
    <col min="9490" max="9490" width="18.5703125" style="57" customWidth="1"/>
    <col min="9491" max="9491" width="2.140625" style="57" customWidth="1"/>
    <col min="9492" max="9492" width="10.42578125" style="57" customWidth="1"/>
    <col min="9493" max="9734" width="9.140625" style="57"/>
    <col min="9735" max="9735" width="10" style="57" customWidth="1"/>
    <col min="9736" max="9736" width="40" style="57" customWidth="1"/>
    <col min="9737" max="9737" width="12.5703125" style="57" customWidth="1"/>
    <col min="9738" max="9739" width="10.42578125" style="57" customWidth="1"/>
    <col min="9740" max="9740" width="11.5703125" style="57" customWidth="1"/>
    <col min="9741" max="9742" width="10.42578125" style="57" customWidth="1"/>
    <col min="9743" max="9743" width="6.5703125" style="57" customWidth="1"/>
    <col min="9744" max="9744" width="11.42578125" style="57" customWidth="1"/>
    <col min="9745" max="9745" width="4.140625" style="57" customWidth="1"/>
    <col min="9746" max="9746" width="18.5703125" style="57" customWidth="1"/>
    <col min="9747" max="9747" width="2.140625" style="57" customWidth="1"/>
    <col min="9748" max="9748" width="10.42578125" style="57" customWidth="1"/>
    <col min="9749" max="9990" width="9.140625" style="57"/>
    <col min="9991" max="9991" width="10" style="57" customWidth="1"/>
    <col min="9992" max="9992" width="40" style="57" customWidth="1"/>
    <col min="9993" max="9993" width="12.5703125" style="57" customWidth="1"/>
    <col min="9994" max="9995" width="10.42578125" style="57" customWidth="1"/>
    <col min="9996" max="9996" width="11.5703125" style="57" customWidth="1"/>
    <col min="9997" max="9998" width="10.42578125" style="57" customWidth="1"/>
    <col min="9999" max="9999" width="6.5703125" style="57" customWidth="1"/>
    <col min="10000" max="10000" width="11.42578125" style="57" customWidth="1"/>
    <col min="10001" max="10001" width="4.140625" style="57" customWidth="1"/>
    <col min="10002" max="10002" width="18.5703125" style="57" customWidth="1"/>
    <col min="10003" max="10003" width="2.140625" style="57" customWidth="1"/>
    <col min="10004" max="10004" width="10.42578125" style="57" customWidth="1"/>
    <col min="10005" max="10246" width="9.140625" style="57"/>
    <col min="10247" max="10247" width="10" style="57" customWidth="1"/>
    <col min="10248" max="10248" width="40" style="57" customWidth="1"/>
    <col min="10249" max="10249" width="12.5703125" style="57" customWidth="1"/>
    <col min="10250" max="10251" width="10.42578125" style="57" customWidth="1"/>
    <col min="10252" max="10252" width="11.5703125" style="57" customWidth="1"/>
    <col min="10253" max="10254" width="10.42578125" style="57" customWidth="1"/>
    <col min="10255" max="10255" width="6.5703125" style="57" customWidth="1"/>
    <col min="10256" max="10256" width="11.42578125" style="57" customWidth="1"/>
    <col min="10257" max="10257" width="4.140625" style="57" customWidth="1"/>
    <col min="10258" max="10258" width="18.5703125" style="57" customWidth="1"/>
    <col min="10259" max="10259" width="2.140625" style="57" customWidth="1"/>
    <col min="10260" max="10260" width="10.42578125" style="57" customWidth="1"/>
    <col min="10261" max="10502" width="9.140625" style="57"/>
    <col min="10503" max="10503" width="10" style="57" customWidth="1"/>
    <col min="10504" max="10504" width="40" style="57" customWidth="1"/>
    <col min="10505" max="10505" width="12.5703125" style="57" customWidth="1"/>
    <col min="10506" max="10507" width="10.42578125" style="57" customWidth="1"/>
    <col min="10508" max="10508" width="11.5703125" style="57" customWidth="1"/>
    <col min="10509" max="10510" width="10.42578125" style="57" customWidth="1"/>
    <col min="10511" max="10511" width="6.5703125" style="57" customWidth="1"/>
    <col min="10512" max="10512" width="11.42578125" style="57" customWidth="1"/>
    <col min="10513" max="10513" width="4.140625" style="57" customWidth="1"/>
    <col min="10514" max="10514" width="18.5703125" style="57" customWidth="1"/>
    <col min="10515" max="10515" width="2.140625" style="57" customWidth="1"/>
    <col min="10516" max="10516" width="10.42578125" style="57" customWidth="1"/>
    <col min="10517" max="10758" width="9.140625" style="57"/>
    <col min="10759" max="10759" width="10" style="57" customWidth="1"/>
    <col min="10760" max="10760" width="40" style="57" customWidth="1"/>
    <col min="10761" max="10761" width="12.5703125" style="57" customWidth="1"/>
    <col min="10762" max="10763" width="10.42578125" style="57" customWidth="1"/>
    <col min="10764" max="10764" width="11.5703125" style="57" customWidth="1"/>
    <col min="10765" max="10766" width="10.42578125" style="57" customWidth="1"/>
    <col min="10767" max="10767" width="6.5703125" style="57" customWidth="1"/>
    <col min="10768" max="10768" width="11.42578125" style="57" customWidth="1"/>
    <col min="10769" max="10769" width="4.140625" style="57" customWidth="1"/>
    <col min="10770" max="10770" width="18.5703125" style="57" customWidth="1"/>
    <col min="10771" max="10771" width="2.140625" style="57" customWidth="1"/>
    <col min="10772" max="10772" width="10.42578125" style="57" customWidth="1"/>
    <col min="10773" max="11014" width="9.140625" style="57"/>
    <col min="11015" max="11015" width="10" style="57" customWidth="1"/>
    <col min="11016" max="11016" width="40" style="57" customWidth="1"/>
    <col min="11017" max="11017" width="12.5703125" style="57" customWidth="1"/>
    <col min="11018" max="11019" width="10.42578125" style="57" customWidth="1"/>
    <col min="11020" max="11020" width="11.5703125" style="57" customWidth="1"/>
    <col min="11021" max="11022" width="10.42578125" style="57" customWidth="1"/>
    <col min="11023" max="11023" width="6.5703125" style="57" customWidth="1"/>
    <col min="11024" max="11024" width="11.42578125" style="57" customWidth="1"/>
    <col min="11025" max="11025" width="4.140625" style="57" customWidth="1"/>
    <col min="11026" max="11026" width="18.5703125" style="57" customWidth="1"/>
    <col min="11027" max="11027" width="2.140625" style="57" customWidth="1"/>
    <col min="11028" max="11028" width="10.42578125" style="57" customWidth="1"/>
    <col min="11029" max="11270" width="9.140625" style="57"/>
    <col min="11271" max="11271" width="10" style="57" customWidth="1"/>
    <col min="11272" max="11272" width="40" style="57" customWidth="1"/>
    <col min="11273" max="11273" width="12.5703125" style="57" customWidth="1"/>
    <col min="11274" max="11275" width="10.42578125" style="57" customWidth="1"/>
    <col min="11276" max="11276" width="11.5703125" style="57" customWidth="1"/>
    <col min="11277" max="11278" width="10.42578125" style="57" customWidth="1"/>
    <col min="11279" max="11279" width="6.5703125" style="57" customWidth="1"/>
    <col min="11280" max="11280" width="11.42578125" style="57" customWidth="1"/>
    <col min="11281" max="11281" width="4.140625" style="57" customWidth="1"/>
    <col min="11282" max="11282" width="18.5703125" style="57" customWidth="1"/>
    <col min="11283" max="11283" width="2.140625" style="57" customWidth="1"/>
    <col min="11284" max="11284" width="10.42578125" style="57" customWidth="1"/>
    <col min="11285" max="11526" width="9.140625" style="57"/>
    <col min="11527" max="11527" width="10" style="57" customWidth="1"/>
    <col min="11528" max="11528" width="40" style="57" customWidth="1"/>
    <col min="11529" max="11529" width="12.5703125" style="57" customWidth="1"/>
    <col min="11530" max="11531" width="10.42578125" style="57" customWidth="1"/>
    <col min="11532" max="11532" width="11.5703125" style="57" customWidth="1"/>
    <col min="11533" max="11534" width="10.42578125" style="57" customWidth="1"/>
    <col min="11535" max="11535" width="6.5703125" style="57" customWidth="1"/>
    <col min="11536" max="11536" width="11.42578125" style="57" customWidth="1"/>
    <col min="11537" max="11537" width="4.140625" style="57" customWidth="1"/>
    <col min="11538" max="11538" width="18.5703125" style="57" customWidth="1"/>
    <col min="11539" max="11539" width="2.140625" style="57" customWidth="1"/>
    <col min="11540" max="11540" width="10.42578125" style="57" customWidth="1"/>
    <col min="11541" max="11782" width="9.140625" style="57"/>
    <col min="11783" max="11783" width="10" style="57" customWidth="1"/>
    <col min="11784" max="11784" width="40" style="57" customWidth="1"/>
    <col min="11785" max="11785" width="12.5703125" style="57" customWidth="1"/>
    <col min="11786" max="11787" width="10.42578125" style="57" customWidth="1"/>
    <col min="11788" max="11788" width="11.5703125" style="57" customWidth="1"/>
    <col min="11789" max="11790" width="10.42578125" style="57" customWidth="1"/>
    <col min="11791" max="11791" width="6.5703125" style="57" customWidth="1"/>
    <col min="11792" max="11792" width="11.42578125" style="57" customWidth="1"/>
    <col min="11793" max="11793" width="4.140625" style="57" customWidth="1"/>
    <col min="11794" max="11794" width="18.5703125" style="57" customWidth="1"/>
    <col min="11795" max="11795" width="2.140625" style="57" customWidth="1"/>
    <col min="11796" max="11796" width="10.42578125" style="57" customWidth="1"/>
    <col min="11797" max="12038" width="9.140625" style="57"/>
    <col min="12039" max="12039" width="10" style="57" customWidth="1"/>
    <col min="12040" max="12040" width="40" style="57" customWidth="1"/>
    <col min="12041" max="12041" width="12.5703125" style="57" customWidth="1"/>
    <col min="12042" max="12043" width="10.42578125" style="57" customWidth="1"/>
    <col min="12044" max="12044" width="11.5703125" style="57" customWidth="1"/>
    <col min="12045" max="12046" width="10.42578125" style="57" customWidth="1"/>
    <col min="12047" max="12047" width="6.5703125" style="57" customWidth="1"/>
    <col min="12048" max="12048" width="11.42578125" style="57" customWidth="1"/>
    <col min="12049" max="12049" width="4.140625" style="57" customWidth="1"/>
    <col min="12050" max="12050" width="18.5703125" style="57" customWidth="1"/>
    <col min="12051" max="12051" width="2.140625" style="57" customWidth="1"/>
    <col min="12052" max="12052" width="10.42578125" style="57" customWidth="1"/>
    <col min="12053" max="12294" width="9.140625" style="57"/>
    <col min="12295" max="12295" width="10" style="57" customWidth="1"/>
    <col min="12296" max="12296" width="40" style="57" customWidth="1"/>
    <col min="12297" max="12297" width="12.5703125" style="57" customWidth="1"/>
    <col min="12298" max="12299" width="10.42578125" style="57" customWidth="1"/>
    <col min="12300" max="12300" width="11.5703125" style="57" customWidth="1"/>
    <col min="12301" max="12302" width="10.42578125" style="57" customWidth="1"/>
    <col min="12303" max="12303" width="6.5703125" style="57" customWidth="1"/>
    <col min="12304" max="12304" width="11.42578125" style="57" customWidth="1"/>
    <col min="12305" max="12305" width="4.140625" style="57" customWidth="1"/>
    <col min="12306" max="12306" width="18.5703125" style="57" customWidth="1"/>
    <col min="12307" max="12307" width="2.140625" style="57" customWidth="1"/>
    <col min="12308" max="12308" width="10.42578125" style="57" customWidth="1"/>
    <col min="12309" max="12550" width="9.140625" style="57"/>
    <col min="12551" max="12551" width="10" style="57" customWidth="1"/>
    <col min="12552" max="12552" width="40" style="57" customWidth="1"/>
    <col min="12553" max="12553" width="12.5703125" style="57" customWidth="1"/>
    <col min="12554" max="12555" width="10.42578125" style="57" customWidth="1"/>
    <col min="12556" max="12556" width="11.5703125" style="57" customWidth="1"/>
    <col min="12557" max="12558" width="10.42578125" style="57" customWidth="1"/>
    <col min="12559" max="12559" width="6.5703125" style="57" customWidth="1"/>
    <col min="12560" max="12560" width="11.42578125" style="57" customWidth="1"/>
    <col min="12561" max="12561" width="4.140625" style="57" customWidth="1"/>
    <col min="12562" max="12562" width="18.5703125" style="57" customWidth="1"/>
    <col min="12563" max="12563" width="2.140625" style="57" customWidth="1"/>
    <col min="12564" max="12564" width="10.42578125" style="57" customWidth="1"/>
    <col min="12565" max="12806" width="9.140625" style="57"/>
    <col min="12807" max="12807" width="10" style="57" customWidth="1"/>
    <col min="12808" max="12808" width="40" style="57" customWidth="1"/>
    <col min="12809" max="12809" width="12.5703125" style="57" customWidth="1"/>
    <col min="12810" max="12811" width="10.42578125" style="57" customWidth="1"/>
    <col min="12812" max="12812" width="11.5703125" style="57" customWidth="1"/>
    <col min="12813" max="12814" width="10.42578125" style="57" customWidth="1"/>
    <col min="12815" max="12815" width="6.5703125" style="57" customWidth="1"/>
    <col min="12816" max="12816" width="11.42578125" style="57" customWidth="1"/>
    <col min="12817" max="12817" width="4.140625" style="57" customWidth="1"/>
    <col min="12818" max="12818" width="18.5703125" style="57" customWidth="1"/>
    <col min="12819" max="12819" width="2.140625" style="57" customWidth="1"/>
    <col min="12820" max="12820" width="10.42578125" style="57" customWidth="1"/>
    <col min="12821" max="13062" width="9.140625" style="57"/>
    <col min="13063" max="13063" width="10" style="57" customWidth="1"/>
    <col min="13064" max="13064" width="40" style="57" customWidth="1"/>
    <col min="13065" max="13065" width="12.5703125" style="57" customWidth="1"/>
    <col min="13066" max="13067" width="10.42578125" style="57" customWidth="1"/>
    <col min="13068" max="13068" width="11.5703125" style="57" customWidth="1"/>
    <col min="13069" max="13070" width="10.42578125" style="57" customWidth="1"/>
    <col min="13071" max="13071" width="6.5703125" style="57" customWidth="1"/>
    <col min="13072" max="13072" width="11.42578125" style="57" customWidth="1"/>
    <col min="13073" max="13073" width="4.140625" style="57" customWidth="1"/>
    <col min="13074" max="13074" width="18.5703125" style="57" customWidth="1"/>
    <col min="13075" max="13075" width="2.140625" style="57" customWidth="1"/>
    <col min="13076" max="13076" width="10.42578125" style="57" customWidth="1"/>
    <col min="13077" max="13318" width="9.140625" style="57"/>
    <col min="13319" max="13319" width="10" style="57" customWidth="1"/>
    <col min="13320" max="13320" width="40" style="57" customWidth="1"/>
    <col min="13321" max="13321" width="12.5703125" style="57" customWidth="1"/>
    <col min="13322" max="13323" width="10.42578125" style="57" customWidth="1"/>
    <col min="13324" max="13324" width="11.5703125" style="57" customWidth="1"/>
    <col min="13325" max="13326" width="10.42578125" style="57" customWidth="1"/>
    <col min="13327" max="13327" width="6.5703125" style="57" customWidth="1"/>
    <col min="13328" max="13328" width="11.42578125" style="57" customWidth="1"/>
    <col min="13329" max="13329" width="4.140625" style="57" customWidth="1"/>
    <col min="13330" max="13330" width="18.5703125" style="57" customWidth="1"/>
    <col min="13331" max="13331" width="2.140625" style="57" customWidth="1"/>
    <col min="13332" max="13332" width="10.42578125" style="57" customWidth="1"/>
    <col min="13333" max="13574" width="9.140625" style="57"/>
    <col min="13575" max="13575" width="10" style="57" customWidth="1"/>
    <col min="13576" max="13576" width="40" style="57" customWidth="1"/>
    <col min="13577" max="13577" width="12.5703125" style="57" customWidth="1"/>
    <col min="13578" max="13579" width="10.42578125" style="57" customWidth="1"/>
    <col min="13580" max="13580" width="11.5703125" style="57" customWidth="1"/>
    <col min="13581" max="13582" width="10.42578125" style="57" customWidth="1"/>
    <col min="13583" max="13583" width="6.5703125" style="57" customWidth="1"/>
    <col min="13584" max="13584" width="11.42578125" style="57" customWidth="1"/>
    <col min="13585" max="13585" width="4.140625" style="57" customWidth="1"/>
    <col min="13586" max="13586" width="18.5703125" style="57" customWidth="1"/>
    <col min="13587" max="13587" width="2.140625" style="57" customWidth="1"/>
    <col min="13588" max="13588" width="10.42578125" style="57" customWidth="1"/>
    <col min="13589" max="13830" width="9.140625" style="57"/>
    <col min="13831" max="13831" width="10" style="57" customWidth="1"/>
    <col min="13832" max="13832" width="40" style="57" customWidth="1"/>
    <col min="13833" max="13833" width="12.5703125" style="57" customWidth="1"/>
    <col min="13834" max="13835" width="10.42578125" style="57" customWidth="1"/>
    <col min="13836" max="13836" width="11.5703125" style="57" customWidth="1"/>
    <col min="13837" max="13838" width="10.42578125" style="57" customWidth="1"/>
    <col min="13839" max="13839" width="6.5703125" style="57" customWidth="1"/>
    <col min="13840" max="13840" width="11.42578125" style="57" customWidth="1"/>
    <col min="13841" max="13841" width="4.140625" style="57" customWidth="1"/>
    <col min="13842" max="13842" width="18.5703125" style="57" customWidth="1"/>
    <col min="13843" max="13843" width="2.140625" style="57" customWidth="1"/>
    <col min="13844" max="13844" width="10.42578125" style="57" customWidth="1"/>
    <col min="13845" max="14086" width="9.140625" style="57"/>
    <col min="14087" max="14087" width="10" style="57" customWidth="1"/>
    <col min="14088" max="14088" width="40" style="57" customWidth="1"/>
    <col min="14089" max="14089" width="12.5703125" style="57" customWidth="1"/>
    <col min="14090" max="14091" width="10.42578125" style="57" customWidth="1"/>
    <col min="14092" max="14092" width="11.5703125" style="57" customWidth="1"/>
    <col min="14093" max="14094" width="10.42578125" style="57" customWidth="1"/>
    <col min="14095" max="14095" width="6.5703125" style="57" customWidth="1"/>
    <col min="14096" max="14096" width="11.42578125" style="57" customWidth="1"/>
    <col min="14097" max="14097" width="4.140625" style="57" customWidth="1"/>
    <col min="14098" max="14098" width="18.5703125" style="57" customWidth="1"/>
    <col min="14099" max="14099" width="2.140625" style="57" customWidth="1"/>
    <col min="14100" max="14100" width="10.42578125" style="57" customWidth="1"/>
    <col min="14101" max="14342" width="9.140625" style="57"/>
    <col min="14343" max="14343" width="10" style="57" customWidth="1"/>
    <col min="14344" max="14344" width="40" style="57" customWidth="1"/>
    <col min="14345" max="14345" width="12.5703125" style="57" customWidth="1"/>
    <col min="14346" max="14347" width="10.42578125" style="57" customWidth="1"/>
    <col min="14348" max="14348" width="11.5703125" style="57" customWidth="1"/>
    <col min="14349" max="14350" width="10.42578125" style="57" customWidth="1"/>
    <col min="14351" max="14351" width="6.5703125" style="57" customWidth="1"/>
    <col min="14352" max="14352" width="11.42578125" style="57" customWidth="1"/>
    <col min="14353" max="14353" width="4.140625" style="57" customWidth="1"/>
    <col min="14354" max="14354" width="18.5703125" style="57" customWidth="1"/>
    <col min="14355" max="14355" width="2.140625" style="57" customWidth="1"/>
    <col min="14356" max="14356" width="10.42578125" style="57" customWidth="1"/>
    <col min="14357" max="14598" width="9.140625" style="57"/>
    <col min="14599" max="14599" width="10" style="57" customWidth="1"/>
    <col min="14600" max="14600" width="40" style="57" customWidth="1"/>
    <col min="14601" max="14601" width="12.5703125" style="57" customWidth="1"/>
    <col min="14602" max="14603" width="10.42578125" style="57" customWidth="1"/>
    <col min="14604" max="14604" width="11.5703125" style="57" customWidth="1"/>
    <col min="14605" max="14606" width="10.42578125" style="57" customWidth="1"/>
    <col min="14607" max="14607" width="6.5703125" style="57" customWidth="1"/>
    <col min="14608" max="14608" width="11.42578125" style="57" customWidth="1"/>
    <col min="14609" max="14609" width="4.140625" style="57" customWidth="1"/>
    <col min="14610" max="14610" width="18.5703125" style="57" customWidth="1"/>
    <col min="14611" max="14611" width="2.140625" style="57" customWidth="1"/>
    <col min="14612" max="14612" width="10.42578125" style="57" customWidth="1"/>
    <col min="14613" max="14854" width="9.140625" style="57"/>
    <col min="14855" max="14855" width="10" style="57" customWidth="1"/>
    <col min="14856" max="14856" width="40" style="57" customWidth="1"/>
    <col min="14857" max="14857" width="12.5703125" style="57" customWidth="1"/>
    <col min="14858" max="14859" width="10.42578125" style="57" customWidth="1"/>
    <col min="14860" max="14860" width="11.5703125" style="57" customWidth="1"/>
    <col min="14861" max="14862" width="10.42578125" style="57" customWidth="1"/>
    <col min="14863" max="14863" width="6.5703125" style="57" customWidth="1"/>
    <col min="14864" max="14864" width="11.42578125" style="57" customWidth="1"/>
    <col min="14865" max="14865" width="4.140625" style="57" customWidth="1"/>
    <col min="14866" max="14866" width="18.5703125" style="57" customWidth="1"/>
    <col min="14867" max="14867" width="2.140625" style="57" customWidth="1"/>
    <col min="14868" max="14868" width="10.42578125" style="57" customWidth="1"/>
    <col min="14869" max="15110" width="9.140625" style="57"/>
    <col min="15111" max="15111" width="10" style="57" customWidth="1"/>
    <col min="15112" max="15112" width="40" style="57" customWidth="1"/>
    <col min="15113" max="15113" width="12.5703125" style="57" customWidth="1"/>
    <col min="15114" max="15115" width="10.42578125" style="57" customWidth="1"/>
    <col min="15116" max="15116" width="11.5703125" style="57" customWidth="1"/>
    <col min="15117" max="15118" width="10.42578125" style="57" customWidth="1"/>
    <col min="15119" max="15119" width="6.5703125" style="57" customWidth="1"/>
    <col min="15120" max="15120" width="11.42578125" style="57" customWidth="1"/>
    <col min="15121" max="15121" width="4.140625" style="57" customWidth="1"/>
    <col min="15122" max="15122" width="18.5703125" style="57" customWidth="1"/>
    <col min="15123" max="15123" width="2.140625" style="57" customWidth="1"/>
    <col min="15124" max="15124" width="10.42578125" style="57" customWidth="1"/>
    <col min="15125" max="15366" width="9.140625" style="57"/>
    <col min="15367" max="15367" width="10" style="57" customWidth="1"/>
    <col min="15368" max="15368" width="40" style="57" customWidth="1"/>
    <col min="15369" max="15369" width="12.5703125" style="57" customWidth="1"/>
    <col min="15370" max="15371" width="10.42578125" style="57" customWidth="1"/>
    <col min="15372" max="15372" width="11.5703125" style="57" customWidth="1"/>
    <col min="15373" max="15374" width="10.42578125" style="57" customWidth="1"/>
    <col min="15375" max="15375" width="6.5703125" style="57" customWidth="1"/>
    <col min="15376" max="15376" width="11.42578125" style="57" customWidth="1"/>
    <col min="15377" max="15377" width="4.140625" style="57" customWidth="1"/>
    <col min="15378" max="15378" width="18.5703125" style="57" customWidth="1"/>
    <col min="15379" max="15379" width="2.140625" style="57" customWidth="1"/>
    <col min="15380" max="15380" width="10.42578125" style="57" customWidth="1"/>
    <col min="15381" max="15622" width="9.140625" style="57"/>
    <col min="15623" max="15623" width="10" style="57" customWidth="1"/>
    <col min="15624" max="15624" width="40" style="57" customWidth="1"/>
    <col min="15625" max="15625" width="12.5703125" style="57" customWidth="1"/>
    <col min="15626" max="15627" width="10.42578125" style="57" customWidth="1"/>
    <col min="15628" max="15628" width="11.5703125" style="57" customWidth="1"/>
    <col min="15629" max="15630" width="10.42578125" style="57" customWidth="1"/>
    <col min="15631" max="15631" width="6.5703125" style="57" customWidth="1"/>
    <col min="15632" max="15632" width="11.42578125" style="57" customWidth="1"/>
    <col min="15633" max="15633" width="4.140625" style="57" customWidth="1"/>
    <col min="15634" max="15634" width="18.5703125" style="57" customWidth="1"/>
    <col min="15635" max="15635" width="2.140625" style="57" customWidth="1"/>
    <col min="15636" max="15636" width="10.42578125" style="57" customWidth="1"/>
    <col min="15637" max="15878" width="9.140625" style="57"/>
    <col min="15879" max="15879" width="10" style="57" customWidth="1"/>
    <col min="15880" max="15880" width="40" style="57" customWidth="1"/>
    <col min="15881" max="15881" width="12.5703125" style="57" customWidth="1"/>
    <col min="15882" max="15883" width="10.42578125" style="57" customWidth="1"/>
    <col min="15884" max="15884" width="11.5703125" style="57" customWidth="1"/>
    <col min="15885" max="15886" width="10.42578125" style="57" customWidth="1"/>
    <col min="15887" max="15887" width="6.5703125" style="57" customWidth="1"/>
    <col min="15888" max="15888" width="11.42578125" style="57" customWidth="1"/>
    <col min="15889" max="15889" width="4.140625" style="57" customWidth="1"/>
    <col min="15890" max="15890" width="18.5703125" style="57" customWidth="1"/>
    <col min="15891" max="15891" width="2.140625" style="57" customWidth="1"/>
    <col min="15892" max="15892" width="10.42578125" style="57" customWidth="1"/>
    <col min="15893" max="16134" width="9.140625" style="57"/>
    <col min="16135" max="16135" width="10" style="57" customWidth="1"/>
    <col min="16136" max="16136" width="40" style="57" customWidth="1"/>
    <col min="16137" max="16137" width="12.5703125" style="57" customWidth="1"/>
    <col min="16138" max="16139" width="10.42578125" style="57" customWidth="1"/>
    <col min="16140" max="16140" width="11.5703125" style="57" customWidth="1"/>
    <col min="16141" max="16142" width="10.42578125" style="57" customWidth="1"/>
    <col min="16143" max="16143" width="6.5703125" style="57" customWidth="1"/>
    <col min="16144" max="16144" width="11.42578125" style="57" customWidth="1"/>
    <col min="16145" max="16145" width="4.140625" style="57" customWidth="1"/>
    <col min="16146" max="16146" width="18.5703125" style="57" customWidth="1"/>
    <col min="16147" max="16147" width="2.140625" style="57" customWidth="1"/>
    <col min="16148" max="16148" width="10.42578125" style="57" customWidth="1"/>
    <col min="16149" max="16384" width="9.140625" style="57"/>
  </cols>
  <sheetData>
    <row r="1" spans="2:21" ht="13.5" customHeight="1" x14ac:dyDescent="0.25">
      <c r="H1" s="781" t="s">
        <v>38</v>
      </c>
      <c r="I1" s="781"/>
      <c r="J1" s="781"/>
      <c r="K1" s="781"/>
      <c r="L1" s="781"/>
      <c r="M1" s="781" t="s">
        <v>39</v>
      </c>
      <c r="N1" s="781"/>
      <c r="O1" s="783" t="s">
        <v>40</v>
      </c>
      <c r="P1" s="783"/>
      <c r="Q1" s="783"/>
    </row>
    <row r="2" spans="2:21" s="59" customFormat="1" ht="15" customHeight="1" x14ac:dyDescent="0.25">
      <c r="B2" s="60" t="s">
        <v>41</v>
      </c>
      <c r="C2" s="61" t="s">
        <v>42</v>
      </c>
      <c r="D2" s="61" t="s">
        <v>43</v>
      </c>
      <c r="E2" s="61" t="s">
        <v>44</v>
      </c>
      <c r="F2" s="61" t="s">
        <v>45</v>
      </c>
      <c r="G2" s="61" t="s">
        <v>46</v>
      </c>
      <c r="H2" s="61" t="s">
        <v>47</v>
      </c>
      <c r="I2" s="61" t="s">
        <v>48</v>
      </c>
      <c r="J2" s="61" t="s">
        <v>47</v>
      </c>
      <c r="K2" s="61" t="s">
        <v>48</v>
      </c>
      <c r="L2" s="65" t="s">
        <v>49</v>
      </c>
      <c r="M2" s="65" t="s">
        <v>39</v>
      </c>
      <c r="N2" s="65" t="s">
        <v>49</v>
      </c>
      <c r="O2" s="65" t="s">
        <v>47</v>
      </c>
      <c r="P2" s="65" t="s">
        <v>48</v>
      </c>
      <c r="Q2" s="65" t="s">
        <v>49</v>
      </c>
      <c r="R2" s="63" t="s">
        <v>50</v>
      </c>
    </row>
    <row r="3" spans="2:21" ht="15" customHeight="1" x14ac:dyDescent="0.25">
      <c r="B3" s="67">
        <v>2</v>
      </c>
      <c r="C3" s="68" t="s">
        <v>51</v>
      </c>
      <c r="D3" s="110" t="s">
        <v>60</v>
      </c>
      <c r="E3" s="69">
        <v>44599</v>
      </c>
      <c r="F3" s="69"/>
      <c r="G3" s="68"/>
      <c r="H3" s="72"/>
      <c r="I3" s="72"/>
      <c r="J3" s="72"/>
      <c r="K3" s="72"/>
      <c r="L3" s="131">
        <f>(I3-H3)</f>
        <v>0</v>
      </c>
      <c r="M3" s="132"/>
      <c r="N3" s="133">
        <v>0</v>
      </c>
      <c r="O3" s="109"/>
      <c r="P3" s="109"/>
      <c r="Q3" s="78">
        <v>0</v>
      </c>
      <c r="R3" s="134"/>
      <c r="T3" s="81" t="s">
        <v>53</v>
      </c>
      <c r="U3" s="82">
        <v>3</v>
      </c>
    </row>
    <row r="4" spans="2:21" ht="15" customHeight="1" x14ac:dyDescent="0.25">
      <c r="B4" s="67">
        <v>3</v>
      </c>
      <c r="C4" s="68" t="s">
        <v>55</v>
      </c>
      <c r="D4" s="110" t="s">
        <v>60</v>
      </c>
      <c r="E4" s="69">
        <v>44602</v>
      </c>
      <c r="F4" s="69"/>
      <c r="G4" s="68"/>
      <c r="H4" s="72"/>
      <c r="I4" s="72"/>
      <c r="J4" s="72"/>
      <c r="K4" s="72"/>
      <c r="L4" s="131">
        <v>0</v>
      </c>
      <c r="M4" s="132"/>
      <c r="N4" s="133">
        <v>0</v>
      </c>
      <c r="O4" s="109">
        <v>45544</v>
      </c>
      <c r="P4" s="109">
        <v>45550</v>
      </c>
      <c r="Q4" s="78">
        <v>6</v>
      </c>
      <c r="R4" s="134"/>
      <c r="T4" s="83" t="s">
        <v>44</v>
      </c>
      <c r="U4" s="84">
        <v>2</v>
      </c>
    </row>
    <row r="5" spans="2:21" ht="15" customHeight="1" x14ac:dyDescent="0.25">
      <c r="B5" s="67">
        <v>5</v>
      </c>
      <c r="C5" s="116" t="s">
        <v>63</v>
      </c>
      <c r="D5" s="110" t="s">
        <v>60</v>
      </c>
      <c r="E5" s="118">
        <v>45477</v>
      </c>
      <c r="F5" s="118"/>
      <c r="G5" s="116"/>
      <c r="H5" s="121"/>
      <c r="I5" s="121"/>
      <c r="J5" s="121"/>
      <c r="K5" s="121"/>
      <c r="L5" s="131">
        <f>(I5-H5)</f>
        <v>0</v>
      </c>
      <c r="M5" s="145"/>
      <c r="N5" s="141">
        <v>0</v>
      </c>
      <c r="O5" s="127"/>
      <c r="P5" s="127"/>
      <c r="Q5" s="78">
        <v>0</v>
      </c>
      <c r="R5" s="142"/>
      <c r="T5" s="83" t="s">
        <v>45</v>
      </c>
      <c r="U5" s="84">
        <v>0</v>
      </c>
    </row>
    <row r="6" spans="2:21" ht="15" customHeight="1" x14ac:dyDescent="0.25">
      <c r="B6" s="151">
        <v>6</v>
      </c>
      <c r="C6" s="152" t="s">
        <v>65</v>
      </c>
      <c r="D6" s="153" t="s">
        <v>60</v>
      </c>
      <c r="E6" s="154">
        <v>45539</v>
      </c>
      <c r="F6" s="118"/>
      <c r="G6" s="116"/>
      <c r="H6" s="121"/>
      <c r="I6" s="121"/>
      <c r="J6" s="121"/>
      <c r="K6" s="121"/>
      <c r="L6" s="131">
        <v>0</v>
      </c>
      <c r="M6" s="145">
        <v>45553</v>
      </c>
      <c r="N6" s="141">
        <v>1</v>
      </c>
      <c r="O6" s="127"/>
      <c r="P6" s="127"/>
      <c r="Q6" s="155">
        <v>0</v>
      </c>
      <c r="R6" s="142"/>
      <c r="T6" s="100" t="s">
        <v>56</v>
      </c>
      <c r="U6" s="101">
        <f>U3+U4-U5</f>
        <v>5</v>
      </c>
    </row>
    <row r="7" spans="2:21" ht="15" customHeight="1" x14ac:dyDescent="0.25">
      <c r="B7" s="156">
        <v>7</v>
      </c>
      <c r="C7" s="157" t="s">
        <v>66</v>
      </c>
      <c r="D7" s="158" t="s">
        <v>60</v>
      </c>
      <c r="E7" s="159">
        <v>45546</v>
      </c>
      <c r="F7" s="87"/>
      <c r="G7" s="86"/>
      <c r="H7" s="90"/>
      <c r="I7" s="90"/>
      <c r="J7" s="90"/>
      <c r="K7" s="90"/>
      <c r="L7" s="135">
        <v>0</v>
      </c>
      <c r="M7" s="144"/>
      <c r="N7" s="137">
        <v>0</v>
      </c>
      <c r="O7" s="96"/>
      <c r="P7" s="96"/>
      <c r="Q7" s="138">
        <v>0</v>
      </c>
      <c r="R7" s="150"/>
    </row>
    <row r="8" spans="2:21" ht="15" customHeight="1" x14ac:dyDescent="0.25">
      <c r="L8" s="99">
        <f>SUM(L3:L7)</f>
        <v>0</v>
      </c>
      <c r="N8" s="99">
        <f>SUM(N3:N7)</f>
        <v>1</v>
      </c>
      <c r="O8" s="99"/>
      <c r="P8" s="99"/>
      <c r="Q8" s="99">
        <f>SUM(Q3:Q7)</f>
        <v>6</v>
      </c>
      <c r="T8" s="81" t="s">
        <v>57</v>
      </c>
      <c r="U8" s="82">
        <v>2</v>
      </c>
    </row>
    <row r="9" spans="2:21" ht="15" customHeight="1" x14ac:dyDescent="0.25">
      <c r="T9" s="100" t="s">
        <v>13</v>
      </c>
      <c r="U9" s="101">
        <f>U6+U8</f>
        <v>7</v>
      </c>
    </row>
    <row r="10" spans="2:21" ht="15" customHeight="1" x14ac:dyDescent="0.25"/>
    <row r="11" spans="2:21" ht="15" customHeight="1" x14ac:dyDescent="0.25">
      <c r="T11" s="784" t="s">
        <v>58</v>
      </c>
      <c r="U11" s="784"/>
    </row>
    <row r="12" spans="2:21" ht="15" customHeight="1" x14ac:dyDescent="0.25">
      <c r="T12" s="83" t="s">
        <v>38</v>
      </c>
      <c r="U12" s="102">
        <f>L8</f>
        <v>0</v>
      </c>
    </row>
    <row r="13" spans="2:21" ht="15" customHeight="1" x14ac:dyDescent="0.25">
      <c r="T13" s="103" t="s">
        <v>39</v>
      </c>
      <c r="U13" s="104">
        <f>N8</f>
        <v>1</v>
      </c>
    </row>
    <row r="14" spans="2:21" ht="15" customHeight="1" x14ac:dyDescent="0.25"/>
    <row r="15" spans="2:21" ht="15" customHeight="1" x14ac:dyDescent="0.25">
      <c r="T15" s="81" t="s">
        <v>40</v>
      </c>
      <c r="U15" s="105">
        <f>Q8</f>
        <v>6</v>
      </c>
    </row>
    <row r="16" spans="2:21" ht="15" customHeight="1" x14ac:dyDescent="0.25">
      <c r="T16" s="103" t="s">
        <v>59</v>
      </c>
      <c r="U16" s="104">
        <v>0</v>
      </c>
    </row>
    <row r="17" spans="20:21" ht="15" customHeight="1" x14ac:dyDescent="0.25"/>
    <row r="18" spans="20:21" ht="15" customHeight="1" x14ac:dyDescent="0.25">
      <c r="T18" s="106" t="s">
        <v>22</v>
      </c>
      <c r="U18" s="107">
        <v>21</v>
      </c>
    </row>
    <row r="19" spans="20:21" ht="15" customHeight="1" x14ac:dyDescent="0.25"/>
    <row r="20" spans="20:21" ht="15" customHeight="1" x14ac:dyDescent="0.25"/>
    <row r="21" spans="20:21" ht="15" customHeight="1" x14ac:dyDescent="0.25"/>
    <row r="22" spans="20:21" ht="15" customHeight="1" x14ac:dyDescent="0.25"/>
    <row r="23" spans="20:21" ht="15" customHeight="1" x14ac:dyDescent="0.25"/>
    <row r="24" spans="20:21" ht="15" customHeight="1" x14ac:dyDescent="0.25"/>
    <row r="25" spans="20:21" ht="15" customHeight="1" x14ac:dyDescent="0.25"/>
    <row r="26" spans="20:21" ht="15" customHeight="1" x14ac:dyDescent="0.25"/>
    <row r="27" spans="20:21" ht="15" customHeight="1" x14ac:dyDescent="0.25"/>
    <row r="28" spans="20:21" ht="15" customHeight="1" x14ac:dyDescent="0.25"/>
    <row r="29" spans="20:21" ht="15" customHeight="1" x14ac:dyDescent="0.25"/>
    <row r="30" spans="20:21" ht="15" customHeight="1" x14ac:dyDescent="0.25"/>
    <row r="31" spans="20:21" ht="15" customHeight="1" x14ac:dyDescent="0.25"/>
    <row r="32" spans="20:21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</sheetData>
  <mergeCells count="4">
    <mergeCell ref="H1:L1"/>
    <mergeCell ref="M1:N1"/>
    <mergeCell ref="O1:Q1"/>
    <mergeCell ref="T11:U11"/>
  </mergeCells>
  <pageMargins left="0.25" right="0.25" top="0.75" bottom="0.75" header="0.511811023622047" footer="0.511811023622047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U36"/>
  <sheetViews>
    <sheetView showGridLines="0" zoomScaleNormal="100" workbookViewId="0">
      <selection activeCell="E15" sqref="E15"/>
    </sheetView>
  </sheetViews>
  <sheetFormatPr defaultColWidth="9.140625" defaultRowHeight="12.75" x14ac:dyDescent="0.25"/>
  <cols>
    <col min="1" max="1" width="9.140625" style="57"/>
    <col min="2" max="2" width="10" style="57" customWidth="1"/>
    <col min="3" max="3" width="40" style="57" customWidth="1"/>
    <col min="4" max="4" width="12.5703125" style="57" customWidth="1"/>
    <col min="5" max="6" width="10.42578125" style="57" customWidth="1"/>
    <col min="7" max="7" width="11.5703125" style="57" customWidth="1"/>
    <col min="8" max="11" width="10.42578125" style="57" customWidth="1"/>
    <col min="12" max="12" width="4.140625" style="57" customWidth="1"/>
    <col min="13" max="13" width="11.42578125" style="58" customWidth="1"/>
    <col min="14" max="14" width="4.140625" style="57" customWidth="1"/>
    <col min="15" max="16" width="10.42578125" style="57" customWidth="1"/>
    <col min="17" max="17" width="4.140625" style="57" customWidth="1"/>
    <col min="18" max="18" width="27.140625" style="57" customWidth="1"/>
    <col min="19" max="19" width="2.140625" style="57" customWidth="1"/>
    <col min="20" max="20" width="13.140625" style="57" customWidth="1"/>
    <col min="21" max="21" width="3" style="57" customWidth="1"/>
    <col min="22" max="262" width="9.140625" style="57"/>
    <col min="263" max="263" width="10" style="57" customWidth="1"/>
    <col min="264" max="264" width="40" style="57" customWidth="1"/>
    <col min="265" max="265" width="12.5703125" style="57" customWidth="1"/>
    <col min="266" max="267" width="10.42578125" style="57" customWidth="1"/>
    <col min="268" max="268" width="11.5703125" style="57" customWidth="1"/>
    <col min="269" max="270" width="10.42578125" style="57" customWidth="1"/>
    <col min="271" max="271" width="6.5703125" style="57" customWidth="1"/>
    <col min="272" max="272" width="11.42578125" style="57" customWidth="1"/>
    <col min="273" max="273" width="4.140625" style="57" customWidth="1"/>
    <col min="274" max="274" width="18.5703125" style="57" customWidth="1"/>
    <col min="275" max="275" width="2.140625" style="57" customWidth="1"/>
    <col min="276" max="276" width="10.42578125" style="57" customWidth="1"/>
    <col min="277" max="518" width="9.140625" style="57"/>
    <col min="519" max="519" width="10" style="57" customWidth="1"/>
    <col min="520" max="520" width="40" style="57" customWidth="1"/>
    <col min="521" max="521" width="12.5703125" style="57" customWidth="1"/>
    <col min="522" max="523" width="10.42578125" style="57" customWidth="1"/>
    <col min="524" max="524" width="11.5703125" style="57" customWidth="1"/>
    <col min="525" max="526" width="10.42578125" style="57" customWidth="1"/>
    <col min="527" max="527" width="6.5703125" style="57" customWidth="1"/>
    <col min="528" max="528" width="11.42578125" style="57" customWidth="1"/>
    <col min="529" max="529" width="4.140625" style="57" customWidth="1"/>
    <col min="530" max="530" width="18.5703125" style="57" customWidth="1"/>
    <col min="531" max="531" width="2.140625" style="57" customWidth="1"/>
    <col min="532" max="532" width="10.42578125" style="57" customWidth="1"/>
    <col min="533" max="774" width="9.140625" style="57"/>
    <col min="775" max="775" width="10" style="57" customWidth="1"/>
    <col min="776" max="776" width="40" style="57" customWidth="1"/>
    <col min="777" max="777" width="12.5703125" style="57" customWidth="1"/>
    <col min="778" max="779" width="10.42578125" style="57" customWidth="1"/>
    <col min="780" max="780" width="11.5703125" style="57" customWidth="1"/>
    <col min="781" max="782" width="10.42578125" style="57" customWidth="1"/>
    <col min="783" max="783" width="6.5703125" style="57" customWidth="1"/>
    <col min="784" max="784" width="11.42578125" style="57" customWidth="1"/>
    <col min="785" max="785" width="4.140625" style="57" customWidth="1"/>
    <col min="786" max="786" width="18.5703125" style="57" customWidth="1"/>
    <col min="787" max="787" width="2.140625" style="57" customWidth="1"/>
    <col min="788" max="788" width="10.42578125" style="57" customWidth="1"/>
    <col min="789" max="1030" width="9.140625" style="57"/>
    <col min="1031" max="1031" width="10" style="57" customWidth="1"/>
    <col min="1032" max="1032" width="40" style="57" customWidth="1"/>
    <col min="1033" max="1033" width="12.5703125" style="57" customWidth="1"/>
    <col min="1034" max="1035" width="10.42578125" style="57" customWidth="1"/>
    <col min="1036" max="1036" width="11.5703125" style="57" customWidth="1"/>
    <col min="1037" max="1038" width="10.42578125" style="57" customWidth="1"/>
    <col min="1039" max="1039" width="6.5703125" style="57" customWidth="1"/>
    <col min="1040" max="1040" width="11.42578125" style="57" customWidth="1"/>
    <col min="1041" max="1041" width="4.140625" style="57" customWidth="1"/>
    <col min="1042" max="1042" width="18.5703125" style="57" customWidth="1"/>
    <col min="1043" max="1043" width="2.140625" style="57" customWidth="1"/>
    <col min="1044" max="1044" width="10.42578125" style="57" customWidth="1"/>
    <col min="1045" max="1286" width="9.140625" style="57"/>
    <col min="1287" max="1287" width="10" style="57" customWidth="1"/>
    <col min="1288" max="1288" width="40" style="57" customWidth="1"/>
    <col min="1289" max="1289" width="12.5703125" style="57" customWidth="1"/>
    <col min="1290" max="1291" width="10.42578125" style="57" customWidth="1"/>
    <col min="1292" max="1292" width="11.5703125" style="57" customWidth="1"/>
    <col min="1293" max="1294" width="10.42578125" style="57" customWidth="1"/>
    <col min="1295" max="1295" width="6.5703125" style="57" customWidth="1"/>
    <col min="1296" max="1296" width="11.42578125" style="57" customWidth="1"/>
    <col min="1297" max="1297" width="4.140625" style="57" customWidth="1"/>
    <col min="1298" max="1298" width="18.5703125" style="57" customWidth="1"/>
    <col min="1299" max="1299" width="2.140625" style="57" customWidth="1"/>
    <col min="1300" max="1300" width="10.42578125" style="57" customWidth="1"/>
    <col min="1301" max="1542" width="9.140625" style="57"/>
    <col min="1543" max="1543" width="10" style="57" customWidth="1"/>
    <col min="1544" max="1544" width="40" style="57" customWidth="1"/>
    <col min="1545" max="1545" width="12.5703125" style="57" customWidth="1"/>
    <col min="1546" max="1547" width="10.42578125" style="57" customWidth="1"/>
    <col min="1548" max="1548" width="11.5703125" style="57" customWidth="1"/>
    <col min="1549" max="1550" width="10.42578125" style="57" customWidth="1"/>
    <col min="1551" max="1551" width="6.5703125" style="57" customWidth="1"/>
    <col min="1552" max="1552" width="11.42578125" style="57" customWidth="1"/>
    <col min="1553" max="1553" width="4.140625" style="57" customWidth="1"/>
    <col min="1554" max="1554" width="18.5703125" style="57" customWidth="1"/>
    <col min="1555" max="1555" width="2.140625" style="57" customWidth="1"/>
    <col min="1556" max="1556" width="10.42578125" style="57" customWidth="1"/>
    <col min="1557" max="1798" width="9.140625" style="57"/>
    <col min="1799" max="1799" width="10" style="57" customWidth="1"/>
    <col min="1800" max="1800" width="40" style="57" customWidth="1"/>
    <col min="1801" max="1801" width="12.5703125" style="57" customWidth="1"/>
    <col min="1802" max="1803" width="10.42578125" style="57" customWidth="1"/>
    <col min="1804" max="1804" width="11.5703125" style="57" customWidth="1"/>
    <col min="1805" max="1806" width="10.42578125" style="57" customWidth="1"/>
    <col min="1807" max="1807" width="6.5703125" style="57" customWidth="1"/>
    <col min="1808" max="1808" width="11.42578125" style="57" customWidth="1"/>
    <col min="1809" max="1809" width="4.140625" style="57" customWidth="1"/>
    <col min="1810" max="1810" width="18.5703125" style="57" customWidth="1"/>
    <col min="1811" max="1811" width="2.140625" style="57" customWidth="1"/>
    <col min="1812" max="1812" width="10.42578125" style="57" customWidth="1"/>
    <col min="1813" max="2054" width="9.140625" style="57"/>
    <col min="2055" max="2055" width="10" style="57" customWidth="1"/>
    <col min="2056" max="2056" width="40" style="57" customWidth="1"/>
    <col min="2057" max="2057" width="12.5703125" style="57" customWidth="1"/>
    <col min="2058" max="2059" width="10.42578125" style="57" customWidth="1"/>
    <col min="2060" max="2060" width="11.5703125" style="57" customWidth="1"/>
    <col min="2061" max="2062" width="10.42578125" style="57" customWidth="1"/>
    <col min="2063" max="2063" width="6.5703125" style="57" customWidth="1"/>
    <col min="2064" max="2064" width="11.42578125" style="57" customWidth="1"/>
    <col min="2065" max="2065" width="4.140625" style="57" customWidth="1"/>
    <col min="2066" max="2066" width="18.5703125" style="57" customWidth="1"/>
    <col min="2067" max="2067" width="2.140625" style="57" customWidth="1"/>
    <col min="2068" max="2068" width="10.42578125" style="57" customWidth="1"/>
    <col min="2069" max="2310" width="9.140625" style="57"/>
    <col min="2311" max="2311" width="10" style="57" customWidth="1"/>
    <col min="2312" max="2312" width="40" style="57" customWidth="1"/>
    <col min="2313" max="2313" width="12.5703125" style="57" customWidth="1"/>
    <col min="2314" max="2315" width="10.42578125" style="57" customWidth="1"/>
    <col min="2316" max="2316" width="11.5703125" style="57" customWidth="1"/>
    <col min="2317" max="2318" width="10.42578125" style="57" customWidth="1"/>
    <col min="2319" max="2319" width="6.5703125" style="57" customWidth="1"/>
    <col min="2320" max="2320" width="11.42578125" style="57" customWidth="1"/>
    <col min="2321" max="2321" width="4.140625" style="57" customWidth="1"/>
    <col min="2322" max="2322" width="18.5703125" style="57" customWidth="1"/>
    <col min="2323" max="2323" width="2.140625" style="57" customWidth="1"/>
    <col min="2324" max="2324" width="10.42578125" style="57" customWidth="1"/>
    <col min="2325" max="2566" width="9.140625" style="57"/>
    <col min="2567" max="2567" width="10" style="57" customWidth="1"/>
    <col min="2568" max="2568" width="40" style="57" customWidth="1"/>
    <col min="2569" max="2569" width="12.5703125" style="57" customWidth="1"/>
    <col min="2570" max="2571" width="10.42578125" style="57" customWidth="1"/>
    <col min="2572" max="2572" width="11.5703125" style="57" customWidth="1"/>
    <col min="2573" max="2574" width="10.42578125" style="57" customWidth="1"/>
    <col min="2575" max="2575" width="6.5703125" style="57" customWidth="1"/>
    <col min="2576" max="2576" width="11.42578125" style="57" customWidth="1"/>
    <col min="2577" max="2577" width="4.140625" style="57" customWidth="1"/>
    <col min="2578" max="2578" width="18.5703125" style="57" customWidth="1"/>
    <col min="2579" max="2579" width="2.140625" style="57" customWidth="1"/>
    <col min="2580" max="2580" width="10.42578125" style="57" customWidth="1"/>
    <col min="2581" max="2822" width="9.140625" style="57"/>
    <col min="2823" max="2823" width="10" style="57" customWidth="1"/>
    <col min="2824" max="2824" width="40" style="57" customWidth="1"/>
    <col min="2825" max="2825" width="12.5703125" style="57" customWidth="1"/>
    <col min="2826" max="2827" width="10.42578125" style="57" customWidth="1"/>
    <col min="2828" max="2828" width="11.5703125" style="57" customWidth="1"/>
    <col min="2829" max="2830" width="10.42578125" style="57" customWidth="1"/>
    <col min="2831" max="2831" width="6.5703125" style="57" customWidth="1"/>
    <col min="2832" max="2832" width="11.42578125" style="57" customWidth="1"/>
    <col min="2833" max="2833" width="4.140625" style="57" customWidth="1"/>
    <col min="2834" max="2834" width="18.5703125" style="57" customWidth="1"/>
    <col min="2835" max="2835" width="2.140625" style="57" customWidth="1"/>
    <col min="2836" max="2836" width="10.42578125" style="57" customWidth="1"/>
    <col min="2837" max="3078" width="9.140625" style="57"/>
    <col min="3079" max="3079" width="10" style="57" customWidth="1"/>
    <col min="3080" max="3080" width="40" style="57" customWidth="1"/>
    <col min="3081" max="3081" width="12.5703125" style="57" customWidth="1"/>
    <col min="3082" max="3083" width="10.42578125" style="57" customWidth="1"/>
    <col min="3084" max="3084" width="11.5703125" style="57" customWidth="1"/>
    <col min="3085" max="3086" width="10.42578125" style="57" customWidth="1"/>
    <col min="3087" max="3087" width="6.5703125" style="57" customWidth="1"/>
    <col min="3088" max="3088" width="11.42578125" style="57" customWidth="1"/>
    <col min="3089" max="3089" width="4.140625" style="57" customWidth="1"/>
    <col min="3090" max="3090" width="18.5703125" style="57" customWidth="1"/>
    <col min="3091" max="3091" width="2.140625" style="57" customWidth="1"/>
    <col min="3092" max="3092" width="10.42578125" style="57" customWidth="1"/>
    <col min="3093" max="3334" width="9.140625" style="57"/>
    <col min="3335" max="3335" width="10" style="57" customWidth="1"/>
    <col min="3336" max="3336" width="40" style="57" customWidth="1"/>
    <col min="3337" max="3337" width="12.5703125" style="57" customWidth="1"/>
    <col min="3338" max="3339" width="10.42578125" style="57" customWidth="1"/>
    <col min="3340" max="3340" width="11.5703125" style="57" customWidth="1"/>
    <col min="3341" max="3342" width="10.42578125" style="57" customWidth="1"/>
    <col min="3343" max="3343" width="6.5703125" style="57" customWidth="1"/>
    <col min="3344" max="3344" width="11.42578125" style="57" customWidth="1"/>
    <col min="3345" max="3345" width="4.140625" style="57" customWidth="1"/>
    <col min="3346" max="3346" width="18.5703125" style="57" customWidth="1"/>
    <col min="3347" max="3347" width="2.140625" style="57" customWidth="1"/>
    <col min="3348" max="3348" width="10.42578125" style="57" customWidth="1"/>
    <col min="3349" max="3590" width="9.140625" style="57"/>
    <col min="3591" max="3591" width="10" style="57" customWidth="1"/>
    <col min="3592" max="3592" width="40" style="57" customWidth="1"/>
    <col min="3593" max="3593" width="12.5703125" style="57" customWidth="1"/>
    <col min="3594" max="3595" width="10.42578125" style="57" customWidth="1"/>
    <col min="3596" max="3596" width="11.5703125" style="57" customWidth="1"/>
    <col min="3597" max="3598" width="10.42578125" style="57" customWidth="1"/>
    <col min="3599" max="3599" width="6.5703125" style="57" customWidth="1"/>
    <col min="3600" max="3600" width="11.42578125" style="57" customWidth="1"/>
    <col min="3601" max="3601" width="4.140625" style="57" customWidth="1"/>
    <col min="3602" max="3602" width="18.5703125" style="57" customWidth="1"/>
    <col min="3603" max="3603" width="2.140625" style="57" customWidth="1"/>
    <col min="3604" max="3604" width="10.42578125" style="57" customWidth="1"/>
    <col min="3605" max="3846" width="9.140625" style="57"/>
    <col min="3847" max="3847" width="10" style="57" customWidth="1"/>
    <col min="3848" max="3848" width="40" style="57" customWidth="1"/>
    <col min="3849" max="3849" width="12.5703125" style="57" customWidth="1"/>
    <col min="3850" max="3851" width="10.42578125" style="57" customWidth="1"/>
    <col min="3852" max="3852" width="11.5703125" style="57" customWidth="1"/>
    <col min="3853" max="3854" width="10.42578125" style="57" customWidth="1"/>
    <col min="3855" max="3855" width="6.5703125" style="57" customWidth="1"/>
    <col min="3856" max="3856" width="11.42578125" style="57" customWidth="1"/>
    <col min="3857" max="3857" width="4.140625" style="57" customWidth="1"/>
    <col min="3858" max="3858" width="18.5703125" style="57" customWidth="1"/>
    <col min="3859" max="3859" width="2.140625" style="57" customWidth="1"/>
    <col min="3860" max="3860" width="10.42578125" style="57" customWidth="1"/>
    <col min="3861" max="4102" width="9.140625" style="57"/>
    <col min="4103" max="4103" width="10" style="57" customWidth="1"/>
    <col min="4104" max="4104" width="40" style="57" customWidth="1"/>
    <col min="4105" max="4105" width="12.5703125" style="57" customWidth="1"/>
    <col min="4106" max="4107" width="10.42578125" style="57" customWidth="1"/>
    <col min="4108" max="4108" width="11.5703125" style="57" customWidth="1"/>
    <col min="4109" max="4110" width="10.42578125" style="57" customWidth="1"/>
    <col min="4111" max="4111" width="6.5703125" style="57" customWidth="1"/>
    <col min="4112" max="4112" width="11.42578125" style="57" customWidth="1"/>
    <col min="4113" max="4113" width="4.140625" style="57" customWidth="1"/>
    <col min="4114" max="4114" width="18.5703125" style="57" customWidth="1"/>
    <col min="4115" max="4115" width="2.140625" style="57" customWidth="1"/>
    <col min="4116" max="4116" width="10.42578125" style="57" customWidth="1"/>
    <col min="4117" max="4358" width="9.140625" style="57"/>
    <col min="4359" max="4359" width="10" style="57" customWidth="1"/>
    <col min="4360" max="4360" width="40" style="57" customWidth="1"/>
    <col min="4361" max="4361" width="12.5703125" style="57" customWidth="1"/>
    <col min="4362" max="4363" width="10.42578125" style="57" customWidth="1"/>
    <col min="4364" max="4364" width="11.5703125" style="57" customWidth="1"/>
    <col min="4365" max="4366" width="10.42578125" style="57" customWidth="1"/>
    <col min="4367" max="4367" width="6.5703125" style="57" customWidth="1"/>
    <col min="4368" max="4368" width="11.42578125" style="57" customWidth="1"/>
    <col min="4369" max="4369" width="4.140625" style="57" customWidth="1"/>
    <col min="4370" max="4370" width="18.5703125" style="57" customWidth="1"/>
    <col min="4371" max="4371" width="2.140625" style="57" customWidth="1"/>
    <col min="4372" max="4372" width="10.42578125" style="57" customWidth="1"/>
    <col min="4373" max="4614" width="9.140625" style="57"/>
    <col min="4615" max="4615" width="10" style="57" customWidth="1"/>
    <col min="4616" max="4616" width="40" style="57" customWidth="1"/>
    <col min="4617" max="4617" width="12.5703125" style="57" customWidth="1"/>
    <col min="4618" max="4619" width="10.42578125" style="57" customWidth="1"/>
    <col min="4620" max="4620" width="11.5703125" style="57" customWidth="1"/>
    <col min="4621" max="4622" width="10.42578125" style="57" customWidth="1"/>
    <col min="4623" max="4623" width="6.5703125" style="57" customWidth="1"/>
    <col min="4624" max="4624" width="11.42578125" style="57" customWidth="1"/>
    <col min="4625" max="4625" width="4.140625" style="57" customWidth="1"/>
    <col min="4626" max="4626" width="18.5703125" style="57" customWidth="1"/>
    <col min="4627" max="4627" width="2.140625" style="57" customWidth="1"/>
    <col min="4628" max="4628" width="10.42578125" style="57" customWidth="1"/>
    <col min="4629" max="4870" width="9.140625" style="57"/>
    <col min="4871" max="4871" width="10" style="57" customWidth="1"/>
    <col min="4872" max="4872" width="40" style="57" customWidth="1"/>
    <col min="4873" max="4873" width="12.5703125" style="57" customWidth="1"/>
    <col min="4874" max="4875" width="10.42578125" style="57" customWidth="1"/>
    <col min="4876" max="4876" width="11.5703125" style="57" customWidth="1"/>
    <col min="4877" max="4878" width="10.42578125" style="57" customWidth="1"/>
    <col min="4879" max="4879" width="6.5703125" style="57" customWidth="1"/>
    <col min="4880" max="4880" width="11.42578125" style="57" customWidth="1"/>
    <col min="4881" max="4881" width="4.140625" style="57" customWidth="1"/>
    <col min="4882" max="4882" width="18.5703125" style="57" customWidth="1"/>
    <col min="4883" max="4883" width="2.140625" style="57" customWidth="1"/>
    <col min="4884" max="4884" width="10.42578125" style="57" customWidth="1"/>
    <col min="4885" max="5126" width="9.140625" style="57"/>
    <col min="5127" max="5127" width="10" style="57" customWidth="1"/>
    <col min="5128" max="5128" width="40" style="57" customWidth="1"/>
    <col min="5129" max="5129" width="12.5703125" style="57" customWidth="1"/>
    <col min="5130" max="5131" width="10.42578125" style="57" customWidth="1"/>
    <col min="5132" max="5132" width="11.5703125" style="57" customWidth="1"/>
    <col min="5133" max="5134" width="10.42578125" style="57" customWidth="1"/>
    <col min="5135" max="5135" width="6.5703125" style="57" customWidth="1"/>
    <col min="5136" max="5136" width="11.42578125" style="57" customWidth="1"/>
    <col min="5137" max="5137" width="4.140625" style="57" customWidth="1"/>
    <col min="5138" max="5138" width="18.5703125" style="57" customWidth="1"/>
    <col min="5139" max="5139" width="2.140625" style="57" customWidth="1"/>
    <col min="5140" max="5140" width="10.42578125" style="57" customWidth="1"/>
    <col min="5141" max="5382" width="9.140625" style="57"/>
    <col min="5383" max="5383" width="10" style="57" customWidth="1"/>
    <col min="5384" max="5384" width="40" style="57" customWidth="1"/>
    <col min="5385" max="5385" width="12.5703125" style="57" customWidth="1"/>
    <col min="5386" max="5387" width="10.42578125" style="57" customWidth="1"/>
    <col min="5388" max="5388" width="11.5703125" style="57" customWidth="1"/>
    <col min="5389" max="5390" width="10.42578125" style="57" customWidth="1"/>
    <col min="5391" max="5391" width="6.5703125" style="57" customWidth="1"/>
    <col min="5392" max="5392" width="11.42578125" style="57" customWidth="1"/>
    <col min="5393" max="5393" width="4.140625" style="57" customWidth="1"/>
    <col min="5394" max="5394" width="18.5703125" style="57" customWidth="1"/>
    <col min="5395" max="5395" width="2.140625" style="57" customWidth="1"/>
    <col min="5396" max="5396" width="10.42578125" style="57" customWidth="1"/>
    <col min="5397" max="5638" width="9.140625" style="57"/>
    <col min="5639" max="5639" width="10" style="57" customWidth="1"/>
    <col min="5640" max="5640" width="40" style="57" customWidth="1"/>
    <col min="5641" max="5641" width="12.5703125" style="57" customWidth="1"/>
    <col min="5642" max="5643" width="10.42578125" style="57" customWidth="1"/>
    <col min="5644" max="5644" width="11.5703125" style="57" customWidth="1"/>
    <col min="5645" max="5646" width="10.42578125" style="57" customWidth="1"/>
    <col min="5647" max="5647" width="6.5703125" style="57" customWidth="1"/>
    <col min="5648" max="5648" width="11.42578125" style="57" customWidth="1"/>
    <col min="5649" max="5649" width="4.140625" style="57" customWidth="1"/>
    <col min="5650" max="5650" width="18.5703125" style="57" customWidth="1"/>
    <col min="5651" max="5651" width="2.140625" style="57" customWidth="1"/>
    <col min="5652" max="5652" width="10.42578125" style="57" customWidth="1"/>
    <col min="5653" max="5894" width="9.140625" style="57"/>
    <col min="5895" max="5895" width="10" style="57" customWidth="1"/>
    <col min="5896" max="5896" width="40" style="57" customWidth="1"/>
    <col min="5897" max="5897" width="12.5703125" style="57" customWidth="1"/>
    <col min="5898" max="5899" width="10.42578125" style="57" customWidth="1"/>
    <col min="5900" max="5900" width="11.5703125" style="57" customWidth="1"/>
    <col min="5901" max="5902" width="10.42578125" style="57" customWidth="1"/>
    <col min="5903" max="5903" width="6.5703125" style="57" customWidth="1"/>
    <col min="5904" max="5904" width="11.42578125" style="57" customWidth="1"/>
    <col min="5905" max="5905" width="4.140625" style="57" customWidth="1"/>
    <col min="5906" max="5906" width="18.5703125" style="57" customWidth="1"/>
    <col min="5907" max="5907" width="2.140625" style="57" customWidth="1"/>
    <col min="5908" max="5908" width="10.42578125" style="57" customWidth="1"/>
    <col min="5909" max="6150" width="9.140625" style="57"/>
    <col min="6151" max="6151" width="10" style="57" customWidth="1"/>
    <col min="6152" max="6152" width="40" style="57" customWidth="1"/>
    <col min="6153" max="6153" width="12.5703125" style="57" customWidth="1"/>
    <col min="6154" max="6155" width="10.42578125" style="57" customWidth="1"/>
    <col min="6156" max="6156" width="11.5703125" style="57" customWidth="1"/>
    <col min="6157" max="6158" width="10.42578125" style="57" customWidth="1"/>
    <col min="6159" max="6159" width="6.5703125" style="57" customWidth="1"/>
    <col min="6160" max="6160" width="11.42578125" style="57" customWidth="1"/>
    <col min="6161" max="6161" width="4.140625" style="57" customWidth="1"/>
    <col min="6162" max="6162" width="18.5703125" style="57" customWidth="1"/>
    <col min="6163" max="6163" width="2.140625" style="57" customWidth="1"/>
    <col min="6164" max="6164" width="10.42578125" style="57" customWidth="1"/>
    <col min="6165" max="6406" width="9.140625" style="57"/>
    <col min="6407" max="6407" width="10" style="57" customWidth="1"/>
    <col min="6408" max="6408" width="40" style="57" customWidth="1"/>
    <col min="6409" max="6409" width="12.5703125" style="57" customWidth="1"/>
    <col min="6410" max="6411" width="10.42578125" style="57" customWidth="1"/>
    <col min="6412" max="6412" width="11.5703125" style="57" customWidth="1"/>
    <col min="6413" max="6414" width="10.42578125" style="57" customWidth="1"/>
    <col min="6415" max="6415" width="6.5703125" style="57" customWidth="1"/>
    <col min="6416" max="6416" width="11.42578125" style="57" customWidth="1"/>
    <col min="6417" max="6417" width="4.140625" style="57" customWidth="1"/>
    <col min="6418" max="6418" width="18.5703125" style="57" customWidth="1"/>
    <col min="6419" max="6419" width="2.140625" style="57" customWidth="1"/>
    <col min="6420" max="6420" width="10.42578125" style="57" customWidth="1"/>
    <col min="6421" max="6662" width="9.140625" style="57"/>
    <col min="6663" max="6663" width="10" style="57" customWidth="1"/>
    <col min="6664" max="6664" width="40" style="57" customWidth="1"/>
    <col min="6665" max="6665" width="12.5703125" style="57" customWidth="1"/>
    <col min="6666" max="6667" width="10.42578125" style="57" customWidth="1"/>
    <col min="6668" max="6668" width="11.5703125" style="57" customWidth="1"/>
    <col min="6669" max="6670" width="10.42578125" style="57" customWidth="1"/>
    <col min="6671" max="6671" width="6.5703125" style="57" customWidth="1"/>
    <col min="6672" max="6672" width="11.42578125" style="57" customWidth="1"/>
    <col min="6673" max="6673" width="4.140625" style="57" customWidth="1"/>
    <col min="6674" max="6674" width="18.5703125" style="57" customWidth="1"/>
    <col min="6675" max="6675" width="2.140625" style="57" customWidth="1"/>
    <col min="6676" max="6676" width="10.42578125" style="57" customWidth="1"/>
    <col min="6677" max="6918" width="9.140625" style="57"/>
    <col min="6919" max="6919" width="10" style="57" customWidth="1"/>
    <col min="6920" max="6920" width="40" style="57" customWidth="1"/>
    <col min="6921" max="6921" width="12.5703125" style="57" customWidth="1"/>
    <col min="6922" max="6923" width="10.42578125" style="57" customWidth="1"/>
    <col min="6924" max="6924" width="11.5703125" style="57" customWidth="1"/>
    <col min="6925" max="6926" width="10.42578125" style="57" customWidth="1"/>
    <col min="6927" max="6927" width="6.5703125" style="57" customWidth="1"/>
    <col min="6928" max="6928" width="11.42578125" style="57" customWidth="1"/>
    <col min="6929" max="6929" width="4.140625" style="57" customWidth="1"/>
    <col min="6930" max="6930" width="18.5703125" style="57" customWidth="1"/>
    <col min="6931" max="6931" width="2.140625" style="57" customWidth="1"/>
    <col min="6932" max="6932" width="10.42578125" style="57" customWidth="1"/>
    <col min="6933" max="7174" width="9.140625" style="57"/>
    <col min="7175" max="7175" width="10" style="57" customWidth="1"/>
    <col min="7176" max="7176" width="40" style="57" customWidth="1"/>
    <col min="7177" max="7177" width="12.5703125" style="57" customWidth="1"/>
    <col min="7178" max="7179" width="10.42578125" style="57" customWidth="1"/>
    <col min="7180" max="7180" width="11.5703125" style="57" customWidth="1"/>
    <col min="7181" max="7182" width="10.42578125" style="57" customWidth="1"/>
    <col min="7183" max="7183" width="6.5703125" style="57" customWidth="1"/>
    <col min="7184" max="7184" width="11.42578125" style="57" customWidth="1"/>
    <col min="7185" max="7185" width="4.140625" style="57" customWidth="1"/>
    <col min="7186" max="7186" width="18.5703125" style="57" customWidth="1"/>
    <col min="7187" max="7187" width="2.140625" style="57" customWidth="1"/>
    <col min="7188" max="7188" width="10.42578125" style="57" customWidth="1"/>
    <col min="7189" max="7430" width="9.140625" style="57"/>
    <col min="7431" max="7431" width="10" style="57" customWidth="1"/>
    <col min="7432" max="7432" width="40" style="57" customWidth="1"/>
    <col min="7433" max="7433" width="12.5703125" style="57" customWidth="1"/>
    <col min="7434" max="7435" width="10.42578125" style="57" customWidth="1"/>
    <col min="7436" max="7436" width="11.5703125" style="57" customWidth="1"/>
    <col min="7437" max="7438" width="10.42578125" style="57" customWidth="1"/>
    <col min="7439" max="7439" width="6.5703125" style="57" customWidth="1"/>
    <col min="7440" max="7440" width="11.42578125" style="57" customWidth="1"/>
    <col min="7441" max="7441" width="4.140625" style="57" customWidth="1"/>
    <col min="7442" max="7442" width="18.5703125" style="57" customWidth="1"/>
    <col min="7443" max="7443" width="2.140625" style="57" customWidth="1"/>
    <col min="7444" max="7444" width="10.42578125" style="57" customWidth="1"/>
    <col min="7445" max="7686" width="9.140625" style="57"/>
    <col min="7687" max="7687" width="10" style="57" customWidth="1"/>
    <col min="7688" max="7688" width="40" style="57" customWidth="1"/>
    <col min="7689" max="7689" width="12.5703125" style="57" customWidth="1"/>
    <col min="7690" max="7691" width="10.42578125" style="57" customWidth="1"/>
    <col min="7692" max="7692" width="11.5703125" style="57" customWidth="1"/>
    <col min="7693" max="7694" width="10.42578125" style="57" customWidth="1"/>
    <col min="7695" max="7695" width="6.5703125" style="57" customWidth="1"/>
    <col min="7696" max="7696" width="11.42578125" style="57" customWidth="1"/>
    <col min="7697" max="7697" width="4.140625" style="57" customWidth="1"/>
    <col min="7698" max="7698" width="18.5703125" style="57" customWidth="1"/>
    <col min="7699" max="7699" width="2.140625" style="57" customWidth="1"/>
    <col min="7700" max="7700" width="10.42578125" style="57" customWidth="1"/>
    <col min="7701" max="7942" width="9.140625" style="57"/>
    <col min="7943" max="7943" width="10" style="57" customWidth="1"/>
    <col min="7944" max="7944" width="40" style="57" customWidth="1"/>
    <col min="7945" max="7945" width="12.5703125" style="57" customWidth="1"/>
    <col min="7946" max="7947" width="10.42578125" style="57" customWidth="1"/>
    <col min="7948" max="7948" width="11.5703125" style="57" customWidth="1"/>
    <col min="7949" max="7950" width="10.42578125" style="57" customWidth="1"/>
    <col min="7951" max="7951" width="6.5703125" style="57" customWidth="1"/>
    <col min="7952" max="7952" width="11.42578125" style="57" customWidth="1"/>
    <col min="7953" max="7953" width="4.140625" style="57" customWidth="1"/>
    <col min="7954" max="7954" width="18.5703125" style="57" customWidth="1"/>
    <col min="7955" max="7955" width="2.140625" style="57" customWidth="1"/>
    <col min="7956" max="7956" width="10.42578125" style="57" customWidth="1"/>
    <col min="7957" max="8198" width="9.140625" style="57"/>
    <col min="8199" max="8199" width="10" style="57" customWidth="1"/>
    <col min="8200" max="8200" width="40" style="57" customWidth="1"/>
    <col min="8201" max="8201" width="12.5703125" style="57" customWidth="1"/>
    <col min="8202" max="8203" width="10.42578125" style="57" customWidth="1"/>
    <col min="8204" max="8204" width="11.5703125" style="57" customWidth="1"/>
    <col min="8205" max="8206" width="10.42578125" style="57" customWidth="1"/>
    <col min="8207" max="8207" width="6.5703125" style="57" customWidth="1"/>
    <col min="8208" max="8208" width="11.42578125" style="57" customWidth="1"/>
    <col min="8209" max="8209" width="4.140625" style="57" customWidth="1"/>
    <col min="8210" max="8210" width="18.5703125" style="57" customWidth="1"/>
    <col min="8211" max="8211" width="2.140625" style="57" customWidth="1"/>
    <col min="8212" max="8212" width="10.42578125" style="57" customWidth="1"/>
    <col min="8213" max="8454" width="9.140625" style="57"/>
    <col min="8455" max="8455" width="10" style="57" customWidth="1"/>
    <col min="8456" max="8456" width="40" style="57" customWidth="1"/>
    <col min="8457" max="8457" width="12.5703125" style="57" customWidth="1"/>
    <col min="8458" max="8459" width="10.42578125" style="57" customWidth="1"/>
    <col min="8460" max="8460" width="11.5703125" style="57" customWidth="1"/>
    <col min="8461" max="8462" width="10.42578125" style="57" customWidth="1"/>
    <col min="8463" max="8463" width="6.5703125" style="57" customWidth="1"/>
    <col min="8464" max="8464" width="11.42578125" style="57" customWidth="1"/>
    <col min="8465" max="8465" width="4.140625" style="57" customWidth="1"/>
    <col min="8466" max="8466" width="18.5703125" style="57" customWidth="1"/>
    <col min="8467" max="8467" width="2.140625" style="57" customWidth="1"/>
    <col min="8468" max="8468" width="10.42578125" style="57" customWidth="1"/>
    <col min="8469" max="8710" width="9.140625" style="57"/>
    <col min="8711" max="8711" width="10" style="57" customWidth="1"/>
    <col min="8712" max="8712" width="40" style="57" customWidth="1"/>
    <col min="8713" max="8713" width="12.5703125" style="57" customWidth="1"/>
    <col min="8714" max="8715" width="10.42578125" style="57" customWidth="1"/>
    <col min="8716" max="8716" width="11.5703125" style="57" customWidth="1"/>
    <col min="8717" max="8718" width="10.42578125" style="57" customWidth="1"/>
    <col min="8719" max="8719" width="6.5703125" style="57" customWidth="1"/>
    <col min="8720" max="8720" width="11.42578125" style="57" customWidth="1"/>
    <col min="8721" max="8721" width="4.140625" style="57" customWidth="1"/>
    <col min="8722" max="8722" width="18.5703125" style="57" customWidth="1"/>
    <col min="8723" max="8723" width="2.140625" style="57" customWidth="1"/>
    <col min="8724" max="8724" width="10.42578125" style="57" customWidth="1"/>
    <col min="8725" max="8966" width="9.140625" style="57"/>
    <col min="8967" max="8967" width="10" style="57" customWidth="1"/>
    <col min="8968" max="8968" width="40" style="57" customWidth="1"/>
    <col min="8969" max="8969" width="12.5703125" style="57" customWidth="1"/>
    <col min="8970" max="8971" width="10.42578125" style="57" customWidth="1"/>
    <col min="8972" max="8972" width="11.5703125" style="57" customWidth="1"/>
    <col min="8973" max="8974" width="10.42578125" style="57" customWidth="1"/>
    <col min="8975" max="8975" width="6.5703125" style="57" customWidth="1"/>
    <col min="8976" max="8976" width="11.42578125" style="57" customWidth="1"/>
    <col min="8977" max="8977" width="4.140625" style="57" customWidth="1"/>
    <col min="8978" max="8978" width="18.5703125" style="57" customWidth="1"/>
    <col min="8979" max="8979" width="2.140625" style="57" customWidth="1"/>
    <col min="8980" max="8980" width="10.42578125" style="57" customWidth="1"/>
    <col min="8981" max="9222" width="9.140625" style="57"/>
    <col min="9223" max="9223" width="10" style="57" customWidth="1"/>
    <col min="9224" max="9224" width="40" style="57" customWidth="1"/>
    <col min="9225" max="9225" width="12.5703125" style="57" customWidth="1"/>
    <col min="9226" max="9227" width="10.42578125" style="57" customWidth="1"/>
    <col min="9228" max="9228" width="11.5703125" style="57" customWidth="1"/>
    <col min="9229" max="9230" width="10.42578125" style="57" customWidth="1"/>
    <col min="9231" max="9231" width="6.5703125" style="57" customWidth="1"/>
    <col min="9232" max="9232" width="11.42578125" style="57" customWidth="1"/>
    <col min="9233" max="9233" width="4.140625" style="57" customWidth="1"/>
    <col min="9234" max="9234" width="18.5703125" style="57" customWidth="1"/>
    <col min="9235" max="9235" width="2.140625" style="57" customWidth="1"/>
    <col min="9236" max="9236" width="10.42578125" style="57" customWidth="1"/>
    <col min="9237" max="9478" width="9.140625" style="57"/>
    <col min="9479" max="9479" width="10" style="57" customWidth="1"/>
    <col min="9480" max="9480" width="40" style="57" customWidth="1"/>
    <col min="9481" max="9481" width="12.5703125" style="57" customWidth="1"/>
    <col min="9482" max="9483" width="10.42578125" style="57" customWidth="1"/>
    <col min="9484" max="9484" width="11.5703125" style="57" customWidth="1"/>
    <col min="9485" max="9486" width="10.42578125" style="57" customWidth="1"/>
    <col min="9487" max="9487" width="6.5703125" style="57" customWidth="1"/>
    <col min="9488" max="9488" width="11.42578125" style="57" customWidth="1"/>
    <col min="9489" max="9489" width="4.140625" style="57" customWidth="1"/>
    <col min="9490" max="9490" width="18.5703125" style="57" customWidth="1"/>
    <col min="9491" max="9491" width="2.140625" style="57" customWidth="1"/>
    <col min="9492" max="9492" width="10.42578125" style="57" customWidth="1"/>
    <col min="9493" max="9734" width="9.140625" style="57"/>
    <col min="9735" max="9735" width="10" style="57" customWidth="1"/>
    <col min="9736" max="9736" width="40" style="57" customWidth="1"/>
    <col min="9737" max="9737" width="12.5703125" style="57" customWidth="1"/>
    <col min="9738" max="9739" width="10.42578125" style="57" customWidth="1"/>
    <col min="9740" max="9740" width="11.5703125" style="57" customWidth="1"/>
    <col min="9741" max="9742" width="10.42578125" style="57" customWidth="1"/>
    <col min="9743" max="9743" width="6.5703125" style="57" customWidth="1"/>
    <col min="9744" max="9744" width="11.42578125" style="57" customWidth="1"/>
    <col min="9745" max="9745" width="4.140625" style="57" customWidth="1"/>
    <col min="9746" max="9746" width="18.5703125" style="57" customWidth="1"/>
    <col min="9747" max="9747" width="2.140625" style="57" customWidth="1"/>
    <col min="9748" max="9748" width="10.42578125" style="57" customWidth="1"/>
    <col min="9749" max="9990" width="9.140625" style="57"/>
    <col min="9991" max="9991" width="10" style="57" customWidth="1"/>
    <col min="9992" max="9992" width="40" style="57" customWidth="1"/>
    <col min="9993" max="9993" width="12.5703125" style="57" customWidth="1"/>
    <col min="9994" max="9995" width="10.42578125" style="57" customWidth="1"/>
    <col min="9996" max="9996" width="11.5703125" style="57" customWidth="1"/>
    <col min="9997" max="9998" width="10.42578125" style="57" customWidth="1"/>
    <col min="9999" max="9999" width="6.5703125" style="57" customWidth="1"/>
    <col min="10000" max="10000" width="11.42578125" style="57" customWidth="1"/>
    <col min="10001" max="10001" width="4.140625" style="57" customWidth="1"/>
    <col min="10002" max="10002" width="18.5703125" style="57" customWidth="1"/>
    <col min="10003" max="10003" width="2.140625" style="57" customWidth="1"/>
    <col min="10004" max="10004" width="10.42578125" style="57" customWidth="1"/>
    <col min="10005" max="10246" width="9.140625" style="57"/>
    <col min="10247" max="10247" width="10" style="57" customWidth="1"/>
    <col min="10248" max="10248" width="40" style="57" customWidth="1"/>
    <col min="10249" max="10249" width="12.5703125" style="57" customWidth="1"/>
    <col min="10250" max="10251" width="10.42578125" style="57" customWidth="1"/>
    <col min="10252" max="10252" width="11.5703125" style="57" customWidth="1"/>
    <col min="10253" max="10254" width="10.42578125" style="57" customWidth="1"/>
    <col min="10255" max="10255" width="6.5703125" style="57" customWidth="1"/>
    <col min="10256" max="10256" width="11.42578125" style="57" customWidth="1"/>
    <col min="10257" max="10257" width="4.140625" style="57" customWidth="1"/>
    <col min="10258" max="10258" width="18.5703125" style="57" customWidth="1"/>
    <col min="10259" max="10259" width="2.140625" style="57" customWidth="1"/>
    <col min="10260" max="10260" width="10.42578125" style="57" customWidth="1"/>
    <col min="10261" max="10502" width="9.140625" style="57"/>
    <col min="10503" max="10503" width="10" style="57" customWidth="1"/>
    <col min="10504" max="10504" width="40" style="57" customWidth="1"/>
    <col min="10505" max="10505" width="12.5703125" style="57" customWidth="1"/>
    <col min="10506" max="10507" width="10.42578125" style="57" customWidth="1"/>
    <col min="10508" max="10508" width="11.5703125" style="57" customWidth="1"/>
    <col min="10509" max="10510" width="10.42578125" style="57" customWidth="1"/>
    <col min="10511" max="10511" width="6.5703125" style="57" customWidth="1"/>
    <col min="10512" max="10512" width="11.42578125" style="57" customWidth="1"/>
    <col min="10513" max="10513" width="4.140625" style="57" customWidth="1"/>
    <col min="10514" max="10514" width="18.5703125" style="57" customWidth="1"/>
    <col min="10515" max="10515" width="2.140625" style="57" customWidth="1"/>
    <col min="10516" max="10516" width="10.42578125" style="57" customWidth="1"/>
    <col min="10517" max="10758" width="9.140625" style="57"/>
    <col min="10759" max="10759" width="10" style="57" customWidth="1"/>
    <col min="10760" max="10760" width="40" style="57" customWidth="1"/>
    <col min="10761" max="10761" width="12.5703125" style="57" customWidth="1"/>
    <col min="10762" max="10763" width="10.42578125" style="57" customWidth="1"/>
    <col min="10764" max="10764" width="11.5703125" style="57" customWidth="1"/>
    <col min="10765" max="10766" width="10.42578125" style="57" customWidth="1"/>
    <col min="10767" max="10767" width="6.5703125" style="57" customWidth="1"/>
    <col min="10768" max="10768" width="11.42578125" style="57" customWidth="1"/>
    <col min="10769" max="10769" width="4.140625" style="57" customWidth="1"/>
    <col min="10770" max="10770" width="18.5703125" style="57" customWidth="1"/>
    <col min="10771" max="10771" width="2.140625" style="57" customWidth="1"/>
    <col min="10772" max="10772" width="10.42578125" style="57" customWidth="1"/>
    <col min="10773" max="11014" width="9.140625" style="57"/>
    <col min="11015" max="11015" width="10" style="57" customWidth="1"/>
    <col min="11016" max="11016" width="40" style="57" customWidth="1"/>
    <col min="11017" max="11017" width="12.5703125" style="57" customWidth="1"/>
    <col min="11018" max="11019" width="10.42578125" style="57" customWidth="1"/>
    <col min="11020" max="11020" width="11.5703125" style="57" customWidth="1"/>
    <col min="11021" max="11022" width="10.42578125" style="57" customWidth="1"/>
    <col min="11023" max="11023" width="6.5703125" style="57" customWidth="1"/>
    <col min="11024" max="11024" width="11.42578125" style="57" customWidth="1"/>
    <col min="11025" max="11025" width="4.140625" style="57" customWidth="1"/>
    <col min="11026" max="11026" width="18.5703125" style="57" customWidth="1"/>
    <col min="11027" max="11027" width="2.140625" style="57" customWidth="1"/>
    <col min="11028" max="11028" width="10.42578125" style="57" customWidth="1"/>
    <col min="11029" max="11270" width="9.140625" style="57"/>
    <col min="11271" max="11271" width="10" style="57" customWidth="1"/>
    <col min="11272" max="11272" width="40" style="57" customWidth="1"/>
    <col min="11273" max="11273" width="12.5703125" style="57" customWidth="1"/>
    <col min="11274" max="11275" width="10.42578125" style="57" customWidth="1"/>
    <col min="11276" max="11276" width="11.5703125" style="57" customWidth="1"/>
    <col min="11277" max="11278" width="10.42578125" style="57" customWidth="1"/>
    <col min="11279" max="11279" width="6.5703125" style="57" customWidth="1"/>
    <col min="11280" max="11280" width="11.42578125" style="57" customWidth="1"/>
    <col min="11281" max="11281" width="4.140625" style="57" customWidth="1"/>
    <col min="11282" max="11282" width="18.5703125" style="57" customWidth="1"/>
    <col min="11283" max="11283" width="2.140625" style="57" customWidth="1"/>
    <col min="11284" max="11284" width="10.42578125" style="57" customWidth="1"/>
    <col min="11285" max="11526" width="9.140625" style="57"/>
    <col min="11527" max="11527" width="10" style="57" customWidth="1"/>
    <col min="11528" max="11528" width="40" style="57" customWidth="1"/>
    <col min="11529" max="11529" width="12.5703125" style="57" customWidth="1"/>
    <col min="11530" max="11531" width="10.42578125" style="57" customWidth="1"/>
    <col min="11532" max="11532" width="11.5703125" style="57" customWidth="1"/>
    <col min="11533" max="11534" width="10.42578125" style="57" customWidth="1"/>
    <col min="11535" max="11535" width="6.5703125" style="57" customWidth="1"/>
    <col min="11536" max="11536" width="11.42578125" style="57" customWidth="1"/>
    <col min="11537" max="11537" width="4.140625" style="57" customWidth="1"/>
    <col min="11538" max="11538" width="18.5703125" style="57" customWidth="1"/>
    <col min="11539" max="11539" width="2.140625" style="57" customWidth="1"/>
    <col min="11540" max="11540" width="10.42578125" style="57" customWidth="1"/>
    <col min="11541" max="11782" width="9.140625" style="57"/>
    <col min="11783" max="11783" width="10" style="57" customWidth="1"/>
    <col min="11784" max="11784" width="40" style="57" customWidth="1"/>
    <col min="11785" max="11785" width="12.5703125" style="57" customWidth="1"/>
    <col min="11786" max="11787" width="10.42578125" style="57" customWidth="1"/>
    <col min="11788" max="11788" width="11.5703125" style="57" customWidth="1"/>
    <col min="11789" max="11790" width="10.42578125" style="57" customWidth="1"/>
    <col min="11791" max="11791" width="6.5703125" style="57" customWidth="1"/>
    <col min="11792" max="11792" width="11.42578125" style="57" customWidth="1"/>
    <col min="11793" max="11793" width="4.140625" style="57" customWidth="1"/>
    <col min="11794" max="11794" width="18.5703125" style="57" customWidth="1"/>
    <col min="11795" max="11795" width="2.140625" style="57" customWidth="1"/>
    <col min="11796" max="11796" width="10.42578125" style="57" customWidth="1"/>
    <col min="11797" max="12038" width="9.140625" style="57"/>
    <col min="12039" max="12039" width="10" style="57" customWidth="1"/>
    <col min="12040" max="12040" width="40" style="57" customWidth="1"/>
    <col min="12041" max="12041" width="12.5703125" style="57" customWidth="1"/>
    <col min="12042" max="12043" width="10.42578125" style="57" customWidth="1"/>
    <col min="12044" max="12044" width="11.5703125" style="57" customWidth="1"/>
    <col min="12045" max="12046" width="10.42578125" style="57" customWidth="1"/>
    <col min="12047" max="12047" width="6.5703125" style="57" customWidth="1"/>
    <col min="12048" max="12048" width="11.42578125" style="57" customWidth="1"/>
    <col min="12049" max="12049" width="4.140625" style="57" customWidth="1"/>
    <col min="12050" max="12050" width="18.5703125" style="57" customWidth="1"/>
    <col min="12051" max="12051" width="2.140625" style="57" customWidth="1"/>
    <col min="12052" max="12052" width="10.42578125" style="57" customWidth="1"/>
    <col min="12053" max="12294" width="9.140625" style="57"/>
    <col min="12295" max="12295" width="10" style="57" customWidth="1"/>
    <col min="12296" max="12296" width="40" style="57" customWidth="1"/>
    <col min="12297" max="12297" width="12.5703125" style="57" customWidth="1"/>
    <col min="12298" max="12299" width="10.42578125" style="57" customWidth="1"/>
    <col min="12300" max="12300" width="11.5703125" style="57" customWidth="1"/>
    <col min="12301" max="12302" width="10.42578125" style="57" customWidth="1"/>
    <col min="12303" max="12303" width="6.5703125" style="57" customWidth="1"/>
    <col min="12304" max="12304" width="11.42578125" style="57" customWidth="1"/>
    <col min="12305" max="12305" width="4.140625" style="57" customWidth="1"/>
    <col min="12306" max="12306" width="18.5703125" style="57" customWidth="1"/>
    <col min="12307" max="12307" width="2.140625" style="57" customWidth="1"/>
    <col min="12308" max="12308" width="10.42578125" style="57" customWidth="1"/>
    <col min="12309" max="12550" width="9.140625" style="57"/>
    <col min="12551" max="12551" width="10" style="57" customWidth="1"/>
    <col min="12552" max="12552" width="40" style="57" customWidth="1"/>
    <col min="12553" max="12553" width="12.5703125" style="57" customWidth="1"/>
    <col min="12554" max="12555" width="10.42578125" style="57" customWidth="1"/>
    <col min="12556" max="12556" width="11.5703125" style="57" customWidth="1"/>
    <col min="12557" max="12558" width="10.42578125" style="57" customWidth="1"/>
    <col min="12559" max="12559" width="6.5703125" style="57" customWidth="1"/>
    <col min="12560" max="12560" width="11.42578125" style="57" customWidth="1"/>
    <col min="12561" max="12561" width="4.140625" style="57" customWidth="1"/>
    <col min="12562" max="12562" width="18.5703125" style="57" customWidth="1"/>
    <col min="12563" max="12563" width="2.140625" style="57" customWidth="1"/>
    <col min="12564" max="12564" width="10.42578125" style="57" customWidth="1"/>
    <col min="12565" max="12806" width="9.140625" style="57"/>
    <col min="12807" max="12807" width="10" style="57" customWidth="1"/>
    <col min="12808" max="12808" width="40" style="57" customWidth="1"/>
    <col min="12809" max="12809" width="12.5703125" style="57" customWidth="1"/>
    <col min="12810" max="12811" width="10.42578125" style="57" customWidth="1"/>
    <col min="12812" max="12812" width="11.5703125" style="57" customWidth="1"/>
    <col min="12813" max="12814" width="10.42578125" style="57" customWidth="1"/>
    <col min="12815" max="12815" width="6.5703125" style="57" customWidth="1"/>
    <col min="12816" max="12816" width="11.42578125" style="57" customWidth="1"/>
    <col min="12817" max="12817" width="4.140625" style="57" customWidth="1"/>
    <col min="12818" max="12818" width="18.5703125" style="57" customWidth="1"/>
    <col min="12819" max="12819" width="2.140625" style="57" customWidth="1"/>
    <col min="12820" max="12820" width="10.42578125" style="57" customWidth="1"/>
    <col min="12821" max="13062" width="9.140625" style="57"/>
    <col min="13063" max="13063" width="10" style="57" customWidth="1"/>
    <col min="13064" max="13064" width="40" style="57" customWidth="1"/>
    <col min="13065" max="13065" width="12.5703125" style="57" customWidth="1"/>
    <col min="13066" max="13067" width="10.42578125" style="57" customWidth="1"/>
    <col min="13068" max="13068" width="11.5703125" style="57" customWidth="1"/>
    <col min="13069" max="13070" width="10.42578125" style="57" customWidth="1"/>
    <col min="13071" max="13071" width="6.5703125" style="57" customWidth="1"/>
    <col min="13072" max="13072" width="11.42578125" style="57" customWidth="1"/>
    <col min="13073" max="13073" width="4.140625" style="57" customWidth="1"/>
    <col min="13074" max="13074" width="18.5703125" style="57" customWidth="1"/>
    <col min="13075" max="13075" width="2.140625" style="57" customWidth="1"/>
    <col min="13076" max="13076" width="10.42578125" style="57" customWidth="1"/>
    <col min="13077" max="13318" width="9.140625" style="57"/>
    <col min="13319" max="13319" width="10" style="57" customWidth="1"/>
    <col min="13320" max="13320" width="40" style="57" customWidth="1"/>
    <col min="13321" max="13321" width="12.5703125" style="57" customWidth="1"/>
    <col min="13322" max="13323" width="10.42578125" style="57" customWidth="1"/>
    <col min="13324" max="13324" width="11.5703125" style="57" customWidth="1"/>
    <col min="13325" max="13326" width="10.42578125" style="57" customWidth="1"/>
    <col min="13327" max="13327" width="6.5703125" style="57" customWidth="1"/>
    <col min="13328" max="13328" width="11.42578125" style="57" customWidth="1"/>
    <col min="13329" max="13329" width="4.140625" style="57" customWidth="1"/>
    <col min="13330" max="13330" width="18.5703125" style="57" customWidth="1"/>
    <col min="13331" max="13331" width="2.140625" style="57" customWidth="1"/>
    <col min="13332" max="13332" width="10.42578125" style="57" customWidth="1"/>
    <col min="13333" max="13574" width="9.140625" style="57"/>
    <col min="13575" max="13575" width="10" style="57" customWidth="1"/>
    <col min="13576" max="13576" width="40" style="57" customWidth="1"/>
    <col min="13577" max="13577" width="12.5703125" style="57" customWidth="1"/>
    <col min="13578" max="13579" width="10.42578125" style="57" customWidth="1"/>
    <col min="13580" max="13580" width="11.5703125" style="57" customWidth="1"/>
    <col min="13581" max="13582" width="10.42578125" style="57" customWidth="1"/>
    <col min="13583" max="13583" width="6.5703125" style="57" customWidth="1"/>
    <col min="13584" max="13584" width="11.42578125" style="57" customWidth="1"/>
    <col min="13585" max="13585" width="4.140625" style="57" customWidth="1"/>
    <col min="13586" max="13586" width="18.5703125" style="57" customWidth="1"/>
    <col min="13587" max="13587" width="2.140625" style="57" customWidth="1"/>
    <col min="13588" max="13588" width="10.42578125" style="57" customWidth="1"/>
    <col min="13589" max="13830" width="9.140625" style="57"/>
    <col min="13831" max="13831" width="10" style="57" customWidth="1"/>
    <col min="13832" max="13832" width="40" style="57" customWidth="1"/>
    <col min="13833" max="13833" width="12.5703125" style="57" customWidth="1"/>
    <col min="13834" max="13835" width="10.42578125" style="57" customWidth="1"/>
    <col min="13836" max="13836" width="11.5703125" style="57" customWidth="1"/>
    <col min="13837" max="13838" width="10.42578125" style="57" customWidth="1"/>
    <col min="13839" max="13839" width="6.5703125" style="57" customWidth="1"/>
    <col min="13840" max="13840" width="11.42578125" style="57" customWidth="1"/>
    <col min="13841" max="13841" width="4.140625" style="57" customWidth="1"/>
    <col min="13842" max="13842" width="18.5703125" style="57" customWidth="1"/>
    <col min="13843" max="13843" width="2.140625" style="57" customWidth="1"/>
    <col min="13844" max="13844" width="10.42578125" style="57" customWidth="1"/>
    <col min="13845" max="14086" width="9.140625" style="57"/>
    <col min="14087" max="14087" width="10" style="57" customWidth="1"/>
    <col min="14088" max="14088" width="40" style="57" customWidth="1"/>
    <col min="14089" max="14089" width="12.5703125" style="57" customWidth="1"/>
    <col min="14090" max="14091" width="10.42578125" style="57" customWidth="1"/>
    <col min="14092" max="14092" width="11.5703125" style="57" customWidth="1"/>
    <col min="14093" max="14094" width="10.42578125" style="57" customWidth="1"/>
    <col min="14095" max="14095" width="6.5703125" style="57" customWidth="1"/>
    <col min="14096" max="14096" width="11.42578125" style="57" customWidth="1"/>
    <col min="14097" max="14097" width="4.140625" style="57" customWidth="1"/>
    <col min="14098" max="14098" width="18.5703125" style="57" customWidth="1"/>
    <col min="14099" max="14099" width="2.140625" style="57" customWidth="1"/>
    <col min="14100" max="14100" width="10.42578125" style="57" customWidth="1"/>
    <col min="14101" max="14342" width="9.140625" style="57"/>
    <col min="14343" max="14343" width="10" style="57" customWidth="1"/>
    <col min="14344" max="14344" width="40" style="57" customWidth="1"/>
    <col min="14345" max="14345" width="12.5703125" style="57" customWidth="1"/>
    <col min="14346" max="14347" width="10.42578125" style="57" customWidth="1"/>
    <col min="14348" max="14348" width="11.5703125" style="57" customWidth="1"/>
    <col min="14349" max="14350" width="10.42578125" style="57" customWidth="1"/>
    <col min="14351" max="14351" width="6.5703125" style="57" customWidth="1"/>
    <col min="14352" max="14352" width="11.42578125" style="57" customWidth="1"/>
    <col min="14353" max="14353" width="4.140625" style="57" customWidth="1"/>
    <col min="14354" max="14354" width="18.5703125" style="57" customWidth="1"/>
    <col min="14355" max="14355" width="2.140625" style="57" customWidth="1"/>
    <col min="14356" max="14356" width="10.42578125" style="57" customWidth="1"/>
    <col min="14357" max="14598" width="9.140625" style="57"/>
    <col min="14599" max="14599" width="10" style="57" customWidth="1"/>
    <col min="14600" max="14600" width="40" style="57" customWidth="1"/>
    <col min="14601" max="14601" width="12.5703125" style="57" customWidth="1"/>
    <col min="14602" max="14603" width="10.42578125" style="57" customWidth="1"/>
    <col min="14604" max="14604" width="11.5703125" style="57" customWidth="1"/>
    <col min="14605" max="14606" width="10.42578125" style="57" customWidth="1"/>
    <col min="14607" max="14607" width="6.5703125" style="57" customWidth="1"/>
    <col min="14608" max="14608" width="11.42578125" style="57" customWidth="1"/>
    <col min="14609" max="14609" width="4.140625" style="57" customWidth="1"/>
    <col min="14610" max="14610" width="18.5703125" style="57" customWidth="1"/>
    <col min="14611" max="14611" width="2.140625" style="57" customWidth="1"/>
    <col min="14612" max="14612" width="10.42578125" style="57" customWidth="1"/>
    <col min="14613" max="14854" width="9.140625" style="57"/>
    <col min="14855" max="14855" width="10" style="57" customWidth="1"/>
    <col min="14856" max="14856" width="40" style="57" customWidth="1"/>
    <col min="14857" max="14857" width="12.5703125" style="57" customWidth="1"/>
    <col min="14858" max="14859" width="10.42578125" style="57" customWidth="1"/>
    <col min="14860" max="14860" width="11.5703125" style="57" customWidth="1"/>
    <col min="14861" max="14862" width="10.42578125" style="57" customWidth="1"/>
    <col min="14863" max="14863" width="6.5703125" style="57" customWidth="1"/>
    <col min="14864" max="14864" width="11.42578125" style="57" customWidth="1"/>
    <col min="14865" max="14865" width="4.140625" style="57" customWidth="1"/>
    <col min="14866" max="14866" width="18.5703125" style="57" customWidth="1"/>
    <col min="14867" max="14867" width="2.140625" style="57" customWidth="1"/>
    <col min="14868" max="14868" width="10.42578125" style="57" customWidth="1"/>
    <col min="14869" max="15110" width="9.140625" style="57"/>
    <col min="15111" max="15111" width="10" style="57" customWidth="1"/>
    <col min="15112" max="15112" width="40" style="57" customWidth="1"/>
    <col min="15113" max="15113" width="12.5703125" style="57" customWidth="1"/>
    <col min="15114" max="15115" width="10.42578125" style="57" customWidth="1"/>
    <col min="15116" max="15116" width="11.5703125" style="57" customWidth="1"/>
    <col min="15117" max="15118" width="10.42578125" style="57" customWidth="1"/>
    <col min="15119" max="15119" width="6.5703125" style="57" customWidth="1"/>
    <col min="15120" max="15120" width="11.42578125" style="57" customWidth="1"/>
    <col min="15121" max="15121" width="4.140625" style="57" customWidth="1"/>
    <col min="15122" max="15122" width="18.5703125" style="57" customWidth="1"/>
    <col min="15123" max="15123" width="2.140625" style="57" customWidth="1"/>
    <col min="15124" max="15124" width="10.42578125" style="57" customWidth="1"/>
    <col min="15125" max="15366" width="9.140625" style="57"/>
    <col min="15367" max="15367" width="10" style="57" customWidth="1"/>
    <col min="15368" max="15368" width="40" style="57" customWidth="1"/>
    <col min="15369" max="15369" width="12.5703125" style="57" customWidth="1"/>
    <col min="15370" max="15371" width="10.42578125" style="57" customWidth="1"/>
    <col min="15372" max="15372" width="11.5703125" style="57" customWidth="1"/>
    <col min="15373" max="15374" width="10.42578125" style="57" customWidth="1"/>
    <col min="15375" max="15375" width="6.5703125" style="57" customWidth="1"/>
    <col min="15376" max="15376" width="11.42578125" style="57" customWidth="1"/>
    <col min="15377" max="15377" width="4.140625" style="57" customWidth="1"/>
    <col min="15378" max="15378" width="18.5703125" style="57" customWidth="1"/>
    <col min="15379" max="15379" width="2.140625" style="57" customWidth="1"/>
    <col min="15380" max="15380" width="10.42578125" style="57" customWidth="1"/>
    <col min="15381" max="15622" width="9.140625" style="57"/>
    <col min="15623" max="15623" width="10" style="57" customWidth="1"/>
    <col min="15624" max="15624" width="40" style="57" customWidth="1"/>
    <col min="15625" max="15625" width="12.5703125" style="57" customWidth="1"/>
    <col min="15626" max="15627" width="10.42578125" style="57" customWidth="1"/>
    <col min="15628" max="15628" width="11.5703125" style="57" customWidth="1"/>
    <col min="15629" max="15630" width="10.42578125" style="57" customWidth="1"/>
    <col min="15631" max="15631" width="6.5703125" style="57" customWidth="1"/>
    <col min="15632" max="15632" width="11.42578125" style="57" customWidth="1"/>
    <col min="15633" max="15633" width="4.140625" style="57" customWidth="1"/>
    <col min="15634" max="15634" width="18.5703125" style="57" customWidth="1"/>
    <col min="15635" max="15635" width="2.140625" style="57" customWidth="1"/>
    <col min="15636" max="15636" width="10.42578125" style="57" customWidth="1"/>
    <col min="15637" max="15878" width="9.140625" style="57"/>
    <col min="15879" max="15879" width="10" style="57" customWidth="1"/>
    <col min="15880" max="15880" width="40" style="57" customWidth="1"/>
    <col min="15881" max="15881" width="12.5703125" style="57" customWidth="1"/>
    <col min="15882" max="15883" width="10.42578125" style="57" customWidth="1"/>
    <col min="15884" max="15884" width="11.5703125" style="57" customWidth="1"/>
    <col min="15885" max="15886" width="10.42578125" style="57" customWidth="1"/>
    <col min="15887" max="15887" width="6.5703125" style="57" customWidth="1"/>
    <col min="15888" max="15888" width="11.42578125" style="57" customWidth="1"/>
    <col min="15889" max="15889" width="4.140625" style="57" customWidth="1"/>
    <col min="15890" max="15890" width="18.5703125" style="57" customWidth="1"/>
    <col min="15891" max="15891" width="2.140625" style="57" customWidth="1"/>
    <col min="15892" max="15892" width="10.42578125" style="57" customWidth="1"/>
    <col min="15893" max="16134" width="9.140625" style="57"/>
    <col min="16135" max="16135" width="10" style="57" customWidth="1"/>
    <col min="16136" max="16136" width="40" style="57" customWidth="1"/>
    <col min="16137" max="16137" width="12.5703125" style="57" customWidth="1"/>
    <col min="16138" max="16139" width="10.42578125" style="57" customWidth="1"/>
    <col min="16140" max="16140" width="11.5703125" style="57" customWidth="1"/>
    <col min="16141" max="16142" width="10.42578125" style="57" customWidth="1"/>
    <col min="16143" max="16143" width="6.5703125" style="57" customWidth="1"/>
    <col min="16144" max="16144" width="11.42578125" style="57" customWidth="1"/>
    <col min="16145" max="16145" width="4.140625" style="57" customWidth="1"/>
    <col min="16146" max="16146" width="18.5703125" style="57" customWidth="1"/>
    <col min="16147" max="16147" width="2.140625" style="57" customWidth="1"/>
    <col min="16148" max="16148" width="10.42578125" style="57" customWidth="1"/>
    <col min="16149" max="16384" width="9.140625" style="57"/>
  </cols>
  <sheetData>
    <row r="1" spans="2:21" ht="13.5" customHeight="1" x14ac:dyDescent="0.25">
      <c r="H1" s="781" t="s">
        <v>38</v>
      </c>
      <c r="I1" s="781"/>
      <c r="J1" s="781"/>
      <c r="K1" s="781"/>
      <c r="L1" s="781"/>
      <c r="M1" s="781" t="s">
        <v>39</v>
      </c>
      <c r="N1" s="781"/>
      <c r="O1" s="783" t="s">
        <v>40</v>
      </c>
      <c r="P1" s="783"/>
      <c r="Q1" s="783"/>
    </row>
    <row r="2" spans="2:21" s="59" customFormat="1" ht="15" customHeight="1" x14ac:dyDescent="0.25">
      <c r="B2" s="60" t="s">
        <v>41</v>
      </c>
      <c r="C2" s="61" t="s">
        <v>42</v>
      </c>
      <c r="D2" s="61" t="s">
        <v>43</v>
      </c>
      <c r="E2" s="61" t="s">
        <v>44</v>
      </c>
      <c r="F2" s="61" t="s">
        <v>45</v>
      </c>
      <c r="G2" s="61" t="s">
        <v>46</v>
      </c>
      <c r="H2" s="61" t="s">
        <v>47</v>
      </c>
      <c r="I2" s="61" t="s">
        <v>48</v>
      </c>
      <c r="J2" s="61" t="s">
        <v>47</v>
      </c>
      <c r="K2" s="61" t="s">
        <v>48</v>
      </c>
      <c r="L2" s="65" t="s">
        <v>49</v>
      </c>
      <c r="M2" s="65" t="s">
        <v>39</v>
      </c>
      <c r="N2" s="65" t="s">
        <v>49</v>
      </c>
      <c r="O2" s="65" t="s">
        <v>47</v>
      </c>
      <c r="P2" s="65" t="s">
        <v>48</v>
      </c>
      <c r="Q2" s="65" t="s">
        <v>49</v>
      </c>
      <c r="R2" s="63" t="s">
        <v>50</v>
      </c>
    </row>
    <row r="3" spans="2:21" ht="15" customHeight="1" x14ac:dyDescent="0.25">
      <c r="B3" s="67">
        <v>7</v>
      </c>
      <c r="C3" s="68" t="s">
        <v>66</v>
      </c>
      <c r="D3" s="110" t="s">
        <v>60</v>
      </c>
      <c r="E3" s="69">
        <v>45546</v>
      </c>
      <c r="F3" s="69"/>
      <c r="G3" s="68"/>
      <c r="H3" s="72"/>
      <c r="I3" s="72"/>
      <c r="J3" s="72"/>
      <c r="K3" s="72"/>
      <c r="L3" s="131">
        <v>0</v>
      </c>
      <c r="M3" s="160"/>
      <c r="N3" s="133">
        <v>0</v>
      </c>
      <c r="O3" s="109"/>
      <c r="P3" s="109"/>
      <c r="Q3" s="78">
        <v>0</v>
      </c>
      <c r="R3" s="161"/>
      <c r="T3" s="81" t="s">
        <v>53</v>
      </c>
      <c r="U3" s="82">
        <v>5</v>
      </c>
    </row>
    <row r="4" spans="2:21" ht="15" customHeight="1" x14ac:dyDescent="0.25">
      <c r="B4" s="67">
        <v>5</v>
      </c>
      <c r="C4" s="68" t="s">
        <v>63</v>
      </c>
      <c r="D4" s="110" t="s">
        <v>60</v>
      </c>
      <c r="E4" s="69">
        <v>45477</v>
      </c>
      <c r="F4" s="69"/>
      <c r="G4" s="68"/>
      <c r="H4" s="72"/>
      <c r="I4" s="72"/>
      <c r="J4" s="72"/>
      <c r="K4" s="72"/>
      <c r="L4" s="131">
        <f>(I4-H4)</f>
        <v>0</v>
      </c>
      <c r="M4" s="160"/>
      <c r="N4" s="133">
        <v>0</v>
      </c>
      <c r="O4" s="109"/>
      <c r="P4" s="109"/>
      <c r="Q4" s="78">
        <v>0</v>
      </c>
      <c r="R4" s="134"/>
      <c r="T4" s="83" t="s">
        <v>44</v>
      </c>
      <c r="U4" s="84">
        <v>1</v>
      </c>
    </row>
    <row r="5" spans="2:21" ht="15" customHeight="1" x14ac:dyDescent="0.25">
      <c r="B5" s="67">
        <v>2</v>
      </c>
      <c r="C5" s="116" t="s">
        <v>51</v>
      </c>
      <c r="D5" s="110" t="s">
        <v>60</v>
      </c>
      <c r="E5" s="118">
        <v>44599</v>
      </c>
      <c r="F5" s="118"/>
      <c r="G5" s="116"/>
      <c r="H5" s="121"/>
      <c r="I5" s="121"/>
      <c r="J5" s="121"/>
      <c r="K5" s="121"/>
      <c r="L5" s="131">
        <f>(I5-H5)</f>
        <v>0</v>
      </c>
      <c r="M5" s="140"/>
      <c r="N5" s="141">
        <v>0</v>
      </c>
      <c r="O5" s="127"/>
      <c r="P5" s="127"/>
      <c r="Q5" s="78">
        <v>0</v>
      </c>
      <c r="R5" s="142"/>
      <c r="T5" s="83" t="s">
        <v>45</v>
      </c>
      <c r="U5" s="84">
        <v>0</v>
      </c>
    </row>
    <row r="6" spans="2:21" ht="15" customHeight="1" x14ac:dyDescent="0.25">
      <c r="B6" s="67">
        <v>6</v>
      </c>
      <c r="C6" s="116" t="s">
        <v>65</v>
      </c>
      <c r="D6" s="110" t="s">
        <v>60</v>
      </c>
      <c r="E6" s="118">
        <v>45539</v>
      </c>
      <c r="F6" s="118"/>
      <c r="G6" s="116"/>
      <c r="H6" s="121">
        <v>45580</v>
      </c>
      <c r="I6" s="121">
        <v>45581</v>
      </c>
      <c r="J6" s="121"/>
      <c r="K6" s="121"/>
      <c r="L6" s="131">
        <v>2</v>
      </c>
      <c r="M6" s="145"/>
      <c r="N6" s="141">
        <v>0</v>
      </c>
      <c r="O6" s="127"/>
      <c r="P6" s="127"/>
      <c r="Q6" s="155">
        <v>0</v>
      </c>
      <c r="R6" s="142"/>
      <c r="T6" s="100" t="s">
        <v>56</v>
      </c>
      <c r="U6" s="101">
        <f>U3+U4-U5</f>
        <v>6</v>
      </c>
    </row>
    <row r="7" spans="2:21" ht="15" customHeight="1" x14ac:dyDescent="0.25">
      <c r="B7" s="162">
        <v>8</v>
      </c>
      <c r="C7" s="152" t="s">
        <v>67</v>
      </c>
      <c r="D7" s="163" t="s">
        <v>60</v>
      </c>
      <c r="E7" s="154">
        <v>45567</v>
      </c>
      <c r="F7" s="118"/>
      <c r="G7" s="116"/>
      <c r="H7" s="121"/>
      <c r="I7" s="121"/>
      <c r="J7" s="121"/>
      <c r="K7" s="121"/>
      <c r="L7" s="164">
        <v>0</v>
      </c>
      <c r="M7" s="145"/>
      <c r="N7" s="141">
        <v>0</v>
      </c>
      <c r="O7" s="127"/>
      <c r="P7" s="127"/>
      <c r="Q7" s="155">
        <v>0</v>
      </c>
      <c r="R7" s="142"/>
    </row>
    <row r="8" spans="2:21" ht="15" customHeight="1" x14ac:dyDescent="0.25">
      <c r="B8" s="85">
        <v>3</v>
      </c>
      <c r="C8" s="86" t="s">
        <v>55</v>
      </c>
      <c r="D8" s="130" t="s">
        <v>60</v>
      </c>
      <c r="E8" s="87">
        <v>44602</v>
      </c>
      <c r="F8" s="87"/>
      <c r="G8" s="86"/>
      <c r="H8" s="90"/>
      <c r="I8" s="90"/>
      <c r="J8" s="90"/>
      <c r="K8" s="90"/>
      <c r="L8" s="135">
        <v>0</v>
      </c>
      <c r="M8" s="136"/>
      <c r="N8" s="137">
        <v>0</v>
      </c>
      <c r="O8" s="96"/>
      <c r="P8" s="96"/>
      <c r="Q8" s="138">
        <v>0</v>
      </c>
      <c r="R8" s="139"/>
      <c r="T8" s="81" t="s">
        <v>57</v>
      </c>
      <c r="U8" s="82">
        <v>2</v>
      </c>
    </row>
    <row r="9" spans="2:21" ht="15" customHeight="1" x14ac:dyDescent="0.25">
      <c r="L9" s="99">
        <f>SUM(L3:L8)</f>
        <v>2</v>
      </c>
      <c r="N9" s="99">
        <f>SUM(N3:N8)</f>
        <v>0</v>
      </c>
      <c r="O9" s="99"/>
      <c r="P9" s="99"/>
      <c r="Q9" s="99">
        <f>SUM(Q3:Q8)</f>
        <v>0</v>
      </c>
      <c r="T9" s="100" t="s">
        <v>13</v>
      </c>
      <c r="U9" s="101">
        <f>U6+U8</f>
        <v>8</v>
      </c>
    </row>
    <row r="10" spans="2:21" ht="15" customHeight="1" x14ac:dyDescent="0.25"/>
    <row r="11" spans="2:21" ht="15" customHeight="1" x14ac:dyDescent="0.25">
      <c r="T11" s="784" t="s">
        <v>58</v>
      </c>
      <c r="U11" s="784"/>
    </row>
    <row r="12" spans="2:21" ht="15" customHeight="1" x14ac:dyDescent="0.25">
      <c r="T12" s="83" t="s">
        <v>38</v>
      </c>
      <c r="U12" s="102">
        <f>L9</f>
        <v>2</v>
      </c>
    </row>
    <row r="13" spans="2:21" ht="15" customHeight="1" x14ac:dyDescent="0.25">
      <c r="T13" s="103" t="s">
        <v>39</v>
      </c>
      <c r="U13" s="104">
        <f>N9</f>
        <v>0</v>
      </c>
    </row>
    <row r="14" spans="2:21" ht="15" customHeight="1" x14ac:dyDescent="0.25"/>
    <row r="15" spans="2:21" ht="15" customHeight="1" x14ac:dyDescent="0.25">
      <c r="T15" s="81" t="s">
        <v>40</v>
      </c>
      <c r="U15" s="105">
        <f>Q9</f>
        <v>0</v>
      </c>
    </row>
    <row r="16" spans="2:21" ht="15" customHeight="1" x14ac:dyDescent="0.25">
      <c r="T16" s="103" t="s">
        <v>59</v>
      </c>
      <c r="U16" s="104">
        <v>0</v>
      </c>
    </row>
    <row r="17" spans="20:21" ht="15" customHeight="1" x14ac:dyDescent="0.25"/>
    <row r="18" spans="20:21" ht="15" customHeight="1" x14ac:dyDescent="0.25">
      <c r="T18" s="106" t="s">
        <v>22</v>
      </c>
      <c r="U18" s="107">
        <v>23</v>
      </c>
    </row>
    <row r="19" spans="20:21" ht="15" customHeight="1" x14ac:dyDescent="0.25"/>
    <row r="20" spans="20:21" ht="15" customHeight="1" x14ac:dyDescent="0.25"/>
    <row r="21" spans="20:21" ht="15" customHeight="1" x14ac:dyDescent="0.25"/>
    <row r="22" spans="20:21" ht="15" customHeight="1" x14ac:dyDescent="0.25"/>
    <row r="23" spans="20:21" ht="15" customHeight="1" x14ac:dyDescent="0.25"/>
    <row r="24" spans="20:21" ht="15" customHeight="1" x14ac:dyDescent="0.25"/>
    <row r="25" spans="20:21" ht="15" customHeight="1" x14ac:dyDescent="0.25"/>
    <row r="26" spans="20:21" ht="15" customHeight="1" x14ac:dyDescent="0.25"/>
    <row r="27" spans="20:21" ht="15" customHeight="1" x14ac:dyDescent="0.25"/>
    <row r="28" spans="20:21" ht="15" customHeight="1" x14ac:dyDescent="0.25"/>
    <row r="29" spans="20:21" ht="15" customHeight="1" x14ac:dyDescent="0.25"/>
    <row r="30" spans="20:21" ht="15" customHeight="1" x14ac:dyDescent="0.25"/>
    <row r="31" spans="20:21" ht="15" customHeight="1" x14ac:dyDescent="0.25"/>
    <row r="32" spans="20:21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</sheetData>
  <mergeCells count="4">
    <mergeCell ref="H1:L1"/>
    <mergeCell ref="M1:N1"/>
    <mergeCell ref="O1:Q1"/>
    <mergeCell ref="T11:U11"/>
  </mergeCells>
  <pageMargins left="0.25" right="0.25" top="0.75" bottom="0.75" header="0.511811023622047" footer="0.511811023622047"/>
  <pageSetup paperSize="9" orientation="landscape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U36"/>
  <sheetViews>
    <sheetView showGridLines="0" zoomScaleNormal="100" workbookViewId="0">
      <selection activeCell="E15" sqref="E15"/>
    </sheetView>
  </sheetViews>
  <sheetFormatPr defaultColWidth="9.140625" defaultRowHeight="12.75" x14ac:dyDescent="0.25"/>
  <cols>
    <col min="1" max="1" width="9.140625" style="57"/>
    <col min="2" max="2" width="10" style="57" customWidth="1"/>
    <col min="3" max="3" width="40" style="57" customWidth="1"/>
    <col min="4" max="4" width="12.5703125" style="57" customWidth="1"/>
    <col min="5" max="6" width="10.42578125" style="57" customWidth="1"/>
    <col min="7" max="7" width="11.5703125" style="57" customWidth="1"/>
    <col min="8" max="11" width="10.42578125" style="57" customWidth="1"/>
    <col min="12" max="12" width="4.140625" style="57" customWidth="1"/>
    <col min="13" max="13" width="11.42578125" style="58" customWidth="1"/>
    <col min="14" max="14" width="4.140625" style="57" customWidth="1"/>
    <col min="15" max="16" width="10.42578125" style="57" customWidth="1"/>
    <col min="17" max="17" width="4.140625" style="57" customWidth="1"/>
    <col min="18" max="18" width="27.140625" style="57" customWidth="1"/>
    <col min="19" max="19" width="2.140625" style="57" customWidth="1"/>
    <col min="20" max="20" width="13.140625" style="57" customWidth="1"/>
    <col min="21" max="21" width="3" style="57" customWidth="1"/>
    <col min="22" max="262" width="9.140625" style="57"/>
    <col min="263" max="263" width="10" style="57" customWidth="1"/>
    <col min="264" max="264" width="40" style="57" customWidth="1"/>
    <col min="265" max="265" width="12.5703125" style="57" customWidth="1"/>
    <col min="266" max="267" width="10.42578125" style="57" customWidth="1"/>
    <col min="268" max="268" width="11.5703125" style="57" customWidth="1"/>
    <col min="269" max="270" width="10.42578125" style="57" customWidth="1"/>
    <col min="271" max="271" width="6.5703125" style="57" customWidth="1"/>
    <col min="272" max="272" width="11.42578125" style="57" customWidth="1"/>
    <col min="273" max="273" width="4.140625" style="57" customWidth="1"/>
    <col min="274" max="274" width="18.5703125" style="57" customWidth="1"/>
    <col min="275" max="275" width="2.140625" style="57" customWidth="1"/>
    <col min="276" max="276" width="10.42578125" style="57" customWidth="1"/>
    <col min="277" max="518" width="9.140625" style="57"/>
    <col min="519" max="519" width="10" style="57" customWidth="1"/>
    <col min="520" max="520" width="40" style="57" customWidth="1"/>
    <col min="521" max="521" width="12.5703125" style="57" customWidth="1"/>
    <col min="522" max="523" width="10.42578125" style="57" customWidth="1"/>
    <col min="524" max="524" width="11.5703125" style="57" customWidth="1"/>
    <col min="525" max="526" width="10.42578125" style="57" customWidth="1"/>
    <col min="527" max="527" width="6.5703125" style="57" customWidth="1"/>
    <col min="528" max="528" width="11.42578125" style="57" customWidth="1"/>
    <col min="529" max="529" width="4.140625" style="57" customWidth="1"/>
    <col min="530" max="530" width="18.5703125" style="57" customWidth="1"/>
    <col min="531" max="531" width="2.140625" style="57" customWidth="1"/>
    <col min="532" max="532" width="10.42578125" style="57" customWidth="1"/>
    <col min="533" max="774" width="9.140625" style="57"/>
    <col min="775" max="775" width="10" style="57" customWidth="1"/>
    <col min="776" max="776" width="40" style="57" customWidth="1"/>
    <col min="777" max="777" width="12.5703125" style="57" customWidth="1"/>
    <col min="778" max="779" width="10.42578125" style="57" customWidth="1"/>
    <col min="780" max="780" width="11.5703125" style="57" customWidth="1"/>
    <col min="781" max="782" width="10.42578125" style="57" customWidth="1"/>
    <col min="783" max="783" width="6.5703125" style="57" customWidth="1"/>
    <col min="784" max="784" width="11.42578125" style="57" customWidth="1"/>
    <col min="785" max="785" width="4.140625" style="57" customWidth="1"/>
    <col min="786" max="786" width="18.5703125" style="57" customWidth="1"/>
    <col min="787" max="787" width="2.140625" style="57" customWidth="1"/>
    <col min="788" max="788" width="10.42578125" style="57" customWidth="1"/>
    <col min="789" max="1030" width="9.140625" style="57"/>
    <col min="1031" max="1031" width="10" style="57" customWidth="1"/>
    <col min="1032" max="1032" width="40" style="57" customWidth="1"/>
    <col min="1033" max="1033" width="12.5703125" style="57" customWidth="1"/>
    <col min="1034" max="1035" width="10.42578125" style="57" customWidth="1"/>
    <col min="1036" max="1036" width="11.5703125" style="57" customWidth="1"/>
    <col min="1037" max="1038" width="10.42578125" style="57" customWidth="1"/>
    <col min="1039" max="1039" width="6.5703125" style="57" customWidth="1"/>
    <col min="1040" max="1040" width="11.42578125" style="57" customWidth="1"/>
    <col min="1041" max="1041" width="4.140625" style="57" customWidth="1"/>
    <col min="1042" max="1042" width="18.5703125" style="57" customWidth="1"/>
    <col min="1043" max="1043" width="2.140625" style="57" customWidth="1"/>
    <col min="1044" max="1044" width="10.42578125" style="57" customWidth="1"/>
    <col min="1045" max="1286" width="9.140625" style="57"/>
    <col min="1287" max="1287" width="10" style="57" customWidth="1"/>
    <col min="1288" max="1288" width="40" style="57" customWidth="1"/>
    <col min="1289" max="1289" width="12.5703125" style="57" customWidth="1"/>
    <col min="1290" max="1291" width="10.42578125" style="57" customWidth="1"/>
    <col min="1292" max="1292" width="11.5703125" style="57" customWidth="1"/>
    <col min="1293" max="1294" width="10.42578125" style="57" customWidth="1"/>
    <col min="1295" max="1295" width="6.5703125" style="57" customWidth="1"/>
    <col min="1296" max="1296" width="11.42578125" style="57" customWidth="1"/>
    <col min="1297" max="1297" width="4.140625" style="57" customWidth="1"/>
    <col min="1298" max="1298" width="18.5703125" style="57" customWidth="1"/>
    <col min="1299" max="1299" width="2.140625" style="57" customWidth="1"/>
    <col min="1300" max="1300" width="10.42578125" style="57" customWidth="1"/>
    <col min="1301" max="1542" width="9.140625" style="57"/>
    <col min="1543" max="1543" width="10" style="57" customWidth="1"/>
    <col min="1544" max="1544" width="40" style="57" customWidth="1"/>
    <col min="1545" max="1545" width="12.5703125" style="57" customWidth="1"/>
    <col min="1546" max="1547" width="10.42578125" style="57" customWidth="1"/>
    <col min="1548" max="1548" width="11.5703125" style="57" customWidth="1"/>
    <col min="1549" max="1550" width="10.42578125" style="57" customWidth="1"/>
    <col min="1551" max="1551" width="6.5703125" style="57" customWidth="1"/>
    <col min="1552" max="1552" width="11.42578125" style="57" customWidth="1"/>
    <col min="1553" max="1553" width="4.140625" style="57" customWidth="1"/>
    <col min="1554" max="1554" width="18.5703125" style="57" customWidth="1"/>
    <col min="1555" max="1555" width="2.140625" style="57" customWidth="1"/>
    <col min="1556" max="1556" width="10.42578125" style="57" customWidth="1"/>
    <col min="1557" max="1798" width="9.140625" style="57"/>
    <col min="1799" max="1799" width="10" style="57" customWidth="1"/>
    <col min="1800" max="1800" width="40" style="57" customWidth="1"/>
    <col min="1801" max="1801" width="12.5703125" style="57" customWidth="1"/>
    <col min="1802" max="1803" width="10.42578125" style="57" customWidth="1"/>
    <col min="1804" max="1804" width="11.5703125" style="57" customWidth="1"/>
    <col min="1805" max="1806" width="10.42578125" style="57" customWidth="1"/>
    <col min="1807" max="1807" width="6.5703125" style="57" customWidth="1"/>
    <col min="1808" max="1808" width="11.42578125" style="57" customWidth="1"/>
    <col min="1809" max="1809" width="4.140625" style="57" customWidth="1"/>
    <col min="1810" max="1810" width="18.5703125" style="57" customWidth="1"/>
    <col min="1811" max="1811" width="2.140625" style="57" customWidth="1"/>
    <col min="1812" max="1812" width="10.42578125" style="57" customWidth="1"/>
    <col min="1813" max="2054" width="9.140625" style="57"/>
    <col min="2055" max="2055" width="10" style="57" customWidth="1"/>
    <col min="2056" max="2056" width="40" style="57" customWidth="1"/>
    <col min="2057" max="2057" width="12.5703125" style="57" customWidth="1"/>
    <col min="2058" max="2059" width="10.42578125" style="57" customWidth="1"/>
    <col min="2060" max="2060" width="11.5703125" style="57" customWidth="1"/>
    <col min="2061" max="2062" width="10.42578125" style="57" customWidth="1"/>
    <col min="2063" max="2063" width="6.5703125" style="57" customWidth="1"/>
    <col min="2064" max="2064" width="11.42578125" style="57" customWidth="1"/>
    <col min="2065" max="2065" width="4.140625" style="57" customWidth="1"/>
    <col min="2066" max="2066" width="18.5703125" style="57" customWidth="1"/>
    <col min="2067" max="2067" width="2.140625" style="57" customWidth="1"/>
    <col min="2068" max="2068" width="10.42578125" style="57" customWidth="1"/>
    <col min="2069" max="2310" width="9.140625" style="57"/>
    <col min="2311" max="2311" width="10" style="57" customWidth="1"/>
    <col min="2312" max="2312" width="40" style="57" customWidth="1"/>
    <col min="2313" max="2313" width="12.5703125" style="57" customWidth="1"/>
    <col min="2314" max="2315" width="10.42578125" style="57" customWidth="1"/>
    <col min="2316" max="2316" width="11.5703125" style="57" customWidth="1"/>
    <col min="2317" max="2318" width="10.42578125" style="57" customWidth="1"/>
    <col min="2319" max="2319" width="6.5703125" style="57" customWidth="1"/>
    <col min="2320" max="2320" width="11.42578125" style="57" customWidth="1"/>
    <col min="2321" max="2321" width="4.140625" style="57" customWidth="1"/>
    <col min="2322" max="2322" width="18.5703125" style="57" customWidth="1"/>
    <col min="2323" max="2323" width="2.140625" style="57" customWidth="1"/>
    <col min="2324" max="2324" width="10.42578125" style="57" customWidth="1"/>
    <col min="2325" max="2566" width="9.140625" style="57"/>
    <col min="2567" max="2567" width="10" style="57" customWidth="1"/>
    <col min="2568" max="2568" width="40" style="57" customWidth="1"/>
    <col min="2569" max="2569" width="12.5703125" style="57" customWidth="1"/>
    <col min="2570" max="2571" width="10.42578125" style="57" customWidth="1"/>
    <col min="2572" max="2572" width="11.5703125" style="57" customWidth="1"/>
    <col min="2573" max="2574" width="10.42578125" style="57" customWidth="1"/>
    <col min="2575" max="2575" width="6.5703125" style="57" customWidth="1"/>
    <col min="2576" max="2576" width="11.42578125" style="57" customWidth="1"/>
    <col min="2577" max="2577" width="4.140625" style="57" customWidth="1"/>
    <col min="2578" max="2578" width="18.5703125" style="57" customWidth="1"/>
    <col min="2579" max="2579" width="2.140625" style="57" customWidth="1"/>
    <col min="2580" max="2580" width="10.42578125" style="57" customWidth="1"/>
    <col min="2581" max="2822" width="9.140625" style="57"/>
    <col min="2823" max="2823" width="10" style="57" customWidth="1"/>
    <col min="2824" max="2824" width="40" style="57" customWidth="1"/>
    <col min="2825" max="2825" width="12.5703125" style="57" customWidth="1"/>
    <col min="2826" max="2827" width="10.42578125" style="57" customWidth="1"/>
    <col min="2828" max="2828" width="11.5703125" style="57" customWidth="1"/>
    <col min="2829" max="2830" width="10.42578125" style="57" customWidth="1"/>
    <col min="2831" max="2831" width="6.5703125" style="57" customWidth="1"/>
    <col min="2832" max="2832" width="11.42578125" style="57" customWidth="1"/>
    <col min="2833" max="2833" width="4.140625" style="57" customWidth="1"/>
    <col min="2834" max="2834" width="18.5703125" style="57" customWidth="1"/>
    <col min="2835" max="2835" width="2.140625" style="57" customWidth="1"/>
    <col min="2836" max="2836" width="10.42578125" style="57" customWidth="1"/>
    <col min="2837" max="3078" width="9.140625" style="57"/>
    <col min="3079" max="3079" width="10" style="57" customWidth="1"/>
    <col min="3080" max="3080" width="40" style="57" customWidth="1"/>
    <col min="3081" max="3081" width="12.5703125" style="57" customWidth="1"/>
    <col min="3082" max="3083" width="10.42578125" style="57" customWidth="1"/>
    <col min="3084" max="3084" width="11.5703125" style="57" customWidth="1"/>
    <col min="3085" max="3086" width="10.42578125" style="57" customWidth="1"/>
    <col min="3087" max="3087" width="6.5703125" style="57" customWidth="1"/>
    <col min="3088" max="3088" width="11.42578125" style="57" customWidth="1"/>
    <col min="3089" max="3089" width="4.140625" style="57" customWidth="1"/>
    <col min="3090" max="3090" width="18.5703125" style="57" customWidth="1"/>
    <col min="3091" max="3091" width="2.140625" style="57" customWidth="1"/>
    <col min="3092" max="3092" width="10.42578125" style="57" customWidth="1"/>
    <col min="3093" max="3334" width="9.140625" style="57"/>
    <col min="3335" max="3335" width="10" style="57" customWidth="1"/>
    <col min="3336" max="3336" width="40" style="57" customWidth="1"/>
    <col min="3337" max="3337" width="12.5703125" style="57" customWidth="1"/>
    <col min="3338" max="3339" width="10.42578125" style="57" customWidth="1"/>
    <col min="3340" max="3340" width="11.5703125" style="57" customWidth="1"/>
    <col min="3341" max="3342" width="10.42578125" style="57" customWidth="1"/>
    <col min="3343" max="3343" width="6.5703125" style="57" customWidth="1"/>
    <col min="3344" max="3344" width="11.42578125" style="57" customWidth="1"/>
    <col min="3345" max="3345" width="4.140625" style="57" customWidth="1"/>
    <col min="3346" max="3346" width="18.5703125" style="57" customWidth="1"/>
    <col min="3347" max="3347" width="2.140625" style="57" customWidth="1"/>
    <col min="3348" max="3348" width="10.42578125" style="57" customWidth="1"/>
    <col min="3349" max="3590" width="9.140625" style="57"/>
    <col min="3591" max="3591" width="10" style="57" customWidth="1"/>
    <col min="3592" max="3592" width="40" style="57" customWidth="1"/>
    <col min="3593" max="3593" width="12.5703125" style="57" customWidth="1"/>
    <col min="3594" max="3595" width="10.42578125" style="57" customWidth="1"/>
    <col min="3596" max="3596" width="11.5703125" style="57" customWidth="1"/>
    <col min="3597" max="3598" width="10.42578125" style="57" customWidth="1"/>
    <col min="3599" max="3599" width="6.5703125" style="57" customWidth="1"/>
    <col min="3600" max="3600" width="11.42578125" style="57" customWidth="1"/>
    <col min="3601" max="3601" width="4.140625" style="57" customWidth="1"/>
    <col min="3602" max="3602" width="18.5703125" style="57" customWidth="1"/>
    <col min="3603" max="3603" width="2.140625" style="57" customWidth="1"/>
    <col min="3604" max="3604" width="10.42578125" style="57" customWidth="1"/>
    <col min="3605" max="3846" width="9.140625" style="57"/>
    <col min="3847" max="3847" width="10" style="57" customWidth="1"/>
    <col min="3848" max="3848" width="40" style="57" customWidth="1"/>
    <col min="3849" max="3849" width="12.5703125" style="57" customWidth="1"/>
    <col min="3850" max="3851" width="10.42578125" style="57" customWidth="1"/>
    <col min="3852" max="3852" width="11.5703125" style="57" customWidth="1"/>
    <col min="3853" max="3854" width="10.42578125" style="57" customWidth="1"/>
    <col min="3855" max="3855" width="6.5703125" style="57" customWidth="1"/>
    <col min="3856" max="3856" width="11.42578125" style="57" customWidth="1"/>
    <col min="3857" max="3857" width="4.140625" style="57" customWidth="1"/>
    <col min="3858" max="3858" width="18.5703125" style="57" customWidth="1"/>
    <col min="3859" max="3859" width="2.140625" style="57" customWidth="1"/>
    <col min="3860" max="3860" width="10.42578125" style="57" customWidth="1"/>
    <col min="3861" max="4102" width="9.140625" style="57"/>
    <col min="4103" max="4103" width="10" style="57" customWidth="1"/>
    <col min="4104" max="4104" width="40" style="57" customWidth="1"/>
    <col min="4105" max="4105" width="12.5703125" style="57" customWidth="1"/>
    <col min="4106" max="4107" width="10.42578125" style="57" customWidth="1"/>
    <col min="4108" max="4108" width="11.5703125" style="57" customWidth="1"/>
    <col min="4109" max="4110" width="10.42578125" style="57" customWidth="1"/>
    <col min="4111" max="4111" width="6.5703125" style="57" customWidth="1"/>
    <col min="4112" max="4112" width="11.42578125" style="57" customWidth="1"/>
    <col min="4113" max="4113" width="4.140625" style="57" customWidth="1"/>
    <col min="4114" max="4114" width="18.5703125" style="57" customWidth="1"/>
    <col min="4115" max="4115" width="2.140625" style="57" customWidth="1"/>
    <col min="4116" max="4116" width="10.42578125" style="57" customWidth="1"/>
    <col min="4117" max="4358" width="9.140625" style="57"/>
    <col min="4359" max="4359" width="10" style="57" customWidth="1"/>
    <col min="4360" max="4360" width="40" style="57" customWidth="1"/>
    <col min="4361" max="4361" width="12.5703125" style="57" customWidth="1"/>
    <col min="4362" max="4363" width="10.42578125" style="57" customWidth="1"/>
    <col min="4364" max="4364" width="11.5703125" style="57" customWidth="1"/>
    <col min="4365" max="4366" width="10.42578125" style="57" customWidth="1"/>
    <col min="4367" max="4367" width="6.5703125" style="57" customWidth="1"/>
    <col min="4368" max="4368" width="11.42578125" style="57" customWidth="1"/>
    <col min="4369" max="4369" width="4.140625" style="57" customWidth="1"/>
    <col min="4370" max="4370" width="18.5703125" style="57" customWidth="1"/>
    <col min="4371" max="4371" width="2.140625" style="57" customWidth="1"/>
    <col min="4372" max="4372" width="10.42578125" style="57" customWidth="1"/>
    <col min="4373" max="4614" width="9.140625" style="57"/>
    <col min="4615" max="4615" width="10" style="57" customWidth="1"/>
    <col min="4616" max="4616" width="40" style="57" customWidth="1"/>
    <col min="4617" max="4617" width="12.5703125" style="57" customWidth="1"/>
    <col min="4618" max="4619" width="10.42578125" style="57" customWidth="1"/>
    <col min="4620" max="4620" width="11.5703125" style="57" customWidth="1"/>
    <col min="4621" max="4622" width="10.42578125" style="57" customWidth="1"/>
    <col min="4623" max="4623" width="6.5703125" style="57" customWidth="1"/>
    <col min="4624" max="4624" width="11.42578125" style="57" customWidth="1"/>
    <col min="4625" max="4625" width="4.140625" style="57" customWidth="1"/>
    <col min="4626" max="4626" width="18.5703125" style="57" customWidth="1"/>
    <col min="4627" max="4627" width="2.140625" style="57" customWidth="1"/>
    <col min="4628" max="4628" width="10.42578125" style="57" customWidth="1"/>
    <col min="4629" max="4870" width="9.140625" style="57"/>
    <col min="4871" max="4871" width="10" style="57" customWidth="1"/>
    <col min="4872" max="4872" width="40" style="57" customWidth="1"/>
    <col min="4873" max="4873" width="12.5703125" style="57" customWidth="1"/>
    <col min="4874" max="4875" width="10.42578125" style="57" customWidth="1"/>
    <col min="4876" max="4876" width="11.5703125" style="57" customWidth="1"/>
    <col min="4877" max="4878" width="10.42578125" style="57" customWidth="1"/>
    <col min="4879" max="4879" width="6.5703125" style="57" customWidth="1"/>
    <col min="4880" max="4880" width="11.42578125" style="57" customWidth="1"/>
    <col min="4881" max="4881" width="4.140625" style="57" customWidth="1"/>
    <col min="4882" max="4882" width="18.5703125" style="57" customWidth="1"/>
    <col min="4883" max="4883" width="2.140625" style="57" customWidth="1"/>
    <col min="4884" max="4884" width="10.42578125" style="57" customWidth="1"/>
    <col min="4885" max="5126" width="9.140625" style="57"/>
    <col min="5127" max="5127" width="10" style="57" customWidth="1"/>
    <col min="5128" max="5128" width="40" style="57" customWidth="1"/>
    <col min="5129" max="5129" width="12.5703125" style="57" customWidth="1"/>
    <col min="5130" max="5131" width="10.42578125" style="57" customWidth="1"/>
    <col min="5132" max="5132" width="11.5703125" style="57" customWidth="1"/>
    <col min="5133" max="5134" width="10.42578125" style="57" customWidth="1"/>
    <col min="5135" max="5135" width="6.5703125" style="57" customWidth="1"/>
    <col min="5136" max="5136" width="11.42578125" style="57" customWidth="1"/>
    <col min="5137" max="5137" width="4.140625" style="57" customWidth="1"/>
    <col min="5138" max="5138" width="18.5703125" style="57" customWidth="1"/>
    <col min="5139" max="5139" width="2.140625" style="57" customWidth="1"/>
    <col min="5140" max="5140" width="10.42578125" style="57" customWidth="1"/>
    <col min="5141" max="5382" width="9.140625" style="57"/>
    <col min="5383" max="5383" width="10" style="57" customWidth="1"/>
    <col min="5384" max="5384" width="40" style="57" customWidth="1"/>
    <col min="5385" max="5385" width="12.5703125" style="57" customWidth="1"/>
    <col min="5386" max="5387" width="10.42578125" style="57" customWidth="1"/>
    <col min="5388" max="5388" width="11.5703125" style="57" customWidth="1"/>
    <col min="5389" max="5390" width="10.42578125" style="57" customWidth="1"/>
    <col min="5391" max="5391" width="6.5703125" style="57" customWidth="1"/>
    <col min="5392" max="5392" width="11.42578125" style="57" customWidth="1"/>
    <col min="5393" max="5393" width="4.140625" style="57" customWidth="1"/>
    <col min="5394" max="5394" width="18.5703125" style="57" customWidth="1"/>
    <col min="5395" max="5395" width="2.140625" style="57" customWidth="1"/>
    <col min="5396" max="5396" width="10.42578125" style="57" customWidth="1"/>
    <col min="5397" max="5638" width="9.140625" style="57"/>
    <col min="5639" max="5639" width="10" style="57" customWidth="1"/>
    <col min="5640" max="5640" width="40" style="57" customWidth="1"/>
    <col min="5641" max="5641" width="12.5703125" style="57" customWidth="1"/>
    <col min="5642" max="5643" width="10.42578125" style="57" customWidth="1"/>
    <col min="5644" max="5644" width="11.5703125" style="57" customWidth="1"/>
    <col min="5645" max="5646" width="10.42578125" style="57" customWidth="1"/>
    <col min="5647" max="5647" width="6.5703125" style="57" customWidth="1"/>
    <col min="5648" max="5648" width="11.42578125" style="57" customWidth="1"/>
    <col min="5649" max="5649" width="4.140625" style="57" customWidth="1"/>
    <col min="5650" max="5650" width="18.5703125" style="57" customWidth="1"/>
    <col min="5651" max="5651" width="2.140625" style="57" customWidth="1"/>
    <col min="5652" max="5652" width="10.42578125" style="57" customWidth="1"/>
    <col min="5653" max="5894" width="9.140625" style="57"/>
    <col min="5895" max="5895" width="10" style="57" customWidth="1"/>
    <col min="5896" max="5896" width="40" style="57" customWidth="1"/>
    <col min="5897" max="5897" width="12.5703125" style="57" customWidth="1"/>
    <col min="5898" max="5899" width="10.42578125" style="57" customWidth="1"/>
    <col min="5900" max="5900" width="11.5703125" style="57" customWidth="1"/>
    <col min="5901" max="5902" width="10.42578125" style="57" customWidth="1"/>
    <col min="5903" max="5903" width="6.5703125" style="57" customWidth="1"/>
    <col min="5904" max="5904" width="11.42578125" style="57" customWidth="1"/>
    <col min="5905" max="5905" width="4.140625" style="57" customWidth="1"/>
    <col min="5906" max="5906" width="18.5703125" style="57" customWidth="1"/>
    <col min="5907" max="5907" width="2.140625" style="57" customWidth="1"/>
    <col min="5908" max="5908" width="10.42578125" style="57" customWidth="1"/>
    <col min="5909" max="6150" width="9.140625" style="57"/>
    <col min="6151" max="6151" width="10" style="57" customWidth="1"/>
    <col min="6152" max="6152" width="40" style="57" customWidth="1"/>
    <col min="6153" max="6153" width="12.5703125" style="57" customWidth="1"/>
    <col min="6154" max="6155" width="10.42578125" style="57" customWidth="1"/>
    <col min="6156" max="6156" width="11.5703125" style="57" customWidth="1"/>
    <col min="6157" max="6158" width="10.42578125" style="57" customWidth="1"/>
    <col min="6159" max="6159" width="6.5703125" style="57" customWidth="1"/>
    <col min="6160" max="6160" width="11.42578125" style="57" customWidth="1"/>
    <col min="6161" max="6161" width="4.140625" style="57" customWidth="1"/>
    <col min="6162" max="6162" width="18.5703125" style="57" customWidth="1"/>
    <col min="6163" max="6163" width="2.140625" style="57" customWidth="1"/>
    <col min="6164" max="6164" width="10.42578125" style="57" customWidth="1"/>
    <col min="6165" max="6406" width="9.140625" style="57"/>
    <col min="6407" max="6407" width="10" style="57" customWidth="1"/>
    <col min="6408" max="6408" width="40" style="57" customWidth="1"/>
    <col min="6409" max="6409" width="12.5703125" style="57" customWidth="1"/>
    <col min="6410" max="6411" width="10.42578125" style="57" customWidth="1"/>
    <col min="6412" max="6412" width="11.5703125" style="57" customWidth="1"/>
    <col min="6413" max="6414" width="10.42578125" style="57" customWidth="1"/>
    <col min="6415" max="6415" width="6.5703125" style="57" customWidth="1"/>
    <col min="6416" max="6416" width="11.42578125" style="57" customWidth="1"/>
    <col min="6417" max="6417" width="4.140625" style="57" customWidth="1"/>
    <col min="6418" max="6418" width="18.5703125" style="57" customWidth="1"/>
    <col min="6419" max="6419" width="2.140625" style="57" customWidth="1"/>
    <col min="6420" max="6420" width="10.42578125" style="57" customWidth="1"/>
    <col min="6421" max="6662" width="9.140625" style="57"/>
    <col min="6663" max="6663" width="10" style="57" customWidth="1"/>
    <col min="6664" max="6664" width="40" style="57" customWidth="1"/>
    <col min="6665" max="6665" width="12.5703125" style="57" customWidth="1"/>
    <col min="6666" max="6667" width="10.42578125" style="57" customWidth="1"/>
    <col min="6668" max="6668" width="11.5703125" style="57" customWidth="1"/>
    <col min="6669" max="6670" width="10.42578125" style="57" customWidth="1"/>
    <col min="6671" max="6671" width="6.5703125" style="57" customWidth="1"/>
    <col min="6672" max="6672" width="11.42578125" style="57" customWidth="1"/>
    <col min="6673" max="6673" width="4.140625" style="57" customWidth="1"/>
    <col min="6674" max="6674" width="18.5703125" style="57" customWidth="1"/>
    <col min="6675" max="6675" width="2.140625" style="57" customWidth="1"/>
    <col min="6676" max="6676" width="10.42578125" style="57" customWidth="1"/>
    <col min="6677" max="6918" width="9.140625" style="57"/>
    <col min="6919" max="6919" width="10" style="57" customWidth="1"/>
    <col min="6920" max="6920" width="40" style="57" customWidth="1"/>
    <col min="6921" max="6921" width="12.5703125" style="57" customWidth="1"/>
    <col min="6922" max="6923" width="10.42578125" style="57" customWidth="1"/>
    <col min="6924" max="6924" width="11.5703125" style="57" customWidth="1"/>
    <col min="6925" max="6926" width="10.42578125" style="57" customWidth="1"/>
    <col min="6927" max="6927" width="6.5703125" style="57" customWidth="1"/>
    <col min="6928" max="6928" width="11.42578125" style="57" customWidth="1"/>
    <col min="6929" max="6929" width="4.140625" style="57" customWidth="1"/>
    <col min="6930" max="6930" width="18.5703125" style="57" customWidth="1"/>
    <col min="6931" max="6931" width="2.140625" style="57" customWidth="1"/>
    <col min="6932" max="6932" width="10.42578125" style="57" customWidth="1"/>
    <col min="6933" max="7174" width="9.140625" style="57"/>
    <col min="7175" max="7175" width="10" style="57" customWidth="1"/>
    <col min="7176" max="7176" width="40" style="57" customWidth="1"/>
    <col min="7177" max="7177" width="12.5703125" style="57" customWidth="1"/>
    <col min="7178" max="7179" width="10.42578125" style="57" customWidth="1"/>
    <col min="7180" max="7180" width="11.5703125" style="57" customWidth="1"/>
    <col min="7181" max="7182" width="10.42578125" style="57" customWidth="1"/>
    <col min="7183" max="7183" width="6.5703125" style="57" customWidth="1"/>
    <col min="7184" max="7184" width="11.42578125" style="57" customWidth="1"/>
    <col min="7185" max="7185" width="4.140625" style="57" customWidth="1"/>
    <col min="7186" max="7186" width="18.5703125" style="57" customWidth="1"/>
    <col min="7187" max="7187" width="2.140625" style="57" customWidth="1"/>
    <col min="7188" max="7188" width="10.42578125" style="57" customWidth="1"/>
    <col min="7189" max="7430" width="9.140625" style="57"/>
    <col min="7431" max="7431" width="10" style="57" customWidth="1"/>
    <col min="7432" max="7432" width="40" style="57" customWidth="1"/>
    <col min="7433" max="7433" width="12.5703125" style="57" customWidth="1"/>
    <col min="7434" max="7435" width="10.42578125" style="57" customWidth="1"/>
    <col min="7436" max="7436" width="11.5703125" style="57" customWidth="1"/>
    <col min="7437" max="7438" width="10.42578125" style="57" customWidth="1"/>
    <col min="7439" max="7439" width="6.5703125" style="57" customWidth="1"/>
    <col min="7440" max="7440" width="11.42578125" style="57" customWidth="1"/>
    <col min="7441" max="7441" width="4.140625" style="57" customWidth="1"/>
    <col min="7442" max="7442" width="18.5703125" style="57" customWidth="1"/>
    <col min="7443" max="7443" width="2.140625" style="57" customWidth="1"/>
    <col min="7444" max="7444" width="10.42578125" style="57" customWidth="1"/>
    <col min="7445" max="7686" width="9.140625" style="57"/>
    <col min="7687" max="7687" width="10" style="57" customWidth="1"/>
    <col min="7688" max="7688" width="40" style="57" customWidth="1"/>
    <col min="7689" max="7689" width="12.5703125" style="57" customWidth="1"/>
    <col min="7690" max="7691" width="10.42578125" style="57" customWidth="1"/>
    <col min="7692" max="7692" width="11.5703125" style="57" customWidth="1"/>
    <col min="7693" max="7694" width="10.42578125" style="57" customWidth="1"/>
    <col min="7695" max="7695" width="6.5703125" style="57" customWidth="1"/>
    <col min="7696" max="7696" width="11.42578125" style="57" customWidth="1"/>
    <col min="7697" max="7697" width="4.140625" style="57" customWidth="1"/>
    <col min="7698" max="7698" width="18.5703125" style="57" customWidth="1"/>
    <col min="7699" max="7699" width="2.140625" style="57" customWidth="1"/>
    <col min="7700" max="7700" width="10.42578125" style="57" customWidth="1"/>
    <col min="7701" max="7942" width="9.140625" style="57"/>
    <col min="7943" max="7943" width="10" style="57" customWidth="1"/>
    <col min="7944" max="7944" width="40" style="57" customWidth="1"/>
    <col min="7945" max="7945" width="12.5703125" style="57" customWidth="1"/>
    <col min="7946" max="7947" width="10.42578125" style="57" customWidth="1"/>
    <col min="7948" max="7948" width="11.5703125" style="57" customWidth="1"/>
    <col min="7949" max="7950" width="10.42578125" style="57" customWidth="1"/>
    <col min="7951" max="7951" width="6.5703125" style="57" customWidth="1"/>
    <col min="7952" max="7952" width="11.42578125" style="57" customWidth="1"/>
    <col min="7953" max="7953" width="4.140625" style="57" customWidth="1"/>
    <col min="7954" max="7954" width="18.5703125" style="57" customWidth="1"/>
    <col min="7955" max="7955" width="2.140625" style="57" customWidth="1"/>
    <col min="7956" max="7956" width="10.42578125" style="57" customWidth="1"/>
    <col min="7957" max="8198" width="9.140625" style="57"/>
    <col min="8199" max="8199" width="10" style="57" customWidth="1"/>
    <col min="8200" max="8200" width="40" style="57" customWidth="1"/>
    <col min="8201" max="8201" width="12.5703125" style="57" customWidth="1"/>
    <col min="8202" max="8203" width="10.42578125" style="57" customWidth="1"/>
    <col min="8204" max="8204" width="11.5703125" style="57" customWidth="1"/>
    <col min="8205" max="8206" width="10.42578125" style="57" customWidth="1"/>
    <col min="8207" max="8207" width="6.5703125" style="57" customWidth="1"/>
    <col min="8208" max="8208" width="11.42578125" style="57" customWidth="1"/>
    <col min="8209" max="8209" width="4.140625" style="57" customWidth="1"/>
    <col min="8210" max="8210" width="18.5703125" style="57" customWidth="1"/>
    <col min="8211" max="8211" width="2.140625" style="57" customWidth="1"/>
    <col min="8212" max="8212" width="10.42578125" style="57" customWidth="1"/>
    <col min="8213" max="8454" width="9.140625" style="57"/>
    <col min="8455" max="8455" width="10" style="57" customWidth="1"/>
    <col min="8456" max="8456" width="40" style="57" customWidth="1"/>
    <col min="8457" max="8457" width="12.5703125" style="57" customWidth="1"/>
    <col min="8458" max="8459" width="10.42578125" style="57" customWidth="1"/>
    <col min="8460" max="8460" width="11.5703125" style="57" customWidth="1"/>
    <col min="8461" max="8462" width="10.42578125" style="57" customWidth="1"/>
    <col min="8463" max="8463" width="6.5703125" style="57" customWidth="1"/>
    <col min="8464" max="8464" width="11.42578125" style="57" customWidth="1"/>
    <col min="8465" max="8465" width="4.140625" style="57" customWidth="1"/>
    <col min="8466" max="8466" width="18.5703125" style="57" customWidth="1"/>
    <col min="8467" max="8467" width="2.140625" style="57" customWidth="1"/>
    <col min="8468" max="8468" width="10.42578125" style="57" customWidth="1"/>
    <col min="8469" max="8710" width="9.140625" style="57"/>
    <col min="8711" max="8711" width="10" style="57" customWidth="1"/>
    <col min="8712" max="8712" width="40" style="57" customWidth="1"/>
    <col min="8713" max="8713" width="12.5703125" style="57" customWidth="1"/>
    <col min="8714" max="8715" width="10.42578125" style="57" customWidth="1"/>
    <col min="8716" max="8716" width="11.5703125" style="57" customWidth="1"/>
    <col min="8717" max="8718" width="10.42578125" style="57" customWidth="1"/>
    <col min="8719" max="8719" width="6.5703125" style="57" customWidth="1"/>
    <col min="8720" max="8720" width="11.42578125" style="57" customWidth="1"/>
    <col min="8721" max="8721" width="4.140625" style="57" customWidth="1"/>
    <col min="8722" max="8722" width="18.5703125" style="57" customWidth="1"/>
    <col min="8723" max="8723" width="2.140625" style="57" customWidth="1"/>
    <col min="8724" max="8724" width="10.42578125" style="57" customWidth="1"/>
    <col min="8725" max="8966" width="9.140625" style="57"/>
    <col min="8967" max="8967" width="10" style="57" customWidth="1"/>
    <col min="8968" max="8968" width="40" style="57" customWidth="1"/>
    <col min="8969" max="8969" width="12.5703125" style="57" customWidth="1"/>
    <col min="8970" max="8971" width="10.42578125" style="57" customWidth="1"/>
    <col min="8972" max="8972" width="11.5703125" style="57" customWidth="1"/>
    <col min="8973" max="8974" width="10.42578125" style="57" customWidth="1"/>
    <col min="8975" max="8975" width="6.5703125" style="57" customWidth="1"/>
    <col min="8976" max="8976" width="11.42578125" style="57" customWidth="1"/>
    <col min="8977" max="8977" width="4.140625" style="57" customWidth="1"/>
    <col min="8978" max="8978" width="18.5703125" style="57" customWidth="1"/>
    <col min="8979" max="8979" width="2.140625" style="57" customWidth="1"/>
    <col min="8980" max="8980" width="10.42578125" style="57" customWidth="1"/>
    <col min="8981" max="9222" width="9.140625" style="57"/>
    <col min="9223" max="9223" width="10" style="57" customWidth="1"/>
    <col min="9224" max="9224" width="40" style="57" customWidth="1"/>
    <col min="9225" max="9225" width="12.5703125" style="57" customWidth="1"/>
    <col min="9226" max="9227" width="10.42578125" style="57" customWidth="1"/>
    <col min="9228" max="9228" width="11.5703125" style="57" customWidth="1"/>
    <col min="9229" max="9230" width="10.42578125" style="57" customWidth="1"/>
    <col min="9231" max="9231" width="6.5703125" style="57" customWidth="1"/>
    <col min="9232" max="9232" width="11.42578125" style="57" customWidth="1"/>
    <col min="9233" max="9233" width="4.140625" style="57" customWidth="1"/>
    <col min="9234" max="9234" width="18.5703125" style="57" customWidth="1"/>
    <col min="9235" max="9235" width="2.140625" style="57" customWidth="1"/>
    <col min="9236" max="9236" width="10.42578125" style="57" customWidth="1"/>
    <col min="9237" max="9478" width="9.140625" style="57"/>
    <col min="9479" max="9479" width="10" style="57" customWidth="1"/>
    <col min="9480" max="9480" width="40" style="57" customWidth="1"/>
    <col min="9481" max="9481" width="12.5703125" style="57" customWidth="1"/>
    <col min="9482" max="9483" width="10.42578125" style="57" customWidth="1"/>
    <col min="9484" max="9484" width="11.5703125" style="57" customWidth="1"/>
    <col min="9485" max="9486" width="10.42578125" style="57" customWidth="1"/>
    <col min="9487" max="9487" width="6.5703125" style="57" customWidth="1"/>
    <col min="9488" max="9488" width="11.42578125" style="57" customWidth="1"/>
    <col min="9489" max="9489" width="4.140625" style="57" customWidth="1"/>
    <col min="9490" max="9490" width="18.5703125" style="57" customWidth="1"/>
    <col min="9491" max="9491" width="2.140625" style="57" customWidth="1"/>
    <col min="9492" max="9492" width="10.42578125" style="57" customWidth="1"/>
    <col min="9493" max="9734" width="9.140625" style="57"/>
    <col min="9735" max="9735" width="10" style="57" customWidth="1"/>
    <col min="9736" max="9736" width="40" style="57" customWidth="1"/>
    <col min="9737" max="9737" width="12.5703125" style="57" customWidth="1"/>
    <col min="9738" max="9739" width="10.42578125" style="57" customWidth="1"/>
    <col min="9740" max="9740" width="11.5703125" style="57" customWidth="1"/>
    <col min="9741" max="9742" width="10.42578125" style="57" customWidth="1"/>
    <col min="9743" max="9743" width="6.5703125" style="57" customWidth="1"/>
    <col min="9744" max="9744" width="11.42578125" style="57" customWidth="1"/>
    <col min="9745" max="9745" width="4.140625" style="57" customWidth="1"/>
    <col min="9746" max="9746" width="18.5703125" style="57" customWidth="1"/>
    <col min="9747" max="9747" width="2.140625" style="57" customWidth="1"/>
    <col min="9748" max="9748" width="10.42578125" style="57" customWidth="1"/>
    <col min="9749" max="9990" width="9.140625" style="57"/>
    <col min="9991" max="9991" width="10" style="57" customWidth="1"/>
    <col min="9992" max="9992" width="40" style="57" customWidth="1"/>
    <col min="9993" max="9993" width="12.5703125" style="57" customWidth="1"/>
    <col min="9994" max="9995" width="10.42578125" style="57" customWidth="1"/>
    <col min="9996" max="9996" width="11.5703125" style="57" customWidth="1"/>
    <col min="9997" max="9998" width="10.42578125" style="57" customWidth="1"/>
    <col min="9999" max="9999" width="6.5703125" style="57" customWidth="1"/>
    <col min="10000" max="10000" width="11.42578125" style="57" customWidth="1"/>
    <col min="10001" max="10001" width="4.140625" style="57" customWidth="1"/>
    <col min="10002" max="10002" width="18.5703125" style="57" customWidth="1"/>
    <col min="10003" max="10003" width="2.140625" style="57" customWidth="1"/>
    <col min="10004" max="10004" width="10.42578125" style="57" customWidth="1"/>
    <col min="10005" max="10246" width="9.140625" style="57"/>
    <col min="10247" max="10247" width="10" style="57" customWidth="1"/>
    <col min="10248" max="10248" width="40" style="57" customWidth="1"/>
    <col min="10249" max="10249" width="12.5703125" style="57" customWidth="1"/>
    <col min="10250" max="10251" width="10.42578125" style="57" customWidth="1"/>
    <col min="10252" max="10252" width="11.5703125" style="57" customWidth="1"/>
    <col min="10253" max="10254" width="10.42578125" style="57" customWidth="1"/>
    <col min="10255" max="10255" width="6.5703125" style="57" customWidth="1"/>
    <col min="10256" max="10256" width="11.42578125" style="57" customWidth="1"/>
    <col min="10257" max="10257" width="4.140625" style="57" customWidth="1"/>
    <col min="10258" max="10258" width="18.5703125" style="57" customWidth="1"/>
    <col min="10259" max="10259" width="2.140625" style="57" customWidth="1"/>
    <col min="10260" max="10260" width="10.42578125" style="57" customWidth="1"/>
    <col min="10261" max="10502" width="9.140625" style="57"/>
    <col min="10503" max="10503" width="10" style="57" customWidth="1"/>
    <col min="10504" max="10504" width="40" style="57" customWidth="1"/>
    <col min="10505" max="10505" width="12.5703125" style="57" customWidth="1"/>
    <col min="10506" max="10507" width="10.42578125" style="57" customWidth="1"/>
    <col min="10508" max="10508" width="11.5703125" style="57" customWidth="1"/>
    <col min="10509" max="10510" width="10.42578125" style="57" customWidth="1"/>
    <col min="10511" max="10511" width="6.5703125" style="57" customWidth="1"/>
    <col min="10512" max="10512" width="11.42578125" style="57" customWidth="1"/>
    <col min="10513" max="10513" width="4.140625" style="57" customWidth="1"/>
    <col min="10514" max="10514" width="18.5703125" style="57" customWidth="1"/>
    <col min="10515" max="10515" width="2.140625" style="57" customWidth="1"/>
    <col min="10516" max="10516" width="10.42578125" style="57" customWidth="1"/>
    <col min="10517" max="10758" width="9.140625" style="57"/>
    <col min="10759" max="10759" width="10" style="57" customWidth="1"/>
    <col min="10760" max="10760" width="40" style="57" customWidth="1"/>
    <col min="10761" max="10761" width="12.5703125" style="57" customWidth="1"/>
    <col min="10762" max="10763" width="10.42578125" style="57" customWidth="1"/>
    <col min="10764" max="10764" width="11.5703125" style="57" customWidth="1"/>
    <col min="10765" max="10766" width="10.42578125" style="57" customWidth="1"/>
    <col min="10767" max="10767" width="6.5703125" style="57" customWidth="1"/>
    <col min="10768" max="10768" width="11.42578125" style="57" customWidth="1"/>
    <col min="10769" max="10769" width="4.140625" style="57" customWidth="1"/>
    <col min="10770" max="10770" width="18.5703125" style="57" customWidth="1"/>
    <col min="10771" max="10771" width="2.140625" style="57" customWidth="1"/>
    <col min="10772" max="10772" width="10.42578125" style="57" customWidth="1"/>
    <col min="10773" max="11014" width="9.140625" style="57"/>
    <col min="11015" max="11015" width="10" style="57" customWidth="1"/>
    <col min="11016" max="11016" width="40" style="57" customWidth="1"/>
    <col min="11017" max="11017" width="12.5703125" style="57" customWidth="1"/>
    <col min="11018" max="11019" width="10.42578125" style="57" customWidth="1"/>
    <col min="11020" max="11020" width="11.5703125" style="57" customWidth="1"/>
    <col min="11021" max="11022" width="10.42578125" style="57" customWidth="1"/>
    <col min="11023" max="11023" width="6.5703125" style="57" customWidth="1"/>
    <col min="11024" max="11024" width="11.42578125" style="57" customWidth="1"/>
    <col min="11025" max="11025" width="4.140625" style="57" customWidth="1"/>
    <col min="11026" max="11026" width="18.5703125" style="57" customWidth="1"/>
    <col min="11027" max="11027" width="2.140625" style="57" customWidth="1"/>
    <col min="11028" max="11028" width="10.42578125" style="57" customWidth="1"/>
    <col min="11029" max="11270" width="9.140625" style="57"/>
    <col min="11271" max="11271" width="10" style="57" customWidth="1"/>
    <col min="11272" max="11272" width="40" style="57" customWidth="1"/>
    <col min="11273" max="11273" width="12.5703125" style="57" customWidth="1"/>
    <col min="11274" max="11275" width="10.42578125" style="57" customWidth="1"/>
    <col min="11276" max="11276" width="11.5703125" style="57" customWidth="1"/>
    <col min="11277" max="11278" width="10.42578125" style="57" customWidth="1"/>
    <col min="11279" max="11279" width="6.5703125" style="57" customWidth="1"/>
    <col min="11280" max="11280" width="11.42578125" style="57" customWidth="1"/>
    <col min="11281" max="11281" width="4.140625" style="57" customWidth="1"/>
    <col min="11282" max="11282" width="18.5703125" style="57" customWidth="1"/>
    <col min="11283" max="11283" width="2.140625" style="57" customWidth="1"/>
    <col min="11284" max="11284" width="10.42578125" style="57" customWidth="1"/>
    <col min="11285" max="11526" width="9.140625" style="57"/>
    <col min="11527" max="11527" width="10" style="57" customWidth="1"/>
    <col min="11528" max="11528" width="40" style="57" customWidth="1"/>
    <col min="11529" max="11529" width="12.5703125" style="57" customWidth="1"/>
    <col min="11530" max="11531" width="10.42578125" style="57" customWidth="1"/>
    <col min="11532" max="11532" width="11.5703125" style="57" customWidth="1"/>
    <col min="11533" max="11534" width="10.42578125" style="57" customWidth="1"/>
    <col min="11535" max="11535" width="6.5703125" style="57" customWidth="1"/>
    <col min="11536" max="11536" width="11.42578125" style="57" customWidth="1"/>
    <col min="11537" max="11537" width="4.140625" style="57" customWidth="1"/>
    <col min="11538" max="11538" width="18.5703125" style="57" customWidth="1"/>
    <col min="11539" max="11539" width="2.140625" style="57" customWidth="1"/>
    <col min="11540" max="11540" width="10.42578125" style="57" customWidth="1"/>
    <col min="11541" max="11782" width="9.140625" style="57"/>
    <col min="11783" max="11783" width="10" style="57" customWidth="1"/>
    <col min="11784" max="11784" width="40" style="57" customWidth="1"/>
    <col min="11785" max="11785" width="12.5703125" style="57" customWidth="1"/>
    <col min="11786" max="11787" width="10.42578125" style="57" customWidth="1"/>
    <col min="11788" max="11788" width="11.5703125" style="57" customWidth="1"/>
    <col min="11789" max="11790" width="10.42578125" style="57" customWidth="1"/>
    <col min="11791" max="11791" width="6.5703125" style="57" customWidth="1"/>
    <col min="11792" max="11792" width="11.42578125" style="57" customWidth="1"/>
    <col min="11793" max="11793" width="4.140625" style="57" customWidth="1"/>
    <col min="11794" max="11794" width="18.5703125" style="57" customWidth="1"/>
    <col min="11795" max="11795" width="2.140625" style="57" customWidth="1"/>
    <col min="11796" max="11796" width="10.42578125" style="57" customWidth="1"/>
    <col min="11797" max="12038" width="9.140625" style="57"/>
    <col min="12039" max="12039" width="10" style="57" customWidth="1"/>
    <col min="12040" max="12040" width="40" style="57" customWidth="1"/>
    <col min="12041" max="12041" width="12.5703125" style="57" customWidth="1"/>
    <col min="12042" max="12043" width="10.42578125" style="57" customWidth="1"/>
    <col min="12044" max="12044" width="11.5703125" style="57" customWidth="1"/>
    <col min="12045" max="12046" width="10.42578125" style="57" customWidth="1"/>
    <col min="12047" max="12047" width="6.5703125" style="57" customWidth="1"/>
    <col min="12048" max="12048" width="11.42578125" style="57" customWidth="1"/>
    <col min="12049" max="12049" width="4.140625" style="57" customWidth="1"/>
    <col min="12050" max="12050" width="18.5703125" style="57" customWidth="1"/>
    <col min="12051" max="12051" width="2.140625" style="57" customWidth="1"/>
    <col min="12052" max="12052" width="10.42578125" style="57" customWidth="1"/>
    <col min="12053" max="12294" width="9.140625" style="57"/>
    <col min="12295" max="12295" width="10" style="57" customWidth="1"/>
    <col min="12296" max="12296" width="40" style="57" customWidth="1"/>
    <col min="12297" max="12297" width="12.5703125" style="57" customWidth="1"/>
    <col min="12298" max="12299" width="10.42578125" style="57" customWidth="1"/>
    <col min="12300" max="12300" width="11.5703125" style="57" customWidth="1"/>
    <col min="12301" max="12302" width="10.42578125" style="57" customWidth="1"/>
    <col min="12303" max="12303" width="6.5703125" style="57" customWidth="1"/>
    <col min="12304" max="12304" width="11.42578125" style="57" customWidth="1"/>
    <col min="12305" max="12305" width="4.140625" style="57" customWidth="1"/>
    <col min="12306" max="12306" width="18.5703125" style="57" customWidth="1"/>
    <col min="12307" max="12307" width="2.140625" style="57" customWidth="1"/>
    <col min="12308" max="12308" width="10.42578125" style="57" customWidth="1"/>
    <col min="12309" max="12550" width="9.140625" style="57"/>
    <col min="12551" max="12551" width="10" style="57" customWidth="1"/>
    <col min="12552" max="12552" width="40" style="57" customWidth="1"/>
    <col min="12553" max="12553" width="12.5703125" style="57" customWidth="1"/>
    <col min="12554" max="12555" width="10.42578125" style="57" customWidth="1"/>
    <col min="12556" max="12556" width="11.5703125" style="57" customWidth="1"/>
    <col min="12557" max="12558" width="10.42578125" style="57" customWidth="1"/>
    <col min="12559" max="12559" width="6.5703125" style="57" customWidth="1"/>
    <col min="12560" max="12560" width="11.42578125" style="57" customWidth="1"/>
    <col min="12561" max="12561" width="4.140625" style="57" customWidth="1"/>
    <col min="12562" max="12562" width="18.5703125" style="57" customWidth="1"/>
    <col min="12563" max="12563" width="2.140625" style="57" customWidth="1"/>
    <col min="12564" max="12564" width="10.42578125" style="57" customWidth="1"/>
    <col min="12565" max="12806" width="9.140625" style="57"/>
    <col min="12807" max="12807" width="10" style="57" customWidth="1"/>
    <col min="12808" max="12808" width="40" style="57" customWidth="1"/>
    <col min="12809" max="12809" width="12.5703125" style="57" customWidth="1"/>
    <col min="12810" max="12811" width="10.42578125" style="57" customWidth="1"/>
    <col min="12812" max="12812" width="11.5703125" style="57" customWidth="1"/>
    <col min="12813" max="12814" width="10.42578125" style="57" customWidth="1"/>
    <col min="12815" max="12815" width="6.5703125" style="57" customWidth="1"/>
    <col min="12816" max="12816" width="11.42578125" style="57" customWidth="1"/>
    <col min="12817" max="12817" width="4.140625" style="57" customWidth="1"/>
    <col min="12818" max="12818" width="18.5703125" style="57" customWidth="1"/>
    <col min="12819" max="12819" width="2.140625" style="57" customWidth="1"/>
    <col min="12820" max="12820" width="10.42578125" style="57" customWidth="1"/>
    <col min="12821" max="13062" width="9.140625" style="57"/>
    <col min="13063" max="13063" width="10" style="57" customWidth="1"/>
    <col min="13064" max="13064" width="40" style="57" customWidth="1"/>
    <col min="13065" max="13065" width="12.5703125" style="57" customWidth="1"/>
    <col min="13066" max="13067" width="10.42578125" style="57" customWidth="1"/>
    <col min="13068" max="13068" width="11.5703125" style="57" customWidth="1"/>
    <col min="13069" max="13070" width="10.42578125" style="57" customWidth="1"/>
    <col min="13071" max="13071" width="6.5703125" style="57" customWidth="1"/>
    <col min="13072" max="13072" width="11.42578125" style="57" customWidth="1"/>
    <col min="13073" max="13073" width="4.140625" style="57" customWidth="1"/>
    <col min="13074" max="13074" width="18.5703125" style="57" customWidth="1"/>
    <col min="13075" max="13075" width="2.140625" style="57" customWidth="1"/>
    <col min="13076" max="13076" width="10.42578125" style="57" customWidth="1"/>
    <col min="13077" max="13318" width="9.140625" style="57"/>
    <col min="13319" max="13319" width="10" style="57" customWidth="1"/>
    <col min="13320" max="13320" width="40" style="57" customWidth="1"/>
    <col min="13321" max="13321" width="12.5703125" style="57" customWidth="1"/>
    <col min="13322" max="13323" width="10.42578125" style="57" customWidth="1"/>
    <col min="13324" max="13324" width="11.5703125" style="57" customWidth="1"/>
    <col min="13325" max="13326" width="10.42578125" style="57" customWidth="1"/>
    <col min="13327" max="13327" width="6.5703125" style="57" customWidth="1"/>
    <col min="13328" max="13328" width="11.42578125" style="57" customWidth="1"/>
    <col min="13329" max="13329" width="4.140625" style="57" customWidth="1"/>
    <col min="13330" max="13330" width="18.5703125" style="57" customWidth="1"/>
    <col min="13331" max="13331" width="2.140625" style="57" customWidth="1"/>
    <col min="13332" max="13332" width="10.42578125" style="57" customWidth="1"/>
    <col min="13333" max="13574" width="9.140625" style="57"/>
    <col min="13575" max="13575" width="10" style="57" customWidth="1"/>
    <col min="13576" max="13576" width="40" style="57" customWidth="1"/>
    <col min="13577" max="13577" width="12.5703125" style="57" customWidth="1"/>
    <col min="13578" max="13579" width="10.42578125" style="57" customWidth="1"/>
    <col min="13580" max="13580" width="11.5703125" style="57" customWidth="1"/>
    <col min="13581" max="13582" width="10.42578125" style="57" customWidth="1"/>
    <col min="13583" max="13583" width="6.5703125" style="57" customWidth="1"/>
    <col min="13584" max="13584" width="11.42578125" style="57" customWidth="1"/>
    <col min="13585" max="13585" width="4.140625" style="57" customWidth="1"/>
    <col min="13586" max="13586" width="18.5703125" style="57" customWidth="1"/>
    <col min="13587" max="13587" width="2.140625" style="57" customWidth="1"/>
    <col min="13588" max="13588" width="10.42578125" style="57" customWidth="1"/>
    <col min="13589" max="13830" width="9.140625" style="57"/>
    <col min="13831" max="13831" width="10" style="57" customWidth="1"/>
    <col min="13832" max="13832" width="40" style="57" customWidth="1"/>
    <col min="13833" max="13833" width="12.5703125" style="57" customWidth="1"/>
    <col min="13834" max="13835" width="10.42578125" style="57" customWidth="1"/>
    <col min="13836" max="13836" width="11.5703125" style="57" customWidth="1"/>
    <col min="13837" max="13838" width="10.42578125" style="57" customWidth="1"/>
    <col min="13839" max="13839" width="6.5703125" style="57" customWidth="1"/>
    <col min="13840" max="13840" width="11.42578125" style="57" customWidth="1"/>
    <col min="13841" max="13841" width="4.140625" style="57" customWidth="1"/>
    <col min="13842" max="13842" width="18.5703125" style="57" customWidth="1"/>
    <col min="13843" max="13843" width="2.140625" style="57" customWidth="1"/>
    <col min="13844" max="13844" width="10.42578125" style="57" customWidth="1"/>
    <col min="13845" max="14086" width="9.140625" style="57"/>
    <col min="14087" max="14087" width="10" style="57" customWidth="1"/>
    <col min="14088" max="14088" width="40" style="57" customWidth="1"/>
    <col min="14089" max="14089" width="12.5703125" style="57" customWidth="1"/>
    <col min="14090" max="14091" width="10.42578125" style="57" customWidth="1"/>
    <col min="14092" max="14092" width="11.5703125" style="57" customWidth="1"/>
    <col min="14093" max="14094" width="10.42578125" style="57" customWidth="1"/>
    <col min="14095" max="14095" width="6.5703125" style="57" customWidth="1"/>
    <col min="14096" max="14096" width="11.42578125" style="57" customWidth="1"/>
    <col min="14097" max="14097" width="4.140625" style="57" customWidth="1"/>
    <col min="14098" max="14098" width="18.5703125" style="57" customWidth="1"/>
    <col min="14099" max="14099" width="2.140625" style="57" customWidth="1"/>
    <col min="14100" max="14100" width="10.42578125" style="57" customWidth="1"/>
    <col min="14101" max="14342" width="9.140625" style="57"/>
    <col min="14343" max="14343" width="10" style="57" customWidth="1"/>
    <col min="14344" max="14344" width="40" style="57" customWidth="1"/>
    <col min="14345" max="14345" width="12.5703125" style="57" customWidth="1"/>
    <col min="14346" max="14347" width="10.42578125" style="57" customWidth="1"/>
    <col min="14348" max="14348" width="11.5703125" style="57" customWidth="1"/>
    <col min="14349" max="14350" width="10.42578125" style="57" customWidth="1"/>
    <col min="14351" max="14351" width="6.5703125" style="57" customWidth="1"/>
    <col min="14352" max="14352" width="11.42578125" style="57" customWidth="1"/>
    <col min="14353" max="14353" width="4.140625" style="57" customWidth="1"/>
    <col min="14354" max="14354" width="18.5703125" style="57" customWidth="1"/>
    <col min="14355" max="14355" width="2.140625" style="57" customWidth="1"/>
    <col min="14356" max="14356" width="10.42578125" style="57" customWidth="1"/>
    <col min="14357" max="14598" width="9.140625" style="57"/>
    <col min="14599" max="14599" width="10" style="57" customWidth="1"/>
    <col min="14600" max="14600" width="40" style="57" customWidth="1"/>
    <col min="14601" max="14601" width="12.5703125" style="57" customWidth="1"/>
    <col min="14602" max="14603" width="10.42578125" style="57" customWidth="1"/>
    <col min="14604" max="14604" width="11.5703125" style="57" customWidth="1"/>
    <col min="14605" max="14606" width="10.42578125" style="57" customWidth="1"/>
    <col min="14607" max="14607" width="6.5703125" style="57" customWidth="1"/>
    <col min="14608" max="14608" width="11.42578125" style="57" customWidth="1"/>
    <col min="14609" max="14609" width="4.140625" style="57" customWidth="1"/>
    <col min="14610" max="14610" width="18.5703125" style="57" customWidth="1"/>
    <col min="14611" max="14611" width="2.140625" style="57" customWidth="1"/>
    <col min="14612" max="14612" width="10.42578125" style="57" customWidth="1"/>
    <col min="14613" max="14854" width="9.140625" style="57"/>
    <col min="14855" max="14855" width="10" style="57" customWidth="1"/>
    <col min="14856" max="14856" width="40" style="57" customWidth="1"/>
    <col min="14857" max="14857" width="12.5703125" style="57" customWidth="1"/>
    <col min="14858" max="14859" width="10.42578125" style="57" customWidth="1"/>
    <col min="14860" max="14860" width="11.5703125" style="57" customWidth="1"/>
    <col min="14861" max="14862" width="10.42578125" style="57" customWidth="1"/>
    <col min="14863" max="14863" width="6.5703125" style="57" customWidth="1"/>
    <col min="14864" max="14864" width="11.42578125" style="57" customWidth="1"/>
    <col min="14865" max="14865" width="4.140625" style="57" customWidth="1"/>
    <col min="14866" max="14866" width="18.5703125" style="57" customWidth="1"/>
    <col min="14867" max="14867" width="2.140625" style="57" customWidth="1"/>
    <col min="14868" max="14868" width="10.42578125" style="57" customWidth="1"/>
    <col min="14869" max="15110" width="9.140625" style="57"/>
    <col min="15111" max="15111" width="10" style="57" customWidth="1"/>
    <col min="15112" max="15112" width="40" style="57" customWidth="1"/>
    <col min="15113" max="15113" width="12.5703125" style="57" customWidth="1"/>
    <col min="15114" max="15115" width="10.42578125" style="57" customWidth="1"/>
    <col min="15116" max="15116" width="11.5703125" style="57" customWidth="1"/>
    <col min="15117" max="15118" width="10.42578125" style="57" customWidth="1"/>
    <col min="15119" max="15119" width="6.5703125" style="57" customWidth="1"/>
    <col min="15120" max="15120" width="11.42578125" style="57" customWidth="1"/>
    <col min="15121" max="15121" width="4.140625" style="57" customWidth="1"/>
    <col min="15122" max="15122" width="18.5703125" style="57" customWidth="1"/>
    <col min="15123" max="15123" width="2.140625" style="57" customWidth="1"/>
    <col min="15124" max="15124" width="10.42578125" style="57" customWidth="1"/>
    <col min="15125" max="15366" width="9.140625" style="57"/>
    <col min="15367" max="15367" width="10" style="57" customWidth="1"/>
    <col min="15368" max="15368" width="40" style="57" customWidth="1"/>
    <col min="15369" max="15369" width="12.5703125" style="57" customWidth="1"/>
    <col min="15370" max="15371" width="10.42578125" style="57" customWidth="1"/>
    <col min="15372" max="15372" width="11.5703125" style="57" customWidth="1"/>
    <col min="15373" max="15374" width="10.42578125" style="57" customWidth="1"/>
    <col min="15375" max="15375" width="6.5703125" style="57" customWidth="1"/>
    <col min="15376" max="15376" width="11.42578125" style="57" customWidth="1"/>
    <col min="15377" max="15377" width="4.140625" style="57" customWidth="1"/>
    <col min="15378" max="15378" width="18.5703125" style="57" customWidth="1"/>
    <col min="15379" max="15379" width="2.140625" style="57" customWidth="1"/>
    <col min="15380" max="15380" width="10.42578125" style="57" customWidth="1"/>
    <col min="15381" max="15622" width="9.140625" style="57"/>
    <col min="15623" max="15623" width="10" style="57" customWidth="1"/>
    <col min="15624" max="15624" width="40" style="57" customWidth="1"/>
    <col min="15625" max="15625" width="12.5703125" style="57" customWidth="1"/>
    <col min="15626" max="15627" width="10.42578125" style="57" customWidth="1"/>
    <col min="15628" max="15628" width="11.5703125" style="57" customWidth="1"/>
    <col min="15629" max="15630" width="10.42578125" style="57" customWidth="1"/>
    <col min="15631" max="15631" width="6.5703125" style="57" customWidth="1"/>
    <col min="15632" max="15632" width="11.42578125" style="57" customWidth="1"/>
    <col min="15633" max="15633" width="4.140625" style="57" customWidth="1"/>
    <col min="15634" max="15634" width="18.5703125" style="57" customWidth="1"/>
    <col min="15635" max="15635" width="2.140625" style="57" customWidth="1"/>
    <col min="15636" max="15636" width="10.42578125" style="57" customWidth="1"/>
    <col min="15637" max="15878" width="9.140625" style="57"/>
    <col min="15879" max="15879" width="10" style="57" customWidth="1"/>
    <col min="15880" max="15880" width="40" style="57" customWidth="1"/>
    <col min="15881" max="15881" width="12.5703125" style="57" customWidth="1"/>
    <col min="15882" max="15883" width="10.42578125" style="57" customWidth="1"/>
    <col min="15884" max="15884" width="11.5703125" style="57" customWidth="1"/>
    <col min="15885" max="15886" width="10.42578125" style="57" customWidth="1"/>
    <col min="15887" max="15887" width="6.5703125" style="57" customWidth="1"/>
    <col min="15888" max="15888" width="11.42578125" style="57" customWidth="1"/>
    <col min="15889" max="15889" width="4.140625" style="57" customWidth="1"/>
    <col min="15890" max="15890" width="18.5703125" style="57" customWidth="1"/>
    <col min="15891" max="15891" width="2.140625" style="57" customWidth="1"/>
    <col min="15892" max="15892" width="10.42578125" style="57" customWidth="1"/>
    <col min="15893" max="16134" width="9.140625" style="57"/>
    <col min="16135" max="16135" width="10" style="57" customWidth="1"/>
    <col min="16136" max="16136" width="40" style="57" customWidth="1"/>
    <col min="16137" max="16137" width="12.5703125" style="57" customWidth="1"/>
    <col min="16138" max="16139" width="10.42578125" style="57" customWidth="1"/>
    <col min="16140" max="16140" width="11.5703125" style="57" customWidth="1"/>
    <col min="16141" max="16142" width="10.42578125" style="57" customWidth="1"/>
    <col min="16143" max="16143" width="6.5703125" style="57" customWidth="1"/>
    <col min="16144" max="16144" width="11.42578125" style="57" customWidth="1"/>
    <col min="16145" max="16145" width="4.140625" style="57" customWidth="1"/>
    <col min="16146" max="16146" width="18.5703125" style="57" customWidth="1"/>
    <col min="16147" max="16147" width="2.140625" style="57" customWidth="1"/>
    <col min="16148" max="16148" width="10.42578125" style="57" customWidth="1"/>
    <col min="16149" max="16384" width="9.140625" style="57"/>
  </cols>
  <sheetData>
    <row r="1" spans="2:21" ht="13.5" customHeight="1" x14ac:dyDescent="0.25">
      <c r="H1" s="781" t="s">
        <v>38</v>
      </c>
      <c r="I1" s="781"/>
      <c r="J1" s="781"/>
      <c r="K1" s="781"/>
      <c r="L1" s="781"/>
      <c r="M1" s="781" t="s">
        <v>39</v>
      </c>
      <c r="N1" s="781"/>
      <c r="O1" s="783" t="s">
        <v>40</v>
      </c>
      <c r="P1" s="783"/>
      <c r="Q1" s="783"/>
    </row>
    <row r="2" spans="2:21" s="59" customFormat="1" ht="15" customHeight="1" x14ac:dyDescent="0.25">
      <c r="B2" s="60" t="s">
        <v>41</v>
      </c>
      <c r="C2" s="61" t="s">
        <v>42</v>
      </c>
      <c r="D2" s="61" t="s">
        <v>43</v>
      </c>
      <c r="E2" s="61" t="s">
        <v>44</v>
      </c>
      <c r="F2" s="61" t="s">
        <v>45</v>
      </c>
      <c r="G2" s="61" t="s">
        <v>46</v>
      </c>
      <c r="H2" s="61" t="s">
        <v>47</v>
      </c>
      <c r="I2" s="61" t="s">
        <v>48</v>
      </c>
      <c r="J2" s="61" t="s">
        <v>47</v>
      </c>
      <c r="K2" s="61" t="s">
        <v>48</v>
      </c>
      <c r="L2" s="65" t="s">
        <v>49</v>
      </c>
      <c r="M2" s="65" t="s">
        <v>39</v>
      </c>
      <c r="N2" s="65" t="s">
        <v>49</v>
      </c>
      <c r="O2" s="65" t="s">
        <v>47</v>
      </c>
      <c r="P2" s="65" t="s">
        <v>48</v>
      </c>
      <c r="Q2" s="65" t="s">
        <v>49</v>
      </c>
      <c r="R2" s="63" t="s">
        <v>50</v>
      </c>
    </row>
    <row r="3" spans="2:21" ht="15" customHeight="1" x14ac:dyDescent="0.25">
      <c r="B3" s="67">
        <v>7</v>
      </c>
      <c r="C3" s="68" t="s">
        <v>66</v>
      </c>
      <c r="D3" s="110" t="s">
        <v>60</v>
      </c>
      <c r="E3" s="69">
        <v>45546</v>
      </c>
      <c r="F3" s="69"/>
      <c r="G3" s="68"/>
      <c r="H3" s="72"/>
      <c r="I3" s="72"/>
      <c r="J3" s="72"/>
      <c r="K3" s="72"/>
      <c r="L3" s="131">
        <v>0</v>
      </c>
      <c r="M3" s="160"/>
      <c r="N3" s="133">
        <v>0</v>
      </c>
      <c r="O3" s="109"/>
      <c r="P3" s="109"/>
      <c r="Q3" s="78">
        <v>0</v>
      </c>
      <c r="R3" s="161"/>
      <c r="T3" s="81" t="s">
        <v>53</v>
      </c>
      <c r="U3" s="82">
        <v>5</v>
      </c>
    </row>
    <row r="4" spans="2:21" ht="15" customHeight="1" x14ac:dyDescent="0.25">
      <c r="B4" s="67">
        <v>5</v>
      </c>
      <c r="C4" s="68" t="s">
        <v>63</v>
      </c>
      <c r="D4" s="110" t="s">
        <v>60</v>
      </c>
      <c r="E4" s="69">
        <v>45477</v>
      </c>
      <c r="F4" s="69"/>
      <c r="G4" s="68"/>
      <c r="H4" s="72"/>
      <c r="I4" s="72"/>
      <c r="J4" s="72"/>
      <c r="K4" s="72"/>
      <c r="L4" s="131">
        <f>(I4-H4)</f>
        <v>0</v>
      </c>
      <c r="M4" s="160"/>
      <c r="N4" s="133">
        <v>0</v>
      </c>
      <c r="O4" s="109"/>
      <c r="P4" s="109"/>
      <c r="Q4" s="78">
        <v>0</v>
      </c>
      <c r="R4" s="134"/>
      <c r="T4" s="83" t="s">
        <v>44</v>
      </c>
      <c r="U4" s="84">
        <v>0</v>
      </c>
    </row>
    <row r="5" spans="2:21" ht="15" customHeight="1" x14ac:dyDescent="0.25">
      <c r="B5" s="67">
        <v>2</v>
      </c>
      <c r="C5" s="116" t="s">
        <v>51</v>
      </c>
      <c r="D5" s="110" t="s">
        <v>60</v>
      </c>
      <c r="E5" s="118">
        <v>44599</v>
      </c>
      <c r="F5" s="118"/>
      <c r="G5" s="116"/>
      <c r="H5" s="121"/>
      <c r="I5" s="121"/>
      <c r="J5" s="121"/>
      <c r="K5" s="121"/>
      <c r="L5" s="131">
        <f>(I5-H5)</f>
        <v>0</v>
      </c>
      <c r="M5" s="140"/>
      <c r="N5" s="141">
        <v>0</v>
      </c>
      <c r="O5" s="127"/>
      <c r="P5" s="127"/>
      <c r="Q5" s="78">
        <v>0</v>
      </c>
      <c r="R5" s="142"/>
      <c r="T5" s="83" t="s">
        <v>45</v>
      </c>
      <c r="U5" s="84">
        <v>1</v>
      </c>
    </row>
    <row r="6" spans="2:21" ht="15" customHeight="1" x14ac:dyDescent="0.25">
      <c r="B6" s="111">
        <v>6</v>
      </c>
      <c r="C6" s="165" t="s">
        <v>65</v>
      </c>
      <c r="D6" s="113" t="s">
        <v>60</v>
      </c>
      <c r="E6" s="166">
        <v>45539</v>
      </c>
      <c r="F6" s="118">
        <v>45621</v>
      </c>
      <c r="G6" s="116"/>
      <c r="H6" s="121">
        <v>45617</v>
      </c>
      <c r="I6" s="121">
        <v>45618</v>
      </c>
      <c r="J6" s="121"/>
      <c r="K6" s="121"/>
      <c r="L6" s="131">
        <v>2</v>
      </c>
      <c r="M6" s="145"/>
      <c r="N6" s="141">
        <v>0</v>
      </c>
      <c r="O6" s="127"/>
      <c r="P6" s="127"/>
      <c r="Q6" s="155">
        <v>0</v>
      </c>
      <c r="R6" s="142"/>
      <c r="T6" s="100" t="s">
        <v>56</v>
      </c>
      <c r="U6" s="101">
        <f>U3+U4-U5</f>
        <v>4</v>
      </c>
    </row>
    <row r="7" spans="2:21" ht="15" customHeight="1" x14ac:dyDescent="0.25">
      <c r="B7" s="167">
        <v>8</v>
      </c>
      <c r="C7" s="168" t="s">
        <v>67</v>
      </c>
      <c r="D7" s="169" t="s">
        <v>60</v>
      </c>
      <c r="E7" s="170">
        <v>45567</v>
      </c>
      <c r="F7" s="118"/>
      <c r="G7" s="116"/>
      <c r="H7" s="121">
        <v>45607</v>
      </c>
      <c r="I7" s="121">
        <v>45607</v>
      </c>
      <c r="J7" s="121"/>
      <c r="K7" s="121"/>
      <c r="L7" s="164">
        <v>1</v>
      </c>
      <c r="M7" s="145"/>
      <c r="N7" s="141">
        <v>0</v>
      </c>
      <c r="O7" s="127"/>
      <c r="P7" s="127"/>
      <c r="Q7" s="155">
        <v>0</v>
      </c>
      <c r="R7" s="142"/>
    </row>
    <row r="8" spans="2:21" ht="15" customHeight="1" x14ac:dyDescent="0.25">
      <c r="B8" s="85">
        <v>3</v>
      </c>
      <c r="C8" s="86" t="s">
        <v>55</v>
      </c>
      <c r="D8" s="130" t="s">
        <v>60</v>
      </c>
      <c r="E8" s="87">
        <v>44602</v>
      </c>
      <c r="F8" s="87"/>
      <c r="G8" s="86"/>
      <c r="H8" s="90"/>
      <c r="I8" s="90"/>
      <c r="J8" s="90"/>
      <c r="K8" s="90"/>
      <c r="L8" s="135">
        <v>0</v>
      </c>
      <c r="M8" s="136"/>
      <c r="N8" s="137">
        <v>0</v>
      </c>
      <c r="O8" s="96"/>
      <c r="P8" s="96"/>
      <c r="Q8" s="138">
        <v>0</v>
      </c>
      <c r="R8" s="139"/>
      <c r="T8" s="81" t="s">
        <v>57</v>
      </c>
      <c r="U8" s="82">
        <v>2</v>
      </c>
    </row>
    <row r="9" spans="2:21" ht="15" customHeight="1" x14ac:dyDescent="0.25">
      <c r="L9" s="99">
        <f>SUM(L3:L8)</f>
        <v>3</v>
      </c>
      <c r="N9" s="99">
        <f>SUM(N3:N8)</f>
        <v>0</v>
      </c>
      <c r="O9" s="99"/>
      <c r="P9" s="99"/>
      <c r="Q9" s="99">
        <f>SUM(Q3:Q8)</f>
        <v>0</v>
      </c>
      <c r="T9" s="100" t="s">
        <v>13</v>
      </c>
      <c r="U9" s="101">
        <f>U6+U8</f>
        <v>6</v>
      </c>
    </row>
    <row r="10" spans="2:21" ht="15" customHeight="1" x14ac:dyDescent="0.25"/>
    <row r="11" spans="2:21" ht="15" customHeight="1" x14ac:dyDescent="0.25">
      <c r="T11" s="784" t="s">
        <v>58</v>
      </c>
      <c r="U11" s="784"/>
    </row>
    <row r="12" spans="2:21" ht="15" customHeight="1" x14ac:dyDescent="0.25">
      <c r="T12" s="83" t="s">
        <v>38</v>
      </c>
      <c r="U12" s="102">
        <f>L9</f>
        <v>3</v>
      </c>
    </row>
    <row r="13" spans="2:21" ht="15" customHeight="1" x14ac:dyDescent="0.25">
      <c r="T13" s="103" t="s">
        <v>39</v>
      </c>
      <c r="U13" s="104">
        <f>N9</f>
        <v>0</v>
      </c>
    </row>
    <row r="14" spans="2:21" ht="15" customHeight="1" x14ac:dyDescent="0.25"/>
    <row r="15" spans="2:21" ht="15" customHeight="1" x14ac:dyDescent="0.25">
      <c r="T15" s="81" t="s">
        <v>40</v>
      </c>
      <c r="U15" s="105">
        <f>Q9</f>
        <v>0</v>
      </c>
    </row>
    <row r="16" spans="2:21" ht="15" customHeight="1" x14ac:dyDescent="0.25">
      <c r="T16" s="103" t="s">
        <v>59</v>
      </c>
      <c r="U16" s="104">
        <v>0</v>
      </c>
    </row>
    <row r="17" spans="20:21" ht="15" customHeight="1" x14ac:dyDescent="0.25"/>
    <row r="18" spans="20:21" ht="15" customHeight="1" x14ac:dyDescent="0.25">
      <c r="T18" s="106" t="s">
        <v>22</v>
      </c>
      <c r="U18" s="107">
        <v>21</v>
      </c>
    </row>
    <row r="19" spans="20:21" ht="15" customHeight="1" x14ac:dyDescent="0.25"/>
    <row r="20" spans="20:21" ht="15" customHeight="1" x14ac:dyDescent="0.25"/>
    <row r="21" spans="20:21" ht="15" customHeight="1" x14ac:dyDescent="0.25"/>
    <row r="22" spans="20:21" ht="15" customHeight="1" x14ac:dyDescent="0.25"/>
    <row r="23" spans="20:21" ht="15" customHeight="1" x14ac:dyDescent="0.25"/>
    <row r="24" spans="20:21" ht="15" customHeight="1" x14ac:dyDescent="0.25"/>
    <row r="25" spans="20:21" ht="15" customHeight="1" x14ac:dyDescent="0.25"/>
    <row r="26" spans="20:21" ht="15" customHeight="1" x14ac:dyDescent="0.25"/>
    <row r="27" spans="20:21" ht="15" customHeight="1" x14ac:dyDescent="0.25"/>
    <row r="28" spans="20:21" ht="15" customHeight="1" x14ac:dyDescent="0.25"/>
    <row r="29" spans="20:21" ht="15" customHeight="1" x14ac:dyDescent="0.25"/>
    <row r="30" spans="20:21" ht="15" customHeight="1" x14ac:dyDescent="0.25"/>
    <row r="31" spans="20:21" ht="15" customHeight="1" x14ac:dyDescent="0.25"/>
    <row r="32" spans="20:21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</sheetData>
  <mergeCells count="4">
    <mergeCell ref="H1:L1"/>
    <mergeCell ref="M1:N1"/>
    <mergeCell ref="O1:Q1"/>
    <mergeCell ref="T11:U11"/>
  </mergeCells>
  <pageMargins left="0.25" right="0.25" top="0.75" bottom="0.75" header="0.511811023622047" footer="0.511811023622047"/>
  <pageSetup paperSize="9" orientation="landscape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1:U36"/>
  <sheetViews>
    <sheetView showGridLines="0" zoomScaleNormal="100" workbookViewId="0">
      <selection activeCell="E15" sqref="E15"/>
    </sheetView>
  </sheetViews>
  <sheetFormatPr defaultColWidth="9.140625" defaultRowHeight="12.75" x14ac:dyDescent="0.25"/>
  <cols>
    <col min="1" max="1" width="9.140625" style="57"/>
    <col min="2" max="2" width="10" style="57" customWidth="1"/>
    <col min="3" max="3" width="40" style="57" customWidth="1"/>
    <col min="4" max="4" width="12.5703125" style="57" customWidth="1"/>
    <col min="5" max="6" width="10.42578125" style="57" customWidth="1"/>
    <col min="7" max="7" width="11.5703125" style="57" customWidth="1"/>
    <col min="8" max="11" width="10.42578125" style="57" customWidth="1"/>
    <col min="12" max="12" width="4.140625" style="57" customWidth="1"/>
    <col min="13" max="13" width="11.42578125" style="58" customWidth="1"/>
    <col min="14" max="14" width="4.140625" style="57" customWidth="1"/>
    <col min="15" max="16" width="10.42578125" style="57" customWidth="1"/>
    <col min="17" max="17" width="4.140625" style="57" customWidth="1"/>
    <col min="18" max="18" width="27.140625" style="57" customWidth="1"/>
    <col min="19" max="19" width="2.140625" style="57" customWidth="1"/>
    <col min="20" max="20" width="13.140625" style="57" customWidth="1"/>
    <col min="21" max="21" width="3" style="57" customWidth="1"/>
    <col min="22" max="262" width="9.140625" style="57"/>
    <col min="263" max="263" width="10" style="57" customWidth="1"/>
    <col min="264" max="264" width="40" style="57" customWidth="1"/>
    <col min="265" max="265" width="12.5703125" style="57" customWidth="1"/>
    <col min="266" max="267" width="10.42578125" style="57" customWidth="1"/>
    <col min="268" max="268" width="11.5703125" style="57" customWidth="1"/>
    <col min="269" max="270" width="10.42578125" style="57" customWidth="1"/>
    <col min="271" max="271" width="6.5703125" style="57" customWidth="1"/>
    <col min="272" max="272" width="11.42578125" style="57" customWidth="1"/>
    <col min="273" max="273" width="4.140625" style="57" customWidth="1"/>
    <col min="274" max="274" width="18.5703125" style="57" customWidth="1"/>
    <col min="275" max="275" width="2.140625" style="57" customWidth="1"/>
    <col min="276" max="276" width="10.42578125" style="57" customWidth="1"/>
    <col min="277" max="518" width="9.140625" style="57"/>
    <col min="519" max="519" width="10" style="57" customWidth="1"/>
    <col min="520" max="520" width="40" style="57" customWidth="1"/>
    <col min="521" max="521" width="12.5703125" style="57" customWidth="1"/>
    <col min="522" max="523" width="10.42578125" style="57" customWidth="1"/>
    <col min="524" max="524" width="11.5703125" style="57" customWidth="1"/>
    <col min="525" max="526" width="10.42578125" style="57" customWidth="1"/>
    <col min="527" max="527" width="6.5703125" style="57" customWidth="1"/>
    <col min="528" max="528" width="11.42578125" style="57" customWidth="1"/>
    <col min="529" max="529" width="4.140625" style="57" customWidth="1"/>
    <col min="530" max="530" width="18.5703125" style="57" customWidth="1"/>
    <col min="531" max="531" width="2.140625" style="57" customWidth="1"/>
    <col min="532" max="532" width="10.42578125" style="57" customWidth="1"/>
    <col min="533" max="774" width="9.140625" style="57"/>
    <col min="775" max="775" width="10" style="57" customWidth="1"/>
    <col min="776" max="776" width="40" style="57" customWidth="1"/>
    <col min="777" max="777" width="12.5703125" style="57" customWidth="1"/>
    <col min="778" max="779" width="10.42578125" style="57" customWidth="1"/>
    <col min="780" max="780" width="11.5703125" style="57" customWidth="1"/>
    <col min="781" max="782" width="10.42578125" style="57" customWidth="1"/>
    <col min="783" max="783" width="6.5703125" style="57" customWidth="1"/>
    <col min="784" max="784" width="11.42578125" style="57" customWidth="1"/>
    <col min="785" max="785" width="4.140625" style="57" customWidth="1"/>
    <col min="786" max="786" width="18.5703125" style="57" customWidth="1"/>
    <col min="787" max="787" width="2.140625" style="57" customWidth="1"/>
    <col min="788" max="788" width="10.42578125" style="57" customWidth="1"/>
    <col min="789" max="1030" width="9.140625" style="57"/>
    <col min="1031" max="1031" width="10" style="57" customWidth="1"/>
    <col min="1032" max="1032" width="40" style="57" customWidth="1"/>
    <col min="1033" max="1033" width="12.5703125" style="57" customWidth="1"/>
    <col min="1034" max="1035" width="10.42578125" style="57" customWidth="1"/>
    <col min="1036" max="1036" width="11.5703125" style="57" customWidth="1"/>
    <col min="1037" max="1038" width="10.42578125" style="57" customWidth="1"/>
    <col min="1039" max="1039" width="6.5703125" style="57" customWidth="1"/>
    <col min="1040" max="1040" width="11.42578125" style="57" customWidth="1"/>
    <col min="1041" max="1041" width="4.140625" style="57" customWidth="1"/>
    <col min="1042" max="1042" width="18.5703125" style="57" customWidth="1"/>
    <col min="1043" max="1043" width="2.140625" style="57" customWidth="1"/>
    <col min="1044" max="1044" width="10.42578125" style="57" customWidth="1"/>
    <col min="1045" max="1286" width="9.140625" style="57"/>
    <col min="1287" max="1287" width="10" style="57" customWidth="1"/>
    <col min="1288" max="1288" width="40" style="57" customWidth="1"/>
    <col min="1289" max="1289" width="12.5703125" style="57" customWidth="1"/>
    <col min="1290" max="1291" width="10.42578125" style="57" customWidth="1"/>
    <col min="1292" max="1292" width="11.5703125" style="57" customWidth="1"/>
    <col min="1293" max="1294" width="10.42578125" style="57" customWidth="1"/>
    <col min="1295" max="1295" width="6.5703125" style="57" customWidth="1"/>
    <col min="1296" max="1296" width="11.42578125" style="57" customWidth="1"/>
    <col min="1297" max="1297" width="4.140625" style="57" customWidth="1"/>
    <col min="1298" max="1298" width="18.5703125" style="57" customWidth="1"/>
    <col min="1299" max="1299" width="2.140625" style="57" customWidth="1"/>
    <col min="1300" max="1300" width="10.42578125" style="57" customWidth="1"/>
    <col min="1301" max="1542" width="9.140625" style="57"/>
    <col min="1543" max="1543" width="10" style="57" customWidth="1"/>
    <col min="1544" max="1544" width="40" style="57" customWidth="1"/>
    <col min="1545" max="1545" width="12.5703125" style="57" customWidth="1"/>
    <col min="1546" max="1547" width="10.42578125" style="57" customWidth="1"/>
    <col min="1548" max="1548" width="11.5703125" style="57" customWidth="1"/>
    <col min="1549" max="1550" width="10.42578125" style="57" customWidth="1"/>
    <col min="1551" max="1551" width="6.5703125" style="57" customWidth="1"/>
    <col min="1552" max="1552" width="11.42578125" style="57" customWidth="1"/>
    <col min="1553" max="1553" width="4.140625" style="57" customWidth="1"/>
    <col min="1554" max="1554" width="18.5703125" style="57" customWidth="1"/>
    <col min="1555" max="1555" width="2.140625" style="57" customWidth="1"/>
    <col min="1556" max="1556" width="10.42578125" style="57" customWidth="1"/>
    <col min="1557" max="1798" width="9.140625" style="57"/>
    <col min="1799" max="1799" width="10" style="57" customWidth="1"/>
    <col min="1800" max="1800" width="40" style="57" customWidth="1"/>
    <col min="1801" max="1801" width="12.5703125" style="57" customWidth="1"/>
    <col min="1802" max="1803" width="10.42578125" style="57" customWidth="1"/>
    <col min="1804" max="1804" width="11.5703125" style="57" customWidth="1"/>
    <col min="1805" max="1806" width="10.42578125" style="57" customWidth="1"/>
    <col min="1807" max="1807" width="6.5703125" style="57" customWidth="1"/>
    <col min="1808" max="1808" width="11.42578125" style="57" customWidth="1"/>
    <col min="1809" max="1809" width="4.140625" style="57" customWidth="1"/>
    <col min="1810" max="1810" width="18.5703125" style="57" customWidth="1"/>
    <col min="1811" max="1811" width="2.140625" style="57" customWidth="1"/>
    <col min="1812" max="1812" width="10.42578125" style="57" customWidth="1"/>
    <col min="1813" max="2054" width="9.140625" style="57"/>
    <col min="2055" max="2055" width="10" style="57" customWidth="1"/>
    <col min="2056" max="2056" width="40" style="57" customWidth="1"/>
    <col min="2057" max="2057" width="12.5703125" style="57" customWidth="1"/>
    <col min="2058" max="2059" width="10.42578125" style="57" customWidth="1"/>
    <col min="2060" max="2060" width="11.5703125" style="57" customWidth="1"/>
    <col min="2061" max="2062" width="10.42578125" style="57" customWidth="1"/>
    <col min="2063" max="2063" width="6.5703125" style="57" customWidth="1"/>
    <col min="2064" max="2064" width="11.42578125" style="57" customWidth="1"/>
    <col min="2065" max="2065" width="4.140625" style="57" customWidth="1"/>
    <col min="2066" max="2066" width="18.5703125" style="57" customWidth="1"/>
    <col min="2067" max="2067" width="2.140625" style="57" customWidth="1"/>
    <col min="2068" max="2068" width="10.42578125" style="57" customWidth="1"/>
    <col min="2069" max="2310" width="9.140625" style="57"/>
    <col min="2311" max="2311" width="10" style="57" customWidth="1"/>
    <col min="2312" max="2312" width="40" style="57" customWidth="1"/>
    <col min="2313" max="2313" width="12.5703125" style="57" customWidth="1"/>
    <col min="2314" max="2315" width="10.42578125" style="57" customWidth="1"/>
    <col min="2316" max="2316" width="11.5703125" style="57" customWidth="1"/>
    <col min="2317" max="2318" width="10.42578125" style="57" customWidth="1"/>
    <col min="2319" max="2319" width="6.5703125" style="57" customWidth="1"/>
    <col min="2320" max="2320" width="11.42578125" style="57" customWidth="1"/>
    <col min="2321" max="2321" width="4.140625" style="57" customWidth="1"/>
    <col min="2322" max="2322" width="18.5703125" style="57" customWidth="1"/>
    <col min="2323" max="2323" width="2.140625" style="57" customWidth="1"/>
    <col min="2324" max="2324" width="10.42578125" style="57" customWidth="1"/>
    <col min="2325" max="2566" width="9.140625" style="57"/>
    <col min="2567" max="2567" width="10" style="57" customWidth="1"/>
    <col min="2568" max="2568" width="40" style="57" customWidth="1"/>
    <col min="2569" max="2569" width="12.5703125" style="57" customWidth="1"/>
    <col min="2570" max="2571" width="10.42578125" style="57" customWidth="1"/>
    <col min="2572" max="2572" width="11.5703125" style="57" customWidth="1"/>
    <col min="2573" max="2574" width="10.42578125" style="57" customWidth="1"/>
    <col min="2575" max="2575" width="6.5703125" style="57" customWidth="1"/>
    <col min="2576" max="2576" width="11.42578125" style="57" customWidth="1"/>
    <col min="2577" max="2577" width="4.140625" style="57" customWidth="1"/>
    <col min="2578" max="2578" width="18.5703125" style="57" customWidth="1"/>
    <col min="2579" max="2579" width="2.140625" style="57" customWidth="1"/>
    <col min="2580" max="2580" width="10.42578125" style="57" customWidth="1"/>
    <col min="2581" max="2822" width="9.140625" style="57"/>
    <col min="2823" max="2823" width="10" style="57" customWidth="1"/>
    <col min="2824" max="2824" width="40" style="57" customWidth="1"/>
    <col min="2825" max="2825" width="12.5703125" style="57" customWidth="1"/>
    <col min="2826" max="2827" width="10.42578125" style="57" customWidth="1"/>
    <col min="2828" max="2828" width="11.5703125" style="57" customWidth="1"/>
    <col min="2829" max="2830" width="10.42578125" style="57" customWidth="1"/>
    <col min="2831" max="2831" width="6.5703125" style="57" customWidth="1"/>
    <col min="2832" max="2832" width="11.42578125" style="57" customWidth="1"/>
    <col min="2833" max="2833" width="4.140625" style="57" customWidth="1"/>
    <col min="2834" max="2834" width="18.5703125" style="57" customWidth="1"/>
    <col min="2835" max="2835" width="2.140625" style="57" customWidth="1"/>
    <col min="2836" max="2836" width="10.42578125" style="57" customWidth="1"/>
    <col min="2837" max="3078" width="9.140625" style="57"/>
    <col min="3079" max="3079" width="10" style="57" customWidth="1"/>
    <col min="3080" max="3080" width="40" style="57" customWidth="1"/>
    <col min="3081" max="3081" width="12.5703125" style="57" customWidth="1"/>
    <col min="3082" max="3083" width="10.42578125" style="57" customWidth="1"/>
    <col min="3084" max="3084" width="11.5703125" style="57" customWidth="1"/>
    <col min="3085" max="3086" width="10.42578125" style="57" customWidth="1"/>
    <col min="3087" max="3087" width="6.5703125" style="57" customWidth="1"/>
    <col min="3088" max="3088" width="11.42578125" style="57" customWidth="1"/>
    <col min="3089" max="3089" width="4.140625" style="57" customWidth="1"/>
    <col min="3090" max="3090" width="18.5703125" style="57" customWidth="1"/>
    <col min="3091" max="3091" width="2.140625" style="57" customWidth="1"/>
    <col min="3092" max="3092" width="10.42578125" style="57" customWidth="1"/>
    <col min="3093" max="3334" width="9.140625" style="57"/>
    <col min="3335" max="3335" width="10" style="57" customWidth="1"/>
    <col min="3336" max="3336" width="40" style="57" customWidth="1"/>
    <col min="3337" max="3337" width="12.5703125" style="57" customWidth="1"/>
    <col min="3338" max="3339" width="10.42578125" style="57" customWidth="1"/>
    <col min="3340" max="3340" width="11.5703125" style="57" customWidth="1"/>
    <col min="3341" max="3342" width="10.42578125" style="57" customWidth="1"/>
    <col min="3343" max="3343" width="6.5703125" style="57" customWidth="1"/>
    <col min="3344" max="3344" width="11.42578125" style="57" customWidth="1"/>
    <col min="3345" max="3345" width="4.140625" style="57" customWidth="1"/>
    <col min="3346" max="3346" width="18.5703125" style="57" customWidth="1"/>
    <col min="3347" max="3347" width="2.140625" style="57" customWidth="1"/>
    <col min="3348" max="3348" width="10.42578125" style="57" customWidth="1"/>
    <col min="3349" max="3590" width="9.140625" style="57"/>
    <col min="3591" max="3591" width="10" style="57" customWidth="1"/>
    <col min="3592" max="3592" width="40" style="57" customWidth="1"/>
    <col min="3593" max="3593" width="12.5703125" style="57" customWidth="1"/>
    <col min="3594" max="3595" width="10.42578125" style="57" customWidth="1"/>
    <col min="3596" max="3596" width="11.5703125" style="57" customWidth="1"/>
    <col min="3597" max="3598" width="10.42578125" style="57" customWidth="1"/>
    <col min="3599" max="3599" width="6.5703125" style="57" customWidth="1"/>
    <col min="3600" max="3600" width="11.42578125" style="57" customWidth="1"/>
    <col min="3601" max="3601" width="4.140625" style="57" customWidth="1"/>
    <col min="3602" max="3602" width="18.5703125" style="57" customWidth="1"/>
    <col min="3603" max="3603" width="2.140625" style="57" customWidth="1"/>
    <col min="3604" max="3604" width="10.42578125" style="57" customWidth="1"/>
    <col min="3605" max="3846" width="9.140625" style="57"/>
    <col min="3847" max="3847" width="10" style="57" customWidth="1"/>
    <col min="3848" max="3848" width="40" style="57" customWidth="1"/>
    <col min="3849" max="3849" width="12.5703125" style="57" customWidth="1"/>
    <col min="3850" max="3851" width="10.42578125" style="57" customWidth="1"/>
    <col min="3852" max="3852" width="11.5703125" style="57" customWidth="1"/>
    <col min="3853" max="3854" width="10.42578125" style="57" customWidth="1"/>
    <col min="3855" max="3855" width="6.5703125" style="57" customWidth="1"/>
    <col min="3856" max="3856" width="11.42578125" style="57" customWidth="1"/>
    <col min="3857" max="3857" width="4.140625" style="57" customWidth="1"/>
    <col min="3858" max="3858" width="18.5703125" style="57" customWidth="1"/>
    <col min="3859" max="3859" width="2.140625" style="57" customWidth="1"/>
    <col min="3860" max="3860" width="10.42578125" style="57" customWidth="1"/>
    <col min="3861" max="4102" width="9.140625" style="57"/>
    <col min="4103" max="4103" width="10" style="57" customWidth="1"/>
    <col min="4104" max="4104" width="40" style="57" customWidth="1"/>
    <col min="4105" max="4105" width="12.5703125" style="57" customWidth="1"/>
    <col min="4106" max="4107" width="10.42578125" style="57" customWidth="1"/>
    <col min="4108" max="4108" width="11.5703125" style="57" customWidth="1"/>
    <col min="4109" max="4110" width="10.42578125" style="57" customWidth="1"/>
    <col min="4111" max="4111" width="6.5703125" style="57" customWidth="1"/>
    <col min="4112" max="4112" width="11.42578125" style="57" customWidth="1"/>
    <col min="4113" max="4113" width="4.140625" style="57" customWidth="1"/>
    <col min="4114" max="4114" width="18.5703125" style="57" customWidth="1"/>
    <col min="4115" max="4115" width="2.140625" style="57" customWidth="1"/>
    <col min="4116" max="4116" width="10.42578125" style="57" customWidth="1"/>
    <col min="4117" max="4358" width="9.140625" style="57"/>
    <col min="4359" max="4359" width="10" style="57" customWidth="1"/>
    <col min="4360" max="4360" width="40" style="57" customWidth="1"/>
    <col min="4361" max="4361" width="12.5703125" style="57" customWidth="1"/>
    <col min="4362" max="4363" width="10.42578125" style="57" customWidth="1"/>
    <col min="4364" max="4364" width="11.5703125" style="57" customWidth="1"/>
    <col min="4365" max="4366" width="10.42578125" style="57" customWidth="1"/>
    <col min="4367" max="4367" width="6.5703125" style="57" customWidth="1"/>
    <col min="4368" max="4368" width="11.42578125" style="57" customWidth="1"/>
    <col min="4369" max="4369" width="4.140625" style="57" customWidth="1"/>
    <col min="4370" max="4370" width="18.5703125" style="57" customWidth="1"/>
    <col min="4371" max="4371" width="2.140625" style="57" customWidth="1"/>
    <col min="4372" max="4372" width="10.42578125" style="57" customWidth="1"/>
    <col min="4373" max="4614" width="9.140625" style="57"/>
    <col min="4615" max="4615" width="10" style="57" customWidth="1"/>
    <col min="4616" max="4616" width="40" style="57" customWidth="1"/>
    <col min="4617" max="4617" width="12.5703125" style="57" customWidth="1"/>
    <col min="4618" max="4619" width="10.42578125" style="57" customWidth="1"/>
    <col min="4620" max="4620" width="11.5703125" style="57" customWidth="1"/>
    <col min="4621" max="4622" width="10.42578125" style="57" customWidth="1"/>
    <col min="4623" max="4623" width="6.5703125" style="57" customWidth="1"/>
    <col min="4624" max="4624" width="11.42578125" style="57" customWidth="1"/>
    <col min="4625" max="4625" width="4.140625" style="57" customWidth="1"/>
    <col min="4626" max="4626" width="18.5703125" style="57" customWidth="1"/>
    <col min="4627" max="4627" width="2.140625" style="57" customWidth="1"/>
    <col min="4628" max="4628" width="10.42578125" style="57" customWidth="1"/>
    <col min="4629" max="4870" width="9.140625" style="57"/>
    <col min="4871" max="4871" width="10" style="57" customWidth="1"/>
    <col min="4872" max="4872" width="40" style="57" customWidth="1"/>
    <col min="4873" max="4873" width="12.5703125" style="57" customWidth="1"/>
    <col min="4874" max="4875" width="10.42578125" style="57" customWidth="1"/>
    <col min="4876" max="4876" width="11.5703125" style="57" customWidth="1"/>
    <col min="4877" max="4878" width="10.42578125" style="57" customWidth="1"/>
    <col min="4879" max="4879" width="6.5703125" style="57" customWidth="1"/>
    <col min="4880" max="4880" width="11.42578125" style="57" customWidth="1"/>
    <col min="4881" max="4881" width="4.140625" style="57" customWidth="1"/>
    <col min="4882" max="4882" width="18.5703125" style="57" customWidth="1"/>
    <col min="4883" max="4883" width="2.140625" style="57" customWidth="1"/>
    <col min="4884" max="4884" width="10.42578125" style="57" customWidth="1"/>
    <col min="4885" max="5126" width="9.140625" style="57"/>
    <col min="5127" max="5127" width="10" style="57" customWidth="1"/>
    <col min="5128" max="5128" width="40" style="57" customWidth="1"/>
    <col min="5129" max="5129" width="12.5703125" style="57" customWidth="1"/>
    <col min="5130" max="5131" width="10.42578125" style="57" customWidth="1"/>
    <col min="5132" max="5132" width="11.5703125" style="57" customWidth="1"/>
    <col min="5133" max="5134" width="10.42578125" style="57" customWidth="1"/>
    <col min="5135" max="5135" width="6.5703125" style="57" customWidth="1"/>
    <col min="5136" max="5136" width="11.42578125" style="57" customWidth="1"/>
    <col min="5137" max="5137" width="4.140625" style="57" customWidth="1"/>
    <col min="5138" max="5138" width="18.5703125" style="57" customWidth="1"/>
    <col min="5139" max="5139" width="2.140625" style="57" customWidth="1"/>
    <col min="5140" max="5140" width="10.42578125" style="57" customWidth="1"/>
    <col min="5141" max="5382" width="9.140625" style="57"/>
    <col min="5383" max="5383" width="10" style="57" customWidth="1"/>
    <col min="5384" max="5384" width="40" style="57" customWidth="1"/>
    <col min="5385" max="5385" width="12.5703125" style="57" customWidth="1"/>
    <col min="5386" max="5387" width="10.42578125" style="57" customWidth="1"/>
    <col min="5388" max="5388" width="11.5703125" style="57" customWidth="1"/>
    <col min="5389" max="5390" width="10.42578125" style="57" customWidth="1"/>
    <col min="5391" max="5391" width="6.5703125" style="57" customWidth="1"/>
    <col min="5392" max="5392" width="11.42578125" style="57" customWidth="1"/>
    <col min="5393" max="5393" width="4.140625" style="57" customWidth="1"/>
    <col min="5394" max="5394" width="18.5703125" style="57" customWidth="1"/>
    <col min="5395" max="5395" width="2.140625" style="57" customWidth="1"/>
    <col min="5396" max="5396" width="10.42578125" style="57" customWidth="1"/>
    <col min="5397" max="5638" width="9.140625" style="57"/>
    <col min="5639" max="5639" width="10" style="57" customWidth="1"/>
    <col min="5640" max="5640" width="40" style="57" customWidth="1"/>
    <col min="5641" max="5641" width="12.5703125" style="57" customWidth="1"/>
    <col min="5642" max="5643" width="10.42578125" style="57" customWidth="1"/>
    <col min="5644" max="5644" width="11.5703125" style="57" customWidth="1"/>
    <col min="5645" max="5646" width="10.42578125" style="57" customWidth="1"/>
    <col min="5647" max="5647" width="6.5703125" style="57" customWidth="1"/>
    <col min="5648" max="5648" width="11.42578125" style="57" customWidth="1"/>
    <col min="5649" max="5649" width="4.140625" style="57" customWidth="1"/>
    <col min="5650" max="5650" width="18.5703125" style="57" customWidth="1"/>
    <col min="5651" max="5651" width="2.140625" style="57" customWidth="1"/>
    <col min="5652" max="5652" width="10.42578125" style="57" customWidth="1"/>
    <col min="5653" max="5894" width="9.140625" style="57"/>
    <col min="5895" max="5895" width="10" style="57" customWidth="1"/>
    <col min="5896" max="5896" width="40" style="57" customWidth="1"/>
    <col min="5897" max="5897" width="12.5703125" style="57" customWidth="1"/>
    <col min="5898" max="5899" width="10.42578125" style="57" customWidth="1"/>
    <col min="5900" max="5900" width="11.5703125" style="57" customWidth="1"/>
    <col min="5901" max="5902" width="10.42578125" style="57" customWidth="1"/>
    <col min="5903" max="5903" width="6.5703125" style="57" customWidth="1"/>
    <col min="5904" max="5904" width="11.42578125" style="57" customWidth="1"/>
    <col min="5905" max="5905" width="4.140625" style="57" customWidth="1"/>
    <col min="5906" max="5906" width="18.5703125" style="57" customWidth="1"/>
    <col min="5907" max="5907" width="2.140625" style="57" customWidth="1"/>
    <col min="5908" max="5908" width="10.42578125" style="57" customWidth="1"/>
    <col min="5909" max="6150" width="9.140625" style="57"/>
    <col min="6151" max="6151" width="10" style="57" customWidth="1"/>
    <col min="6152" max="6152" width="40" style="57" customWidth="1"/>
    <col min="6153" max="6153" width="12.5703125" style="57" customWidth="1"/>
    <col min="6154" max="6155" width="10.42578125" style="57" customWidth="1"/>
    <col min="6156" max="6156" width="11.5703125" style="57" customWidth="1"/>
    <col min="6157" max="6158" width="10.42578125" style="57" customWidth="1"/>
    <col min="6159" max="6159" width="6.5703125" style="57" customWidth="1"/>
    <col min="6160" max="6160" width="11.42578125" style="57" customWidth="1"/>
    <col min="6161" max="6161" width="4.140625" style="57" customWidth="1"/>
    <col min="6162" max="6162" width="18.5703125" style="57" customWidth="1"/>
    <col min="6163" max="6163" width="2.140625" style="57" customWidth="1"/>
    <col min="6164" max="6164" width="10.42578125" style="57" customWidth="1"/>
    <col min="6165" max="6406" width="9.140625" style="57"/>
    <col min="6407" max="6407" width="10" style="57" customWidth="1"/>
    <col min="6408" max="6408" width="40" style="57" customWidth="1"/>
    <col min="6409" max="6409" width="12.5703125" style="57" customWidth="1"/>
    <col min="6410" max="6411" width="10.42578125" style="57" customWidth="1"/>
    <col min="6412" max="6412" width="11.5703125" style="57" customWidth="1"/>
    <col min="6413" max="6414" width="10.42578125" style="57" customWidth="1"/>
    <col min="6415" max="6415" width="6.5703125" style="57" customWidth="1"/>
    <col min="6416" max="6416" width="11.42578125" style="57" customWidth="1"/>
    <col min="6417" max="6417" width="4.140625" style="57" customWidth="1"/>
    <col min="6418" max="6418" width="18.5703125" style="57" customWidth="1"/>
    <col min="6419" max="6419" width="2.140625" style="57" customWidth="1"/>
    <col min="6420" max="6420" width="10.42578125" style="57" customWidth="1"/>
    <col min="6421" max="6662" width="9.140625" style="57"/>
    <col min="6663" max="6663" width="10" style="57" customWidth="1"/>
    <col min="6664" max="6664" width="40" style="57" customWidth="1"/>
    <col min="6665" max="6665" width="12.5703125" style="57" customWidth="1"/>
    <col min="6666" max="6667" width="10.42578125" style="57" customWidth="1"/>
    <col min="6668" max="6668" width="11.5703125" style="57" customWidth="1"/>
    <col min="6669" max="6670" width="10.42578125" style="57" customWidth="1"/>
    <col min="6671" max="6671" width="6.5703125" style="57" customWidth="1"/>
    <col min="6672" max="6672" width="11.42578125" style="57" customWidth="1"/>
    <col min="6673" max="6673" width="4.140625" style="57" customWidth="1"/>
    <col min="6674" max="6674" width="18.5703125" style="57" customWidth="1"/>
    <col min="6675" max="6675" width="2.140625" style="57" customWidth="1"/>
    <col min="6676" max="6676" width="10.42578125" style="57" customWidth="1"/>
    <col min="6677" max="6918" width="9.140625" style="57"/>
    <col min="6919" max="6919" width="10" style="57" customWidth="1"/>
    <col min="6920" max="6920" width="40" style="57" customWidth="1"/>
    <col min="6921" max="6921" width="12.5703125" style="57" customWidth="1"/>
    <col min="6922" max="6923" width="10.42578125" style="57" customWidth="1"/>
    <col min="6924" max="6924" width="11.5703125" style="57" customWidth="1"/>
    <col min="6925" max="6926" width="10.42578125" style="57" customWidth="1"/>
    <col min="6927" max="6927" width="6.5703125" style="57" customWidth="1"/>
    <col min="6928" max="6928" width="11.42578125" style="57" customWidth="1"/>
    <col min="6929" max="6929" width="4.140625" style="57" customWidth="1"/>
    <col min="6930" max="6930" width="18.5703125" style="57" customWidth="1"/>
    <col min="6931" max="6931" width="2.140625" style="57" customWidth="1"/>
    <col min="6932" max="6932" width="10.42578125" style="57" customWidth="1"/>
    <col min="6933" max="7174" width="9.140625" style="57"/>
    <col min="7175" max="7175" width="10" style="57" customWidth="1"/>
    <col min="7176" max="7176" width="40" style="57" customWidth="1"/>
    <col min="7177" max="7177" width="12.5703125" style="57" customWidth="1"/>
    <col min="7178" max="7179" width="10.42578125" style="57" customWidth="1"/>
    <col min="7180" max="7180" width="11.5703125" style="57" customWidth="1"/>
    <col min="7181" max="7182" width="10.42578125" style="57" customWidth="1"/>
    <col min="7183" max="7183" width="6.5703125" style="57" customWidth="1"/>
    <col min="7184" max="7184" width="11.42578125" style="57" customWidth="1"/>
    <col min="7185" max="7185" width="4.140625" style="57" customWidth="1"/>
    <col min="7186" max="7186" width="18.5703125" style="57" customWidth="1"/>
    <col min="7187" max="7187" width="2.140625" style="57" customWidth="1"/>
    <col min="7188" max="7188" width="10.42578125" style="57" customWidth="1"/>
    <col min="7189" max="7430" width="9.140625" style="57"/>
    <col min="7431" max="7431" width="10" style="57" customWidth="1"/>
    <col min="7432" max="7432" width="40" style="57" customWidth="1"/>
    <col min="7433" max="7433" width="12.5703125" style="57" customWidth="1"/>
    <col min="7434" max="7435" width="10.42578125" style="57" customWidth="1"/>
    <col min="7436" max="7436" width="11.5703125" style="57" customWidth="1"/>
    <col min="7437" max="7438" width="10.42578125" style="57" customWidth="1"/>
    <col min="7439" max="7439" width="6.5703125" style="57" customWidth="1"/>
    <col min="7440" max="7440" width="11.42578125" style="57" customWidth="1"/>
    <col min="7441" max="7441" width="4.140625" style="57" customWidth="1"/>
    <col min="7442" max="7442" width="18.5703125" style="57" customWidth="1"/>
    <col min="7443" max="7443" width="2.140625" style="57" customWidth="1"/>
    <col min="7444" max="7444" width="10.42578125" style="57" customWidth="1"/>
    <col min="7445" max="7686" width="9.140625" style="57"/>
    <col min="7687" max="7687" width="10" style="57" customWidth="1"/>
    <col min="7688" max="7688" width="40" style="57" customWidth="1"/>
    <col min="7689" max="7689" width="12.5703125" style="57" customWidth="1"/>
    <col min="7690" max="7691" width="10.42578125" style="57" customWidth="1"/>
    <col min="7692" max="7692" width="11.5703125" style="57" customWidth="1"/>
    <col min="7693" max="7694" width="10.42578125" style="57" customWidth="1"/>
    <col min="7695" max="7695" width="6.5703125" style="57" customWidth="1"/>
    <col min="7696" max="7696" width="11.42578125" style="57" customWidth="1"/>
    <col min="7697" max="7697" width="4.140625" style="57" customWidth="1"/>
    <col min="7698" max="7698" width="18.5703125" style="57" customWidth="1"/>
    <col min="7699" max="7699" width="2.140625" style="57" customWidth="1"/>
    <col min="7700" max="7700" width="10.42578125" style="57" customWidth="1"/>
    <col min="7701" max="7942" width="9.140625" style="57"/>
    <col min="7943" max="7943" width="10" style="57" customWidth="1"/>
    <col min="7944" max="7944" width="40" style="57" customWidth="1"/>
    <col min="7945" max="7945" width="12.5703125" style="57" customWidth="1"/>
    <col min="7946" max="7947" width="10.42578125" style="57" customWidth="1"/>
    <col min="7948" max="7948" width="11.5703125" style="57" customWidth="1"/>
    <col min="7949" max="7950" width="10.42578125" style="57" customWidth="1"/>
    <col min="7951" max="7951" width="6.5703125" style="57" customWidth="1"/>
    <col min="7952" max="7952" width="11.42578125" style="57" customWidth="1"/>
    <col min="7953" max="7953" width="4.140625" style="57" customWidth="1"/>
    <col min="7954" max="7954" width="18.5703125" style="57" customWidth="1"/>
    <col min="7955" max="7955" width="2.140625" style="57" customWidth="1"/>
    <col min="7956" max="7956" width="10.42578125" style="57" customWidth="1"/>
    <col min="7957" max="8198" width="9.140625" style="57"/>
    <col min="8199" max="8199" width="10" style="57" customWidth="1"/>
    <col min="8200" max="8200" width="40" style="57" customWidth="1"/>
    <col min="8201" max="8201" width="12.5703125" style="57" customWidth="1"/>
    <col min="8202" max="8203" width="10.42578125" style="57" customWidth="1"/>
    <col min="8204" max="8204" width="11.5703125" style="57" customWidth="1"/>
    <col min="8205" max="8206" width="10.42578125" style="57" customWidth="1"/>
    <col min="8207" max="8207" width="6.5703125" style="57" customWidth="1"/>
    <col min="8208" max="8208" width="11.42578125" style="57" customWidth="1"/>
    <col min="8209" max="8209" width="4.140625" style="57" customWidth="1"/>
    <col min="8210" max="8210" width="18.5703125" style="57" customWidth="1"/>
    <col min="8211" max="8211" width="2.140625" style="57" customWidth="1"/>
    <col min="8212" max="8212" width="10.42578125" style="57" customWidth="1"/>
    <col min="8213" max="8454" width="9.140625" style="57"/>
    <col min="8455" max="8455" width="10" style="57" customWidth="1"/>
    <col min="8456" max="8456" width="40" style="57" customWidth="1"/>
    <col min="8457" max="8457" width="12.5703125" style="57" customWidth="1"/>
    <col min="8458" max="8459" width="10.42578125" style="57" customWidth="1"/>
    <col min="8460" max="8460" width="11.5703125" style="57" customWidth="1"/>
    <col min="8461" max="8462" width="10.42578125" style="57" customWidth="1"/>
    <col min="8463" max="8463" width="6.5703125" style="57" customWidth="1"/>
    <col min="8464" max="8464" width="11.42578125" style="57" customWidth="1"/>
    <col min="8465" max="8465" width="4.140625" style="57" customWidth="1"/>
    <col min="8466" max="8466" width="18.5703125" style="57" customWidth="1"/>
    <col min="8467" max="8467" width="2.140625" style="57" customWidth="1"/>
    <col min="8468" max="8468" width="10.42578125" style="57" customWidth="1"/>
    <col min="8469" max="8710" width="9.140625" style="57"/>
    <col min="8711" max="8711" width="10" style="57" customWidth="1"/>
    <col min="8712" max="8712" width="40" style="57" customWidth="1"/>
    <col min="8713" max="8713" width="12.5703125" style="57" customWidth="1"/>
    <col min="8714" max="8715" width="10.42578125" style="57" customWidth="1"/>
    <col min="8716" max="8716" width="11.5703125" style="57" customWidth="1"/>
    <col min="8717" max="8718" width="10.42578125" style="57" customWidth="1"/>
    <col min="8719" max="8719" width="6.5703125" style="57" customWidth="1"/>
    <col min="8720" max="8720" width="11.42578125" style="57" customWidth="1"/>
    <col min="8721" max="8721" width="4.140625" style="57" customWidth="1"/>
    <col min="8722" max="8722" width="18.5703125" style="57" customWidth="1"/>
    <col min="8723" max="8723" width="2.140625" style="57" customWidth="1"/>
    <col min="8724" max="8724" width="10.42578125" style="57" customWidth="1"/>
    <col min="8725" max="8966" width="9.140625" style="57"/>
    <col min="8967" max="8967" width="10" style="57" customWidth="1"/>
    <col min="8968" max="8968" width="40" style="57" customWidth="1"/>
    <col min="8969" max="8969" width="12.5703125" style="57" customWidth="1"/>
    <col min="8970" max="8971" width="10.42578125" style="57" customWidth="1"/>
    <col min="8972" max="8972" width="11.5703125" style="57" customWidth="1"/>
    <col min="8973" max="8974" width="10.42578125" style="57" customWidth="1"/>
    <col min="8975" max="8975" width="6.5703125" style="57" customWidth="1"/>
    <col min="8976" max="8976" width="11.42578125" style="57" customWidth="1"/>
    <col min="8977" max="8977" width="4.140625" style="57" customWidth="1"/>
    <col min="8978" max="8978" width="18.5703125" style="57" customWidth="1"/>
    <col min="8979" max="8979" width="2.140625" style="57" customWidth="1"/>
    <col min="8980" max="8980" width="10.42578125" style="57" customWidth="1"/>
    <col min="8981" max="9222" width="9.140625" style="57"/>
    <col min="9223" max="9223" width="10" style="57" customWidth="1"/>
    <col min="9224" max="9224" width="40" style="57" customWidth="1"/>
    <col min="9225" max="9225" width="12.5703125" style="57" customWidth="1"/>
    <col min="9226" max="9227" width="10.42578125" style="57" customWidth="1"/>
    <col min="9228" max="9228" width="11.5703125" style="57" customWidth="1"/>
    <col min="9229" max="9230" width="10.42578125" style="57" customWidth="1"/>
    <col min="9231" max="9231" width="6.5703125" style="57" customWidth="1"/>
    <col min="9232" max="9232" width="11.42578125" style="57" customWidth="1"/>
    <col min="9233" max="9233" width="4.140625" style="57" customWidth="1"/>
    <col min="9234" max="9234" width="18.5703125" style="57" customWidth="1"/>
    <col min="9235" max="9235" width="2.140625" style="57" customWidth="1"/>
    <col min="9236" max="9236" width="10.42578125" style="57" customWidth="1"/>
    <col min="9237" max="9478" width="9.140625" style="57"/>
    <col min="9479" max="9479" width="10" style="57" customWidth="1"/>
    <col min="9480" max="9480" width="40" style="57" customWidth="1"/>
    <col min="9481" max="9481" width="12.5703125" style="57" customWidth="1"/>
    <col min="9482" max="9483" width="10.42578125" style="57" customWidth="1"/>
    <col min="9484" max="9484" width="11.5703125" style="57" customWidth="1"/>
    <col min="9485" max="9486" width="10.42578125" style="57" customWidth="1"/>
    <col min="9487" max="9487" width="6.5703125" style="57" customWidth="1"/>
    <col min="9488" max="9488" width="11.42578125" style="57" customWidth="1"/>
    <col min="9489" max="9489" width="4.140625" style="57" customWidth="1"/>
    <col min="9490" max="9490" width="18.5703125" style="57" customWidth="1"/>
    <col min="9491" max="9491" width="2.140625" style="57" customWidth="1"/>
    <col min="9492" max="9492" width="10.42578125" style="57" customWidth="1"/>
    <col min="9493" max="9734" width="9.140625" style="57"/>
    <col min="9735" max="9735" width="10" style="57" customWidth="1"/>
    <col min="9736" max="9736" width="40" style="57" customWidth="1"/>
    <col min="9737" max="9737" width="12.5703125" style="57" customWidth="1"/>
    <col min="9738" max="9739" width="10.42578125" style="57" customWidth="1"/>
    <col min="9740" max="9740" width="11.5703125" style="57" customWidth="1"/>
    <col min="9741" max="9742" width="10.42578125" style="57" customWidth="1"/>
    <col min="9743" max="9743" width="6.5703125" style="57" customWidth="1"/>
    <col min="9744" max="9744" width="11.42578125" style="57" customWidth="1"/>
    <col min="9745" max="9745" width="4.140625" style="57" customWidth="1"/>
    <col min="9746" max="9746" width="18.5703125" style="57" customWidth="1"/>
    <col min="9747" max="9747" width="2.140625" style="57" customWidth="1"/>
    <col min="9748" max="9748" width="10.42578125" style="57" customWidth="1"/>
    <col min="9749" max="9990" width="9.140625" style="57"/>
    <col min="9991" max="9991" width="10" style="57" customWidth="1"/>
    <col min="9992" max="9992" width="40" style="57" customWidth="1"/>
    <col min="9993" max="9993" width="12.5703125" style="57" customWidth="1"/>
    <col min="9994" max="9995" width="10.42578125" style="57" customWidth="1"/>
    <col min="9996" max="9996" width="11.5703125" style="57" customWidth="1"/>
    <col min="9997" max="9998" width="10.42578125" style="57" customWidth="1"/>
    <col min="9999" max="9999" width="6.5703125" style="57" customWidth="1"/>
    <col min="10000" max="10000" width="11.42578125" style="57" customWidth="1"/>
    <col min="10001" max="10001" width="4.140625" style="57" customWidth="1"/>
    <col min="10002" max="10002" width="18.5703125" style="57" customWidth="1"/>
    <col min="10003" max="10003" width="2.140625" style="57" customWidth="1"/>
    <col min="10004" max="10004" width="10.42578125" style="57" customWidth="1"/>
    <col min="10005" max="10246" width="9.140625" style="57"/>
    <col min="10247" max="10247" width="10" style="57" customWidth="1"/>
    <col min="10248" max="10248" width="40" style="57" customWidth="1"/>
    <col min="10249" max="10249" width="12.5703125" style="57" customWidth="1"/>
    <col min="10250" max="10251" width="10.42578125" style="57" customWidth="1"/>
    <col min="10252" max="10252" width="11.5703125" style="57" customWidth="1"/>
    <col min="10253" max="10254" width="10.42578125" style="57" customWidth="1"/>
    <col min="10255" max="10255" width="6.5703125" style="57" customWidth="1"/>
    <col min="10256" max="10256" width="11.42578125" style="57" customWidth="1"/>
    <col min="10257" max="10257" width="4.140625" style="57" customWidth="1"/>
    <col min="10258" max="10258" width="18.5703125" style="57" customWidth="1"/>
    <col min="10259" max="10259" width="2.140625" style="57" customWidth="1"/>
    <col min="10260" max="10260" width="10.42578125" style="57" customWidth="1"/>
    <col min="10261" max="10502" width="9.140625" style="57"/>
    <col min="10503" max="10503" width="10" style="57" customWidth="1"/>
    <col min="10504" max="10504" width="40" style="57" customWidth="1"/>
    <col min="10505" max="10505" width="12.5703125" style="57" customWidth="1"/>
    <col min="10506" max="10507" width="10.42578125" style="57" customWidth="1"/>
    <col min="10508" max="10508" width="11.5703125" style="57" customWidth="1"/>
    <col min="10509" max="10510" width="10.42578125" style="57" customWidth="1"/>
    <col min="10511" max="10511" width="6.5703125" style="57" customWidth="1"/>
    <col min="10512" max="10512" width="11.42578125" style="57" customWidth="1"/>
    <col min="10513" max="10513" width="4.140625" style="57" customWidth="1"/>
    <col min="10514" max="10514" width="18.5703125" style="57" customWidth="1"/>
    <col min="10515" max="10515" width="2.140625" style="57" customWidth="1"/>
    <col min="10516" max="10516" width="10.42578125" style="57" customWidth="1"/>
    <col min="10517" max="10758" width="9.140625" style="57"/>
    <col min="10759" max="10759" width="10" style="57" customWidth="1"/>
    <col min="10760" max="10760" width="40" style="57" customWidth="1"/>
    <col min="10761" max="10761" width="12.5703125" style="57" customWidth="1"/>
    <col min="10762" max="10763" width="10.42578125" style="57" customWidth="1"/>
    <col min="10764" max="10764" width="11.5703125" style="57" customWidth="1"/>
    <col min="10765" max="10766" width="10.42578125" style="57" customWidth="1"/>
    <col min="10767" max="10767" width="6.5703125" style="57" customWidth="1"/>
    <col min="10768" max="10768" width="11.42578125" style="57" customWidth="1"/>
    <col min="10769" max="10769" width="4.140625" style="57" customWidth="1"/>
    <col min="10770" max="10770" width="18.5703125" style="57" customWidth="1"/>
    <col min="10771" max="10771" width="2.140625" style="57" customWidth="1"/>
    <col min="10772" max="10772" width="10.42578125" style="57" customWidth="1"/>
    <col min="10773" max="11014" width="9.140625" style="57"/>
    <col min="11015" max="11015" width="10" style="57" customWidth="1"/>
    <col min="11016" max="11016" width="40" style="57" customWidth="1"/>
    <col min="11017" max="11017" width="12.5703125" style="57" customWidth="1"/>
    <col min="11018" max="11019" width="10.42578125" style="57" customWidth="1"/>
    <col min="11020" max="11020" width="11.5703125" style="57" customWidth="1"/>
    <col min="11021" max="11022" width="10.42578125" style="57" customWidth="1"/>
    <col min="11023" max="11023" width="6.5703125" style="57" customWidth="1"/>
    <col min="11024" max="11024" width="11.42578125" style="57" customWidth="1"/>
    <col min="11025" max="11025" width="4.140625" style="57" customWidth="1"/>
    <col min="11026" max="11026" width="18.5703125" style="57" customWidth="1"/>
    <col min="11027" max="11027" width="2.140625" style="57" customWidth="1"/>
    <col min="11028" max="11028" width="10.42578125" style="57" customWidth="1"/>
    <col min="11029" max="11270" width="9.140625" style="57"/>
    <col min="11271" max="11271" width="10" style="57" customWidth="1"/>
    <col min="11272" max="11272" width="40" style="57" customWidth="1"/>
    <col min="11273" max="11273" width="12.5703125" style="57" customWidth="1"/>
    <col min="11274" max="11275" width="10.42578125" style="57" customWidth="1"/>
    <col min="11276" max="11276" width="11.5703125" style="57" customWidth="1"/>
    <col min="11277" max="11278" width="10.42578125" style="57" customWidth="1"/>
    <col min="11279" max="11279" width="6.5703125" style="57" customWidth="1"/>
    <col min="11280" max="11280" width="11.42578125" style="57" customWidth="1"/>
    <col min="11281" max="11281" width="4.140625" style="57" customWidth="1"/>
    <col min="11282" max="11282" width="18.5703125" style="57" customWidth="1"/>
    <col min="11283" max="11283" width="2.140625" style="57" customWidth="1"/>
    <col min="11284" max="11284" width="10.42578125" style="57" customWidth="1"/>
    <col min="11285" max="11526" width="9.140625" style="57"/>
    <col min="11527" max="11527" width="10" style="57" customWidth="1"/>
    <col min="11528" max="11528" width="40" style="57" customWidth="1"/>
    <col min="11529" max="11529" width="12.5703125" style="57" customWidth="1"/>
    <col min="11530" max="11531" width="10.42578125" style="57" customWidth="1"/>
    <col min="11532" max="11532" width="11.5703125" style="57" customWidth="1"/>
    <col min="11533" max="11534" width="10.42578125" style="57" customWidth="1"/>
    <col min="11535" max="11535" width="6.5703125" style="57" customWidth="1"/>
    <col min="11536" max="11536" width="11.42578125" style="57" customWidth="1"/>
    <col min="11537" max="11537" width="4.140625" style="57" customWidth="1"/>
    <col min="11538" max="11538" width="18.5703125" style="57" customWidth="1"/>
    <col min="11539" max="11539" width="2.140625" style="57" customWidth="1"/>
    <col min="11540" max="11540" width="10.42578125" style="57" customWidth="1"/>
    <col min="11541" max="11782" width="9.140625" style="57"/>
    <col min="11783" max="11783" width="10" style="57" customWidth="1"/>
    <col min="11784" max="11784" width="40" style="57" customWidth="1"/>
    <col min="11785" max="11785" width="12.5703125" style="57" customWidth="1"/>
    <col min="11786" max="11787" width="10.42578125" style="57" customWidth="1"/>
    <col min="11788" max="11788" width="11.5703125" style="57" customWidth="1"/>
    <col min="11789" max="11790" width="10.42578125" style="57" customWidth="1"/>
    <col min="11791" max="11791" width="6.5703125" style="57" customWidth="1"/>
    <col min="11792" max="11792" width="11.42578125" style="57" customWidth="1"/>
    <col min="11793" max="11793" width="4.140625" style="57" customWidth="1"/>
    <col min="11794" max="11794" width="18.5703125" style="57" customWidth="1"/>
    <col min="11795" max="11795" width="2.140625" style="57" customWidth="1"/>
    <col min="11796" max="11796" width="10.42578125" style="57" customWidth="1"/>
    <col min="11797" max="12038" width="9.140625" style="57"/>
    <col min="12039" max="12039" width="10" style="57" customWidth="1"/>
    <col min="12040" max="12040" width="40" style="57" customWidth="1"/>
    <col min="12041" max="12041" width="12.5703125" style="57" customWidth="1"/>
    <col min="12042" max="12043" width="10.42578125" style="57" customWidth="1"/>
    <col min="12044" max="12044" width="11.5703125" style="57" customWidth="1"/>
    <col min="12045" max="12046" width="10.42578125" style="57" customWidth="1"/>
    <col min="12047" max="12047" width="6.5703125" style="57" customWidth="1"/>
    <col min="12048" max="12048" width="11.42578125" style="57" customWidth="1"/>
    <col min="12049" max="12049" width="4.140625" style="57" customWidth="1"/>
    <col min="12050" max="12050" width="18.5703125" style="57" customWidth="1"/>
    <col min="12051" max="12051" width="2.140625" style="57" customWidth="1"/>
    <col min="12052" max="12052" width="10.42578125" style="57" customWidth="1"/>
    <col min="12053" max="12294" width="9.140625" style="57"/>
    <col min="12295" max="12295" width="10" style="57" customWidth="1"/>
    <col min="12296" max="12296" width="40" style="57" customWidth="1"/>
    <col min="12297" max="12297" width="12.5703125" style="57" customWidth="1"/>
    <col min="12298" max="12299" width="10.42578125" style="57" customWidth="1"/>
    <col min="12300" max="12300" width="11.5703125" style="57" customWidth="1"/>
    <col min="12301" max="12302" width="10.42578125" style="57" customWidth="1"/>
    <col min="12303" max="12303" width="6.5703125" style="57" customWidth="1"/>
    <col min="12304" max="12304" width="11.42578125" style="57" customWidth="1"/>
    <col min="12305" max="12305" width="4.140625" style="57" customWidth="1"/>
    <col min="12306" max="12306" width="18.5703125" style="57" customWidth="1"/>
    <col min="12307" max="12307" width="2.140625" style="57" customWidth="1"/>
    <col min="12308" max="12308" width="10.42578125" style="57" customWidth="1"/>
    <col min="12309" max="12550" width="9.140625" style="57"/>
    <col min="12551" max="12551" width="10" style="57" customWidth="1"/>
    <col min="12552" max="12552" width="40" style="57" customWidth="1"/>
    <col min="12553" max="12553" width="12.5703125" style="57" customWidth="1"/>
    <col min="12554" max="12555" width="10.42578125" style="57" customWidth="1"/>
    <col min="12556" max="12556" width="11.5703125" style="57" customWidth="1"/>
    <col min="12557" max="12558" width="10.42578125" style="57" customWidth="1"/>
    <col min="12559" max="12559" width="6.5703125" style="57" customWidth="1"/>
    <col min="12560" max="12560" width="11.42578125" style="57" customWidth="1"/>
    <col min="12561" max="12561" width="4.140625" style="57" customWidth="1"/>
    <col min="12562" max="12562" width="18.5703125" style="57" customWidth="1"/>
    <col min="12563" max="12563" width="2.140625" style="57" customWidth="1"/>
    <col min="12564" max="12564" width="10.42578125" style="57" customWidth="1"/>
    <col min="12565" max="12806" width="9.140625" style="57"/>
    <col min="12807" max="12807" width="10" style="57" customWidth="1"/>
    <col min="12808" max="12808" width="40" style="57" customWidth="1"/>
    <col min="12809" max="12809" width="12.5703125" style="57" customWidth="1"/>
    <col min="12810" max="12811" width="10.42578125" style="57" customWidth="1"/>
    <col min="12812" max="12812" width="11.5703125" style="57" customWidth="1"/>
    <col min="12813" max="12814" width="10.42578125" style="57" customWidth="1"/>
    <col min="12815" max="12815" width="6.5703125" style="57" customWidth="1"/>
    <col min="12816" max="12816" width="11.42578125" style="57" customWidth="1"/>
    <col min="12817" max="12817" width="4.140625" style="57" customWidth="1"/>
    <col min="12818" max="12818" width="18.5703125" style="57" customWidth="1"/>
    <col min="12819" max="12819" width="2.140625" style="57" customWidth="1"/>
    <col min="12820" max="12820" width="10.42578125" style="57" customWidth="1"/>
    <col min="12821" max="13062" width="9.140625" style="57"/>
    <col min="13063" max="13063" width="10" style="57" customWidth="1"/>
    <col min="13064" max="13064" width="40" style="57" customWidth="1"/>
    <col min="13065" max="13065" width="12.5703125" style="57" customWidth="1"/>
    <col min="13066" max="13067" width="10.42578125" style="57" customWidth="1"/>
    <col min="13068" max="13068" width="11.5703125" style="57" customWidth="1"/>
    <col min="13069" max="13070" width="10.42578125" style="57" customWidth="1"/>
    <col min="13071" max="13071" width="6.5703125" style="57" customWidth="1"/>
    <col min="13072" max="13072" width="11.42578125" style="57" customWidth="1"/>
    <col min="13073" max="13073" width="4.140625" style="57" customWidth="1"/>
    <col min="13074" max="13074" width="18.5703125" style="57" customWidth="1"/>
    <col min="13075" max="13075" width="2.140625" style="57" customWidth="1"/>
    <col min="13076" max="13076" width="10.42578125" style="57" customWidth="1"/>
    <col min="13077" max="13318" width="9.140625" style="57"/>
    <col min="13319" max="13319" width="10" style="57" customWidth="1"/>
    <col min="13320" max="13320" width="40" style="57" customWidth="1"/>
    <col min="13321" max="13321" width="12.5703125" style="57" customWidth="1"/>
    <col min="13322" max="13323" width="10.42578125" style="57" customWidth="1"/>
    <col min="13324" max="13324" width="11.5703125" style="57" customWidth="1"/>
    <col min="13325" max="13326" width="10.42578125" style="57" customWidth="1"/>
    <col min="13327" max="13327" width="6.5703125" style="57" customWidth="1"/>
    <col min="13328" max="13328" width="11.42578125" style="57" customWidth="1"/>
    <col min="13329" max="13329" width="4.140625" style="57" customWidth="1"/>
    <col min="13330" max="13330" width="18.5703125" style="57" customWidth="1"/>
    <col min="13331" max="13331" width="2.140625" style="57" customWidth="1"/>
    <col min="13332" max="13332" width="10.42578125" style="57" customWidth="1"/>
    <col min="13333" max="13574" width="9.140625" style="57"/>
    <col min="13575" max="13575" width="10" style="57" customWidth="1"/>
    <col min="13576" max="13576" width="40" style="57" customWidth="1"/>
    <col min="13577" max="13577" width="12.5703125" style="57" customWidth="1"/>
    <col min="13578" max="13579" width="10.42578125" style="57" customWidth="1"/>
    <col min="13580" max="13580" width="11.5703125" style="57" customWidth="1"/>
    <col min="13581" max="13582" width="10.42578125" style="57" customWidth="1"/>
    <col min="13583" max="13583" width="6.5703125" style="57" customWidth="1"/>
    <col min="13584" max="13584" width="11.42578125" style="57" customWidth="1"/>
    <col min="13585" max="13585" width="4.140625" style="57" customWidth="1"/>
    <col min="13586" max="13586" width="18.5703125" style="57" customWidth="1"/>
    <col min="13587" max="13587" width="2.140625" style="57" customWidth="1"/>
    <col min="13588" max="13588" width="10.42578125" style="57" customWidth="1"/>
    <col min="13589" max="13830" width="9.140625" style="57"/>
    <col min="13831" max="13831" width="10" style="57" customWidth="1"/>
    <col min="13832" max="13832" width="40" style="57" customWidth="1"/>
    <col min="13833" max="13833" width="12.5703125" style="57" customWidth="1"/>
    <col min="13834" max="13835" width="10.42578125" style="57" customWidth="1"/>
    <col min="13836" max="13836" width="11.5703125" style="57" customWidth="1"/>
    <col min="13837" max="13838" width="10.42578125" style="57" customWidth="1"/>
    <col min="13839" max="13839" width="6.5703125" style="57" customWidth="1"/>
    <col min="13840" max="13840" width="11.42578125" style="57" customWidth="1"/>
    <col min="13841" max="13841" width="4.140625" style="57" customWidth="1"/>
    <col min="13842" max="13842" width="18.5703125" style="57" customWidth="1"/>
    <col min="13843" max="13843" width="2.140625" style="57" customWidth="1"/>
    <col min="13844" max="13844" width="10.42578125" style="57" customWidth="1"/>
    <col min="13845" max="14086" width="9.140625" style="57"/>
    <col min="14087" max="14087" width="10" style="57" customWidth="1"/>
    <col min="14088" max="14088" width="40" style="57" customWidth="1"/>
    <col min="14089" max="14089" width="12.5703125" style="57" customWidth="1"/>
    <col min="14090" max="14091" width="10.42578125" style="57" customWidth="1"/>
    <col min="14092" max="14092" width="11.5703125" style="57" customWidth="1"/>
    <col min="14093" max="14094" width="10.42578125" style="57" customWidth="1"/>
    <col min="14095" max="14095" width="6.5703125" style="57" customWidth="1"/>
    <col min="14096" max="14096" width="11.42578125" style="57" customWidth="1"/>
    <col min="14097" max="14097" width="4.140625" style="57" customWidth="1"/>
    <col min="14098" max="14098" width="18.5703125" style="57" customWidth="1"/>
    <col min="14099" max="14099" width="2.140625" style="57" customWidth="1"/>
    <col min="14100" max="14100" width="10.42578125" style="57" customWidth="1"/>
    <col min="14101" max="14342" width="9.140625" style="57"/>
    <col min="14343" max="14343" width="10" style="57" customWidth="1"/>
    <col min="14344" max="14344" width="40" style="57" customWidth="1"/>
    <col min="14345" max="14345" width="12.5703125" style="57" customWidth="1"/>
    <col min="14346" max="14347" width="10.42578125" style="57" customWidth="1"/>
    <col min="14348" max="14348" width="11.5703125" style="57" customWidth="1"/>
    <col min="14349" max="14350" width="10.42578125" style="57" customWidth="1"/>
    <col min="14351" max="14351" width="6.5703125" style="57" customWidth="1"/>
    <col min="14352" max="14352" width="11.42578125" style="57" customWidth="1"/>
    <col min="14353" max="14353" width="4.140625" style="57" customWidth="1"/>
    <col min="14354" max="14354" width="18.5703125" style="57" customWidth="1"/>
    <col min="14355" max="14355" width="2.140625" style="57" customWidth="1"/>
    <col min="14356" max="14356" width="10.42578125" style="57" customWidth="1"/>
    <col min="14357" max="14598" width="9.140625" style="57"/>
    <col min="14599" max="14599" width="10" style="57" customWidth="1"/>
    <col min="14600" max="14600" width="40" style="57" customWidth="1"/>
    <col min="14601" max="14601" width="12.5703125" style="57" customWidth="1"/>
    <col min="14602" max="14603" width="10.42578125" style="57" customWidth="1"/>
    <col min="14604" max="14604" width="11.5703125" style="57" customWidth="1"/>
    <col min="14605" max="14606" width="10.42578125" style="57" customWidth="1"/>
    <col min="14607" max="14607" width="6.5703125" style="57" customWidth="1"/>
    <col min="14608" max="14608" width="11.42578125" style="57" customWidth="1"/>
    <col min="14609" max="14609" width="4.140625" style="57" customWidth="1"/>
    <col min="14610" max="14610" width="18.5703125" style="57" customWidth="1"/>
    <col min="14611" max="14611" width="2.140625" style="57" customWidth="1"/>
    <col min="14612" max="14612" width="10.42578125" style="57" customWidth="1"/>
    <col min="14613" max="14854" width="9.140625" style="57"/>
    <col min="14855" max="14855" width="10" style="57" customWidth="1"/>
    <col min="14856" max="14856" width="40" style="57" customWidth="1"/>
    <col min="14857" max="14857" width="12.5703125" style="57" customWidth="1"/>
    <col min="14858" max="14859" width="10.42578125" style="57" customWidth="1"/>
    <col min="14860" max="14860" width="11.5703125" style="57" customWidth="1"/>
    <col min="14861" max="14862" width="10.42578125" style="57" customWidth="1"/>
    <col min="14863" max="14863" width="6.5703125" style="57" customWidth="1"/>
    <col min="14864" max="14864" width="11.42578125" style="57" customWidth="1"/>
    <col min="14865" max="14865" width="4.140625" style="57" customWidth="1"/>
    <col min="14866" max="14866" width="18.5703125" style="57" customWidth="1"/>
    <col min="14867" max="14867" width="2.140625" style="57" customWidth="1"/>
    <col min="14868" max="14868" width="10.42578125" style="57" customWidth="1"/>
    <col min="14869" max="15110" width="9.140625" style="57"/>
    <col min="15111" max="15111" width="10" style="57" customWidth="1"/>
    <col min="15112" max="15112" width="40" style="57" customWidth="1"/>
    <col min="15113" max="15113" width="12.5703125" style="57" customWidth="1"/>
    <col min="15114" max="15115" width="10.42578125" style="57" customWidth="1"/>
    <col min="15116" max="15116" width="11.5703125" style="57" customWidth="1"/>
    <col min="15117" max="15118" width="10.42578125" style="57" customWidth="1"/>
    <col min="15119" max="15119" width="6.5703125" style="57" customWidth="1"/>
    <col min="15120" max="15120" width="11.42578125" style="57" customWidth="1"/>
    <col min="15121" max="15121" width="4.140625" style="57" customWidth="1"/>
    <col min="15122" max="15122" width="18.5703125" style="57" customWidth="1"/>
    <col min="15123" max="15123" width="2.140625" style="57" customWidth="1"/>
    <col min="15124" max="15124" width="10.42578125" style="57" customWidth="1"/>
    <col min="15125" max="15366" width="9.140625" style="57"/>
    <col min="15367" max="15367" width="10" style="57" customWidth="1"/>
    <col min="15368" max="15368" width="40" style="57" customWidth="1"/>
    <col min="15369" max="15369" width="12.5703125" style="57" customWidth="1"/>
    <col min="15370" max="15371" width="10.42578125" style="57" customWidth="1"/>
    <col min="15372" max="15372" width="11.5703125" style="57" customWidth="1"/>
    <col min="15373" max="15374" width="10.42578125" style="57" customWidth="1"/>
    <col min="15375" max="15375" width="6.5703125" style="57" customWidth="1"/>
    <col min="15376" max="15376" width="11.42578125" style="57" customWidth="1"/>
    <col min="15377" max="15377" width="4.140625" style="57" customWidth="1"/>
    <col min="15378" max="15378" width="18.5703125" style="57" customWidth="1"/>
    <col min="15379" max="15379" width="2.140625" style="57" customWidth="1"/>
    <col min="15380" max="15380" width="10.42578125" style="57" customWidth="1"/>
    <col min="15381" max="15622" width="9.140625" style="57"/>
    <col min="15623" max="15623" width="10" style="57" customWidth="1"/>
    <col min="15624" max="15624" width="40" style="57" customWidth="1"/>
    <col min="15625" max="15625" width="12.5703125" style="57" customWidth="1"/>
    <col min="15626" max="15627" width="10.42578125" style="57" customWidth="1"/>
    <col min="15628" max="15628" width="11.5703125" style="57" customWidth="1"/>
    <col min="15629" max="15630" width="10.42578125" style="57" customWidth="1"/>
    <col min="15631" max="15631" width="6.5703125" style="57" customWidth="1"/>
    <col min="15632" max="15632" width="11.42578125" style="57" customWidth="1"/>
    <col min="15633" max="15633" width="4.140625" style="57" customWidth="1"/>
    <col min="15634" max="15634" width="18.5703125" style="57" customWidth="1"/>
    <col min="15635" max="15635" width="2.140625" style="57" customWidth="1"/>
    <col min="15636" max="15636" width="10.42578125" style="57" customWidth="1"/>
    <col min="15637" max="15878" width="9.140625" style="57"/>
    <col min="15879" max="15879" width="10" style="57" customWidth="1"/>
    <col min="15880" max="15880" width="40" style="57" customWidth="1"/>
    <col min="15881" max="15881" width="12.5703125" style="57" customWidth="1"/>
    <col min="15882" max="15883" width="10.42578125" style="57" customWidth="1"/>
    <col min="15884" max="15884" width="11.5703125" style="57" customWidth="1"/>
    <col min="15885" max="15886" width="10.42578125" style="57" customWidth="1"/>
    <col min="15887" max="15887" width="6.5703125" style="57" customWidth="1"/>
    <col min="15888" max="15888" width="11.42578125" style="57" customWidth="1"/>
    <col min="15889" max="15889" width="4.140625" style="57" customWidth="1"/>
    <col min="15890" max="15890" width="18.5703125" style="57" customWidth="1"/>
    <col min="15891" max="15891" width="2.140625" style="57" customWidth="1"/>
    <col min="15892" max="15892" width="10.42578125" style="57" customWidth="1"/>
    <col min="15893" max="16134" width="9.140625" style="57"/>
    <col min="16135" max="16135" width="10" style="57" customWidth="1"/>
    <col min="16136" max="16136" width="40" style="57" customWidth="1"/>
    <col min="16137" max="16137" width="12.5703125" style="57" customWidth="1"/>
    <col min="16138" max="16139" width="10.42578125" style="57" customWidth="1"/>
    <col min="16140" max="16140" width="11.5703125" style="57" customWidth="1"/>
    <col min="16141" max="16142" width="10.42578125" style="57" customWidth="1"/>
    <col min="16143" max="16143" width="6.5703125" style="57" customWidth="1"/>
    <col min="16144" max="16144" width="11.42578125" style="57" customWidth="1"/>
    <col min="16145" max="16145" width="4.140625" style="57" customWidth="1"/>
    <col min="16146" max="16146" width="18.5703125" style="57" customWidth="1"/>
    <col min="16147" max="16147" width="2.140625" style="57" customWidth="1"/>
    <col min="16148" max="16148" width="10.42578125" style="57" customWidth="1"/>
    <col min="16149" max="16384" width="9.140625" style="57"/>
  </cols>
  <sheetData>
    <row r="1" spans="2:21" ht="13.5" customHeight="1" x14ac:dyDescent="0.25">
      <c r="H1" s="781" t="s">
        <v>38</v>
      </c>
      <c r="I1" s="781"/>
      <c r="J1" s="781"/>
      <c r="K1" s="781"/>
      <c r="L1" s="781"/>
      <c r="M1" s="781" t="s">
        <v>39</v>
      </c>
      <c r="N1" s="781"/>
      <c r="O1" s="783" t="s">
        <v>40</v>
      </c>
      <c r="P1" s="783"/>
      <c r="Q1" s="783"/>
    </row>
    <row r="2" spans="2:21" s="59" customFormat="1" ht="15" customHeight="1" x14ac:dyDescent="0.25">
      <c r="B2" s="60" t="s">
        <v>41</v>
      </c>
      <c r="C2" s="61" t="s">
        <v>42</v>
      </c>
      <c r="D2" s="61" t="s">
        <v>43</v>
      </c>
      <c r="E2" s="61" t="s">
        <v>44</v>
      </c>
      <c r="F2" s="61" t="s">
        <v>45</v>
      </c>
      <c r="G2" s="61" t="s">
        <v>46</v>
      </c>
      <c r="H2" s="61" t="s">
        <v>47</v>
      </c>
      <c r="I2" s="61" t="s">
        <v>48</v>
      </c>
      <c r="J2" s="61" t="s">
        <v>47</v>
      </c>
      <c r="K2" s="61" t="s">
        <v>48</v>
      </c>
      <c r="L2" s="65" t="s">
        <v>49</v>
      </c>
      <c r="M2" s="65" t="s">
        <v>39</v>
      </c>
      <c r="N2" s="65" t="s">
        <v>49</v>
      </c>
      <c r="O2" s="65" t="s">
        <v>47</v>
      </c>
      <c r="P2" s="65" t="s">
        <v>48</v>
      </c>
      <c r="Q2" s="65" t="s">
        <v>49</v>
      </c>
      <c r="R2" s="63" t="s">
        <v>50</v>
      </c>
    </row>
    <row r="3" spans="2:21" ht="15" customHeight="1" x14ac:dyDescent="0.25">
      <c r="B3" s="67">
        <v>7</v>
      </c>
      <c r="C3" s="68" t="s">
        <v>66</v>
      </c>
      <c r="D3" s="110" t="s">
        <v>60</v>
      </c>
      <c r="E3" s="69">
        <v>45546</v>
      </c>
      <c r="F3" s="69"/>
      <c r="G3" s="68"/>
      <c r="H3" s="72"/>
      <c r="I3" s="72"/>
      <c r="J3" s="72"/>
      <c r="K3" s="72"/>
      <c r="L3" s="131">
        <v>0</v>
      </c>
      <c r="M3" s="160"/>
      <c r="N3" s="133">
        <v>0</v>
      </c>
      <c r="O3" s="109"/>
      <c r="P3" s="109"/>
      <c r="Q3" s="78">
        <v>0</v>
      </c>
      <c r="R3" s="161"/>
      <c r="T3" s="81" t="s">
        <v>53</v>
      </c>
      <c r="U3" s="82">
        <v>5</v>
      </c>
    </row>
    <row r="4" spans="2:21" ht="15" customHeight="1" x14ac:dyDescent="0.25">
      <c r="B4" s="111">
        <v>5</v>
      </c>
      <c r="C4" s="112" t="s">
        <v>63</v>
      </c>
      <c r="D4" s="113" t="s">
        <v>60</v>
      </c>
      <c r="E4" s="114">
        <v>45477</v>
      </c>
      <c r="F4" s="114">
        <v>45644</v>
      </c>
      <c r="G4" s="68"/>
      <c r="H4" s="72"/>
      <c r="I4" s="72"/>
      <c r="J4" s="72"/>
      <c r="K4" s="72"/>
      <c r="L4" s="131">
        <v>0</v>
      </c>
      <c r="M4" s="160">
        <v>45643</v>
      </c>
      <c r="N4" s="133">
        <v>1</v>
      </c>
      <c r="O4" s="109"/>
      <c r="P4" s="109"/>
      <c r="Q4" s="78">
        <v>0</v>
      </c>
      <c r="R4" s="134"/>
      <c r="T4" s="83" t="s">
        <v>44</v>
      </c>
      <c r="U4" s="84">
        <v>1</v>
      </c>
    </row>
    <row r="5" spans="2:21" ht="15" customHeight="1" x14ac:dyDescent="0.25">
      <c r="B5" s="67">
        <v>2</v>
      </c>
      <c r="C5" s="116" t="s">
        <v>51</v>
      </c>
      <c r="D5" s="110" t="s">
        <v>60</v>
      </c>
      <c r="E5" s="118">
        <v>44599</v>
      </c>
      <c r="F5" s="118"/>
      <c r="G5" s="116"/>
      <c r="H5" s="121"/>
      <c r="I5" s="121"/>
      <c r="J5" s="121"/>
      <c r="K5" s="121"/>
      <c r="L5" s="131">
        <v>0</v>
      </c>
      <c r="M5" s="140"/>
      <c r="N5" s="141">
        <v>0</v>
      </c>
      <c r="O5" s="127"/>
      <c r="P5" s="127"/>
      <c r="Q5" s="78">
        <v>0</v>
      </c>
      <c r="R5" s="142"/>
      <c r="T5" s="83" t="s">
        <v>45</v>
      </c>
      <c r="U5" s="84">
        <v>1</v>
      </c>
    </row>
    <row r="6" spans="2:21" ht="15" customHeight="1" x14ac:dyDescent="0.25">
      <c r="B6" s="171">
        <v>6</v>
      </c>
      <c r="C6" s="172" t="s">
        <v>68</v>
      </c>
      <c r="D6" s="173" t="s">
        <v>60</v>
      </c>
      <c r="E6" s="118">
        <v>45630</v>
      </c>
      <c r="F6" s="118"/>
      <c r="G6" s="116"/>
      <c r="H6" s="121"/>
      <c r="I6" s="121"/>
      <c r="J6" s="121"/>
      <c r="K6" s="121"/>
      <c r="L6" s="131">
        <v>0</v>
      </c>
      <c r="M6" s="145"/>
      <c r="N6" s="141">
        <v>0</v>
      </c>
      <c r="O6" s="127"/>
      <c r="P6" s="127"/>
      <c r="Q6" s="155">
        <v>0</v>
      </c>
      <c r="R6" s="142"/>
      <c r="T6" s="100" t="s">
        <v>56</v>
      </c>
      <c r="U6" s="101">
        <f>U3+U4-U5</f>
        <v>5</v>
      </c>
    </row>
    <row r="7" spans="2:21" ht="15" customHeight="1" x14ac:dyDescent="0.25">
      <c r="B7" s="167">
        <v>8</v>
      </c>
      <c r="C7" s="168" t="s">
        <v>67</v>
      </c>
      <c r="D7" s="169" t="s">
        <v>60</v>
      </c>
      <c r="E7" s="170">
        <v>45567</v>
      </c>
      <c r="F7" s="118"/>
      <c r="G7" s="116"/>
      <c r="H7" s="121"/>
      <c r="I7" s="121"/>
      <c r="J7" s="121"/>
      <c r="K7" s="121"/>
      <c r="L7" s="131">
        <v>0</v>
      </c>
      <c r="M7" s="145"/>
      <c r="N7" s="141">
        <v>0</v>
      </c>
      <c r="O7" s="127"/>
      <c r="P7" s="127"/>
      <c r="Q7" s="155">
        <v>0</v>
      </c>
      <c r="R7" s="142"/>
    </row>
    <row r="8" spans="2:21" ht="15" customHeight="1" x14ac:dyDescent="0.25">
      <c r="B8" s="85">
        <v>3</v>
      </c>
      <c r="C8" s="86" t="s">
        <v>55</v>
      </c>
      <c r="D8" s="130" t="s">
        <v>60</v>
      </c>
      <c r="E8" s="87">
        <v>44602</v>
      </c>
      <c r="F8" s="87"/>
      <c r="G8" s="86"/>
      <c r="H8" s="90"/>
      <c r="I8" s="90"/>
      <c r="J8" s="90"/>
      <c r="K8" s="90"/>
      <c r="L8" s="131">
        <v>0</v>
      </c>
      <c r="M8" s="136"/>
      <c r="N8" s="137">
        <v>0</v>
      </c>
      <c r="O8" s="96"/>
      <c r="P8" s="96"/>
      <c r="Q8" s="138">
        <v>0</v>
      </c>
      <c r="R8" s="139"/>
      <c r="T8" s="81" t="s">
        <v>57</v>
      </c>
      <c r="U8" s="82">
        <v>2</v>
      </c>
    </row>
    <row r="9" spans="2:21" ht="15" customHeight="1" x14ac:dyDescent="0.25">
      <c r="L9" s="99">
        <f>SUM(L3:L8)</f>
        <v>0</v>
      </c>
      <c r="N9" s="99">
        <f>SUM(N3:N8)</f>
        <v>1</v>
      </c>
      <c r="O9" s="99"/>
      <c r="P9" s="99"/>
      <c r="Q9" s="99">
        <f>SUM(Q3:Q8)</f>
        <v>0</v>
      </c>
      <c r="T9" s="100" t="s">
        <v>13</v>
      </c>
      <c r="U9" s="101">
        <f>U6+U8</f>
        <v>7</v>
      </c>
    </row>
    <row r="10" spans="2:21" ht="15" customHeight="1" x14ac:dyDescent="0.25"/>
    <row r="11" spans="2:21" ht="15" customHeight="1" x14ac:dyDescent="0.25">
      <c r="T11" s="784" t="s">
        <v>58</v>
      </c>
      <c r="U11" s="784"/>
    </row>
    <row r="12" spans="2:21" ht="15" customHeight="1" x14ac:dyDescent="0.25">
      <c r="T12" s="83" t="s">
        <v>38</v>
      </c>
      <c r="U12" s="102">
        <f>L9</f>
        <v>0</v>
      </c>
    </row>
    <row r="13" spans="2:21" ht="15" customHeight="1" x14ac:dyDescent="0.25">
      <c r="T13" s="103" t="s">
        <v>39</v>
      </c>
      <c r="U13" s="104">
        <f>N9</f>
        <v>1</v>
      </c>
    </row>
    <row r="14" spans="2:21" ht="15" customHeight="1" x14ac:dyDescent="0.25"/>
    <row r="15" spans="2:21" ht="15" customHeight="1" x14ac:dyDescent="0.25">
      <c r="T15" s="81" t="s">
        <v>40</v>
      </c>
      <c r="U15" s="105">
        <f>Q9</f>
        <v>0</v>
      </c>
    </row>
    <row r="16" spans="2:21" ht="15" customHeight="1" x14ac:dyDescent="0.25">
      <c r="T16" s="103" t="s">
        <v>59</v>
      </c>
      <c r="U16" s="104">
        <v>0</v>
      </c>
    </row>
    <row r="17" spans="20:21" ht="15" customHeight="1" x14ac:dyDescent="0.25"/>
    <row r="18" spans="20:21" ht="15" customHeight="1" x14ac:dyDescent="0.25">
      <c r="T18" s="106" t="s">
        <v>22</v>
      </c>
      <c r="U18" s="107">
        <v>21</v>
      </c>
    </row>
    <row r="19" spans="20:21" ht="15" customHeight="1" x14ac:dyDescent="0.25"/>
    <row r="20" spans="20:21" ht="15" customHeight="1" x14ac:dyDescent="0.25"/>
    <row r="21" spans="20:21" ht="15" customHeight="1" x14ac:dyDescent="0.25"/>
    <row r="22" spans="20:21" ht="15" customHeight="1" x14ac:dyDescent="0.25"/>
    <row r="23" spans="20:21" ht="15" customHeight="1" x14ac:dyDescent="0.25"/>
    <row r="24" spans="20:21" ht="15" customHeight="1" x14ac:dyDescent="0.25"/>
    <row r="25" spans="20:21" ht="15" customHeight="1" x14ac:dyDescent="0.25"/>
    <row r="26" spans="20:21" ht="15" customHeight="1" x14ac:dyDescent="0.25"/>
    <row r="27" spans="20:21" ht="15" customHeight="1" x14ac:dyDescent="0.25"/>
    <row r="28" spans="20:21" ht="15" customHeight="1" x14ac:dyDescent="0.25"/>
    <row r="29" spans="20:21" ht="15" customHeight="1" x14ac:dyDescent="0.25"/>
    <row r="30" spans="20:21" ht="15" customHeight="1" x14ac:dyDescent="0.25"/>
    <row r="31" spans="20:21" ht="15" customHeight="1" x14ac:dyDescent="0.25"/>
    <row r="32" spans="20:21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</sheetData>
  <mergeCells count="4">
    <mergeCell ref="H1:L1"/>
    <mergeCell ref="M1:N1"/>
    <mergeCell ref="O1:Q1"/>
    <mergeCell ref="T11:U11"/>
  </mergeCells>
  <pageMargins left="0.25" right="0.25" top="0.75" bottom="0.75" header="0.511811023622047" footer="0.511811023622047"/>
  <pageSetup paperSize="9" orientation="landscape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W24"/>
  <sheetViews>
    <sheetView showGridLines="0" zoomScale="90" zoomScaleNormal="90" workbookViewId="0">
      <selection activeCell="R41" sqref="R41"/>
    </sheetView>
  </sheetViews>
  <sheetFormatPr defaultColWidth="9.140625" defaultRowHeight="15" x14ac:dyDescent="0.25"/>
  <cols>
    <col min="1" max="1" width="9.140625" style="174"/>
    <col min="2" max="2" width="20.7109375" style="174" customWidth="1"/>
    <col min="3" max="3" width="11.5703125" style="174" customWidth="1"/>
    <col min="4" max="4" width="11" style="174" customWidth="1"/>
    <col min="5" max="6" width="10" style="174" customWidth="1"/>
    <col min="7" max="10" width="9.5703125" style="174" customWidth="1"/>
    <col min="11" max="11" width="11.28515625" style="174" customWidth="1"/>
    <col min="12" max="12" width="9.85546875" style="174" customWidth="1"/>
    <col min="13" max="13" width="11.85546875" style="174" customWidth="1"/>
    <col min="14" max="14" width="11.7109375" style="174" customWidth="1"/>
    <col min="15" max="15" width="11.28515625" style="174" customWidth="1"/>
    <col min="16" max="16" width="6.7109375" style="174" customWidth="1"/>
    <col min="17" max="17" width="8.85546875" style="174" customWidth="1"/>
    <col min="18" max="18" width="15" style="174" customWidth="1"/>
    <col min="19" max="19" width="11.28515625" style="174" customWidth="1"/>
    <col min="20" max="20" width="8.85546875" style="174" customWidth="1"/>
    <col min="21" max="22" width="9.140625" style="174"/>
    <col min="23" max="23" width="12.7109375" style="174" customWidth="1"/>
    <col min="24" max="16384" width="9.140625" style="174"/>
  </cols>
  <sheetData>
    <row r="2" spans="2:23" ht="15" customHeight="1" x14ac:dyDescent="0.25">
      <c r="B2" s="175" t="s">
        <v>69</v>
      </c>
      <c r="C2" s="176" t="s">
        <v>70</v>
      </c>
      <c r="D2" s="176" t="s">
        <v>71</v>
      </c>
      <c r="E2" s="176" t="s">
        <v>72</v>
      </c>
      <c r="F2" s="176" t="s">
        <v>73</v>
      </c>
      <c r="G2" s="176" t="s">
        <v>74</v>
      </c>
      <c r="H2" s="176" t="s">
        <v>75</v>
      </c>
      <c r="I2" s="176" t="s">
        <v>76</v>
      </c>
      <c r="J2" s="176" t="s">
        <v>77</v>
      </c>
      <c r="K2" s="176" t="s">
        <v>78</v>
      </c>
      <c r="L2" s="176" t="s">
        <v>79</v>
      </c>
      <c r="M2" s="176" t="s">
        <v>80</v>
      </c>
      <c r="N2" s="176" t="s">
        <v>81</v>
      </c>
      <c r="O2" s="177" t="s">
        <v>13</v>
      </c>
      <c r="Q2" s="178" t="s">
        <v>82</v>
      </c>
      <c r="R2" s="178" t="s">
        <v>83</v>
      </c>
      <c r="S2" s="178" t="s">
        <v>84</v>
      </c>
      <c r="T2" s="178" t="s">
        <v>85</v>
      </c>
      <c r="U2" s="178" t="s">
        <v>86</v>
      </c>
      <c r="V2" s="178" t="s">
        <v>87</v>
      </c>
      <c r="W2" s="178" t="s">
        <v>88</v>
      </c>
    </row>
    <row r="3" spans="2:23" ht="15" customHeight="1" x14ac:dyDescent="0.25">
      <c r="B3" s="179" t="s">
        <v>89</v>
      </c>
      <c r="C3" s="180">
        <f>'Fopag Analitic'!D4</f>
        <v>14480</v>
      </c>
      <c r="D3" s="180">
        <f>'Fopag Analitic'!G4</f>
        <v>14300</v>
      </c>
      <c r="E3" s="180">
        <f>'Fopag Analitic'!J4</f>
        <v>12800</v>
      </c>
      <c r="F3" s="180">
        <f>'Fopag Analitic'!M4</f>
        <v>14320</v>
      </c>
      <c r="G3" s="180">
        <f>'Fopag Analitic'!P14</f>
        <v>16000</v>
      </c>
      <c r="H3" s="180">
        <f>'Fopag Analitic'!S14</f>
        <v>11000</v>
      </c>
      <c r="I3" s="180">
        <v>13733</v>
      </c>
      <c r="J3" s="180">
        <v>15400</v>
      </c>
      <c r="K3" s="180">
        <v>12900</v>
      </c>
      <c r="L3" s="180">
        <v>12900</v>
      </c>
      <c r="M3" s="180">
        <v>12900</v>
      </c>
      <c r="N3" s="180">
        <v>9900</v>
      </c>
      <c r="O3" s="181">
        <f t="shared" ref="O3:O11" si="0">SUM(C3:N3)</f>
        <v>160633</v>
      </c>
      <c r="Q3" s="182">
        <v>45658</v>
      </c>
      <c r="R3" s="183">
        <v>1738802</v>
      </c>
      <c r="S3" s="184">
        <f>C12</f>
        <v>63760.76</v>
      </c>
      <c r="T3" s="185">
        <f t="shared" ref="T3:T14" si="1">S3/R3</f>
        <v>3.6669362009015403E-2</v>
      </c>
      <c r="U3" s="185">
        <v>0.03</v>
      </c>
      <c r="V3" s="186">
        <f>'Janeiro 25'!U6</f>
        <v>6</v>
      </c>
      <c r="W3" s="187">
        <f t="shared" ref="W3:W14" si="2">R3/V3</f>
        <v>289800.33333333331</v>
      </c>
    </row>
    <row r="4" spans="2:23" ht="15" customHeight="1" x14ac:dyDescent="0.25">
      <c r="B4" s="179" t="s">
        <v>90</v>
      </c>
      <c r="C4" s="180">
        <f t="shared" ref="C4:J4" si="3">18000+12500</f>
        <v>30500</v>
      </c>
      <c r="D4" s="180">
        <f t="shared" si="3"/>
        <v>30500</v>
      </c>
      <c r="E4" s="180">
        <f t="shared" si="3"/>
        <v>30500</v>
      </c>
      <c r="F4" s="180">
        <f t="shared" si="3"/>
        <v>30500</v>
      </c>
      <c r="G4" s="180">
        <f t="shared" si="3"/>
        <v>30500</v>
      </c>
      <c r="H4" s="180">
        <f t="shared" si="3"/>
        <v>30500</v>
      </c>
      <c r="I4" s="180">
        <f t="shared" si="3"/>
        <v>30500</v>
      </c>
      <c r="J4" s="180">
        <f t="shared" si="3"/>
        <v>30500</v>
      </c>
      <c r="K4" s="180">
        <v>30500</v>
      </c>
      <c r="L4" s="180">
        <v>30500</v>
      </c>
      <c r="M4" s="180">
        <f>'Fopag 01 26'!B22</f>
        <v>32570</v>
      </c>
      <c r="N4" s="180">
        <v>30500</v>
      </c>
      <c r="O4" s="181">
        <f t="shared" si="0"/>
        <v>368070</v>
      </c>
      <c r="Q4" s="182">
        <v>45689</v>
      </c>
      <c r="R4" s="183">
        <v>1630074</v>
      </c>
      <c r="S4" s="184">
        <f>D12</f>
        <v>63344.82</v>
      </c>
      <c r="T4" s="185">
        <f t="shared" si="1"/>
        <v>3.8860088560396647E-2</v>
      </c>
      <c r="U4" s="185">
        <v>0.03</v>
      </c>
      <c r="V4" s="186">
        <f>'Fevereiro 25'!U6</f>
        <v>6</v>
      </c>
      <c r="W4" s="187">
        <f t="shared" si="2"/>
        <v>271679</v>
      </c>
    </row>
    <row r="5" spans="2:23" ht="15" customHeight="1" x14ac:dyDescent="0.25">
      <c r="B5" s="179" t="s">
        <v>36</v>
      </c>
      <c r="C5" s="180">
        <f>'Fopag Analitic'!D17</f>
        <v>1110.4000000000001</v>
      </c>
      <c r="D5" s="180">
        <f>'Fopag Analitic'!G17</f>
        <v>1096</v>
      </c>
      <c r="E5" s="180">
        <f>'Fopag Analitic'!J17</f>
        <v>976</v>
      </c>
      <c r="F5" s="180">
        <f>'Fopag Analitic'!M17</f>
        <v>1097.6000000000001</v>
      </c>
      <c r="G5" s="180">
        <f>'Fopag Analitic'!P17</f>
        <v>1232</v>
      </c>
      <c r="H5" s="180">
        <f>'Fopag Analitic'!S17</f>
        <v>832</v>
      </c>
      <c r="I5" s="180">
        <v>1051</v>
      </c>
      <c r="J5" s="180">
        <v>1232</v>
      </c>
      <c r="K5" s="180">
        <v>1032</v>
      </c>
      <c r="L5" s="180">
        <v>1032</v>
      </c>
      <c r="M5" s="180">
        <v>1032</v>
      </c>
      <c r="N5" s="180">
        <v>792</v>
      </c>
      <c r="O5" s="181">
        <f t="shared" si="0"/>
        <v>12515</v>
      </c>
      <c r="Q5" s="182">
        <v>45717</v>
      </c>
      <c r="R5" s="183">
        <v>1537894</v>
      </c>
      <c r="S5" s="184">
        <f>E12</f>
        <v>61036.72</v>
      </c>
      <c r="T5" s="185">
        <f t="shared" si="1"/>
        <v>3.9688509091003674E-2</v>
      </c>
      <c r="U5" s="185">
        <v>0.03</v>
      </c>
      <c r="V5" s="186">
        <f>'Março 25'!U6</f>
        <v>6</v>
      </c>
      <c r="W5" s="187">
        <f t="shared" si="2"/>
        <v>256315.66666666666</v>
      </c>
    </row>
    <row r="6" spans="2:23" ht="15" customHeight="1" x14ac:dyDescent="0.25">
      <c r="B6" s="179" t="s">
        <v>91</v>
      </c>
      <c r="C6" s="180">
        <v>3898</v>
      </c>
      <c r="D6" s="180">
        <v>3740</v>
      </c>
      <c r="E6" s="180">
        <f>'Fopag Analitic'!J18+'Fopag Analitic'!J19+'Fopag Analitic'!J20</f>
        <v>3330.6</v>
      </c>
      <c r="F6" s="180">
        <f>'Fopag Analitic'!M18+'Fopag Analitic'!M19+'Fopag Analitic'!M20</f>
        <v>3745.5600000000004</v>
      </c>
      <c r="G6" s="180">
        <f>'Fopag Analitic'!P18+'Fopag Analitic'!P19+'Fopag Analitic'!P20</f>
        <v>4204.2</v>
      </c>
      <c r="H6" s="180">
        <f>'Fopag Analitic'!S18+'Fopag Analitic'!S19+'Fopag Analitic'!S20</f>
        <v>2839.2</v>
      </c>
      <c r="I6" s="180">
        <v>3585</v>
      </c>
      <c r="J6" s="180">
        <v>4811</v>
      </c>
      <c r="K6" s="180">
        <v>4128.8999999999996</v>
      </c>
      <c r="L6" s="180">
        <v>4129</v>
      </c>
      <c r="M6" s="180">
        <v>4129</v>
      </c>
      <c r="N6" s="180">
        <v>3310</v>
      </c>
      <c r="O6" s="181">
        <f t="shared" si="0"/>
        <v>45850.46</v>
      </c>
      <c r="Q6" s="182">
        <v>45748</v>
      </c>
      <c r="R6" s="188">
        <v>1645073</v>
      </c>
      <c r="S6" s="184">
        <f>F12</f>
        <v>63192.369999999995</v>
      </c>
      <c r="T6" s="185">
        <f t="shared" si="1"/>
        <v>3.8413109934939058E-2</v>
      </c>
      <c r="U6" s="185">
        <v>0.03</v>
      </c>
      <c r="V6" s="186">
        <f>'Abril 25'!U5</f>
        <v>6</v>
      </c>
      <c r="W6" s="187">
        <f t="shared" si="2"/>
        <v>274178.83333333331</v>
      </c>
    </row>
    <row r="7" spans="2:23" ht="15" customHeight="1" x14ac:dyDescent="0.25">
      <c r="B7" s="179" t="s">
        <v>92</v>
      </c>
      <c r="C7" s="180">
        <f t="shared" ref="C7:M7" si="4">C3*35.3%</f>
        <v>5111.4399999999996</v>
      </c>
      <c r="D7" s="180">
        <f t="shared" si="4"/>
        <v>5047.8999999999996</v>
      </c>
      <c r="E7" s="180">
        <f t="shared" si="4"/>
        <v>4518.3999999999996</v>
      </c>
      <c r="F7" s="180">
        <f t="shared" si="4"/>
        <v>5054.96</v>
      </c>
      <c r="G7" s="180">
        <f t="shared" si="4"/>
        <v>5648</v>
      </c>
      <c r="H7" s="180">
        <f t="shared" si="4"/>
        <v>3883</v>
      </c>
      <c r="I7" s="180">
        <f t="shared" si="4"/>
        <v>4847.7489999999998</v>
      </c>
      <c r="J7" s="180">
        <f t="shared" si="4"/>
        <v>5436.2</v>
      </c>
      <c r="K7" s="180">
        <f t="shared" si="4"/>
        <v>4553.7</v>
      </c>
      <c r="L7" s="180">
        <f t="shared" si="4"/>
        <v>4553.7</v>
      </c>
      <c r="M7" s="180">
        <f t="shared" si="4"/>
        <v>4553.7</v>
      </c>
      <c r="N7" s="180">
        <v>2605</v>
      </c>
      <c r="O7" s="181">
        <f t="shared" si="0"/>
        <v>55813.748999999989</v>
      </c>
      <c r="Q7" s="182">
        <v>45778</v>
      </c>
      <c r="R7" s="183">
        <v>1733520</v>
      </c>
      <c r="S7" s="189">
        <f>G12</f>
        <v>66367.95</v>
      </c>
      <c r="T7" s="185">
        <f t="shared" si="1"/>
        <v>3.8285078914578427E-2</v>
      </c>
      <c r="U7" s="185">
        <v>0.03</v>
      </c>
      <c r="V7" s="186">
        <f>'Maio 25'!U5</f>
        <v>6</v>
      </c>
      <c r="W7" s="187">
        <f t="shared" si="2"/>
        <v>288920</v>
      </c>
    </row>
    <row r="8" spans="2:23" ht="15" customHeight="1" x14ac:dyDescent="0.25">
      <c r="B8" s="179" t="s">
        <v>93</v>
      </c>
      <c r="C8" s="180">
        <f>'Fopag Analitic'!D28</f>
        <v>4000</v>
      </c>
      <c r="D8" s="180">
        <f>'Fopag Analitic'!G28</f>
        <v>4000</v>
      </c>
      <c r="E8" s="180">
        <f>'Fopag Analitic'!J28</f>
        <v>4000</v>
      </c>
      <c r="F8" s="180">
        <f>'Fopag Analitic'!M28</f>
        <v>4000</v>
      </c>
      <c r="G8" s="180">
        <f>'Fopag Analitic'!P28</f>
        <v>4000</v>
      </c>
      <c r="H8" s="180">
        <f>'Fopag Analitic'!S28</f>
        <v>4000</v>
      </c>
      <c r="I8" s="180">
        <v>4000</v>
      </c>
      <c r="J8" s="180">
        <v>4000</v>
      </c>
      <c r="K8" s="180">
        <v>4000</v>
      </c>
      <c r="L8" s="180">
        <v>4000</v>
      </c>
      <c r="M8" s="180">
        <v>4000</v>
      </c>
      <c r="N8" s="180">
        <v>4000</v>
      </c>
      <c r="O8" s="181">
        <f t="shared" si="0"/>
        <v>48000</v>
      </c>
      <c r="Q8" s="182">
        <v>45809</v>
      </c>
      <c r="R8" s="188">
        <v>1503624</v>
      </c>
      <c r="S8" s="187">
        <f>H12</f>
        <v>57053.2</v>
      </c>
      <c r="T8" s="185">
        <f t="shared" si="1"/>
        <v>3.7943794459253111E-2</v>
      </c>
      <c r="U8" s="185">
        <v>0.03</v>
      </c>
      <c r="V8" s="186">
        <f>'Junho 25'!U5</f>
        <v>4</v>
      </c>
      <c r="W8" s="187">
        <f t="shared" si="2"/>
        <v>375906</v>
      </c>
    </row>
    <row r="9" spans="2:23" ht="15" customHeight="1" x14ac:dyDescent="0.25">
      <c r="B9" s="190" t="s">
        <v>94</v>
      </c>
      <c r="C9" s="191">
        <f>'Fopag Analitic'!D22</f>
        <v>3000</v>
      </c>
      <c r="D9" s="191">
        <f>'Fopag Analitic'!G22</f>
        <v>3000</v>
      </c>
      <c r="E9" s="191">
        <f>'Fopag Analitic'!J22</f>
        <v>3150</v>
      </c>
      <c r="F9" s="191">
        <f>'Fopag Analitic'!M22</f>
        <v>2725</v>
      </c>
      <c r="G9" s="192">
        <f>'Fopag Analitic'!P22</f>
        <v>3000</v>
      </c>
      <c r="H9" s="180">
        <f>'Fopag Analitic'!S22</f>
        <v>2000</v>
      </c>
      <c r="I9" s="180">
        <v>2525</v>
      </c>
      <c r="J9" s="180">
        <v>3675</v>
      </c>
      <c r="K9" s="180">
        <v>3080</v>
      </c>
      <c r="L9" s="180">
        <v>2660</v>
      </c>
      <c r="M9" s="180">
        <v>3080</v>
      </c>
      <c r="N9" s="180">
        <v>2520</v>
      </c>
      <c r="O9" s="181">
        <f t="shared" si="0"/>
        <v>34415</v>
      </c>
      <c r="Q9" s="182">
        <v>45839</v>
      </c>
      <c r="R9" s="193">
        <v>1724204</v>
      </c>
      <c r="S9" s="180">
        <f>I12</f>
        <v>62301.748999999996</v>
      </c>
      <c r="T9" s="194">
        <f t="shared" si="1"/>
        <v>3.6133629779306856E-2</v>
      </c>
      <c r="U9" s="185">
        <v>0.03</v>
      </c>
      <c r="V9" s="186">
        <f>'Julho 25'!U5</f>
        <v>5</v>
      </c>
      <c r="W9" s="187">
        <f t="shared" si="2"/>
        <v>344840.8</v>
      </c>
    </row>
    <row r="10" spans="2:23" ht="15" customHeight="1" x14ac:dyDescent="0.25">
      <c r="B10" s="190" t="s">
        <v>95</v>
      </c>
      <c r="C10" s="191">
        <f>'Fopag Analitic'!D23</f>
        <v>1134</v>
      </c>
      <c r="D10" s="191">
        <f>'Fopag Analitic'!G23</f>
        <v>1134</v>
      </c>
      <c r="E10" s="191">
        <f>'Fopag Analitic'!J23</f>
        <v>1234.8</v>
      </c>
      <c r="F10" s="191">
        <f>'Fopag Analitic'!M23</f>
        <v>1068.2</v>
      </c>
      <c r="G10" s="192">
        <f>'Fopag Analitic'!P23</f>
        <v>1176</v>
      </c>
      <c r="H10" s="192">
        <f>'Fopag Analitic'!S23</f>
        <v>784</v>
      </c>
      <c r="I10" s="195">
        <v>990</v>
      </c>
      <c r="J10" s="180">
        <v>1050</v>
      </c>
      <c r="K10" s="180">
        <v>880</v>
      </c>
      <c r="L10" s="180">
        <v>760</v>
      </c>
      <c r="M10" s="180">
        <v>880</v>
      </c>
      <c r="N10" s="180">
        <v>630</v>
      </c>
      <c r="O10" s="181">
        <f t="shared" si="0"/>
        <v>11721</v>
      </c>
      <c r="Q10" s="182">
        <v>45870</v>
      </c>
      <c r="R10" s="188">
        <v>1242847</v>
      </c>
      <c r="S10" s="187">
        <f>J12</f>
        <v>67020.2</v>
      </c>
      <c r="T10" s="185">
        <f t="shared" si="1"/>
        <v>5.3924738926030315E-2</v>
      </c>
      <c r="U10" s="185">
        <v>0.03</v>
      </c>
      <c r="V10" s="186">
        <v>5</v>
      </c>
      <c r="W10" s="187">
        <f t="shared" si="2"/>
        <v>248569.4</v>
      </c>
    </row>
    <row r="11" spans="2:23" ht="15" customHeight="1" x14ac:dyDescent="0.25">
      <c r="B11" s="190" t="s">
        <v>96</v>
      </c>
      <c r="C11" s="191">
        <f>'Fopag Analitic'!D24</f>
        <v>526.91999999999996</v>
      </c>
      <c r="D11" s="191">
        <f>'Fopag Analitic'!G24</f>
        <v>526.91999999999996</v>
      </c>
      <c r="E11" s="191">
        <f>'Fopag Analitic'!J24</f>
        <v>526.91999999999996</v>
      </c>
      <c r="F11" s="191">
        <f>'Fopag Analitic'!M24</f>
        <v>681.05</v>
      </c>
      <c r="G11" s="192">
        <f>'Fopag Analitic'!P24</f>
        <v>607.75</v>
      </c>
      <c r="H11" s="195">
        <v>1215</v>
      </c>
      <c r="I11" s="180">
        <v>1070</v>
      </c>
      <c r="J11" s="180">
        <v>916</v>
      </c>
      <c r="K11" s="180">
        <v>1562.32</v>
      </c>
      <c r="L11" s="180">
        <v>1369.63</v>
      </c>
      <c r="M11" s="180">
        <v>1215.5</v>
      </c>
      <c r="N11" s="180">
        <v>1216</v>
      </c>
      <c r="O11" s="181">
        <f t="shared" si="0"/>
        <v>11434.009999999998</v>
      </c>
      <c r="Q11" s="182">
        <v>45901</v>
      </c>
      <c r="R11" s="196">
        <v>1940005</v>
      </c>
      <c r="S11" s="180">
        <f>K12</f>
        <v>62636.92</v>
      </c>
      <c r="T11" s="185">
        <f t="shared" si="1"/>
        <v>3.22869889510594E-2</v>
      </c>
      <c r="U11" s="185">
        <v>0.03</v>
      </c>
      <c r="V11" s="197">
        <v>4</v>
      </c>
      <c r="W11" s="187">
        <f t="shared" si="2"/>
        <v>485001.25</v>
      </c>
    </row>
    <row r="12" spans="2:23" ht="15" customHeight="1" x14ac:dyDescent="0.25">
      <c r="B12" s="198" t="s">
        <v>13</v>
      </c>
      <c r="C12" s="199">
        <f t="shared" ref="C12:O12" si="5">SUM(C3:C11)</f>
        <v>63760.76</v>
      </c>
      <c r="D12" s="199">
        <f t="shared" si="5"/>
        <v>63344.82</v>
      </c>
      <c r="E12" s="199">
        <f t="shared" si="5"/>
        <v>61036.72</v>
      </c>
      <c r="F12" s="199">
        <f t="shared" si="5"/>
        <v>63192.369999999995</v>
      </c>
      <c r="G12" s="199">
        <f t="shared" si="5"/>
        <v>66367.95</v>
      </c>
      <c r="H12" s="199">
        <f t="shared" si="5"/>
        <v>57053.2</v>
      </c>
      <c r="I12" s="199">
        <f t="shared" si="5"/>
        <v>62301.748999999996</v>
      </c>
      <c r="J12" s="199">
        <f t="shared" si="5"/>
        <v>67020.2</v>
      </c>
      <c r="K12" s="199">
        <f t="shared" si="5"/>
        <v>62636.92</v>
      </c>
      <c r="L12" s="199">
        <f t="shared" si="5"/>
        <v>61904.329999999994</v>
      </c>
      <c r="M12" s="199">
        <f t="shared" si="5"/>
        <v>64360.2</v>
      </c>
      <c r="N12" s="199">
        <f t="shared" si="5"/>
        <v>55473</v>
      </c>
      <c r="O12" s="199">
        <f t="shared" si="5"/>
        <v>748452.21899999992</v>
      </c>
      <c r="Q12" s="182">
        <v>45931</v>
      </c>
      <c r="R12" s="200">
        <v>2011406</v>
      </c>
      <c r="S12" s="187">
        <f>L12</f>
        <v>61904.329999999994</v>
      </c>
      <c r="T12" s="185">
        <f t="shared" si="1"/>
        <v>3.0776645789064961E-2</v>
      </c>
      <c r="U12" s="185">
        <v>0.03</v>
      </c>
      <c r="V12" s="186">
        <v>4</v>
      </c>
      <c r="W12" s="187">
        <f t="shared" si="2"/>
        <v>502851.5</v>
      </c>
    </row>
    <row r="13" spans="2:23" ht="15" customHeight="1" x14ac:dyDescent="0.25">
      <c r="Q13" s="182">
        <v>45962</v>
      </c>
      <c r="R13" s="196">
        <v>1564054</v>
      </c>
      <c r="S13" s="180">
        <f>M12</f>
        <v>64360.2</v>
      </c>
      <c r="T13" s="185">
        <f t="shared" si="1"/>
        <v>4.1149602251584663E-2</v>
      </c>
      <c r="U13" s="185">
        <v>0.03</v>
      </c>
      <c r="V13" s="197">
        <v>4</v>
      </c>
      <c r="W13" s="180">
        <f t="shared" si="2"/>
        <v>391013.5</v>
      </c>
    </row>
    <row r="14" spans="2:23" ht="15" customHeight="1" x14ac:dyDescent="0.25">
      <c r="B14" s="175" t="s">
        <v>69</v>
      </c>
      <c r="C14" s="176" t="s">
        <v>70</v>
      </c>
      <c r="D14" s="176" t="s">
        <v>71</v>
      </c>
      <c r="E14" s="176" t="s">
        <v>72</v>
      </c>
      <c r="F14" s="176" t="s">
        <v>73</v>
      </c>
      <c r="G14" s="176" t="s">
        <v>74</v>
      </c>
      <c r="H14" s="176" t="s">
        <v>75</v>
      </c>
      <c r="I14" s="176" t="s">
        <v>76</v>
      </c>
      <c r="J14" s="176" t="s">
        <v>77</v>
      </c>
      <c r="K14" s="176" t="s">
        <v>78</v>
      </c>
      <c r="L14" s="176" t="s">
        <v>79</v>
      </c>
      <c r="M14" s="176" t="s">
        <v>80</v>
      </c>
      <c r="N14" s="176" t="s">
        <v>81</v>
      </c>
      <c r="O14" s="177" t="s">
        <v>13</v>
      </c>
      <c r="Q14" s="182">
        <v>45992</v>
      </c>
      <c r="R14" s="200">
        <v>1444984</v>
      </c>
      <c r="S14" s="187">
        <f>N12</f>
        <v>55473</v>
      </c>
      <c r="T14" s="185">
        <f t="shared" si="1"/>
        <v>3.8390044457239668E-2</v>
      </c>
      <c r="U14" s="185">
        <v>0.03</v>
      </c>
      <c r="V14" s="186">
        <v>3</v>
      </c>
      <c r="W14" s="187">
        <f t="shared" si="2"/>
        <v>481661.33333333331</v>
      </c>
    </row>
    <row r="15" spans="2:23" ht="15" customHeight="1" x14ac:dyDescent="0.25">
      <c r="B15" s="179" t="s">
        <v>97</v>
      </c>
      <c r="C15" s="180">
        <v>13226</v>
      </c>
      <c r="D15" s="180">
        <v>13130.21</v>
      </c>
      <c r="E15" s="180">
        <v>11749.71</v>
      </c>
      <c r="F15" s="180">
        <v>13076.92</v>
      </c>
      <c r="G15" s="180">
        <v>14689.69</v>
      </c>
      <c r="H15" s="180">
        <v>10094.15</v>
      </c>
      <c r="I15" s="180">
        <v>12554.18</v>
      </c>
      <c r="J15" s="180">
        <v>14081</v>
      </c>
      <c r="K15" s="180">
        <v>11783.34</v>
      </c>
      <c r="L15" s="180">
        <v>9549.1</v>
      </c>
      <c r="M15" s="180">
        <f>11333.06+4679.17</f>
        <v>16012.23</v>
      </c>
      <c r="N15" s="180">
        <f>9037.22+3829.62</f>
        <v>12866.84</v>
      </c>
      <c r="O15" s="181">
        <f>SUM(C15:N15)</f>
        <v>152813.37</v>
      </c>
    </row>
    <row r="16" spans="2:23" ht="15" customHeight="1" x14ac:dyDescent="0.25">
      <c r="B16" s="179" t="s">
        <v>36</v>
      </c>
      <c r="C16" s="180">
        <f>C5</f>
        <v>1110.4000000000001</v>
      </c>
      <c r="D16" s="180">
        <v>1096</v>
      </c>
      <c r="E16" s="180">
        <v>976</v>
      </c>
      <c r="F16" s="180">
        <v>1097.5999999999999</v>
      </c>
      <c r="G16" s="180">
        <v>1232</v>
      </c>
      <c r="H16" s="180">
        <v>832</v>
      </c>
      <c r="I16" s="180">
        <v>1050.6664000000001</v>
      </c>
      <c r="J16" s="180">
        <v>1232</v>
      </c>
      <c r="K16" s="180">
        <v>1032</v>
      </c>
      <c r="L16" s="180">
        <v>1032</v>
      </c>
      <c r="M16" s="180">
        <v>1032</v>
      </c>
      <c r="N16" s="180">
        <f>N5</f>
        <v>792</v>
      </c>
      <c r="O16" s="181">
        <f>SUM(C16:N16)</f>
        <v>12514.6664</v>
      </c>
    </row>
    <row r="17" spans="2:15" ht="15" customHeight="1" x14ac:dyDescent="0.25">
      <c r="B17" s="179" t="s">
        <v>35</v>
      </c>
      <c r="C17" s="180">
        <f>C6</f>
        <v>3898</v>
      </c>
      <c r="D17" s="180">
        <f>D6</f>
        <v>3740</v>
      </c>
      <c r="E17" s="180">
        <v>3330.6</v>
      </c>
      <c r="F17" s="180">
        <v>3745.56</v>
      </c>
      <c r="G17" s="180">
        <v>4204.2</v>
      </c>
      <c r="H17" s="180">
        <v>2839.2</v>
      </c>
      <c r="I17" s="180">
        <v>3585.3990899999999</v>
      </c>
      <c r="J17" s="180">
        <v>4811.3999999999996</v>
      </c>
      <c r="K17" s="180">
        <v>4129</v>
      </c>
      <c r="L17" s="180">
        <v>4129</v>
      </c>
      <c r="M17" s="180">
        <v>4129</v>
      </c>
      <c r="N17" s="180">
        <f>N6</f>
        <v>3310</v>
      </c>
      <c r="O17" s="181">
        <f>SUM(C17:N17)</f>
        <v>45851.359089999998</v>
      </c>
    </row>
    <row r="18" spans="2:15" ht="15" customHeight="1" x14ac:dyDescent="0.25">
      <c r="B18" s="179" t="s">
        <v>90</v>
      </c>
      <c r="C18" s="180">
        <v>30500</v>
      </c>
      <c r="D18" s="180">
        <v>30500</v>
      </c>
      <c r="E18" s="180">
        <v>30500</v>
      </c>
      <c r="F18" s="180">
        <v>30500</v>
      </c>
      <c r="G18" s="180">
        <v>30500</v>
      </c>
      <c r="H18" s="180">
        <v>30500</v>
      </c>
      <c r="I18" s="180">
        <v>30500</v>
      </c>
      <c r="J18" s="180">
        <v>30500</v>
      </c>
      <c r="K18" s="180">
        <v>30500</v>
      </c>
      <c r="L18" s="180">
        <v>30500</v>
      </c>
      <c r="M18" s="180">
        <f>M4</f>
        <v>32570</v>
      </c>
      <c r="N18" s="180">
        <v>30500</v>
      </c>
      <c r="O18" s="181">
        <v>0</v>
      </c>
    </row>
    <row r="19" spans="2:15" ht="15" customHeight="1" x14ac:dyDescent="0.25">
      <c r="B19" s="179" t="s">
        <v>93</v>
      </c>
      <c r="C19" s="180">
        <v>4000</v>
      </c>
      <c r="D19" s="180">
        <v>4000</v>
      </c>
      <c r="E19" s="180">
        <v>4000</v>
      </c>
      <c r="F19" s="180">
        <v>4000</v>
      </c>
      <c r="G19" s="180">
        <v>4000</v>
      </c>
      <c r="H19" s="180">
        <v>4000</v>
      </c>
      <c r="I19" s="180">
        <v>4000</v>
      </c>
      <c r="J19" s="180">
        <v>4000</v>
      </c>
      <c r="K19" s="180">
        <v>4000</v>
      </c>
      <c r="L19" s="180">
        <v>4000</v>
      </c>
      <c r="M19" s="180">
        <v>4000</v>
      </c>
      <c r="N19" s="180">
        <v>4000</v>
      </c>
      <c r="O19" s="181">
        <f>SUM(C19:N19)</f>
        <v>48000</v>
      </c>
    </row>
    <row r="20" spans="2:15" ht="15" customHeight="1" x14ac:dyDescent="0.25">
      <c r="B20" s="190" t="s">
        <v>94</v>
      </c>
      <c r="C20" s="180">
        <v>3000</v>
      </c>
      <c r="D20" s="180">
        <v>3000</v>
      </c>
      <c r="E20" s="180">
        <v>3150</v>
      </c>
      <c r="F20" s="180">
        <v>2725</v>
      </c>
      <c r="G20" s="180">
        <v>3000</v>
      </c>
      <c r="H20" s="180">
        <v>2000</v>
      </c>
      <c r="I20" s="180">
        <v>2525</v>
      </c>
      <c r="J20" s="180">
        <f>J9</f>
        <v>3675</v>
      </c>
      <c r="K20" s="180">
        <v>3080</v>
      </c>
      <c r="L20" s="180">
        <v>2660</v>
      </c>
      <c r="M20" s="180">
        <f t="shared" ref="M20:N22" si="6">M9</f>
        <v>3080</v>
      </c>
      <c r="N20" s="180">
        <f t="shared" si="6"/>
        <v>2520</v>
      </c>
      <c r="O20" s="181">
        <f>SUM(C20:N20)</f>
        <v>34415</v>
      </c>
    </row>
    <row r="21" spans="2:15" ht="15" customHeight="1" x14ac:dyDescent="0.25">
      <c r="B21" s="190" t="s">
        <v>95</v>
      </c>
      <c r="C21" s="180">
        <v>1134</v>
      </c>
      <c r="D21" s="180">
        <v>1134</v>
      </c>
      <c r="E21" s="180">
        <v>1234.8</v>
      </c>
      <c r="F21" s="180">
        <v>1068.2</v>
      </c>
      <c r="G21" s="180">
        <v>1176</v>
      </c>
      <c r="H21" s="180">
        <v>784</v>
      </c>
      <c r="I21" s="180">
        <v>989.8</v>
      </c>
      <c r="J21" s="180">
        <f>J10</f>
        <v>1050</v>
      </c>
      <c r="K21" s="180">
        <v>880</v>
      </c>
      <c r="L21" s="180">
        <v>760</v>
      </c>
      <c r="M21" s="180">
        <f t="shared" si="6"/>
        <v>880</v>
      </c>
      <c r="N21" s="180">
        <f t="shared" si="6"/>
        <v>630</v>
      </c>
      <c r="O21" s="181">
        <f>SUM(C21:N21)</f>
        <v>11720.8</v>
      </c>
    </row>
    <row r="22" spans="2:15" ht="15" customHeight="1" x14ac:dyDescent="0.25">
      <c r="B22" s="190" t="s">
        <v>96</v>
      </c>
      <c r="C22" s="180">
        <v>526.91999999999996</v>
      </c>
      <c r="D22" s="180">
        <v>526.91999999999996</v>
      </c>
      <c r="E22" s="180">
        <v>526.91999999999996</v>
      </c>
      <c r="F22" s="180">
        <v>681.05</v>
      </c>
      <c r="G22" s="180">
        <v>607.75</v>
      </c>
      <c r="H22" s="180">
        <v>1070.1400000000001</v>
      </c>
      <c r="I22" s="180">
        <v>1070.1400000000001</v>
      </c>
      <c r="J22" s="180">
        <f>J11</f>
        <v>916</v>
      </c>
      <c r="K22" s="180">
        <v>1562</v>
      </c>
      <c r="L22" s="180">
        <v>1370</v>
      </c>
      <c r="M22" s="180">
        <f t="shared" si="6"/>
        <v>1215.5</v>
      </c>
      <c r="N22" s="180">
        <f t="shared" si="6"/>
        <v>1216</v>
      </c>
      <c r="O22" s="181">
        <f>SUM(C22:N22)</f>
        <v>11289.34</v>
      </c>
    </row>
    <row r="23" spans="2:15" ht="15" customHeight="1" x14ac:dyDescent="0.25">
      <c r="B23" s="198" t="s">
        <v>13</v>
      </c>
      <c r="C23" s="199">
        <f t="shared" ref="C23:N23" si="7">SUM(C15:C22)</f>
        <v>57395.32</v>
      </c>
      <c r="D23" s="199">
        <f t="shared" si="7"/>
        <v>57127.13</v>
      </c>
      <c r="E23" s="199">
        <f t="shared" si="7"/>
        <v>55468.03</v>
      </c>
      <c r="F23" s="199">
        <f t="shared" si="7"/>
        <v>56894.33</v>
      </c>
      <c r="G23" s="199">
        <f t="shared" si="7"/>
        <v>59409.64</v>
      </c>
      <c r="H23" s="199">
        <f t="shared" si="7"/>
        <v>52119.49</v>
      </c>
      <c r="I23" s="199">
        <f t="shared" si="7"/>
        <v>56275.185490000003</v>
      </c>
      <c r="J23" s="199">
        <f t="shared" si="7"/>
        <v>60265.4</v>
      </c>
      <c r="K23" s="199">
        <f t="shared" si="7"/>
        <v>56966.34</v>
      </c>
      <c r="L23" s="199">
        <f t="shared" si="7"/>
        <v>54000.1</v>
      </c>
      <c r="M23" s="199">
        <f t="shared" si="7"/>
        <v>62918.729999999996</v>
      </c>
      <c r="N23" s="199">
        <f t="shared" si="7"/>
        <v>55834.84</v>
      </c>
      <c r="O23" s="199">
        <f>SUM(O15:O17)</f>
        <v>211179.39548999997</v>
      </c>
    </row>
    <row r="24" spans="2:15" ht="15" customHeight="1" x14ac:dyDescent="0.25">
      <c r="C24" s="201">
        <f>C23/R3</f>
        <v>3.3008542663281959E-2</v>
      </c>
      <c r="D24" s="201">
        <f>D23/R4</f>
        <v>3.5045727985355261E-2</v>
      </c>
      <c r="E24" s="201">
        <f>E23/R5</f>
        <v>3.6067524809902371E-2</v>
      </c>
      <c r="F24" s="201">
        <f>F23/R6</f>
        <v>3.4584684083928188E-2</v>
      </c>
      <c r="G24" s="201">
        <f>G23/R7</f>
        <v>3.4271101573676681E-2</v>
      </c>
      <c r="H24" s="201">
        <f>H23/R8</f>
        <v>3.4662581868871473E-2</v>
      </c>
      <c r="I24" s="201">
        <f>I23/R9</f>
        <v>3.2638356882364272E-2</v>
      </c>
      <c r="J24" s="201">
        <f>J23/R10</f>
        <v>4.8489798020190739E-2</v>
      </c>
      <c r="K24" s="201">
        <f>K23/R11</f>
        <v>2.9364017103048701E-2</v>
      </c>
      <c r="L24" s="201">
        <f>L23/R12</f>
        <v>2.6846941890399052E-2</v>
      </c>
      <c r="M24" s="201">
        <f>M23/R13</f>
        <v>4.0227978062138514E-2</v>
      </c>
      <c r="N24" s="201">
        <f>N23/R14</f>
        <v>3.8640455534455741E-2</v>
      </c>
    </row>
  </sheetData>
  <conditionalFormatting sqref="Q3:W3 R4:T5 Q4:Q14 U4:U14">
    <cfRule type="expression" dxfId="41" priority="6">
      <formula>ODD(ROW()) = ROW()</formula>
    </cfRule>
  </conditionalFormatting>
  <conditionalFormatting sqref="R7:T7">
    <cfRule type="expression" dxfId="40" priority="4">
      <formula>ODD(ROW()) = ROW()</formula>
    </cfRule>
  </conditionalFormatting>
  <conditionalFormatting sqref="S6:T6">
    <cfRule type="expression" dxfId="39" priority="5">
      <formula>ODD(ROW()) = ROW()</formula>
    </cfRule>
  </conditionalFormatting>
  <conditionalFormatting sqref="T8:T14">
    <cfRule type="expression" dxfId="38" priority="2">
      <formula>ODD(ROW()) = ROW()</formula>
    </cfRule>
  </conditionalFormatting>
  <conditionalFormatting sqref="V4:W8 V9:V10 W9:W14">
    <cfRule type="expression" dxfId="37" priority="3">
      <formula>ODD(ROW()) = ROW()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U36"/>
  <sheetViews>
    <sheetView showGridLines="0" zoomScaleNormal="100" workbookViewId="0">
      <selection activeCell="F20" sqref="F20"/>
    </sheetView>
  </sheetViews>
  <sheetFormatPr defaultColWidth="9.140625" defaultRowHeight="12.75" x14ac:dyDescent="0.25"/>
  <cols>
    <col min="1" max="1" width="9.140625" style="57"/>
    <col min="2" max="2" width="10" style="57" customWidth="1"/>
    <col min="3" max="3" width="40" style="57" customWidth="1"/>
    <col min="4" max="4" width="12.5703125" style="57" customWidth="1"/>
    <col min="5" max="6" width="10.7109375" style="57" customWidth="1"/>
    <col min="7" max="7" width="11.5703125" style="57" customWidth="1"/>
    <col min="8" max="11" width="10.42578125" style="57" customWidth="1"/>
    <col min="12" max="12" width="4.140625" style="57" customWidth="1"/>
    <col min="13" max="13" width="11.42578125" style="58" customWidth="1"/>
    <col min="14" max="14" width="4.140625" style="57" customWidth="1"/>
    <col min="15" max="16" width="10.42578125" style="57" customWidth="1"/>
    <col min="17" max="17" width="4.140625" style="57" customWidth="1"/>
    <col min="18" max="18" width="27.140625" style="57" customWidth="1"/>
    <col min="19" max="19" width="2.140625" style="57" customWidth="1"/>
    <col min="20" max="20" width="13.140625" style="57" customWidth="1"/>
    <col min="21" max="21" width="5.140625" style="57" customWidth="1"/>
    <col min="22" max="262" width="9.140625" style="57"/>
    <col min="263" max="263" width="10" style="57" customWidth="1"/>
    <col min="264" max="264" width="40" style="57" customWidth="1"/>
    <col min="265" max="265" width="12.5703125" style="57" customWidth="1"/>
    <col min="266" max="267" width="10.42578125" style="57" customWidth="1"/>
    <col min="268" max="268" width="11.5703125" style="57" customWidth="1"/>
    <col min="269" max="270" width="10.42578125" style="57" customWidth="1"/>
    <col min="271" max="271" width="6.5703125" style="57" customWidth="1"/>
    <col min="272" max="272" width="11.42578125" style="57" customWidth="1"/>
    <col min="273" max="273" width="4.140625" style="57" customWidth="1"/>
    <col min="274" max="274" width="18.5703125" style="57" customWidth="1"/>
    <col min="275" max="275" width="2.140625" style="57" customWidth="1"/>
    <col min="276" max="276" width="10.42578125" style="57" customWidth="1"/>
    <col min="277" max="518" width="9.140625" style="57"/>
    <col min="519" max="519" width="10" style="57" customWidth="1"/>
    <col min="520" max="520" width="40" style="57" customWidth="1"/>
    <col min="521" max="521" width="12.5703125" style="57" customWidth="1"/>
    <col min="522" max="523" width="10.42578125" style="57" customWidth="1"/>
    <col min="524" max="524" width="11.5703125" style="57" customWidth="1"/>
    <col min="525" max="526" width="10.42578125" style="57" customWidth="1"/>
    <col min="527" max="527" width="6.5703125" style="57" customWidth="1"/>
    <col min="528" max="528" width="11.42578125" style="57" customWidth="1"/>
    <col min="529" max="529" width="4.140625" style="57" customWidth="1"/>
    <col min="530" max="530" width="18.5703125" style="57" customWidth="1"/>
    <col min="531" max="531" width="2.140625" style="57" customWidth="1"/>
    <col min="532" max="532" width="10.42578125" style="57" customWidth="1"/>
    <col min="533" max="774" width="9.140625" style="57"/>
    <col min="775" max="775" width="10" style="57" customWidth="1"/>
    <col min="776" max="776" width="40" style="57" customWidth="1"/>
    <col min="777" max="777" width="12.5703125" style="57" customWidth="1"/>
    <col min="778" max="779" width="10.42578125" style="57" customWidth="1"/>
    <col min="780" max="780" width="11.5703125" style="57" customWidth="1"/>
    <col min="781" max="782" width="10.42578125" style="57" customWidth="1"/>
    <col min="783" max="783" width="6.5703125" style="57" customWidth="1"/>
    <col min="784" max="784" width="11.42578125" style="57" customWidth="1"/>
    <col min="785" max="785" width="4.140625" style="57" customWidth="1"/>
    <col min="786" max="786" width="18.5703125" style="57" customWidth="1"/>
    <col min="787" max="787" width="2.140625" style="57" customWidth="1"/>
    <col min="788" max="788" width="10.42578125" style="57" customWidth="1"/>
    <col min="789" max="1030" width="9.140625" style="57"/>
    <col min="1031" max="1031" width="10" style="57" customWidth="1"/>
    <col min="1032" max="1032" width="40" style="57" customWidth="1"/>
    <col min="1033" max="1033" width="12.5703125" style="57" customWidth="1"/>
    <col min="1034" max="1035" width="10.42578125" style="57" customWidth="1"/>
    <col min="1036" max="1036" width="11.5703125" style="57" customWidth="1"/>
    <col min="1037" max="1038" width="10.42578125" style="57" customWidth="1"/>
    <col min="1039" max="1039" width="6.5703125" style="57" customWidth="1"/>
    <col min="1040" max="1040" width="11.42578125" style="57" customWidth="1"/>
    <col min="1041" max="1041" width="4.140625" style="57" customWidth="1"/>
    <col min="1042" max="1042" width="18.5703125" style="57" customWidth="1"/>
    <col min="1043" max="1043" width="2.140625" style="57" customWidth="1"/>
    <col min="1044" max="1044" width="10.42578125" style="57" customWidth="1"/>
    <col min="1045" max="1286" width="9.140625" style="57"/>
    <col min="1287" max="1287" width="10" style="57" customWidth="1"/>
    <col min="1288" max="1288" width="40" style="57" customWidth="1"/>
    <col min="1289" max="1289" width="12.5703125" style="57" customWidth="1"/>
    <col min="1290" max="1291" width="10.42578125" style="57" customWidth="1"/>
    <col min="1292" max="1292" width="11.5703125" style="57" customWidth="1"/>
    <col min="1293" max="1294" width="10.42578125" style="57" customWidth="1"/>
    <col min="1295" max="1295" width="6.5703125" style="57" customWidth="1"/>
    <col min="1296" max="1296" width="11.42578125" style="57" customWidth="1"/>
    <col min="1297" max="1297" width="4.140625" style="57" customWidth="1"/>
    <col min="1298" max="1298" width="18.5703125" style="57" customWidth="1"/>
    <col min="1299" max="1299" width="2.140625" style="57" customWidth="1"/>
    <col min="1300" max="1300" width="10.42578125" style="57" customWidth="1"/>
    <col min="1301" max="1542" width="9.140625" style="57"/>
    <col min="1543" max="1543" width="10" style="57" customWidth="1"/>
    <col min="1544" max="1544" width="40" style="57" customWidth="1"/>
    <col min="1545" max="1545" width="12.5703125" style="57" customWidth="1"/>
    <col min="1546" max="1547" width="10.42578125" style="57" customWidth="1"/>
    <col min="1548" max="1548" width="11.5703125" style="57" customWidth="1"/>
    <col min="1549" max="1550" width="10.42578125" style="57" customWidth="1"/>
    <col min="1551" max="1551" width="6.5703125" style="57" customWidth="1"/>
    <col min="1552" max="1552" width="11.42578125" style="57" customWidth="1"/>
    <col min="1553" max="1553" width="4.140625" style="57" customWidth="1"/>
    <col min="1554" max="1554" width="18.5703125" style="57" customWidth="1"/>
    <col min="1555" max="1555" width="2.140625" style="57" customWidth="1"/>
    <col min="1556" max="1556" width="10.42578125" style="57" customWidth="1"/>
    <col min="1557" max="1798" width="9.140625" style="57"/>
    <col min="1799" max="1799" width="10" style="57" customWidth="1"/>
    <col min="1800" max="1800" width="40" style="57" customWidth="1"/>
    <col min="1801" max="1801" width="12.5703125" style="57" customWidth="1"/>
    <col min="1802" max="1803" width="10.42578125" style="57" customWidth="1"/>
    <col min="1804" max="1804" width="11.5703125" style="57" customWidth="1"/>
    <col min="1805" max="1806" width="10.42578125" style="57" customWidth="1"/>
    <col min="1807" max="1807" width="6.5703125" style="57" customWidth="1"/>
    <col min="1808" max="1808" width="11.42578125" style="57" customWidth="1"/>
    <col min="1809" max="1809" width="4.140625" style="57" customWidth="1"/>
    <col min="1810" max="1810" width="18.5703125" style="57" customWidth="1"/>
    <col min="1811" max="1811" width="2.140625" style="57" customWidth="1"/>
    <col min="1812" max="1812" width="10.42578125" style="57" customWidth="1"/>
    <col min="1813" max="2054" width="9.140625" style="57"/>
    <col min="2055" max="2055" width="10" style="57" customWidth="1"/>
    <col min="2056" max="2056" width="40" style="57" customWidth="1"/>
    <col min="2057" max="2057" width="12.5703125" style="57" customWidth="1"/>
    <col min="2058" max="2059" width="10.42578125" style="57" customWidth="1"/>
    <col min="2060" max="2060" width="11.5703125" style="57" customWidth="1"/>
    <col min="2061" max="2062" width="10.42578125" style="57" customWidth="1"/>
    <col min="2063" max="2063" width="6.5703125" style="57" customWidth="1"/>
    <col min="2064" max="2064" width="11.42578125" style="57" customWidth="1"/>
    <col min="2065" max="2065" width="4.140625" style="57" customWidth="1"/>
    <col min="2066" max="2066" width="18.5703125" style="57" customWidth="1"/>
    <col min="2067" max="2067" width="2.140625" style="57" customWidth="1"/>
    <col min="2068" max="2068" width="10.42578125" style="57" customWidth="1"/>
    <col min="2069" max="2310" width="9.140625" style="57"/>
    <col min="2311" max="2311" width="10" style="57" customWidth="1"/>
    <col min="2312" max="2312" width="40" style="57" customWidth="1"/>
    <col min="2313" max="2313" width="12.5703125" style="57" customWidth="1"/>
    <col min="2314" max="2315" width="10.42578125" style="57" customWidth="1"/>
    <col min="2316" max="2316" width="11.5703125" style="57" customWidth="1"/>
    <col min="2317" max="2318" width="10.42578125" style="57" customWidth="1"/>
    <col min="2319" max="2319" width="6.5703125" style="57" customWidth="1"/>
    <col min="2320" max="2320" width="11.42578125" style="57" customWidth="1"/>
    <col min="2321" max="2321" width="4.140625" style="57" customWidth="1"/>
    <col min="2322" max="2322" width="18.5703125" style="57" customWidth="1"/>
    <col min="2323" max="2323" width="2.140625" style="57" customWidth="1"/>
    <col min="2324" max="2324" width="10.42578125" style="57" customWidth="1"/>
    <col min="2325" max="2566" width="9.140625" style="57"/>
    <col min="2567" max="2567" width="10" style="57" customWidth="1"/>
    <col min="2568" max="2568" width="40" style="57" customWidth="1"/>
    <col min="2569" max="2569" width="12.5703125" style="57" customWidth="1"/>
    <col min="2570" max="2571" width="10.42578125" style="57" customWidth="1"/>
    <col min="2572" max="2572" width="11.5703125" style="57" customWidth="1"/>
    <col min="2573" max="2574" width="10.42578125" style="57" customWidth="1"/>
    <col min="2575" max="2575" width="6.5703125" style="57" customWidth="1"/>
    <col min="2576" max="2576" width="11.42578125" style="57" customWidth="1"/>
    <col min="2577" max="2577" width="4.140625" style="57" customWidth="1"/>
    <col min="2578" max="2578" width="18.5703125" style="57" customWidth="1"/>
    <col min="2579" max="2579" width="2.140625" style="57" customWidth="1"/>
    <col min="2580" max="2580" width="10.42578125" style="57" customWidth="1"/>
    <col min="2581" max="2822" width="9.140625" style="57"/>
    <col min="2823" max="2823" width="10" style="57" customWidth="1"/>
    <col min="2824" max="2824" width="40" style="57" customWidth="1"/>
    <col min="2825" max="2825" width="12.5703125" style="57" customWidth="1"/>
    <col min="2826" max="2827" width="10.42578125" style="57" customWidth="1"/>
    <col min="2828" max="2828" width="11.5703125" style="57" customWidth="1"/>
    <col min="2829" max="2830" width="10.42578125" style="57" customWidth="1"/>
    <col min="2831" max="2831" width="6.5703125" style="57" customWidth="1"/>
    <col min="2832" max="2832" width="11.42578125" style="57" customWidth="1"/>
    <col min="2833" max="2833" width="4.140625" style="57" customWidth="1"/>
    <col min="2834" max="2834" width="18.5703125" style="57" customWidth="1"/>
    <col min="2835" max="2835" width="2.140625" style="57" customWidth="1"/>
    <col min="2836" max="2836" width="10.42578125" style="57" customWidth="1"/>
    <col min="2837" max="3078" width="9.140625" style="57"/>
    <col min="3079" max="3079" width="10" style="57" customWidth="1"/>
    <col min="3080" max="3080" width="40" style="57" customWidth="1"/>
    <col min="3081" max="3081" width="12.5703125" style="57" customWidth="1"/>
    <col min="3082" max="3083" width="10.42578125" style="57" customWidth="1"/>
    <col min="3084" max="3084" width="11.5703125" style="57" customWidth="1"/>
    <col min="3085" max="3086" width="10.42578125" style="57" customWidth="1"/>
    <col min="3087" max="3087" width="6.5703125" style="57" customWidth="1"/>
    <col min="3088" max="3088" width="11.42578125" style="57" customWidth="1"/>
    <col min="3089" max="3089" width="4.140625" style="57" customWidth="1"/>
    <col min="3090" max="3090" width="18.5703125" style="57" customWidth="1"/>
    <col min="3091" max="3091" width="2.140625" style="57" customWidth="1"/>
    <col min="3092" max="3092" width="10.42578125" style="57" customWidth="1"/>
    <col min="3093" max="3334" width="9.140625" style="57"/>
    <col min="3335" max="3335" width="10" style="57" customWidth="1"/>
    <col min="3336" max="3336" width="40" style="57" customWidth="1"/>
    <col min="3337" max="3337" width="12.5703125" style="57" customWidth="1"/>
    <col min="3338" max="3339" width="10.42578125" style="57" customWidth="1"/>
    <col min="3340" max="3340" width="11.5703125" style="57" customWidth="1"/>
    <col min="3341" max="3342" width="10.42578125" style="57" customWidth="1"/>
    <col min="3343" max="3343" width="6.5703125" style="57" customWidth="1"/>
    <col min="3344" max="3344" width="11.42578125" style="57" customWidth="1"/>
    <col min="3345" max="3345" width="4.140625" style="57" customWidth="1"/>
    <col min="3346" max="3346" width="18.5703125" style="57" customWidth="1"/>
    <col min="3347" max="3347" width="2.140625" style="57" customWidth="1"/>
    <col min="3348" max="3348" width="10.42578125" style="57" customWidth="1"/>
    <col min="3349" max="3590" width="9.140625" style="57"/>
    <col min="3591" max="3591" width="10" style="57" customWidth="1"/>
    <col min="3592" max="3592" width="40" style="57" customWidth="1"/>
    <col min="3593" max="3593" width="12.5703125" style="57" customWidth="1"/>
    <col min="3594" max="3595" width="10.42578125" style="57" customWidth="1"/>
    <col min="3596" max="3596" width="11.5703125" style="57" customWidth="1"/>
    <col min="3597" max="3598" width="10.42578125" style="57" customWidth="1"/>
    <col min="3599" max="3599" width="6.5703125" style="57" customWidth="1"/>
    <col min="3600" max="3600" width="11.42578125" style="57" customWidth="1"/>
    <col min="3601" max="3601" width="4.140625" style="57" customWidth="1"/>
    <col min="3602" max="3602" width="18.5703125" style="57" customWidth="1"/>
    <col min="3603" max="3603" width="2.140625" style="57" customWidth="1"/>
    <col min="3604" max="3604" width="10.42578125" style="57" customWidth="1"/>
    <col min="3605" max="3846" width="9.140625" style="57"/>
    <col min="3847" max="3847" width="10" style="57" customWidth="1"/>
    <col min="3848" max="3848" width="40" style="57" customWidth="1"/>
    <col min="3849" max="3849" width="12.5703125" style="57" customWidth="1"/>
    <col min="3850" max="3851" width="10.42578125" style="57" customWidth="1"/>
    <col min="3852" max="3852" width="11.5703125" style="57" customWidth="1"/>
    <col min="3853" max="3854" width="10.42578125" style="57" customWidth="1"/>
    <col min="3855" max="3855" width="6.5703125" style="57" customWidth="1"/>
    <col min="3856" max="3856" width="11.42578125" style="57" customWidth="1"/>
    <col min="3857" max="3857" width="4.140625" style="57" customWidth="1"/>
    <col min="3858" max="3858" width="18.5703125" style="57" customWidth="1"/>
    <col min="3859" max="3859" width="2.140625" style="57" customWidth="1"/>
    <col min="3860" max="3860" width="10.42578125" style="57" customWidth="1"/>
    <col min="3861" max="4102" width="9.140625" style="57"/>
    <col min="4103" max="4103" width="10" style="57" customWidth="1"/>
    <col min="4104" max="4104" width="40" style="57" customWidth="1"/>
    <col min="4105" max="4105" width="12.5703125" style="57" customWidth="1"/>
    <col min="4106" max="4107" width="10.42578125" style="57" customWidth="1"/>
    <col min="4108" max="4108" width="11.5703125" style="57" customWidth="1"/>
    <col min="4109" max="4110" width="10.42578125" style="57" customWidth="1"/>
    <col min="4111" max="4111" width="6.5703125" style="57" customWidth="1"/>
    <col min="4112" max="4112" width="11.42578125" style="57" customWidth="1"/>
    <col min="4113" max="4113" width="4.140625" style="57" customWidth="1"/>
    <col min="4114" max="4114" width="18.5703125" style="57" customWidth="1"/>
    <col min="4115" max="4115" width="2.140625" style="57" customWidth="1"/>
    <col min="4116" max="4116" width="10.42578125" style="57" customWidth="1"/>
    <col min="4117" max="4358" width="9.140625" style="57"/>
    <col min="4359" max="4359" width="10" style="57" customWidth="1"/>
    <col min="4360" max="4360" width="40" style="57" customWidth="1"/>
    <col min="4361" max="4361" width="12.5703125" style="57" customWidth="1"/>
    <col min="4362" max="4363" width="10.42578125" style="57" customWidth="1"/>
    <col min="4364" max="4364" width="11.5703125" style="57" customWidth="1"/>
    <col min="4365" max="4366" width="10.42578125" style="57" customWidth="1"/>
    <col min="4367" max="4367" width="6.5703125" style="57" customWidth="1"/>
    <col min="4368" max="4368" width="11.42578125" style="57" customWidth="1"/>
    <col min="4369" max="4369" width="4.140625" style="57" customWidth="1"/>
    <col min="4370" max="4370" width="18.5703125" style="57" customWidth="1"/>
    <col min="4371" max="4371" width="2.140625" style="57" customWidth="1"/>
    <col min="4372" max="4372" width="10.42578125" style="57" customWidth="1"/>
    <col min="4373" max="4614" width="9.140625" style="57"/>
    <col min="4615" max="4615" width="10" style="57" customWidth="1"/>
    <col min="4616" max="4616" width="40" style="57" customWidth="1"/>
    <col min="4617" max="4617" width="12.5703125" style="57" customWidth="1"/>
    <col min="4618" max="4619" width="10.42578125" style="57" customWidth="1"/>
    <col min="4620" max="4620" width="11.5703125" style="57" customWidth="1"/>
    <col min="4621" max="4622" width="10.42578125" style="57" customWidth="1"/>
    <col min="4623" max="4623" width="6.5703125" style="57" customWidth="1"/>
    <col min="4624" max="4624" width="11.42578125" style="57" customWidth="1"/>
    <col min="4625" max="4625" width="4.140625" style="57" customWidth="1"/>
    <col min="4626" max="4626" width="18.5703125" style="57" customWidth="1"/>
    <col min="4627" max="4627" width="2.140625" style="57" customWidth="1"/>
    <col min="4628" max="4628" width="10.42578125" style="57" customWidth="1"/>
    <col min="4629" max="4870" width="9.140625" style="57"/>
    <col min="4871" max="4871" width="10" style="57" customWidth="1"/>
    <col min="4872" max="4872" width="40" style="57" customWidth="1"/>
    <col min="4873" max="4873" width="12.5703125" style="57" customWidth="1"/>
    <col min="4874" max="4875" width="10.42578125" style="57" customWidth="1"/>
    <col min="4876" max="4876" width="11.5703125" style="57" customWidth="1"/>
    <col min="4877" max="4878" width="10.42578125" style="57" customWidth="1"/>
    <col min="4879" max="4879" width="6.5703125" style="57" customWidth="1"/>
    <col min="4880" max="4880" width="11.42578125" style="57" customWidth="1"/>
    <col min="4881" max="4881" width="4.140625" style="57" customWidth="1"/>
    <col min="4882" max="4882" width="18.5703125" style="57" customWidth="1"/>
    <col min="4883" max="4883" width="2.140625" style="57" customWidth="1"/>
    <col min="4884" max="4884" width="10.42578125" style="57" customWidth="1"/>
    <col min="4885" max="5126" width="9.140625" style="57"/>
    <col min="5127" max="5127" width="10" style="57" customWidth="1"/>
    <col min="5128" max="5128" width="40" style="57" customWidth="1"/>
    <col min="5129" max="5129" width="12.5703125" style="57" customWidth="1"/>
    <col min="5130" max="5131" width="10.42578125" style="57" customWidth="1"/>
    <col min="5132" max="5132" width="11.5703125" style="57" customWidth="1"/>
    <col min="5133" max="5134" width="10.42578125" style="57" customWidth="1"/>
    <col min="5135" max="5135" width="6.5703125" style="57" customWidth="1"/>
    <col min="5136" max="5136" width="11.42578125" style="57" customWidth="1"/>
    <col min="5137" max="5137" width="4.140625" style="57" customWidth="1"/>
    <col min="5138" max="5138" width="18.5703125" style="57" customWidth="1"/>
    <col min="5139" max="5139" width="2.140625" style="57" customWidth="1"/>
    <col min="5140" max="5140" width="10.42578125" style="57" customWidth="1"/>
    <col min="5141" max="5382" width="9.140625" style="57"/>
    <col min="5383" max="5383" width="10" style="57" customWidth="1"/>
    <col min="5384" max="5384" width="40" style="57" customWidth="1"/>
    <col min="5385" max="5385" width="12.5703125" style="57" customWidth="1"/>
    <col min="5386" max="5387" width="10.42578125" style="57" customWidth="1"/>
    <col min="5388" max="5388" width="11.5703125" style="57" customWidth="1"/>
    <col min="5389" max="5390" width="10.42578125" style="57" customWidth="1"/>
    <col min="5391" max="5391" width="6.5703125" style="57" customWidth="1"/>
    <col min="5392" max="5392" width="11.42578125" style="57" customWidth="1"/>
    <col min="5393" max="5393" width="4.140625" style="57" customWidth="1"/>
    <col min="5394" max="5394" width="18.5703125" style="57" customWidth="1"/>
    <col min="5395" max="5395" width="2.140625" style="57" customWidth="1"/>
    <col min="5396" max="5396" width="10.42578125" style="57" customWidth="1"/>
    <col min="5397" max="5638" width="9.140625" style="57"/>
    <col min="5639" max="5639" width="10" style="57" customWidth="1"/>
    <col min="5640" max="5640" width="40" style="57" customWidth="1"/>
    <col min="5641" max="5641" width="12.5703125" style="57" customWidth="1"/>
    <col min="5642" max="5643" width="10.42578125" style="57" customWidth="1"/>
    <col min="5644" max="5644" width="11.5703125" style="57" customWidth="1"/>
    <col min="5645" max="5646" width="10.42578125" style="57" customWidth="1"/>
    <col min="5647" max="5647" width="6.5703125" style="57" customWidth="1"/>
    <col min="5648" max="5648" width="11.42578125" style="57" customWidth="1"/>
    <col min="5649" max="5649" width="4.140625" style="57" customWidth="1"/>
    <col min="5650" max="5650" width="18.5703125" style="57" customWidth="1"/>
    <col min="5651" max="5651" width="2.140625" style="57" customWidth="1"/>
    <col min="5652" max="5652" width="10.42578125" style="57" customWidth="1"/>
    <col min="5653" max="5894" width="9.140625" style="57"/>
    <col min="5895" max="5895" width="10" style="57" customWidth="1"/>
    <col min="5896" max="5896" width="40" style="57" customWidth="1"/>
    <col min="5897" max="5897" width="12.5703125" style="57" customWidth="1"/>
    <col min="5898" max="5899" width="10.42578125" style="57" customWidth="1"/>
    <col min="5900" max="5900" width="11.5703125" style="57" customWidth="1"/>
    <col min="5901" max="5902" width="10.42578125" style="57" customWidth="1"/>
    <col min="5903" max="5903" width="6.5703125" style="57" customWidth="1"/>
    <col min="5904" max="5904" width="11.42578125" style="57" customWidth="1"/>
    <col min="5905" max="5905" width="4.140625" style="57" customWidth="1"/>
    <col min="5906" max="5906" width="18.5703125" style="57" customWidth="1"/>
    <col min="5907" max="5907" width="2.140625" style="57" customWidth="1"/>
    <col min="5908" max="5908" width="10.42578125" style="57" customWidth="1"/>
    <col min="5909" max="6150" width="9.140625" style="57"/>
    <col min="6151" max="6151" width="10" style="57" customWidth="1"/>
    <col min="6152" max="6152" width="40" style="57" customWidth="1"/>
    <col min="6153" max="6153" width="12.5703125" style="57" customWidth="1"/>
    <col min="6154" max="6155" width="10.42578125" style="57" customWidth="1"/>
    <col min="6156" max="6156" width="11.5703125" style="57" customWidth="1"/>
    <col min="6157" max="6158" width="10.42578125" style="57" customWidth="1"/>
    <col min="6159" max="6159" width="6.5703125" style="57" customWidth="1"/>
    <col min="6160" max="6160" width="11.42578125" style="57" customWidth="1"/>
    <col min="6161" max="6161" width="4.140625" style="57" customWidth="1"/>
    <col min="6162" max="6162" width="18.5703125" style="57" customWidth="1"/>
    <col min="6163" max="6163" width="2.140625" style="57" customWidth="1"/>
    <col min="6164" max="6164" width="10.42578125" style="57" customWidth="1"/>
    <col min="6165" max="6406" width="9.140625" style="57"/>
    <col min="6407" max="6407" width="10" style="57" customWidth="1"/>
    <col min="6408" max="6408" width="40" style="57" customWidth="1"/>
    <col min="6409" max="6409" width="12.5703125" style="57" customWidth="1"/>
    <col min="6410" max="6411" width="10.42578125" style="57" customWidth="1"/>
    <col min="6412" max="6412" width="11.5703125" style="57" customWidth="1"/>
    <col min="6413" max="6414" width="10.42578125" style="57" customWidth="1"/>
    <col min="6415" max="6415" width="6.5703125" style="57" customWidth="1"/>
    <col min="6416" max="6416" width="11.42578125" style="57" customWidth="1"/>
    <col min="6417" max="6417" width="4.140625" style="57" customWidth="1"/>
    <col min="6418" max="6418" width="18.5703125" style="57" customWidth="1"/>
    <col min="6419" max="6419" width="2.140625" style="57" customWidth="1"/>
    <col min="6420" max="6420" width="10.42578125" style="57" customWidth="1"/>
    <col min="6421" max="6662" width="9.140625" style="57"/>
    <col min="6663" max="6663" width="10" style="57" customWidth="1"/>
    <col min="6664" max="6664" width="40" style="57" customWidth="1"/>
    <col min="6665" max="6665" width="12.5703125" style="57" customWidth="1"/>
    <col min="6666" max="6667" width="10.42578125" style="57" customWidth="1"/>
    <col min="6668" max="6668" width="11.5703125" style="57" customWidth="1"/>
    <col min="6669" max="6670" width="10.42578125" style="57" customWidth="1"/>
    <col min="6671" max="6671" width="6.5703125" style="57" customWidth="1"/>
    <col min="6672" max="6672" width="11.42578125" style="57" customWidth="1"/>
    <col min="6673" max="6673" width="4.140625" style="57" customWidth="1"/>
    <col min="6674" max="6674" width="18.5703125" style="57" customWidth="1"/>
    <col min="6675" max="6675" width="2.140625" style="57" customWidth="1"/>
    <col min="6676" max="6676" width="10.42578125" style="57" customWidth="1"/>
    <col min="6677" max="6918" width="9.140625" style="57"/>
    <col min="6919" max="6919" width="10" style="57" customWidth="1"/>
    <col min="6920" max="6920" width="40" style="57" customWidth="1"/>
    <col min="6921" max="6921" width="12.5703125" style="57" customWidth="1"/>
    <col min="6922" max="6923" width="10.42578125" style="57" customWidth="1"/>
    <col min="6924" max="6924" width="11.5703125" style="57" customWidth="1"/>
    <col min="6925" max="6926" width="10.42578125" style="57" customWidth="1"/>
    <col min="6927" max="6927" width="6.5703125" style="57" customWidth="1"/>
    <col min="6928" max="6928" width="11.42578125" style="57" customWidth="1"/>
    <col min="6929" max="6929" width="4.140625" style="57" customWidth="1"/>
    <col min="6930" max="6930" width="18.5703125" style="57" customWidth="1"/>
    <col min="6931" max="6931" width="2.140625" style="57" customWidth="1"/>
    <col min="6932" max="6932" width="10.42578125" style="57" customWidth="1"/>
    <col min="6933" max="7174" width="9.140625" style="57"/>
    <col min="7175" max="7175" width="10" style="57" customWidth="1"/>
    <col min="7176" max="7176" width="40" style="57" customWidth="1"/>
    <col min="7177" max="7177" width="12.5703125" style="57" customWidth="1"/>
    <col min="7178" max="7179" width="10.42578125" style="57" customWidth="1"/>
    <col min="7180" max="7180" width="11.5703125" style="57" customWidth="1"/>
    <col min="7181" max="7182" width="10.42578125" style="57" customWidth="1"/>
    <col min="7183" max="7183" width="6.5703125" style="57" customWidth="1"/>
    <col min="7184" max="7184" width="11.42578125" style="57" customWidth="1"/>
    <col min="7185" max="7185" width="4.140625" style="57" customWidth="1"/>
    <col min="7186" max="7186" width="18.5703125" style="57" customWidth="1"/>
    <col min="7187" max="7187" width="2.140625" style="57" customWidth="1"/>
    <col min="7188" max="7188" width="10.42578125" style="57" customWidth="1"/>
    <col min="7189" max="7430" width="9.140625" style="57"/>
    <col min="7431" max="7431" width="10" style="57" customWidth="1"/>
    <col min="7432" max="7432" width="40" style="57" customWidth="1"/>
    <col min="7433" max="7433" width="12.5703125" style="57" customWidth="1"/>
    <col min="7434" max="7435" width="10.42578125" style="57" customWidth="1"/>
    <col min="7436" max="7436" width="11.5703125" style="57" customWidth="1"/>
    <col min="7437" max="7438" width="10.42578125" style="57" customWidth="1"/>
    <col min="7439" max="7439" width="6.5703125" style="57" customWidth="1"/>
    <col min="7440" max="7440" width="11.42578125" style="57" customWidth="1"/>
    <col min="7441" max="7441" width="4.140625" style="57" customWidth="1"/>
    <col min="7442" max="7442" width="18.5703125" style="57" customWidth="1"/>
    <col min="7443" max="7443" width="2.140625" style="57" customWidth="1"/>
    <col min="7444" max="7444" width="10.42578125" style="57" customWidth="1"/>
    <col min="7445" max="7686" width="9.140625" style="57"/>
    <col min="7687" max="7687" width="10" style="57" customWidth="1"/>
    <col min="7688" max="7688" width="40" style="57" customWidth="1"/>
    <col min="7689" max="7689" width="12.5703125" style="57" customWidth="1"/>
    <col min="7690" max="7691" width="10.42578125" style="57" customWidth="1"/>
    <col min="7692" max="7692" width="11.5703125" style="57" customWidth="1"/>
    <col min="7693" max="7694" width="10.42578125" style="57" customWidth="1"/>
    <col min="7695" max="7695" width="6.5703125" style="57" customWidth="1"/>
    <col min="7696" max="7696" width="11.42578125" style="57" customWidth="1"/>
    <col min="7697" max="7697" width="4.140625" style="57" customWidth="1"/>
    <col min="7698" max="7698" width="18.5703125" style="57" customWidth="1"/>
    <col min="7699" max="7699" width="2.140625" style="57" customWidth="1"/>
    <col min="7700" max="7700" width="10.42578125" style="57" customWidth="1"/>
    <col min="7701" max="7942" width="9.140625" style="57"/>
    <col min="7943" max="7943" width="10" style="57" customWidth="1"/>
    <col min="7944" max="7944" width="40" style="57" customWidth="1"/>
    <col min="7945" max="7945" width="12.5703125" style="57" customWidth="1"/>
    <col min="7946" max="7947" width="10.42578125" style="57" customWidth="1"/>
    <col min="7948" max="7948" width="11.5703125" style="57" customWidth="1"/>
    <col min="7949" max="7950" width="10.42578125" style="57" customWidth="1"/>
    <col min="7951" max="7951" width="6.5703125" style="57" customWidth="1"/>
    <col min="7952" max="7952" width="11.42578125" style="57" customWidth="1"/>
    <col min="7953" max="7953" width="4.140625" style="57" customWidth="1"/>
    <col min="7954" max="7954" width="18.5703125" style="57" customWidth="1"/>
    <col min="7955" max="7955" width="2.140625" style="57" customWidth="1"/>
    <col min="7956" max="7956" width="10.42578125" style="57" customWidth="1"/>
    <col min="7957" max="8198" width="9.140625" style="57"/>
    <col min="8199" max="8199" width="10" style="57" customWidth="1"/>
    <col min="8200" max="8200" width="40" style="57" customWidth="1"/>
    <col min="8201" max="8201" width="12.5703125" style="57" customWidth="1"/>
    <col min="8202" max="8203" width="10.42578125" style="57" customWidth="1"/>
    <col min="8204" max="8204" width="11.5703125" style="57" customWidth="1"/>
    <col min="8205" max="8206" width="10.42578125" style="57" customWidth="1"/>
    <col min="8207" max="8207" width="6.5703125" style="57" customWidth="1"/>
    <col min="8208" max="8208" width="11.42578125" style="57" customWidth="1"/>
    <col min="8209" max="8209" width="4.140625" style="57" customWidth="1"/>
    <col min="8210" max="8210" width="18.5703125" style="57" customWidth="1"/>
    <col min="8211" max="8211" width="2.140625" style="57" customWidth="1"/>
    <col min="8212" max="8212" width="10.42578125" style="57" customWidth="1"/>
    <col min="8213" max="8454" width="9.140625" style="57"/>
    <col min="8455" max="8455" width="10" style="57" customWidth="1"/>
    <col min="8456" max="8456" width="40" style="57" customWidth="1"/>
    <col min="8457" max="8457" width="12.5703125" style="57" customWidth="1"/>
    <col min="8458" max="8459" width="10.42578125" style="57" customWidth="1"/>
    <col min="8460" max="8460" width="11.5703125" style="57" customWidth="1"/>
    <col min="8461" max="8462" width="10.42578125" style="57" customWidth="1"/>
    <col min="8463" max="8463" width="6.5703125" style="57" customWidth="1"/>
    <col min="8464" max="8464" width="11.42578125" style="57" customWidth="1"/>
    <col min="8465" max="8465" width="4.140625" style="57" customWidth="1"/>
    <col min="8466" max="8466" width="18.5703125" style="57" customWidth="1"/>
    <col min="8467" max="8467" width="2.140625" style="57" customWidth="1"/>
    <col min="8468" max="8468" width="10.42578125" style="57" customWidth="1"/>
    <col min="8469" max="8710" width="9.140625" style="57"/>
    <col min="8711" max="8711" width="10" style="57" customWidth="1"/>
    <col min="8712" max="8712" width="40" style="57" customWidth="1"/>
    <col min="8713" max="8713" width="12.5703125" style="57" customWidth="1"/>
    <col min="8714" max="8715" width="10.42578125" style="57" customWidth="1"/>
    <col min="8716" max="8716" width="11.5703125" style="57" customWidth="1"/>
    <col min="8717" max="8718" width="10.42578125" style="57" customWidth="1"/>
    <col min="8719" max="8719" width="6.5703125" style="57" customWidth="1"/>
    <col min="8720" max="8720" width="11.42578125" style="57" customWidth="1"/>
    <col min="8721" max="8721" width="4.140625" style="57" customWidth="1"/>
    <col min="8722" max="8722" width="18.5703125" style="57" customWidth="1"/>
    <col min="8723" max="8723" width="2.140625" style="57" customWidth="1"/>
    <col min="8724" max="8724" width="10.42578125" style="57" customWidth="1"/>
    <col min="8725" max="8966" width="9.140625" style="57"/>
    <col min="8967" max="8967" width="10" style="57" customWidth="1"/>
    <col min="8968" max="8968" width="40" style="57" customWidth="1"/>
    <col min="8969" max="8969" width="12.5703125" style="57" customWidth="1"/>
    <col min="8970" max="8971" width="10.42578125" style="57" customWidth="1"/>
    <col min="8972" max="8972" width="11.5703125" style="57" customWidth="1"/>
    <col min="8973" max="8974" width="10.42578125" style="57" customWidth="1"/>
    <col min="8975" max="8975" width="6.5703125" style="57" customWidth="1"/>
    <col min="8976" max="8976" width="11.42578125" style="57" customWidth="1"/>
    <col min="8977" max="8977" width="4.140625" style="57" customWidth="1"/>
    <col min="8978" max="8978" width="18.5703125" style="57" customWidth="1"/>
    <col min="8979" max="8979" width="2.140625" style="57" customWidth="1"/>
    <col min="8980" max="8980" width="10.42578125" style="57" customWidth="1"/>
    <col min="8981" max="9222" width="9.140625" style="57"/>
    <col min="9223" max="9223" width="10" style="57" customWidth="1"/>
    <col min="9224" max="9224" width="40" style="57" customWidth="1"/>
    <col min="9225" max="9225" width="12.5703125" style="57" customWidth="1"/>
    <col min="9226" max="9227" width="10.42578125" style="57" customWidth="1"/>
    <col min="9228" max="9228" width="11.5703125" style="57" customWidth="1"/>
    <col min="9229" max="9230" width="10.42578125" style="57" customWidth="1"/>
    <col min="9231" max="9231" width="6.5703125" style="57" customWidth="1"/>
    <col min="9232" max="9232" width="11.42578125" style="57" customWidth="1"/>
    <col min="9233" max="9233" width="4.140625" style="57" customWidth="1"/>
    <col min="9234" max="9234" width="18.5703125" style="57" customWidth="1"/>
    <col min="9235" max="9235" width="2.140625" style="57" customWidth="1"/>
    <col min="9236" max="9236" width="10.42578125" style="57" customWidth="1"/>
    <col min="9237" max="9478" width="9.140625" style="57"/>
    <col min="9479" max="9479" width="10" style="57" customWidth="1"/>
    <col min="9480" max="9480" width="40" style="57" customWidth="1"/>
    <col min="9481" max="9481" width="12.5703125" style="57" customWidth="1"/>
    <col min="9482" max="9483" width="10.42578125" style="57" customWidth="1"/>
    <col min="9484" max="9484" width="11.5703125" style="57" customWidth="1"/>
    <col min="9485" max="9486" width="10.42578125" style="57" customWidth="1"/>
    <col min="9487" max="9487" width="6.5703125" style="57" customWidth="1"/>
    <col min="9488" max="9488" width="11.42578125" style="57" customWidth="1"/>
    <col min="9489" max="9489" width="4.140625" style="57" customWidth="1"/>
    <col min="9490" max="9490" width="18.5703125" style="57" customWidth="1"/>
    <col min="9491" max="9491" width="2.140625" style="57" customWidth="1"/>
    <col min="9492" max="9492" width="10.42578125" style="57" customWidth="1"/>
    <col min="9493" max="9734" width="9.140625" style="57"/>
    <col min="9735" max="9735" width="10" style="57" customWidth="1"/>
    <col min="9736" max="9736" width="40" style="57" customWidth="1"/>
    <col min="9737" max="9737" width="12.5703125" style="57" customWidth="1"/>
    <col min="9738" max="9739" width="10.42578125" style="57" customWidth="1"/>
    <col min="9740" max="9740" width="11.5703125" style="57" customWidth="1"/>
    <col min="9741" max="9742" width="10.42578125" style="57" customWidth="1"/>
    <col min="9743" max="9743" width="6.5703125" style="57" customWidth="1"/>
    <col min="9744" max="9744" width="11.42578125" style="57" customWidth="1"/>
    <col min="9745" max="9745" width="4.140625" style="57" customWidth="1"/>
    <col min="9746" max="9746" width="18.5703125" style="57" customWidth="1"/>
    <col min="9747" max="9747" width="2.140625" style="57" customWidth="1"/>
    <col min="9748" max="9748" width="10.42578125" style="57" customWidth="1"/>
    <col min="9749" max="9990" width="9.140625" style="57"/>
    <col min="9991" max="9991" width="10" style="57" customWidth="1"/>
    <col min="9992" max="9992" width="40" style="57" customWidth="1"/>
    <col min="9993" max="9993" width="12.5703125" style="57" customWidth="1"/>
    <col min="9994" max="9995" width="10.42578125" style="57" customWidth="1"/>
    <col min="9996" max="9996" width="11.5703125" style="57" customWidth="1"/>
    <col min="9997" max="9998" width="10.42578125" style="57" customWidth="1"/>
    <col min="9999" max="9999" width="6.5703125" style="57" customWidth="1"/>
    <col min="10000" max="10000" width="11.42578125" style="57" customWidth="1"/>
    <col min="10001" max="10001" width="4.140625" style="57" customWidth="1"/>
    <col min="10002" max="10002" width="18.5703125" style="57" customWidth="1"/>
    <col min="10003" max="10003" width="2.140625" style="57" customWidth="1"/>
    <col min="10004" max="10004" width="10.42578125" style="57" customWidth="1"/>
    <col min="10005" max="10246" width="9.140625" style="57"/>
    <col min="10247" max="10247" width="10" style="57" customWidth="1"/>
    <col min="10248" max="10248" width="40" style="57" customWidth="1"/>
    <col min="10249" max="10249" width="12.5703125" style="57" customWidth="1"/>
    <col min="10250" max="10251" width="10.42578125" style="57" customWidth="1"/>
    <col min="10252" max="10252" width="11.5703125" style="57" customWidth="1"/>
    <col min="10253" max="10254" width="10.42578125" style="57" customWidth="1"/>
    <col min="10255" max="10255" width="6.5703125" style="57" customWidth="1"/>
    <col min="10256" max="10256" width="11.42578125" style="57" customWidth="1"/>
    <col min="10257" max="10257" width="4.140625" style="57" customWidth="1"/>
    <col min="10258" max="10258" width="18.5703125" style="57" customWidth="1"/>
    <col min="10259" max="10259" width="2.140625" style="57" customWidth="1"/>
    <col min="10260" max="10260" width="10.42578125" style="57" customWidth="1"/>
    <col min="10261" max="10502" width="9.140625" style="57"/>
    <col min="10503" max="10503" width="10" style="57" customWidth="1"/>
    <col min="10504" max="10504" width="40" style="57" customWidth="1"/>
    <col min="10505" max="10505" width="12.5703125" style="57" customWidth="1"/>
    <col min="10506" max="10507" width="10.42578125" style="57" customWidth="1"/>
    <col min="10508" max="10508" width="11.5703125" style="57" customWidth="1"/>
    <col min="10509" max="10510" width="10.42578125" style="57" customWidth="1"/>
    <col min="10511" max="10511" width="6.5703125" style="57" customWidth="1"/>
    <col min="10512" max="10512" width="11.42578125" style="57" customWidth="1"/>
    <col min="10513" max="10513" width="4.140625" style="57" customWidth="1"/>
    <col min="10514" max="10514" width="18.5703125" style="57" customWidth="1"/>
    <col min="10515" max="10515" width="2.140625" style="57" customWidth="1"/>
    <col min="10516" max="10516" width="10.42578125" style="57" customWidth="1"/>
    <col min="10517" max="10758" width="9.140625" style="57"/>
    <col min="10759" max="10759" width="10" style="57" customWidth="1"/>
    <col min="10760" max="10760" width="40" style="57" customWidth="1"/>
    <col min="10761" max="10761" width="12.5703125" style="57" customWidth="1"/>
    <col min="10762" max="10763" width="10.42578125" style="57" customWidth="1"/>
    <col min="10764" max="10764" width="11.5703125" style="57" customWidth="1"/>
    <col min="10765" max="10766" width="10.42578125" style="57" customWidth="1"/>
    <col min="10767" max="10767" width="6.5703125" style="57" customWidth="1"/>
    <col min="10768" max="10768" width="11.42578125" style="57" customWidth="1"/>
    <col min="10769" max="10769" width="4.140625" style="57" customWidth="1"/>
    <col min="10770" max="10770" width="18.5703125" style="57" customWidth="1"/>
    <col min="10771" max="10771" width="2.140625" style="57" customWidth="1"/>
    <col min="10772" max="10772" width="10.42578125" style="57" customWidth="1"/>
    <col min="10773" max="11014" width="9.140625" style="57"/>
    <col min="11015" max="11015" width="10" style="57" customWidth="1"/>
    <col min="11016" max="11016" width="40" style="57" customWidth="1"/>
    <col min="11017" max="11017" width="12.5703125" style="57" customWidth="1"/>
    <col min="11018" max="11019" width="10.42578125" style="57" customWidth="1"/>
    <col min="11020" max="11020" width="11.5703125" style="57" customWidth="1"/>
    <col min="11021" max="11022" width="10.42578125" style="57" customWidth="1"/>
    <col min="11023" max="11023" width="6.5703125" style="57" customWidth="1"/>
    <col min="11024" max="11024" width="11.42578125" style="57" customWidth="1"/>
    <col min="11025" max="11025" width="4.140625" style="57" customWidth="1"/>
    <col min="11026" max="11026" width="18.5703125" style="57" customWidth="1"/>
    <col min="11027" max="11027" width="2.140625" style="57" customWidth="1"/>
    <col min="11028" max="11028" width="10.42578125" style="57" customWidth="1"/>
    <col min="11029" max="11270" width="9.140625" style="57"/>
    <col min="11271" max="11271" width="10" style="57" customWidth="1"/>
    <col min="11272" max="11272" width="40" style="57" customWidth="1"/>
    <col min="11273" max="11273" width="12.5703125" style="57" customWidth="1"/>
    <col min="11274" max="11275" width="10.42578125" style="57" customWidth="1"/>
    <col min="11276" max="11276" width="11.5703125" style="57" customWidth="1"/>
    <col min="11277" max="11278" width="10.42578125" style="57" customWidth="1"/>
    <col min="11279" max="11279" width="6.5703125" style="57" customWidth="1"/>
    <col min="11280" max="11280" width="11.42578125" style="57" customWidth="1"/>
    <col min="11281" max="11281" width="4.140625" style="57" customWidth="1"/>
    <col min="11282" max="11282" width="18.5703125" style="57" customWidth="1"/>
    <col min="11283" max="11283" width="2.140625" style="57" customWidth="1"/>
    <col min="11284" max="11284" width="10.42578125" style="57" customWidth="1"/>
    <col min="11285" max="11526" width="9.140625" style="57"/>
    <col min="11527" max="11527" width="10" style="57" customWidth="1"/>
    <col min="11528" max="11528" width="40" style="57" customWidth="1"/>
    <col min="11529" max="11529" width="12.5703125" style="57" customWidth="1"/>
    <col min="11530" max="11531" width="10.42578125" style="57" customWidth="1"/>
    <col min="11532" max="11532" width="11.5703125" style="57" customWidth="1"/>
    <col min="11533" max="11534" width="10.42578125" style="57" customWidth="1"/>
    <col min="11535" max="11535" width="6.5703125" style="57" customWidth="1"/>
    <col min="11536" max="11536" width="11.42578125" style="57" customWidth="1"/>
    <col min="11537" max="11537" width="4.140625" style="57" customWidth="1"/>
    <col min="11538" max="11538" width="18.5703125" style="57" customWidth="1"/>
    <col min="11539" max="11539" width="2.140625" style="57" customWidth="1"/>
    <col min="11540" max="11540" width="10.42578125" style="57" customWidth="1"/>
    <col min="11541" max="11782" width="9.140625" style="57"/>
    <col min="11783" max="11783" width="10" style="57" customWidth="1"/>
    <col min="11784" max="11784" width="40" style="57" customWidth="1"/>
    <col min="11785" max="11785" width="12.5703125" style="57" customWidth="1"/>
    <col min="11786" max="11787" width="10.42578125" style="57" customWidth="1"/>
    <col min="11788" max="11788" width="11.5703125" style="57" customWidth="1"/>
    <col min="11789" max="11790" width="10.42578125" style="57" customWidth="1"/>
    <col min="11791" max="11791" width="6.5703125" style="57" customWidth="1"/>
    <col min="11792" max="11792" width="11.42578125" style="57" customWidth="1"/>
    <col min="11793" max="11793" width="4.140625" style="57" customWidth="1"/>
    <col min="11794" max="11794" width="18.5703125" style="57" customWidth="1"/>
    <col min="11795" max="11795" width="2.140625" style="57" customWidth="1"/>
    <col min="11796" max="11796" width="10.42578125" style="57" customWidth="1"/>
    <col min="11797" max="12038" width="9.140625" style="57"/>
    <col min="12039" max="12039" width="10" style="57" customWidth="1"/>
    <col min="12040" max="12040" width="40" style="57" customWidth="1"/>
    <col min="12041" max="12041" width="12.5703125" style="57" customWidth="1"/>
    <col min="12042" max="12043" width="10.42578125" style="57" customWidth="1"/>
    <col min="12044" max="12044" width="11.5703125" style="57" customWidth="1"/>
    <col min="12045" max="12046" width="10.42578125" style="57" customWidth="1"/>
    <col min="12047" max="12047" width="6.5703125" style="57" customWidth="1"/>
    <col min="12048" max="12048" width="11.42578125" style="57" customWidth="1"/>
    <col min="12049" max="12049" width="4.140625" style="57" customWidth="1"/>
    <col min="12050" max="12050" width="18.5703125" style="57" customWidth="1"/>
    <col min="12051" max="12051" width="2.140625" style="57" customWidth="1"/>
    <col min="12052" max="12052" width="10.42578125" style="57" customWidth="1"/>
    <col min="12053" max="12294" width="9.140625" style="57"/>
    <col min="12295" max="12295" width="10" style="57" customWidth="1"/>
    <col min="12296" max="12296" width="40" style="57" customWidth="1"/>
    <col min="12297" max="12297" width="12.5703125" style="57" customWidth="1"/>
    <col min="12298" max="12299" width="10.42578125" style="57" customWidth="1"/>
    <col min="12300" max="12300" width="11.5703125" style="57" customWidth="1"/>
    <col min="12301" max="12302" width="10.42578125" style="57" customWidth="1"/>
    <col min="12303" max="12303" width="6.5703125" style="57" customWidth="1"/>
    <col min="12304" max="12304" width="11.42578125" style="57" customWidth="1"/>
    <col min="12305" max="12305" width="4.140625" style="57" customWidth="1"/>
    <col min="12306" max="12306" width="18.5703125" style="57" customWidth="1"/>
    <col min="12307" max="12307" width="2.140625" style="57" customWidth="1"/>
    <col min="12308" max="12308" width="10.42578125" style="57" customWidth="1"/>
    <col min="12309" max="12550" width="9.140625" style="57"/>
    <col min="12551" max="12551" width="10" style="57" customWidth="1"/>
    <col min="12552" max="12552" width="40" style="57" customWidth="1"/>
    <col min="12553" max="12553" width="12.5703125" style="57" customWidth="1"/>
    <col min="12554" max="12555" width="10.42578125" style="57" customWidth="1"/>
    <col min="12556" max="12556" width="11.5703125" style="57" customWidth="1"/>
    <col min="12557" max="12558" width="10.42578125" style="57" customWidth="1"/>
    <col min="12559" max="12559" width="6.5703125" style="57" customWidth="1"/>
    <col min="12560" max="12560" width="11.42578125" style="57" customWidth="1"/>
    <col min="12561" max="12561" width="4.140625" style="57" customWidth="1"/>
    <col min="12562" max="12562" width="18.5703125" style="57" customWidth="1"/>
    <col min="12563" max="12563" width="2.140625" style="57" customWidth="1"/>
    <col min="12564" max="12564" width="10.42578125" style="57" customWidth="1"/>
    <col min="12565" max="12806" width="9.140625" style="57"/>
    <col min="12807" max="12807" width="10" style="57" customWidth="1"/>
    <col min="12808" max="12808" width="40" style="57" customWidth="1"/>
    <col min="12809" max="12809" width="12.5703125" style="57" customWidth="1"/>
    <col min="12810" max="12811" width="10.42578125" style="57" customWidth="1"/>
    <col min="12812" max="12812" width="11.5703125" style="57" customWidth="1"/>
    <col min="12813" max="12814" width="10.42578125" style="57" customWidth="1"/>
    <col min="12815" max="12815" width="6.5703125" style="57" customWidth="1"/>
    <col min="12816" max="12816" width="11.42578125" style="57" customWidth="1"/>
    <col min="12817" max="12817" width="4.140625" style="57" customWidth="1"/>
    <col min="12818" max="12818" width="18.5703125" style="57" customWidth="1"/>
    <col min="12819" max="12819" width="2.140625" style="57" customWidth="1"/>
    <col min="12820" max="12820" width="10.42578125" style="57" customWidth="1"/>
    <col min="12821" max="13062" width="9.140625" style="57"/>
    <col min="13063" max="13063" width="10" style="57" customWidth="1"/>
    <col min="13064" max="13064" width="40" style="57" customWidth="1"/>
    <col min="13065" max="13065" width="12.5703125" style="57" customWidth="1"/>
    <col min="13066" max="13067" width="10.42578125" style="57" customWidth="1"/>
    <col min="13068" max="13068" width="11.5703125" style="57" customWidth="1"/>
    <col min="13069" max="13070" width="10.42578125" style="57" customWidth="1"/>
    <col min="13071" max="13071" width="6.5703125" style="57" customWidth="1"/>
    <col min="13072" max="13072" width="11.42578125" style="57" customWidth="1"/>
    <col min="13073" max="13073" width="4.140625" style="57" customWidth="1"/>
    <col min="13074" max="13074" width="18.5703125" style="57" customWidth="1"/>
    <col min="13075" max="13075" width="2.140625" style="57" customWidth="1"/>
    <col min="13076" max="13076" width="10.42578125" style="57" customWidth="1"/>
    <col min="13077" max="13318" width="9.140625" style="57"/>
    <col min="13319" max="13319" width="10" style="57" customWidth="1"/>
    <col min="13320" max="13320" width="40" style="57" customWidth="1"/>
    <col min="13321" max="13321" width="12.5703125" style="57" customWidth="1"/>
    <col min="13322" max="13323" width="10.42578125" style="57" customWidth="1"/>
    <col min="13324" max="13324" width="11.5703125" style="57" customWidth="1"/>
    <col min="13325" max="13326" width="10.42578125" style="57" customWidth="1"/>
    <col min="13327" max="13327" width="6.5703125" style="57" customWidth="1"/>
    <col min="13328" max="13328" width="11.42578125" style="57" customWidth="1"/>
    <col min="13329" max="13329" width="4.140625" style="57" customWidth="1"/>
    <col min="13330" max="13330" width="18.5703125" style="57" customWidth="1"/>
    <col min="13331" max="13331" width="2.140625" style="57" customWidth="1"/>
    <col min="13332" max="13332" width="10.42578125" style="57" customWidth="1"/>
    <col min="13333" max="13574" width="9.140625" style="57"/>
    <col min="13575" max="13575" width="10" style="57" customWidth="1"/>
    <col min="13576" max="13576" width="40" style="57" customWidth="1"/>
    <col min="13577" max="13577" width="12.5703125" style="57" customWidth="1"/>
    <col min="13578" max="13579" width="10.42578125" style="57" customWidth="1"/>
    <col min="13580" max="13580" width="11.5703125" style="57" customWidth="1"/>
    <col min="13581" max="13582" width="10.42578125" style="57" customWidth="1"/>
    <col min="13583" max="13583" width="6.5703125" style="57" customWidth="1"/>
    <col min="13584" max="13584" width="11.42578125" style="57" customWidth="1"/>
    <col min="13585" max="13585" width="4.140625" style="57" customWidth="1"/>
    <col min="13586" max="13586" width="18.5703125" style="57" customWidth="1"/>
    <col min="13587" max="13587" width="2.140625" style="57" customWidth="1"/>
    <col min="13588" max="13588" width="10.42578125" style="57" customWidth="1"/>
    <col min="13589" max="13830" width="9.140625" style="57"/>
    <col min="13831" max="13831" width="10" style="57" customWidth="1"/>
    <col min="13832" max="13832" width="40" style="57" customWidth="1"/>
    <col min="13833" max="13833" width="12.5703125" style="57" customWidth="1"/>
    <col min="13834" max="13835" width="10.42578125" style="57" customWidth="1"/>
    <col min="13836" max="13836" width="11.5703125" style="57" customWidth="1"/>
    <col min="13837" max="13838" width="10.42578125" style="57" customWidth="1"/>
    <col min="13839" max="13839" width="6.5703125" style="57" customWidth="1"/>
    <col min="13840" max="13840" width="11.42578125" style="57" customWidth="1"/>
    <col min="13841" max="13841" width="4.140625" style="57" customWidth="1"/>
    <col min="13842" max="13842" width="18.5703125" style="57" customWidth="1"/>
    <col min="13843" max="13843" width="2.140625" style="57" customWidth="1"/>
    <col min="13844" max="13844" width="10.42578125" style="57" customWidth="1"/>
    <col min="13845" max="14086" width="9.140625" style="57"/>
    <col min="14087" max="14087" width="10" style="57" customWidth="1"/>
    <col min="14088" max="14088" width="40" style="57" customWidth="1"/>
    <col min="14089" max="14089" width="12.5703125" style="57" customWidth="1"/>
    <col min="14090" max="14091" width="10.42578125" style="57" customWidth="1"/>
    <col min="14092" max="14092" width="11.5703125" style="57" customWidth="1"/>
    <col min="14093" max="14094" width="10.42578125" style="57" customWidth="1"/>
    <col min="14095" max="14095" width="6.5703125" style="57" customWidth="1"/>
    <col min="14096" max="14096" width="11.42578125" style="57" customWidth="1"/>
    <col min="14097" max="14097" width="4.140625" style="57" customWidth="1"/>
    <col min="14098" max="14098" width="18.5703125" style="57" customWidth="1"/>
    <col min="14099" max="14099" width="2.140625" style="57" customWidth="1"/>
    <col min="14100" max="14100" width="10.42578125" style="57" customWidth="1"/>
    <col min="14101" max="14342" width="9.140625" style="57"/>
    <col min="14343" max="14343" width="10" style="57" customWidth="1"/>
    <col min="14344" max="14344" width="40" style="57" customWidth="1"/>
    <col min="14345" max="14345" width="12.5703125" style="57" customWidth="1"/>
    <col min="14346" max="14347" width="10.42578125" style="57" customWidth="1"/>
    <col min="14348" max="14348" width="11.5703125" style="57" customWidth="1"/>
    <col min="14349" max="14350" width="10.42578125" style="57" customWidth="1"/>
    <col min="14351" max="14351" width="6.5703125" style="57" customWidth="1"/>
    <col min="14352" max="14352" width="11.42578125" style="57" customWidth="1"/>
    <col min="14353" max="14353" width="4.140625" style="57" customWidth="1"/>
    <col min="14354" max="14354" width="18.5703125" style="57" customWidth="1"/>
    <col min="14355" max="14355" width="2.140625" style="57" customWidth="1"/>
    <col min="14356" max="14356" width="10.42578125" style="57" customWidth="1"/>
    <col min="14357" max="14598" width="9.140625" style="57"/>
    <col min="14599" max="14599" width="10" style="57" customWidth="1"/>
    <col min="14600" max="14600" width="40" style="57" customWidth="1"/>
    <col min="14601" max="14601" width="12.5703125" style="57" customWidth="1"/>
    <col min="14602" max="14603" width="10.42578125" style="57" customWidth="1"/>
    <col min="14604" max="14604" width="11.5703125" style="57" customWidth="1"/>
    <col min="14605" max="14606" width="10.42578125" style="57" customWidth="1"/>
    <col min="14607" max="14607" width="6.5703125" style="57" customWidth="1"/>
    <col min="14608" max="14608" width="11.42578125" style="57" customWidth="1"/>
    <col min="14609" max="14609" width="4.140625" style="57" customWidth="1"/>
    <col min="14610" max="14610" width="18.5703125" style="57" customWidth="1"/>
    <col min="14611" max="14611" width="2.140625" style="57" customWidth="1"/>
    <col min="14612" max="14612" width="10.42578125" style="57" customWidth="1"/>
    <col min="14613" max="14854" width="9.140625" style="57"/>
    <col min="14855" max="14855" width="10" style="57" customWidth="1"/>
    <col min="14856" max="14856" width="40" style="57" customWidth="1"/>
    <col min="14857" max="14857" width="12.5703125" style="57" customWidth="1"/>
    <col min="14858" max="14859" width="10.42578125" style="57" customWidth="1"/>
    <col min="14860" max="14860" width="11.5703125" style="57" customWidth="1"/>
    <col min="14861" max="14862" width="10.42578125" style="57" customWidth="1"/>
    <col min="14863" max="14863" width="6.5703125" style="57" customWidth="1"/>
    <col min="14864" max="14864" width="11.42578125" style="57" customWidth="1"/>
    <col min="14865" max="14865" width="4.140625" style="57" customWidth="1"/>
    <col min="14866" max="14866" width="18.5703125" style="57" customWidth="1"/>
    <col min="14867" max="14867" width="2.140625" style="57" customWidth="1"/>
    <col min="14868" max="14868" width="10.42578125" style="57" customWidth="1"/>
    <col min="14869" max="15110" width="9.140625" style="57"/>
    <col min="15111" max="15111" width="10" style="57" customWidth="1"/>
    <col min="15112" max="15112" width="40" style="57" customWidth="1"/>
    <col min="15113" max="15113" width="12.5703125" style="57" customWidth="1"/>
    <col min="15114" max="15115" width="10.42578125" style="57" customWidth="1"/>
    <col min="15116" max="15116" width="11.5703125" style="57" customWidth="1"/>
    <col min="15117" max="15118" width="10.42578125" style="57" customWidth="1"/>
    <col min="15119" max="15119" width="6.5703125" style="57" customWidth="1"/>
    <col min="15120" max="15120" width="11.42578125" style="57" customWidth="1"/>
    <col min="15121" max="15121" width="4.140625" style="57" customWidth="1"/>
    <col min="15122" max="15122" width="18.5703125" style="57" customWidth="1"/>
    <col min="15123" max="15123" width="2.140625" style="57" customWidth="1"/>
    <col min="15124" max="15124" width="10.42578125" style="57" customWidth="1"/>
    <col min="15125" max="15366" width="9.140625" style="57"/>
    <col min="15367" max="15367" width="10" style="57" customWidth="1"/>
    <col min="15368" max="15368" width="40" style="57" customWidth="1"/>
    <col min="15369" max="15369" width="12.5703125" style="57" customWidth="1"/>
    <col min="15370" max="15371" width="10.42578125" style="57" customWidth="1"/>
    <col min="15372" max="15372" width="11.5703125" style="57" customWidth="1"/>
    <col min="15373" max="15374" width="10.42578125" style="57" customWidth="1"/>
    <col min="15375" max="15375" width="6.5703125" style="57" customWidth="1"/>
    <col min="15376" max="15376" width="11.42578125" style="57" customWidth="1"/>
    <col min="15377" max="15377" width="4.140625" style="57" customWidth="1"/>
    <col min="15378" max="15378" width="18.5703125" style="57" customWidth="1"/>
    <col min="15379" max="15379" width="2.140625" style="57" customWidth="1"/>
    <col min="15380" max="15380" width="10.42578125" style="57" customWidth="1"/>
    <col min="15381" max="15622" width="9.140625" style="57"/>
    <col min="15623" max="15623" width="10" style="57" customWidth="1"/>
    <col min="15624" max="15624" width="40" style="57" customWidth="1"/>
    <col min="15625" max="15625" width="12.5703125" style="57" customWidth="1"/>
    <col min="15626" max="15627" width="10.42578125" style="57" customWidth="1"/>
    <col min="15628" max="15628" width="11.5703125" style="57" customWidth="1"/>
    <col min="15629" max="15630" width="10.42578125" style="57" customWidth="1"/>
    <col min="15631" max="15631" width="6.5703125" style="57" customWidth="1"/>
    <col min="15632" max="15632" width="11.42578125" style="57" customWidth="1"/>
    <col min="15633" max="15633" width="4.140625" style="57" customWidth="1"/>
    <col min="15634" max="15634" width="18.5703125" style="57" customWidth="1"/>
    <col min="15635" max="15635" width="2.140625" style="57" customWidth="1"/>
    <col min="15636" max="15636" width="10.42578125" style="57" customWidth="1"/>
    <col min="15637" max="15878" width="9.140625" style="57"/>
    <col min="15879" max="15879" width="10" style="57" customWidth="1"/>
    <col min="15880" max="15880" width="40" style="57" customWidth="1"/>
    <col min="15881" max="15881" width="12.5703125" style="57" customWidth="1"/>
    <col min="15882" max="15883" width="10.42578125" style="57" customWidth="1"/>
    <col min="15884" max="15884" width="11.5703125" style="57" customWidth="1"/>
    <col min="15885" max="15886" width="10.42578125" style="57" customWidth="1"/>
    <col min="15887" max="15887" width="6.5703125" style="57" customWidth="1"/>
    <col min="15888" max="15888" width="11.42578125" style="57" customWidth="1"/>
    <col min="15889" max="15889" width="4.140625" style="57" customWidth="1"/>
    <col min="15890" max="15890" width="18.5703125" style="57" customWidth="1"/>
    <col min="15891" max="15891" width="2.140625" style="57" customWidth="1"/>
    <col min="15892" max="15892" width="10.42578125" style="57" customWidth="1"/>
    <col min="15893" max="16134" width="9.140625" style="57"/>
    <col min="16135" max="16135" width="10" style="57" customWidth="1"/>
    <col min="16136" max="16136" width="40" style="57" customWidth="1"/>
    <col min="16137" max="16137" width="12.5703125" style="57" customWidth="1"/>
    <col min="16138" max="16139" width="10.42578125" style="57" customWidth="1"/>
    <col min="16140" max="16140" width="11.5703125" style="57" customWidth="1"/>
    <col min="16141" max="16142" width="10.42578125" style="57" customWidth="1"/>
    <col min="16143" max="16143" width="6.5703125" style="57" customWidth="1"/>
    <col min="16144" max="16144" width="11.42578125" style="57" customWidth="1"/>
    <col min="16145" max="16145" width="4.140625" style="57" customWidth="1"/>
    <col min="16146" max="16146" width="18.5703125" style="57" customWidth="1"/>
    <col min="16147" max="16147" width="2.140625" style="57" customWidth="1"/>
    <col min="16148" max="16148" width="10.42578125" style="57" customWidth="1"/>
    <col min="16149" max="16384" width="9.140625" style="57"/>
  </cols>
  <sheetData>
    <row r="1" spans="2:21" ht="13.5" customHeight="1" x14ac:dyDescent="0.25">
      <c r="H1" s="782" t="s">
        <v>38</v>
      </c>
      <c r="I1" s="782"/>
      <c r="J1" s="782"/>
      <c r="K1" s="782"/>
      <c r="L1" s="782"/>
      <c r="M1" s="782" t="s">
        <v>39</v>
      </c>
      <c r="N1" s="782"/>
      <c r="O1" s="782" t="s">
        <v>40</v>
      </c>
      <c r="P1" s="782"/>
      <c r="Q1" s="782"/>
    </row>
    <row r="2" spans="2:21" s="59" customFormat="1" ht="15" customHeight="1" x14ac:dyDescent="0.25">
      <c r="B2" s="60" t="s">
        <v>41</v>
      </c>
      <c r="C2" s="61" t="s">
        <v>42</v>
      </c>
      <c r="D2" s="61" t="s">
        <v>43</v>
      </c>
      <c r="E2" s="61" t="s">
        <v>44</v>
      </c>
      <c r="F2" s="61" t="s">
        <v>45</v>
      </c>
      <c r="G2" s="61" t="s">
        <v>46</v>
      </c>
      <c r="H2" s="61" t="s">
        <v>47</v>
      </c>
      <c r="I2" s="61" t="s">
        <v>48</v>
      </c>
      <c r="J2" s="61" t="s">
        <v>47</v>
      </c>
      <c r="K2" s="61" t="s">
        <v>48</v>
      </c>
      <c r="L2" s="65" t="s">
        <v>49</v>
      </c>
      <c r="M2" s="65" t="s">
        <v>39</v>
      </c>
      <c r="N2" s="65" t="s">
        <v>49</v>
      </c>
      <c r="O2" s="65" t="s">
        <v>47</v>
      </c>
      <c r="P2" s="65" t="s">
        <v>48</v>
      </c>
      <c r="Q2" s="65" t="s">
        <v>49</v>
      </c>
      <c r="R2" s="63" t="s">
        <v>50</v>
      </c>
      <c r="T2" s="81" t="s">
        <v>53</v>
      </c>
      <c r="U2" s="82">
        <v>4</v>
      </c>
    </row>
    <row r="3" spans="2:21" ht="15" customHeight="1" x14ac:dyDescent="0.25">
      <c r="B3" s="67">
        <v>2</v>
      </c>
      <c r="C3" s="116" t="s">
        <v>51</v>
      </c>
      <c r="D3" s="110" t="s">
        <v>60</v>
      </c>
      <c r="E3" s="118">
        <v>44599</v>
      </c>
      <c r="F3" s="118"/>
      <c r="G3" s="116"/>
      <c r="H3" s="121"/>
      <c r="I3" s="121"/>
      <c r="J3" s="121"/>
      <c r="K3" s="121"/>
      <c r="L3" s="131">
        <v>0</v>
      </c>
      <c r="M3" s="140"/>
      <c r="N3" s="141">
        <v>0</v>
      </c>
      <c r="O3" s="127"/>
      <c r="P3" s="127"/>
      <c r="Q3" s="78">
        <v>0</v>
      </c>
      <c r="R3" s="142"/>
      <c r="T3" s="83" t="s">
        <v>44</v>
      </c>
      <c r="U3" s="84">
        <v>1</v>
      </c>
    </row>
    <row r="4" spans="2:21" ht="15" customHeight="1" x14ac:dyDescent="0.25">
      <c r="B4" s="202">
        <v>9</v>
      </c>
      <c r="C4" s="203" t="s">
        <v>98</v>
      </c>
      <c r="D4" s="204" t="s">
        <v>60</v>
      </c>
      <c r="E4" s="205">
        <v>45702</v>
      </c>
      <c r="F4" s="166"/>
      <c r="G4" s="116"/>
      <c r="H4" s="121"/>
      <c r="I4" s="121"/>
      <c r="J4" s="121"/>
      <c r="K4" s="121"/>
      <c r="L4" s="164">
        <v>0</v>
      </c>
      <c r="M4" s="145"/>
      <c r="N4" s="141">
        <v>0</v>
      </c>
      <c r="O4" s="127"/>
      <c r="P4" s="127"/>
      <c r="Q4" s="155">
        <v>0</v>
      </c>
      <c r="R4" s="142"/>
      <c r="T4" s="83" t="s">
        <v>45</v>
      </c>
      <c r="U4" s="84">
        <v>2</v>
      </c>
    </row>
    <row r="5" spans="2:21" ht="15" customHeight="1" x14ac:dyDescent="0.25">
      <c r="B5" s="67">
        <v>11</v>
      </c>
      <c r="C5" s="206" t="s">
        <v>99</v>
      </c>
      <c r="D5" s="207" t="s">
        <v>60</v>
      </c>
      <c r="E5" s="208">
        <v>45736</v>
      </c>
      <c r="F5" s="69"/>
      <c r="G5" s="68"/>
      <c r="H5" s="72"/>
      <c r="I5" s="72"/>
      <c r="J5" s="72"/>
      <c r="K5" s="72"/>
      <c r="L5" s="164">
        <v>0</v>
      </c>
      <c r="M5" s="132"/>
      <c r="N5" s="141">
        <v>0</v>
      </c>
      <c r="O5" s="109"/>
      <c r="P5" s="109"/>
      <c r="Q5" s="155">
        <v>0</v>
      </c>
      <c r="R5" s="134"/>
      <c r="T5" s="100" t="s">
        <v>56</v>
      </c>
      <c r="U5" s="101">
        <f>U2+U3-U4</f>
        <v>3</v>
      </c>
    </row>
    <row r="6" spans="2:21" ht="15" customHeight="1" x14ac:dyDescent="0.25">
      <c r="B6" s="115">
        <v>11</v>
      </c>
      <c r="C6" s="209" t="s">
        <v>100</v>
      </c>
      <c r="D6" s="210" t="s">
        <v>60</v>
      </c>
      <c r="E6" s="211">
        <v>45964</v>
      </c>
      <c r="F6" s="166">
        <v>46373</v>
      </c>
      <c r="G6" s="116"/>
      <c r="H6" s="121"/>
      <c r="I6" s="121"/>
      <c r="J6" s="121"/>
      <c r="K6" s="121"/>
      <c r="L6" s="164">
        <v>0</v>
      </c>
      <c r="M6" s="140"/>
      <c r="N6" s="141">
        <v>0</v>
      </c>
      <c r="O6" s="127"/>
      <c r="P6" s="127"/>
      <c r="Q6" s="155">
        <v>0</v>
      </c>
      <c r="R6" s="142"/>
      <c r="T6" s="212"/>
      <c r="U6" s="213"/>
    </row>
    <row r="7" spans="2:21" ht="15" customHeight="1" x14ac:dyDescent="0.25">
      <c r="B7" s="85">
        <v>10</v>
      </c>
      <c r="C7" s="147" t="s">
        <v>101</v>
      </c>
      <c r="D7" s="148" t="s">
        <v>60</v>
      </c>
      <c r="E7" s="149">
        <v>46364</v>
      </c>
      <c r="F7" s="149">
        <v>46371</v>
      </c>
      <c r="G7" s="86"/>
      <c r="H7" s="90"/>
      <c r="I7" s="90"/>
      <c r="J7" s="90"/>
      <c r="K7" s="90"/>
      <c r="L7" s="135">
        <v>0</v>
      </c>
      <c r="M7" s="136"/>
      <c r="N7" s="137">
        <v>0</v>
      </c>
      <c r="O7" s="96"/>
      <c r="P7" s="96"/>
      <c r="Q7" s="138">
        <v>0</v>
      </c>
      <c r="R7" s="139"/>
    </row>
    <row r="8" spans="2:21" ht="15" customHeight="1" x14ac:dyDescent="0.25">
      <c r="L8" s="99">
        <f>SUM(L3:L4)</f>
        <v>0</v>
      </c>
      <c r="N8" s="99">
        <f>SUM(N3:N4)</f>
        <v>0</v>
      </c>
      <c r="O8" s="99"/>
      <c r="P8" s="99"/>
      <c r="Q8" s="99">
        <f>SUM(Q3:Q4)</f>
        <v>0</v>
      </c>
      <c r="T8" s="81" t="s">
        <v>57</v>
      </c>
      <c r="U8" s="82">
        <v>2</v>
      </c>
    </row>
    <row r="9" spans="2:21" ht="15" customHeight="1" x14ac:dyDescent="0.25">
      <c r="T9" s="100" t="s">
        <v>13</v>
      </c>
      <c r="U9" s="101">
        <f>U5+U8</f>
        <v>5</v>
      </c>
    </row>
    <row r="10" spans="2:21" ht="15" customHeight="1" x14ac:dyDescent="0.25"/>
    <row r="11" spans="2:21" ht="15" customHeight="1" x14ac:dyDescent="0.25">
      <c r="T11" s="784" t="s">
        <v>58</v>
      </c>
      <c r="U11" s="784"/>
    </row>
    <row r="12" spans="2:21" ht="15" customHeight="1" x14ac:dyDescent="0.25">
      <c r="T12" s="83" t="s">
        <v>38</v>
      </c>
      <c r="U12" s="102">
        <v>0</v>
      </c>
    </row>
    <row r="13" spans="2:21" ht="15" customHeight="1" x14ac:dyDescent="0.25">
      <c r="T13" s="103" t="s">
        <v>39</v>
      </c>
      <c r="U13" s="104">
        <f>N8</f>
        <v>0</v>
      </c>
    </row>
    <row r="14" spans="2:21" ht="15" customHeight="1" x14ac:dyDescent="0.25"/>
    <row r="15" spans="2:21" ht="15" customHeight="1" x14ac:dyDescent="0.25">
      <c r="T15" s="81" t="s">
        <v>40</v>
      </c>
      <c r="U15" s="105">
        <f>Q8</f>
        <v>0</v>
      </c>
    </row>
    <row r="16" spans="2:21" ht="15" customHeight="1" x14ac:dyDescent="0.25">
      <c r="T16" s="103" t="s">
        <v>59</v>
      </c>
      <c r="U16" s="104">
        <v>0</v>
      </c>
    </row>
    <row r="17" spans="20:21" ht="15" customHeight="1" x14ac:dyDescent="0.25"/>
    <row r="18" spans="20:21" ht="15" customHeight="1" x14ac:dyDescent="0.25">
      <c r="T18" s="106" t="s">
        <v>22</v>
      </c>
      <c r="U18" s="107">
        <v>22</v>
      </c>
    </row>
    <row r="19" spans="20:21" ht="15" customHeight="1" x14ac:dyDescent="0.25"/>
    <row r="20" spans="20:21" ht="15" customHeight="1" x14ac:dyDescent="0.25"/>
    <row r="21" spans="20:21" ht="15" customHeight="1" x14ac:dyDescent="0.25"/>
    <row r="22" spans="20:21" ht="15" customHeight="1" x14ac:dyDescent="0.25"/>
    <row r="23" spans="20:21" ht="15" customHeight="1" x14ac:dyDescent="0.25"/>
    <row r="24" spans="20:21" ht="15" customHeight="1" x14ac:dyDescent="0.25"/>
    <row r="25" spans="20:21" ht="15" customHeight="1" x14ac:dyDescent="0.25"/>
    <row r="26" spans="20:21" ht="15" customHeight="1" x14ac:dyDescent="0.25"/>
    <row r="27" spans="20:21" ht="15" customHeight="1" x14ac:dyDescent="0.25"/>
    <row r="28" spans="20:21" ht="15" customHeight="1" x14ac:dyDescent="0.25"/>
    <row r="29" spans="20:21" ht="15" customHeight="1" x14ac:dyDescent="0.25"/>
    <row r="30" spans="20:21" ht="15" customHeight="1" x14ac:dyDescent="0.25"/>
    <row r="31" spans="20:21" ht="15" customHeight="1" x14ac:dyDescent="0.25"/>
    <row r="32" spans="20:21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</sheetData>
  <mergeCells count="4">
    <mergeCell ref="H1:L1"/>
    <mergeCell ref="M1:N1"/>
    <mergeCell ref="O1:Q1"/>
    <mergeCell ref="T11:U1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FF"/>
  </sheetPr>
  <dimension ref="A1:AJ17"/>
  <sheetViews>
    <sheetView showGridLines="0" topLeftCell="F1" zoomScaleNormal="100" workbookViewId="0">
      <selection activeCell="AI6" sqref="AI6"/>
    </sheetView>
  </sheetViews>
  <sheetFormatPr defaultColWidth="12.5703125" defaultRowHeight="13.5" x14ac:dyDescent="0.25"/>
  <cols>
    <col min="1" max="1" width="8.7109375" style="214" customWidth="1"/>
    <col min="2" max="2" width="9.42578125" style="214" customWidth="1"/>
    <col min="3" max="3" width="12.5703125" style="214"/>
    <col min="4" max="4" width="12.42578125" style="214" customWidth="1"/>
    <col min="5" max="5" width="7.85546875" style="214" customWidth="1"/>
    <col min="6" max="6" width="7.5703125" style="214" customWidth="1"/>
    <col min="7" max="7" width="9.7109375" style="214" customWidth="1"/>
    <col min="8" max="8" width="3.5703125" style="214" customWidth="1"/>
    <col min="9" max="9" width="8.7109375" style="214" customWidth="1"/>
    <col min="10" max="10" width="9.42578125" style="214" customWidth="1"/>
    <col min="11" max="11" width="12.5703125" style="214"/>
    <col min="12" max="12" width="11.140625" style="214" customWidth="1"/>
    <col min="13" max="13" width="7.5703125" style="214" customWidth="1"/>
    <col min="14" max="21" width="8.28515625" style="214" customWidth="1"/>
    <col min="22" max="22" width="24.42578125" style="214" customWidth="1"/>
    <col min="23" max="23" width="1.140625" style="214" customWidth="1"/>
    <col min="24" max="26" width="6.85546875" style="214" customWidth="1"/>
    <col min="27" max="27" width="5.85546875" style="214" customWidth="1"/>
    <col min="28" max="35" width="6.85546875" style="214" customWidth="1"/>
    <col min="36" max="16384" width="12.5703125" style="214"/>
  </cols>
  <sheetData>
    <row r="1" spans="1:36" ht="16.5" customHeight="1" x14ac:dyDescent="0.25">
      <c r="A1" s="786" t="s">
        <v>102</v>
      </c>
      <c r="B1" s="786"/>
      <c r="C1" s="786"/>
      <c r="D1" s="786"/>
      <c r="E1" s="786"/>
      <c r="F1" s="786"/>
      <c r="G1" s="786"/>
      <c r="H1" s="215"/>
      <c r="I1" s="786" t="s">
        <v>103</v>
      </c>
      <c r="J1" s="786"/>
      <c r="K1" s="786"/>
      <c r="L1" s="786"/>
      <c r="M1" s="786"/>
      <c r="N1" s="786"/>
      <c r="V1" s="216" t="s">
        <v>0</v>
      </c>
      <c r="W1" s="217"/>
      <c r="X1" s="218" t="s">
        <v>1</v>
      </c>
      <c r="Y1" s="219" t="s">
        <v>2</v>
      </c>
      <c r="Z1" s="219" t="s">
        <v>3</v>
      </c>
      <c r="AA1" s="219" t="s">
        <v>4</v>
      </c>
      <c r="AB1" s="219" t="s">
        <v>5</v>
      </c>
      <c r="AC1" s="219" t="s">
        <v>6</v>
      </c>
      <c r="AD1" s="219" t="s">
        <v>7</v>
      </c>
      <c r="AE1" s="219" t="s">
        <v>8</v>
      </c>
      <c r="AF1" s="219" t="s">
        <v>9</v>
      </c>
      <c r="AG1" s="219" t="s">
        <v>10</v>
      </c>
      <c r="AH1" s="219" t="s">
        <v>11</v>
      </c>
      <c r="AI1" s="219" t="s">
        <v>12</v>
      </c>
    </row>
    <row r="2" spans="1:36" s="223" customFormat="1" ht="18.75" customHeight="1" x14ac:dyDescent="0.25">
      <c r="A2" s="787" t="s">
        <v>104</v>
      </c>
      <c r="B2" s="787"/>
      <c r="C2" s="787"/>
      <c r="D2" s="788">
        <v>2025</v>
      </c>
      <c r="E2" s="788"/>
      <c r="F2" s="220" t="s">
        <v>105</v>
      </c>
      <c r="G2" s="221">
        <v>0.05</v>
      </c>
      <c r="H2" s="215"/>
      <c r="I2" s="787" t="s">
        <v>104</v>
      </c>
      <c r="J2" s="787"/>
      <c r="K2" s="787"/>
      <c r="L2" s="222">
        <v>2025</v>
      </c>
      <c r="M2" s="220" t="s">
        <v>105</v>
      </c>
      <c r="N2" s="221">
        <v>4.4999999999999998E-2</v>
      </c>
      <c r="V2" s="7" t="s">
        <v>14</v>
      </c>
      <c r="W2" s="217"/>
      <c r="X2" s="8">
        <v>5</v>
      </c>
      <c r="Y2" s="9">
        <v>6</v>
      </c>
      <c r="Z2" s="9">
        <v>6</v>
      </c>
      <c r="AA2" s="9">
        <v>6</v>
      </c>
      <c r="AB2" s="9">
        <v>6</v>
      </c>
      <c r="AC2" s="9">
        <v>6</v>
      </c>
      <c r="AD2" s="9">
        <v>4</v>
      </c>
      <c r="AE2" s="9">
        <f>AD6</f>
        <v>5</v>
      </c>
      <c r="AF2" s="9">
        <v>5</v>
      </c>
      <c r="AG2" s="9">
        <v>4</v>
      </c>
      <c r="AH2" s="9">
        <v>4</v>
      </c>
      <c r="AI2" s="9">
        <v>4</v>
      </c>
    </row>
    <row r="3" spans="1:36" ht="15.75" customHeight="1" x14ac:dyDescent="0.25">
      <c r="A3" s="224" t="s">
        <v>106</v>
      </c>
      <c r="B3" s="225" t="s">
        <v>107</v>
      </c>
      <c r="C3" s="225" t="s">
        <v>108</v>
      </c>
      <c r="D3" s="225" t="s">
        <v>59</v>
      </c>
      <c r="E3" s="225" t="s">
        <v>109</v>
      </c>
      <c r="F3" s="225" t="s">
        <v>110</v>
      </c>
      <c r="G3" s="226" t="s">
        <v>86</v>
      </c>
      <c r="I3" s="224" t="s">
        <v>106</v>
      </c>
      <c r="J3" s="225" t="s">
        <v>111</v>
      </c>
      <c r="K3" s="225" t="s">
        <v>112</v>
      </c>
      <c r="L3" s="225" t="s">
        <v>113</v>
      </c>
      <c r="M3" s="225" t="s">
        <v>110</v>
      </c>
      <c r="N3" s="226" t="s">
        <v>86</v>
      </c>
      <c r="V3" s="7" t="s">
        <v>15</v>
      </c>
      <c r="W3" s="217"/>
      <c r="X3" s="8">
        <v>3</v>
      </c>
      <c r="Y3" s="9">
        <v>0</v>
      </c>
      <c r="Z3" s="9">
        <v>1</v>
      </c>
      <c r="AA3" s="9">
        <v>0</v>
      </c>
      <c r="AB3" s="9">
        <v>5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</row>
    <row r="4" spans="1:36" ht="13.5" customHeight="1" x14ac:dyDescent="0.25">
      <c r="A4" s="227" t="s">
        <v>1</v>
      </c>
      <c r="B4" s="228">
        <v>1</v>
      </c>
      <c r="C4" s="228">
        <v>0</v>
      </c>
      <c r="D4" s="228">
        <v>5</v>
      </c>
      <c r="E4" s="229">
        <f t="shared" ref="E4:E15" si="0">IF($D4=0,0,((C4+B4)/2/D4))</f>
        <v>0.1</v>
      </c>
      <c r="F4" s="229">
        <f>AVERAGE(E4)</f>
        <v>0.1</v>
      </c>
      <c r="G4" s="230">
        <f t="shared" ref="G4:G15" si="1">$G$2</f>
        <v>0.05</v>
      </c>
      <c r="H4" s="231"/>
      <c r="I4" s="227" t="s">
        <v>1</v>
      </c>
      <c r="J4" s="232">
        <v>1161.5999999999999</v>
      </c>
      <c r="K4" s="232">
        <v>26.4</v>
      </c>
      <c r="L4" s="229">
        <f t="shared" ref="L4:L15" si="2">IFERROR((K4/J4),"")</f>
        <v>2.2727272727272728E-2</v>
      </c>
      <c r="M4" s="229">
        <f>AVERAGE(L4)</f>
        <v>2.2727272727272728E-2</v>
      </c>
      <c r="N4" s="230">
        <f t="shared" ref="N4:N15" si="3">$N$2</f>
        <v>4.4999999999999998E-2</v>
      </c>
      <c r="O4" s="231"/>
      <c r="P4" s="231"/>
      <c r="Q4" s="231"/>
      <c r="R4" s="231"/>
      <c r="S4" s="231"/>
      <c r="T4" s="231"/>
      <c r="U4" s="231"/>
      <c r="V4" s="7" t="s">
        <v>16</v>
      </c>
      <c r="W4" s="217"/>
      <c r="X4" s="8">
        <v>1</v>
      </c>
      <c r="Y4" s="9">
        <v>2</v>
      </c>
      <c r="Z4" s="9">
        <v>2</v>
      </c>
      <c r="AA4" s="9">
        <v>1</v>
      </c>
      <c r="AB4" s="9">
        <v>0</v>
      </c>
      <c r="AC4" s="9">
        <v>0</v>
      </c>
      <c r="AD4" s="9">
        <v>1</v>
      </c>
      <c r="AE4" s="9">
        <v>0</v>
      </c>
      <c r="AF4" s="9">
        <v>0</v>
      </c>
      <c r="AG4" s="9">
        <v>0</v>
      </c>
      <c r="AH4" s="9">
        <v>1</v>
      </c>
      <c r="AI4" s="9">
        <v>1</v>
      </c>
      <c r="AJ4" s="231"/>
    </row>
    <row r="5" spans="1:36" ht="13.5" customHeight="1" x14ac:dyDescent="0.25">
      <c r="A5" s="227" t="s">
        <v>2</v>
      </c>
      <c r="B5" s="228">
        <v>2</v>
      </c>
      <c r="C5" s="228">
        <v>2</v>
      </c>
      <c r="D5" s="228">
        <v>6</v>
      </c>
      <c r="E5" s="229">
        <f t="shared" si="0"/>
        <v>0.33333333333333331</v>
      </c>
      <c r="F5" s="229">
        <f>AVERAGE($E$4:$E5)</f>
        <v>0.21666666666666667</v>
      </c>
      <c r="G5" s="230">
        <f t="shared" si="1"/>
        <v>0.05</v>
      </c>
      <c r="I5" s="227" t="s">
        <v>2</v>
      </c>
      <c r="J5" s="233">
        <v>1056</v>
      </c>
      <c r="K5" s="232">
        <v>0</v>
      </c>
      <c r="L5" s="229">
        <f t="shared" si="2"/>
        <v>0</v>
      </c>
      <c r="M5" s="229">
        <f>AVERAGE($L$4:$L5)</f>
        <v>1.1363636363636364E-2</v>
      </c>
      <c r="N5" s="230">
        <f t="shared" si="3"/>
        <v>4.4999999999999998E-2</v>
      </c>
      <c r="V5" s="7" t="s">
        <v>17</v>
      </c>
      <c r="W5" s="217"/>
      <c r="X5" s="8">
        <v>0</v>
      </c>
      <c r="Y5" s="9">
        <v>2</v>
      </c>
      <c r="Z5" s="9">
        <v>2</v>
      </c>
      <c r="AA5" s="9">
        <v>1</v>
      </c>
      <c r="AB5" s="9">
        <v>0</v>
      </c>
      <c r="AC5" s="9">
        <v>2</v>
      </c>
      <c r="AD5" s="9">
        <v>0</v>
      </c>
      <c r="AE5" s="9">
        <v>0</v>
      </c>
      <c r="AF5" s="9">
        <v>1</v>
      </c>
      <c r="AG5" s="9">
        <v>0</v>
      </c>
      <c r="AH5" s="9">
        <v>1</v>
      </c>
      <c r="AI5" s="9">
        <v>2</v>
      </c>
    </row>
    <row r="6" spans="1:36" ht="13.5" customHeight="1" x14ac:dyDescent="0.25">
      <c r="A6" s="227" t="s">
        <v>3</v>
      </c>
      <c r="B6" s="228">
        <v>2</v>
      </c>
      <c r="C6" s="228">
        <v>2</v>
      </c>
      <c r="D6" s="228">
        <v>6</v>
      </c>
      <c r="E6" s="229">
        <f t="shared" si="0"/>
        <v>0.33333333333333331</v>
      </c>
      <c r="F6" s="229">
        <f>AVERAGE($E$4:$E6)</f>
        <v>0.25555555555555554</v>
      </c>
      <c r="G6" s="230">
        <f t="shared" si="1"/>
        <v>0.05</v>
      </c>
      <c r="I6" s="227" t="s">
        <v>3</v>
      </c>
      <c r="J6" s="232">
        <v>1108.8</v>
      </c>
      <c r="K6" s="232">
        <v>8.8000000000000007</v>
      </c>
      <c r="L6" s="229">
        <f t="shared" si="2"/>
        <v>7.9365079365079378E-3</v>
      </c>
      <c r="M6" s="229">
        <f>AVERAGE($L$4:$L6)</f>
        <v>1.0221260221260221E-2</v>
      </c>
      <c r="N6" s="230">
        <f t="shared" si="3"/>
        <v>4.4999999999999998E-2</v>
      </c>
      <c r="V6" s="7" t="s">
        <v>18</v>
      </c>
      <c r="W6" s="217"/>
      <c r="X6" s="12">
        <f t="shared" ref="X6:AI6" si="4">X2+X4-X5</f>
        <v>6</v>
      </c>
      <c r="Y6" s="13">
        <f t="shared" si="4"/>
        <v>6</v>
      </c>
      <c r="Z6" s="13">
        <f t="shared" si="4"/>
        <v>6</v>
      </c>
      <c r="AA6" s="13">
        <f t="shared" si="4"/>
        <v>6</v>
      </c>
      <c r="AB6" s="13">
        <f t="shared" si="4"/>
        <v>6</v>
      </c>
      <c r="AC6" s="13">
        <f t="shared" si="4"/>
        <v>4</v>
      </c>
      <c r="AD6" s="13">
        <f t="shared" si="4"/>
        <v>5</v>
      </c>
      <c r="AE6" s="13">
        <f t="shared" si="4"/>
        <v>5</v>
      </c>
      <c r="AF6" s="13">
        <f t="shared" si="4"/>
        <v>4</v>
      </c>
      <c r="AG6" s="13">
        <f t="shared" si="4"/>
        <v>4</v>
      </c>
      <c r="AH6" s="13">
        <f t="shared" si="4"/>
        <v>4</v>
      </c>
      <c r="AI6" s="13">
        <f t="shared" si="4"/>
        <v>3</v>
      </c>
    </row>
    <row r="7" spans="1:36" ht="13.5" customHeight="1" x14ac:dyDescent="0.25">
      <c r="A7" s="227" t="s">
        <v>4</v>
      </c>
      <c r="B7" s="228">
        <v>1</v>
      </c>
      <c r="C7" s="228">
        <v>1</v>
      </c>
      <c r="D7" s="228">
        <v>6</v>
      </c>
      <c r="E7" s="229">
        <f t="shared" si="0"/>
        <v>0.16666666666666666</v>
      </c>
      <c r="F7" s="229">
        <f>AVERAGE($E$4:$E7)</f>
        <v>0.23333333333333331</v>
      </c>
      <c r="G7" s="230">
        <f t="shared" si="1"/>
        <v>0.05</v>
      </c>
      <c r="I7" s="227" t="s">
        <v>4</v>
      </c>
      <c r="J7" s="232">
        <v>1267.2</v>
      </c>
      <c r="K7" s="232">
        <v>0</v>
      </c>
      <c r="L7" s="229">
        <f t="shared" si="2"/>
        <v>0</v>
      </c>
      <c r="M7" s="229">
        <f>AVERAGE($L$4:$L7)</f>
        <v>7.665945165945166E-3</v>
      </c>
      <c r="N7" s="230">
        <f t="shared" si="3"/>
        <v>4.4999999999999998E-2</v>
      </c>
      <c r="V7" s="7" t="s">
        <v>19</v>
      </c>
      <c r="W7" s="217"/>
      <c r="X7" s="12">
        <f t="shared" ref="X7:AI7" si="5">(X2+X6)/2</f>
        <v>5.5</v>
      </c>
      <c r="Y7" s="13">
        <f t="shared" si="5"/>
        <v>6</v>
      </c>
      <c r="Z7" s="13">
        <f t="shared" si="5"/>
        <v>6</v>
      </c>
      <c r="AA7" s="13">
        <f t="shared" si="5"/>
        <v>6</v>
      </c>
      <c r="AB7" s="13">
        <f t="shared" si="5"/>
        <v>6</v>
      </c>
      <c r="AC7" s="13">
        <f t="shared" si="5"/>
        <v>5</v>
      </c>
      <c r="AD7" s="13">
        <f t="shared" si="5"/>
        <v>4.5</v>
      </c>
      <c r="AE7" s="13">
        <f t="shared" si="5"/>
        <v>5</v>
      </c>
      <c r="AF7" s="13">
        <f t="shared" si="5"/>
        <v>4.5</v>
      </c>
      <c r="AG7" s="13">
        <f t="shared" si="5"/>
        <v>4</v>
      </c>
      <c r="AH7" s="13">
        <f t="shared" si="5"/>
        <v>4</v>
      </c>
      <c r="AI7" s="13">
        <f t="shared" si="5"/>
        <v>3.5</v>
      </c>
    </row>
    <row r="8" spans="1:36" ht="13.5" customHeight="1" x14ac:dyDescent="0.25">
      <c r="A8" s="227" t="s">
        <v>5</v>
      </c>
      <c r="B8" s="228">
        <v>0</v>
      </c>
      <c r="C8" s="228">
        <v>0</v>
      </c>
      <c r="D8" s="228">
        <v>6</v>
      </c>
      <c r="E8" s="229">
        <f t="shared" si="0"/>
        <v>0</v>
      </c>
      <c r="F8" s="229">
        <f>AVERAGE($E$4:$E8)</f>
        <v>0.18666666666666665</v>
      </c>
      <c r="G8" s="230">
        <f t="shared" si="1"/>
        <v>0.05</v>
      </c>
      <c r="I8" s="227" t="s">
        <v>5</v>
      </c>
      <c r="J8" s="232">
        <v>1161.5999999999999</v>
      </c>
      <c r="K8" s="232">
        <v>44</v>
      </c>
      <c r="L8" s="229">
        <f t="shared" si="2"/>
        <v>3.787878787878788E-2</v>
      </c>
      <c r="M8" s="229">
        <f>AVERAGE($L$4:$L8)</f>
        <v>1.3708513708513708E-2</v>
      </c>
      <c r="N8" s="230">
        <f t="shared" si="3"/>
        <v>4.4999999999999998E-2</v>
      </c>
      <c r="V8" s="7" t="s">
        <v>20</v>
      </c>
      <c r="W8" s="217"/>
      <c r="X8" s="15">
        <f>'Janeiro 25'!AP15</f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13</v>
      </c>
      <c r="AH8" s="16">
        <v>0</v>
      </c>
      <c r="AI8" s="16">
        <v>0</v>
      </c>
      <c r="AJ8" s="234"/>
    </row>
    <row r="9" spans="1:36" ht="13.5" customHeight="1" x14ac:dyDescent="0.25">
      <c r="A9" s="227" t="s">
        <v>6</v>
      </c>
      <c r="B9" s="228">
        <v>0</v>
      </c>
      <c r="C9" s="228">
        <v>2</v>
      </c>
      <c r="D9" s="228">
        <v>4</v>
      </c>
      <c r="E9" s="229">
        <f t="shared" si="0"/>
        <v>0.25</v>
      </c>
      <c r="F9" s="229">
        <f>AVERAGE($E$4:$E9)</f>
        <v>0.19722222222222219</v>
      </c>
      <c r="G9" s="230">
        <f t="shared" si="1"/>
        <v>0.05</v>
      </c>
      <c r="I9" s="227" t="s">
        <v>6</v>
      </c>
      <c r="J9" s="232">
        <v>704</v>
      </c>
      <c r="K9" s="232">
        <v>0</v>
      </c>
      <c r="L9" s="229">
        <f t="shared" si="2"/>
        <v>0</v>
      </c>
      <c r="M9" s="229">
        <f>AVERAGE($L$4:$L9)</f>
        <v>1.1423761423761425E-2</v>
      </c>
      <c r="N9" s="230">
        <f t="shared" si="3"/>
        <v>4.4999999999999998E-2</v>
      </c>
      <c r="V9" s="7" t="s">
        <v>21</v>
      </c>
      <c r="W9" s="217"/>
      <c r="X9" s="15">
        <f>'Janeiro 25'!AP16</f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1</v>
      </c>
      <c r="AH9" s="16">
        <v>0</v>
      </c>
      <c r="AI9" s="16">
        <v>0</v>
      </c>
      <c r="AJ9" s="234"/>
    </row>
    <row r="10" spans="1:36" ht="13.5" customHeight="1" x14ac:dyDescent="0.25">
      <c r="A10" s="227" t="s">
        <v>7</v>
      </c>
      <c r="B10" s="228">
        <v>1</v>
      </c>
      <c r="C10" s="228">
        <v>0</v>
      </c>
      <c r="D10" s="228">
        <v>5</v>
      </c>
      <c r="E10" s="229">
        <f t="shared" si="0"/>
        <v>0.1</v>
      </c>
      <c r="F10" s="229">
        <f>AVERAGE($E$4:$E10)</f>
        <v>0.18333333333333332</v>
      </c>
      <c r="G10" s="230">
        <f t="shared" si="1"/>
        <v>0.05</v>
      </c>
      <c r="I10" s="227" t="s">
        <v>7</v>
      </c>
      <c r="J10" s="232">
        <v>1012</v>
      </c>
      <c r="K10" s="232">
        <v>0</v>
      </c>
      <c r="L10" s="229">
        <f t="shared" si="2"/>
        <v>0</v>
      </c>
      <c r="M10" s="229">
        <f>AVERAGE($L$4:$L10)</f>
        <v>9.791795506081221E-3</v>
      </c>
      <c r="N10" s="230">
        <f t="shared" si="3"/>
        <v>4.4999999999999998E-2</v>
      </c>
      <c r="V10" s="7" t="s">
        <v>22</v>
      </c>
      <c r="W10" s="217"/>
      <c r="X10" s="17">
        <v>22</v>
      </c>
      <c r="Y10" s="18">
        <v>20</v>
      </c>
      <c r="Z10" s="18">
        <v>21</v>
      </c>
      <c r="AA10" s="18">
        <v>24</v>
      </c>
      <c r="AB10" s="18">
        <v>22</v>
      </c>
      <c r="AC10" s="18">
        <v>20</v>
      </c>
      <c r="AD10" s="18">
        <v>23</v>
      </c>
      <c r="AE10" s="18">
        <v>21</v>
      </c>
      <c r="AF10" s="18">
        <v>22</v>
      </c>
      <c r="AG10" s="18">
        <v>23</v>
      </c>
      <c r="AH10" s="18">
        <v>21</v>
      </c>
      <c r="AI10" s="19">
        <v>22</v>
      </c>
    </row>
    <row r="11" spans="1:36" ht="13.5" customHeight="1" x14ac:dyDescent="0.25">
      <c r="A11" s="227" t="s">
        <v>8</v>
      </c>
      <c r="B11" s="228">
        <v>0</v>
      </c>
      <c r="C11" s="228">
        <v>0</v>
      </c>
      <c r="D11" s="228">
        <v>5</v>
      </c>
      <c r="E11" s="229">
        <f t="shared" si="0"/>
        <v>0</v>
      </c>
      <c r="F11" s="229">
        <f>AVERAGE($E$4:$E11)</f>
        <v>0.16041666666666665</v>
      </c>
      <c r="G11" s="230">
        <f t="shared" si="1"/>
        <v>0.05</v>
      </c>
      <c r="I11" s="227" t="s">
        <v>8</v>
      </c>
      <c r="J11" s="232">
        <v>924</v>
      </c>
      <c r="K11" s="232">
        <v>0</v>
      </c>
      <c r="L11" s="229">
        <f t="shared" si="2"/>
        <v>0</v>
      </c>
      <c r="M11" s="229">
        <f>AVERAGE($L$4:$L11)</f>
        <v>8.567821067821068E-3</v>
      </c>
      <c r="N11" s="230">
        <f t="shared" si="3"/>
        <v>4.4999999999999998E-2</v>
      </c>
      <c r="V11" s="7" t="s">
        <v>23</v>
      </c>
      <c r="W11" s="217"/>
      <c r="X11" s="20">
        <f t="shared" ref="X11:AI11" si="6">X10*X7</f>
        <v>121</v>
      </c>
      <c r="Y11" s="21">
        <f t="shared" si="6"/>
        <v>120</v>
      </c>
      <c r="Z11" s="21">
        <f t="shared" si="6"/>
        <v>126</v>
      </c>
      <c r="AA11" s="21">
        <f t="shared" si="6"/>
        <v>144</v>
      </c>
      <c r="AB11" s="21">
        <f t="shared" si="6"/>
        <v>132</v>
      </c>
      <c r="AC11" s="21">
        <f t="shared" si="6"/>
        <v>100</v>
      </c>
      <c r="AD11" s="21">
        <f t="shared" si="6"/>
        <v>103.5</v>
      </c>
      <c r="AE11" s="21">
        <f t="shared" si="6"/>
        <v>105</v>
      </c>
      <c r="AF11" s="21">
        <f t="shared" si="6"/>
        <v>99</v>
      </c>
      <c r="AG11" s="21">
        <f t="shared" si="6"/>
        <v>92</v>
      </c>
      <c r="AH11" s="21">
        <f t="shared" si="6"/>
        <v>84</v>
      </c>
      <c r="AI11" s="21">
        <f t="shared" si="6"/>
        <v>77</v>
      </c>
    </row>
    <row r="12" spans="1:36" ht="13.5" customHeight="1" x14ac:dyDescent="0.25">
      <c r="A12" s="227" t="s">
        <v>9</v>
      </c>
      <c r="B12" s="228">
        <v>0</v>
      </c>
      <c r="C12" s="228">
        <v>1</v>
      </c>
      <c r="D12" s="228">
        <v>4</v>
      </c>
      <c r="E12" s="229">
        <f t="shared" si="0"/>
        <v>0.125</v>
      </c>
      <c r="F12" s="229">
        <f>AVERAGE($E$4:$E12)</f>
        <v>0.15648148148148147</v>
      </c>
      <c r="G12" s="230">
        <f t="shared" si="1"/>
        <v>0.05</v>
      </c>
      <c r="I12" s="227" t="s">
        <v>9</v>
      </c>
      <c r="J12" s="228">
        <v>774</v>
      </c>
      <c r="K12" s="228">
        <v>0</v>
      </c>
      <c r="L12" s="229">
        <f t="shared" si="2"/>
        <v>0</v>
      </c>
      <c r="M12" s="229">
        <f>AVERAGE($L$4:$L12)</f>
        <v>7.615840949174283E-3</v>
      </c>
      <c r="N12" s="230">
        <f t="shared" si="3"/>
        <v>4.4999999999999998E-2</v>
      </c>
      <c r="V12" s="7" t="s">
        <v>24</v>
      </c>
      <c r="W12" s="217"/>
      <c r="X12" s="20">
        <f t="shared" ref="X12:AI12" si="7">X11-X8</f>
        <v>121</v>
      </c>
      <c r="Y12" s="21">
        <f t="shared" si="7"/>
        <v>120</v>
      </c>
      <c r="Z12" s="21">
        <f t="shared" si="7"/>
        <v>126</v>
      </c>
      <c r="AA12" s="21">
        <f t="shared" si="7"/>
        <v>144</v>
      </c>
      <c r="AB12" s="21">
        <f t="shared" si="7"/>
        <v>132</v>
      </c>
      <c r="AC12" s="21">
        <f t="shared" si="7"/>
        <v>100</v>
      </c>
      <c r="AD12" s="21">
        <f t="shared" si="7"/>
        <v>103.5</v>
      </c>
      <c r="AE12" s="21">
        <f t="shared" si="7"/>
        <v>105</v>
      </c>
      <c r="AF12" s="21">
        <f t="shared" si="7"/>
        <v>99</v>
      </c>
      <c r="AG12" s="21">
        <f t="shared" si="7"/>
        <v>79</v>
      </c>
      <c r="AH12" s="21">
        <f t="shared" si="7"/>
        <v>84</v>
      </c>
      <c r="AI12" s="21">
        <f t="shared" si="7"/>
        <v>77</v>
      </c>
    </row>
    <row r="13" spans="1:36" ht="13.5" customHeight="1" x14ac:dyDescent="0.25">
      <c r="A13" s="227" t="s">
        <v>10</v>
      </c>
      <c r="B13" s="228">
        <v>0</v>
      </c>
      <c r="C13" s="228">
        <v>0</v>
      </c>
      <c r="D13" s="228">
        <v>4</v>
      </c>
      <c r="E13" s="229">
        <f t="shared" si="0"/>
        <v>0</v>
      </c>
      <c r="F13" s="229">
        <f>AVERAGE($E$4:$E13)</f>
        <v>0.14083333333333331</v>
      </c>
      <c r="G13" s="230">
        <f t="shared" si="1"/>
        <v>0.05</v>
      </c>
      <c r="I13" s="227" t="s">
        <v>10</v>
      </c>
      <c r="J13" s="228">
        <v>810</v>
      </c>
      <c r="K13" s="228">
        <v>114</v>
      </c>
      <c r="L13" s="229">
        <f t="shared" si="2"/>
        <v>0.14074074074074075</v>
      </c>
      <c r="M13" s="229">
        <f>AVERAGE($L$4:$L13)</f>
        <v>2.0928330928330928E-2</v>
      </c>
      <c r="N13" s="230">
        <f t="shared" si="3"/>
        <v>4.4999999999999998E-2</v>
      </c>
      <c r="V13" s="7" t="s">
        <v>25</v>
      </c>
      <c r="W13" s="217"/>
      <c r="X13" s="235">
        <f t="shared" ref="X13:AI13" si="8">X8+X3</f>
        <v>3</v>
      </c>
      <c r="Y13" s="236">
        <f t="shared" si="8"/>
        <v>0</v>
      </c>
      <c r="Z13" s="236">
        <f t="shared" si="8"/>
        <v>1</v>
      </c>
      <c r="AA13" s="236">
        <f t="shared" si="8"/>
        <v>0</v>
      </c>
      <c r="AB13" s="236">
        <f t="shared" si="8"/>
        <v>5</v>
      </c>
      <c r="AC13" s="236">
        <f t="shared" si="8"/>
        <v>0</v>
      </c>
      <c r="AD13" s="236">
        <f t="shared" si="8"/>
        <v>0</v>
      </c>
      <c r="AE13" s="236">
        <f t="shared" si="8"/>
        <v>0</v>
      </c>
      <c r="AF13" s="236">
        <f t="shared" si="8"/>
        <v>0</v>
      </c>
      <c r="AG13" s="236">
        <f t="shared" si="8"/>
        <v>13</v>
      </c>
      <c r="AH13" s="236">
        <f t="shared" si="8"/>
        <v>0</v>
      </c>
      <c r="AI13" s="236">
        <f t="shared" si="8"/>
        <v>0</v>
      </c>
    </row>
    <row r="14" spans="1:36" ht="13.5" customHeight="1" x14ac:dyDescent="0.25">
      <c r="A14" s="227" t="s">
        <v>11</v>
      </c>
      <c r="B14" s="228">
        <v>1</v>
      </c>
      <c r="C14" s="228">
        <v>1</v>
      </c>
      <c r="D14" s="228">
        <v>4</v>
      </c>
      <c r="E14" s="229">
        <f t="shared" si="0"/>
        <v>0.25</v>
      </c>
      <c r="F14" s="229">
        <f>AVERAGE($E$4:$E14)</f>
        <v>0.15075757575757576</v>
      </c>
      <c r="G14" s="230">
        <f t="shared" si="1"/>
        <v>0.05</v>
      </c>
      <c r="I14" s="227" t="s">
        <v>11</v>
      </c>
      <c r="J14" s="228">
        <v>739</v>
      </c>
      <c r="K14" s="228">
        <v>0</v>
      </c>
      <c r="L14" s="229">
        <f t="shared" si="2"/>
        <v>0</v>
      </c>
      <c r="M14" s="229">
        <f>AVERAGE($L$4:$L14)</f>
        <v>1.9025755389391753E-2</v>
      </c>
      <c r="N14" s="230">
        <f t="shared" si="3"/>
        <v>4.4999999999999998E-2</v>
      </c>
      <c r="V14" s="7" t="s">
        <v>26</v>
      </c>
      <c r="W14" s="217"/>
      <c r="X14" s="20">
        <f t="shared" ref="X14:AI14" si="9">(X6*8.8)*X10</f>
        <v>1161.6000000000001</v>
      </c>
      <c r="Y14" s="21">
        <f t="shared" si="9"/>
        <v>1056</v>
      </c>
      <c r="Z14" s="21">
        <f t="shared" si="9"/>
        <v>1108.8000000000002</v>
      </c>
      <c r="AA14" s="21">
        <f t="shared" si="9"/>
        <v>1267.2</v>
      </c>
      <c r="AB14" s="21">
        <f t="shared" si="9"/>
        <v>1161.6000000000001</v>
      </c>
      <c r="AC14" s="21">
        <f t="shared" si="9"/>
        <v>704</v>
      </c>
      <c r="AD14" s="21">
        <f t="shared" si="9"/>
        <v>1012</v>
      </c>
      <c r="AE14" s="21">
        <f t="shared" si="9"/>
        <v>924</v>
      </c>
      <c r="AF14" s="21">
        <f t="shared" si="9"/>
        <v>774.40000000000009</v>
      </c>
      <c r="AG14" s="21">
        <f t="shared" si="9"/>
        <v>809.6</v>
      </c>
      <c r="AH14" s="21">
        <f t="shared" si="9"/>
        <v>739.2</v>
      </c>
      <c r="AI14" s="21">
        <f t="shared" si="9"/>
        <v>580.80000000000007</v>
      </c>
    </row>
    <row r="15" spans="1:36" ht="14.25" customHeight="1" x14ac:dyDescent="0.25">
      <c r="A15" s="237" t="s">
        <v>12</v>
      </c>
      <c r="B15" s="238">
        <v>1</v>
      </c>
      <c r="C15" s="238">
        <v>2</v>
      </c>
      <c r="D15" s="238">
        <v>3</v>
      </c>
      <c r="E15" s="239">
        <f t="shared" si="0"/>
        <v>0.5</v>
      </c>
      <c r="F15" s="239">
        <f>AVERAGE($E$4:$E15)</f>
        <v>0.17986111111111111</v>
      </c>
      <c r="G15" s="240">
        <f t="shared" si="1"/>
        <v>0.05</v>
      </c>
      <c r="I15" s="237" t="s">
        <v>12</v>
      </c>
      <c r="J15" s="241">
        <f>AI14</f>
        <v>580.80000000000007</v>
      </c>
      <c r="K15" s="242">
        <f>AI15</f>
        <v>0</v>
      </c>
      <c r="L15" s="229">
        <f t="shared" si="2"/>
        <v>0</v>
      </c>
      <c r="M15" s="239">
        <f>AVERAGE($L$4:$L15)</f>
        <v>1.7440275773609109E-2</v>
      </c>
      <c r="N15" s="240">
        <f t="shared" si="3"/>
        <v>4.4999999999999998E-2</v>
      </c>
      <c r="V15" s="7" t="s">
        <v>27</v>
      </c>
      <c r="W15" s="217"/>
      <c r="X15" s="24">
        <f t="shared" ref="X15:AI15" si="10">X13*8.8</f>
        <v>26.400000000000002</v>
      </c>
      <c r="Y15" s="25">
        <f t="shared" si="10"/>
        <v>0</v>
      </c>
      <c r="Z15" s="25">
        <f t="shared" si="10"/>
        <v>8.8000000000000007</v>
      </c>
      <c r="AA15" s="25">
        <f t="shared" si="10"/>
        <v>0</v>
      </c>
      <c r="AB15" s="25">
        <f t="shared" si="10"/>
        <v>44</v>
      </c>
      <c r="AC15" s="25">
        <f t="shared" si="10"/>
        <v>0</v>
      </c>
      <c r="AD15" s="25">
        <f t="shared" si="10"/>
        <v>0</v>
      </c>
      <c r="AE15" s="25">
        <f t="shared" si="10"/>
        <v>0</v>
      </c>
      <c r="AF15" s="25">
        <f t="shared" si="10"/>
        <v>0</v>
      </c>
      <c r="AG15" s="25">
        <f t="shared" si="10"/>
        <v>114.4</v>
      </c>
      <c r="AH15" s="25">
        <f t="shared" si="10"/>
        <v>0</v>
      </c>
      <c r="AI15" s="25">
        <f t="shared" si="10"/>
        <v>0</v>
      </c>
    </row>
    <row r="16" spans="1:36" ht="14.25" customHeight="1" x14ac:dyDescent="0.25">
      <c r="A16" s="785" t="s">
        <v>114</v>
      </c>
      <c r="B16" s="785"/>
      <c r="C16" s="785"/>
      <c r="D16" s="785"/>
      <c r="E16" s="785"/>
      <c r="F16" s="785"/>
      <c r="G16" s="785"/>
      <c r="V16" s="7" t="s">
        <v>28</v>
      </c>
      <c r="W16" s="217"/>
      <c r="X16" s="26">
        <f t="shared" ref="X16:AI16" si="11">(X14-X15)/(8.8*X10)</f>
        <v>5.8636363636363633</v>
      </c>
      <c r="Y16" s="27">
        <f t="shared" si="11"/>
        <v>6</v>
      </c>
      <c r="Z16" s="27">
        <f t="shared" si="11"/>
        <v>5.9523809523809534</v>
      </c>
      <c r="AA16" s="27">
        <f t="shared" si="11"/>
        <v>6</v>
      </c>
      <c r="AB16" s="27">
        <f t="shared" si="11"/>
        <v>5.7727272727272725</v>
      </c>
      <c r="AC16" s="27">
        <f t="shared" si="11"/>
        <v>4</v>
      </c>
      <c r="AD16" s="27">
        <f t="shared" si="11"/>
        <v>5</v>
      </c>
      <c r="AE16" s="27">
        <f t="shared" si="11"/>
        <v>5</v>
      </c>
      <c r="AF16" s="27">
        <f t="shared" si="11"/>
        <v>4</v>
      </c>
      <c r="AG16" s="27">
        <f t="shared" si="11"/>
        <v>3.4347826086956523</v>
      </c>
      <c r="AH16" s="27">
        <f t="shared" si="11"/>
        <v>4</v>
      </c>
      <c r="AI16" s="27">
        <f t="shared" si="11"/>
        <v>3</v>
      </c>
    </row>
    <row r="17" spans="1:35" ht="14.25" customHeight="1" x14ac:dyDescent="0.25">
      <c r="A17" s="243"/>
      <c r="B17" s="243"/>
      <c r="C17" s="243"/>
      <c r="D17" s="243"/>
      <c r="V17" s="7" t="s">
        <v>29</v>
      </c>
      <c r="W17" s="217"/>
      <c r="X17" s="28">
        <f t="shared" ref="X17:AI17" si="12">IFERROR((X15/X14),"")</f>
        <v>2.2727272727272728E-2</v>
      </c>
      <c r="Y17" s="29">
        <f t="shared" si="12"/>
        <v>0</v>
      </c>
      <c r="Z17" s="29">
        <f t="shared" si="12"/>
        <v>7.9365079365079361E-3</v>
      </c>
      <c r="AA17" s="29">
        <f t="shared" si="12"/>
        <v>0</v>
      </c>
      <c r="AB17" s="29">
        <f t="shared" si="12"/>
        <v>3.7878787878787873E-2</v>
      </c>
      <c r="AC17" s="29">
        <f t="shared" si="12"/>
        <v>0</v>
      </c>
      <c r="AD17" s="29">
        <f t="shared" si="12"/>
        <v>0</v>
      </c>
      <c r="AE17" s="29">
        <f t="shared" si="12"/>
        <v>0</v>
      </c>
      <c r="AF17" s="29">
        <f t="shared" si="12"/>
        <v>0</v>
      </c>
      <c r="AG17" s="29">
        <f t="shared" si="12"/>
        <v>0.14130434782608697</v>
      </c>
      <c r="AH17" s="29">
        <f t="shared" si="12"/>
        <v>0</v>
      </c>
      <c r="AI17" s="29">
        <f t="shared" si="12"/>
        <v>0</v>
      </c>
    </row>
  </sheetData>
  <mergeCells count="6">
    <mergeCell ref="A16:G16"/>
    <mergeCell ref="A1:G1"/>
    <mergeCell ref="I1:N1"/>
    <mergeCell ref="A2:C2"/>
    <mergeCell ref="D2:E2"/>
    <mergeCell ref="I2:K2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  <legacyDrawing r:id="rId2"/>
  <tableParts count="2">
    <tablePart r:id="rId3"/>
    <tablePart r:id="rId4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</sheetPr>
  <dimension ref="B2:F8"/>
  <sheetViews>
    <sheetView showGridLines="0" zoomScaleNormal="100" workbookViewId="0">
      <selection activeCell="J16" sqref="J16"/>
    </sheetView>
  </sheetViews>
  <sheetFormatPr defaultColWidth="8.5703125" defaultRowHeight="15" x14ac:dyDescent="0.25"/>
  <cols>
    <col min="2" max="2" width="11.5703125" customWidth="1"/>
    <col min="3" max="3" width="29.42578125" customWidth="1"/>
    <col min="4" max="4" width="14.140625" customWidth="1"/>
    <col min="5" max="6" width="10.42578125" customWidth="1"/>
  </cols>
  <sheetData>
    <row r="2" spans="2:6" ht="15" customHeight="1" x14ac:dyDescent="0.25">
      <c r="B2" s="244" t="s">
        <v>41</v>
      </c>
      <c r="C2" s="244" t="s">
        <v>42</v>
      </c>
      <c r="D2" s="244" t="s">
        <v>43</v>
      </c>
      <c r="E2" s="244" t="s">
        <v>44</v>
      </c>
      <c r="F2" s="244" t="s">
        <v>45</v>
      </c>
    </row>
    <row r="3" spans="2:6" ht="15" customHeight="1" x14ac:dyDescent="0.25">
      <c r="B3" s="245">
        <v>1</v>
      </c>
      <c r="C3" s="246" t="s">
        <v>51</v>
      </c>
      <c r="D3" s="247" t="s">
        <v>60</v>
      </c>
      <c r="E3" s="248">
        <v>44599</v>
      </c>
      <c r="F3" s="249"/>
    </row>
    <row r="4" spans="2:6" ht="15" customHeight="1" x14ac:dyDescent="0.25">
      <c r="B4" s="245">
        <v>2</v>
      </c>
      <c r="C4" s="246" t="s">
        <v>98</v>
      </c>
      <c r="D4" s="247" t="s">
        <v>60</v>
      </c>
      <c r="E4" s="248">
        <v>45702</v>
      </c>
      <c r="F4" s="250"/>
    </row>
    <row r="5" spans="2:6" ht="15" customHeight="1" x14ac:dyDescent="0.25">
      <c r="B5" s="245">
        <v>3</v>
      </c>
      <c r="C5" s="251" t="s">
        <v>99</v>
      </c>
      <c r="D5" s="252" t="s">
        <v>60</v>
      </c>
      <c r="E5" s="253">
        <v>45736</v>
      </c>
      <c r="F5" s="253"/>
    </row>
    <row r="6" spans="2:6" ht="15" customHeight="1" x14ac:dyDescent="0.25">
      <c r="B6" s="245">
        <v>4</v>
      </c>
      <c r="C6" s="246" t="s">
        <v>115</v>
      </c>
      <c r="D6" s="247" t="s">
        <v>60</v>
      </c>
      <c r="E6" s="248">
        <v>46043</v>
      </c>
      <c r="F6" s="253"/>
    </row>
    <row r="7" spans="2:6" ht="15" customHeight="1" x14ac:dyDescent="0.25">
      <c r="B7" s="254">
        <v>5</v>
      </c>
      <c r="C7" s="255" t="s">
        <v>116</v>
      </c>
      <c r="D7" s="256" t="s">
        <v>60</v>
      </c>
      <c r="E7" s="257">
        <v>46055</v>
      </c>
      <c r="F7" s="258">
        <v>46129</v>
      </c>
    </row>
    <row r="8" spans="2:6" ht="15" customHeight="1" x14ac:dyDescent="0.25">
      <c r="B8" s="245">
        <v>6</v>
      </c>
      <c r="C8" s="246" t="s">
        <v>117</v>
      </c>
      <c r="D8" s="247" t="s">
        <v>60</v>
      </c>
      <c r="E8" s="248">
        <v>46055</v>
      </c>
      <c r="F8" s="253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17"/>
  <sheetViews>
    <sheetView showGridLines="0" zoomScaleNormal="100" workbookViewId="0">
      <selection activeCell="U3" sqref="U3"/>
    </sheetView>
  </sheetViews>
  <sheetFormatPr defaultColWidth="12.5703125" defaultRowHeight="13.5" x14ac:dyDescent="0.25"/>
  <cols>
    <col min="1" max="1" width="8.7109375" style="214" customWidth="1"/>
    <col min="2" max="2" width="9.42578125" style="214" customWidth="1"/>
    <col min="3" max="3" width="12.5703125" style="214"/>
    <col min="4" max="4" width="12.42578125" style="214" customWidth="1"/>
    <col min="5" max="5" width="7.85546875" style="214" customWidth="1"/>
    <col min="6" max="6" width="7.5703125" style="214" customWidth="1"/>
    <col min="7" max="7" width="9.7109375" style="214" customWidth="1"/>
    <col min="8" max="8" width="3.5703125" style="214" customWidth="1"/>
    <col min="9" max="9" width="8.7109375" style="214" customWidth="1"/>
    <col min="10" max="10" width="9.42578125" style="214" customWidth="1"/>
    <col min="11" max="11" width="12.5703125" style="214"/>
    <col min="12" max="12" width="11.140625" style="214" customWidth="1"/>
    <col min="13" max="13" width="7.5703125" style="214" customWidth="1"/>
    <col min="14" max="16" width="8.28515625" style="214" customWidth="1"/>
    <col min="17" max="17" width="23" style="214" customWidth="1"/>
    <col min="18" max="18" width="4" style="214" customWidth="1"/>
    <col min="19" max="20" width="5.5703125" style="214" customWidth="1"/>
    <col min="21" max="21" width="4" style="214" customWidth="1"/>
    <col min="22" max="22" width="3.7109375" style="214" customWidth="1"/>
    <col min="23" max="23" width="3.5703125" style="214" customWidth="1"/>
    <col min="24" max="24" width="3.140625" style="214" customWidth="1"/>
    <col min="25" max="25" width="3.85546875" style="214" customWidth="1"/>
    <col min="26" max="26" width="3.5703125" style="214" customWidth="1"/>
    <col min="27" max="27" width="3.85546875" style="214" customWidth="1"/>
    <col min="28" max="28" width="4" style="214" customWidth="1"/>
    <col min="29" max="29" width="3.85546875" style="214" customWidth="1"/>
    <col min="30" max="35" width="6.85546875" style="214" customWidth="1"/>
    <col min="36" max="16384" width="12.5703125" style="214"/>
  </cols>
  <sheetData>
    <row r="1" spans="1:30" ht="16.5" customHeight="1" x14ac:dyDescent="0.25">
      <c r="A1" s="786" t="s">
        <v>102</v>
      </c>
      <c r="B1" s="786"/>
      <c r="C1" s="786"/>
      <c r="D1" s="786"/>
      <c r="E1" s="786"/>
      <c r="F1" s="786"/>
      <c r="G1" s="786"/>
      <c r="H1" s="215"/>
      <c r="I1" s="786" t="s">
        <v>103</v>
      </c>
      <c r="J1" s="786"/>
      <c r="K1" s="786"/>
      <c r="L1" s="786"/>
      <c r="M1" s="786"/>
      <c r="N1" s="786"/>
      <c r="Q1" s="216" t="s">
        <v>0</v>
      </c>
      <c r="R1" s="218" t="s">
        <v>1</v>
      </c>
      <c r="S1" s="219" t="s">
        <v>2</v>
      </c>
      <c r="T1" s="219" t="s">
        <v>3</v>
      </c>
      <c r="U1" s="219" t="s">
        <v>4</v>
      </c>
      <c r="V1" s="219" t="s">
        <v>5</v>
      </c>
      <c r="W1" s="219" t="s">
        <v>6</v>
      </c>
      <c r="X1" s="219" t="s">
        <v>7</v>
      </c>
      <c r="Y1" s="219" t="s">
        <v>8</v>
      </c>
      <c r="Z1" s="219" t="s">
        <v>9</v>
      </c>
      <c r="AA1" s="219" t="s">
        <v>10</v>
      </c>
      <c r="AB1" s="219" t="s">
        <v>11</v>
      </c>
      <c r="AC1" s="219" t="s">
        <v>12</v>
      </c>
    </row>
    <row r="2" spans="1:30" s="223" customFormat="1" ht="18.75" customHeight="1" x14ac:dyDescent="0.25">
      <c r="A2" s="787" t="s">
        <v>104</v>
      </c>
      <c r="B2" s="787"/>
      <c r="C2" s="787"/>
      <c r="D2" s="788">
        <v>2026</v>
      </c>
      <c r="E2" s="788"/>
      <c r="F2" s="220" t="s">
        <v>105</v>
      </c>
      <c r="G2" s="221">
        <v>0.05</v>
      </c>
      <c r="H2" s="215"/>
      <c r="I2" s="787" t="s">
        <v>104</v>
      </c>
      <c r="J2" s="787"/>
      <c r="K2" s="787"/>
      <c r="L2" s="222">
        <v>2026</v>
      </c>
      <c r="M2" s="220" t="s">
        <v>105</v>
      </c>
      <c r="N2" s="221">
        <v>4.4999999999999998E-2</v>
      </c>
      <c r="Q2" s="7" t="s">
        <v>14</v>
      </c>
      <c r="R2" s="8">
        <v>3</v>
      </c>
      <c r="S2" s="9">
        <f t="shared" ref="S2:AC2" si="0">R6</f>
        <v>4</v>
      </c>
      <c r="T2" s="9">
        <f t="shared" si="0"/>
        <v>6</v>
      </c>
      <c r="U2" s="9">
        <f t="shared" si="0"/>
        <v>6</v>
      </c>
      <c r="V2" s="9">
        <f t="shared" si="0"/>
        <v>5</v>
      </c>
      <c r="W2" s="9">
        <f t="shared" si="0"/>
        <v>5</v>
      </c>
      <c r="X2" s="9">
        <f t="shared" si="0"/>
        <v>5</v>
      </c>
      <c r="Y2" s="9">
        <f t="shared" si="0"/>
        <v>5</v>
      </c>
      <c r="Z2" s="9">
        <f t="shared" si="0"/>
        <v>5</v>
      </c>
      <c r="AA2" s="9">
        <f t="shared" si="0"/>
        <v>5</v>
      </c>
      <c r="AB2" s="9">
        <f t="shared" si="0"/>
        <v>5</v>
      </c>
      <c r="AC2" s="9">
        <f t="shared" si="0"/>
        <v>5</v>
      </c>
    </row>
    <row r="3" spans="1:30" ht="15.75" customHeight="1" x14ac:dyDescent="0.25">
      <c r="A3" s="224" t="s">
        <v>106</v>
      </c>
      <c r="B3" s="225" t="s">
        <v>107</v>
      </c>
      <c r="C3" s="225" t="s">
        <v>108</v>
      </c>
      <c r="D3" s="225" t="s">
        <v>59</v>
      </c>
      <c r="E3" s="225" t="s">
        <v>109</v>
      </c>
      <c r="F3" s="225" t="s">
        <v>110</v>
      </c>
      <c r="G3" s="226" t="s">
        <v>86</v>
      </c>
      <c r="I3" s="224" t="s">
        <v>106</v>
      </c>
      <c r="J3" s="225" t="s">
        <v>111</v>
      </c>
      <c r="K3" s="225" t="s">
        <v>112</v>
      </c>
      <c r="L3" s="225" t="s">
        <v>113</v>
      </c>
      <c r="M3" s="225" t="s">
        <v>110</v>
      </c>
      <c r="N3" s="226" t="s">
        <v>86</v>
      </c>
      <c r="Q3" s="7" t="s">
        <v>15</v>
      </c>
      <c r="R3" s="8">
        <v>0</v>
      </c>
      <c r="S3" s="9">
        <v>0</v>
      </c>
      <c r="T3" s="9">
        <v>0</v>
      </c>
      <c r="U3" s="9">
        <v>10</v>
      </c>
      <c r="V3" s="9"/>
      <c r="W3" s="9"/>
      <c r="X3" s="9"/>
      <c r="Y3" s="9"/>
      <c r="Z3" s="9"/>
      <c r="AA3" s="9"/>
      <c r="AB3" s="9"/>
      <c r="AC3" s="9"/>
    </row>
    <row r="4" spans="1:30" ht="13.5" customHeight="1" x14ac:dyDescent="0.25">
      <c r="A4" s="227" t="s">
        <v>1</v>
      </c>
      <c r="B4" s="228">
        <v>1</v>
      </c>
      <c r="C4" s="228">
        <v>0</v>
      </c>
      <c r="D4" s="228">
        <v>4</v>
      </c>
      <c r="E4" s="229">
        <f>Table_46[[#This Row],[Desligamentos]]/Table_46[[#This Row],[Colaboradores]]</f>
        <v>0</v>
      </c>
      <c r="F4" s="229">
        <f>AVERAGE(E4)</f>
        <v>0</v>
      </c>
      <c r="G4" s="230">
        <f t="shared" ref="G4:G15" si="1">$G$2</f>
        <v>0.05</v>
      </c>
      <c r="H4" s="231"/>
      <c r="I4" s="227" t="s">
        <v>1</v>
      </c>
      <c r="J4" s="232">
        <f>R14</f>
        <v>739.2</v>
      </c>
      <c r="K4" s="232">
        <f>R15</f>
        <v>0</v>
      </c>
      <c r="L4" s="229">
        <f>IFERROR((K4/J4),"")</f>
        <v>0</v>
      </c>
      <c r="M4" s="229">
        <f>AVERAGE(L4)</f>
        <v>0</v>
      </c>
      <c r="N4" s="230">
        <f t="shared" ref="N4:N15" si="2">$N$2</f>
        <v>4.4999999999999998E-2</v>
      </c>
      <c r="O4" s="231"/>
      <c r="P4" s="231"/>
      <c r="Q4" s="7" t="s">
        <v>16</v>
      </c>
      <c r="R4" s="8">
        <v>1</v>
      </c>
      <c r="S4" s="9">
        <v>2</v>
      </c>
      <c r="T4" s="9">
        <v>0</v>
      </c>
      <c r="U4" s="9">
        <v>0</v>
      </c>
      <c r="V4" s="9"/>
      <c r="W4" s="9"/>
      <c r="X4" s="9"/>
      <c r="Y4" s="9"/>
      <c r="Z4" s="9"/>
      <c r="AA4" s="9"/>
      <c r="AB4" s="9"/>
      <c r="AC4" s="9"/>
      <c r="AD4" s="231"/>
    </row>
    <row r="5" spans="1:30" ht="13.5" customHeight="1" x14ac:dyDescent="0.25">
      <c r="A5" s="227" t="s">
        <v>2</v>
      </c>
      <c r="B5" s="228">
        <v>2</v>
      </c>
      <c r="C5" s="228">
        <v>0</v>
      </c>
      <c r="D5" s="228">
        <v>6</v>
      </c>
      <c r="E5" s="229">
        <f>Table_46[[#This Row],[Desligamentos]]/Table_46[[#This Row],[Colaboradores]]</f>
        <v>0</v>
      </c>
      <c r="F5" s="229">
        <f>AVERAGE($E$4:$E5)</f>
        <v>0</v>
      </c>
      <c r="G5" s="230">
        <f t="shared" si="1"/>
        <v>0.05</v>
      </c>
      <c r="I5" s="227" t="s">
        <v>2</v>
      </c>
      <c r="J5" s="233">
        <f>S14</f>
        <v>1003.2</v>
      </c>
      <c r="K5" s="232">
        <f>S15</f>
        <v>0</v>
      </c>
      <c r="L5" s="229">
        <f>IFERROR((K5/J5),"")</f>
        <v>0</v>
      </c>
      <c r="M5" s="229">
        <f>AVERAGE($L$4:$L5)</f>
        <v>0</v>
      </c>
      <c r="N5" s="230">
        <f t="shared" si="2"/>
        <v>4.4999999999999998E-2</v>
      </c>
      <c r="Q5" s="7" t="s">
        <v>17</v>
      </c>
      <c r="R5" s="8">
        <v>0</v>
      </c>
      <c r="S5" s="9">
        <v>0</v>
      </c>
      <c r="T5" s="9">
        <v>0</v>
      </c>
      <c r="U5" s="9">
        <v>1</v>
      </c>
      <c r="V5" s="9"/>
      <c r="W5" s="9"/>
      <c r="X5" s="9"/>
      <c r="Y5" s="9"/>
      <c r="Z5" s="9"/>
      <c r="AA5" s="9"/>
      <c r="AB5" s="9"/>
      <c r="AC5" s="9"/>
    </row>
    <row r="6" spans="1:30" ht="13.5" customHeight="1" x14ac:dyDescent="0.25">
      <c r="A6" s="227" t="s">
        <v>3</v>
      </c>
      <c r="B6" s="228">
        <v>0</v>
      </c>
      <c r="C6" s="228">
        <v>0</v>
      </c>
      <c r="D6" s="228">
        <v>6</v>
      </c>
      <c r="E6" s="229">
        <f>Table_46[[#This Row],[Desligamentos]]/Table_46[[#This Row],[Colaboradores]]</f>
        <v>0</v>
      </c>
      <c r="F6" s="229">
        <f>AVERAGE($E$4:$E6)</f>
        <v>0</v>
      </c>
      <c r="G6" s="230">
        <f t="shared" si="1"/>
        <v>0.05</v>
      </c>
      <c r="I6" s="227" t="s">
        <v>3</v>
      </c>
      <c r="J6" s="232">
        <f>T14</f>
        <v>1161.6000000000001</v>
      </c>
      <c r="K6" s="232">
        <f>T15</f>
        <v>0</v>
      </c>
      <c r="L6" s="229">
        <f>IFERROR((K6/J6),"")</f>
        <v>0</v>
      </c>
      <c r="M6" s="229">
        <f>AVERAGE($L$4:$L6)</f>
        <v>0</v>
      </c>
      <c r="N6" s="230">
        <f t="shared" si="2"/>
        <v>4.4999999999999998E-2</v>
      </c>
      <c r="Q6" s="7" t="s">
        <v>18</v>
      </c>
      <c r="R6" s="12">
        <f t="shared" ref="R6:AC6" si="3">R2+R4-R5</f>
        <v>4</v>
      </c>
      <c r="S6" s="13">
        <f t="shared" si="3"/>
        <v>6</v>
      </c>
      <c r="T6" s="13">
        <f t="shared" si="3"/>
        <v>6</v>
      </c>
      <c r="U6" s="13">
        <f t="shared" si="3"/>
        <v>5</v>
      </c>
      <c r="V6" s="13">
        <f t="shared" si="3"/>
        <v>5</v>
      </c>
      <c r="W6" s="13">
        <f t="shared" si="3"/>
        <v>5</v>
      </c>
      <c r="X6" s="13">
        <f t="shared" si="3"/>
        <v>5</v>
      </c>
      <c r="Y6" s="13">
        <f t="shared" si="3"/>
        <v>5</v>
      </c>
      <c r="Z6" s="13">
        <f t="shared" si="3"/>
        <v>5</v>
      </c>
      <c r="AA6" s="13">
        <f t="shared" si="3"/>
        <v>5</v>
      </c>
      <c r="AB6" s="13">
        <f t="shared" si="3"/>
        <v>5</v>
      </c>
      <c r="AC6" s="13">
        <f t="shared" si="3"/>
        <v>5</v>
      </c>
    </row>
    <row r="7" spans="1:30" ht="13.5" customHeight="1" x14ac:dyDescent="0.25">
      <c r="A7" s="227" t="s">
        <v>4</v>
      </c>
      <c r="B7" s="228">
        <v>0</v>
      </c>
      <c r="C7" s="228">
        <v>1</v>
      </c>
      <c r="D7" s="228">
        <v>5</v>
      </c>
      <c r="E7" s="229">
        <f>Table_46[[#This Row],[Desligamentos]]/Table_46[[#This Row],[Colaboradores]]</f>
        <v>0.2</v>
      </c>
      <c r="F7" s="229">
        <f>AVERAGE($E$4:$E7)</f>
        <v>0.05</v>
      </c>
      <c r="G7" s="230">
        <f t="shared" si="1"/>
        <v>0.05</v>
      </c>
      <c r="I7" s="227" t="s">
        <v>4</v>
      </c>
      <c r="J7" s="232">
        <f>U14</f>
        <v>880</v>
      </c>
      <c r="K7" s="232">
        <f>U15</f>
        <v>88</v>
      </c>
      <c r="L7" s="229">
        <f>IFERROR((K7/J7),"")</f>
        <v>0.1</v>
      </c>
      <c r="M7" s="229">
        <f>AVERAGE($L$4:$L7)</f>
        <v>2.5000000000000001E-2</v>
      </c>
      <c r="N7" s="230">
        <f t="shared" si="2"/>
        <v>4.4999999999999998E-2</v>
      </c>
      <c r="Q7" s="7" t="s">
        <v>19</v>
      </c>
      <c r="R7" s="12">
        <f t="shared" ref="R7:AC7" si="4">(R2+R6)/2</f>
        <v>3.5</v>
      </c>
      <c r="S7" s="13">
        <f t="shared" si="4"/>
        <v>5</v>
      </c>
      <c r="T7" s="13">
        <f t="shared" si="4"/>
        <v>6</v>
      </c>
      <c r="U7" s="13">
        <f t="shared" si="4"/>
        <v>5.5</v>
      </c>
      <c r="V7" s="13">
        <f t="shared" si="4"/>
        <v>5</v>
      </c>
      <c r="W7" s="13">
        <f t="shared" si="4"/>
        <v>5</v>
      </c>
      <c r="X7" s="13">
        <f t="shared" si="4"/>
        <v>5</v>
      </c>
      <c r="Y7" s="13">
        <f t="shared" si="4"/>
        <v>5</v>
      </c>
      <c r="Z7" s="13">
        <f t="shared" si="4"/>
        <v>5</v>
      </c>
      <c r="AA7" s="13">
        <f t="shared" si="4"/>
        <v>5</v>
      </c>
      <c r="AB7" s="13">
        <f t="shared" si="4"/>
        <v>5</v>
      </c>
      <c r="AC7" s="13">
        <f t="shared" si="4"/>
        <v>5</v>
      </c>
    </row>
    <row r="8" spans="1:30" ht="13.5" customHeight="1" x14ac:dyDescent="0.25">
      <c r="A8" s="227" t="s">
        <v>5</v>
      </c>
      <c r="B8" s="228"/>
      <c r="C8" s="228"/>
      <c r="D8" s="228"/>
      <c r="E8" s="229" t="e">
        <f>Table_46[[#This Row],[Desligamentos]]/Table_46[[#This Row],[Colaboradores]]</f>
        <v>#DIV/0!</v>
      </c>
      <c r="F8" s="229" t="e">
        <f>AVERAGE($E$4:$E8)</f>
        <v>#DIV/0!</v>
      </c>
      <c r="G8" s="230">
        <f t="shared" si="1"/>
        <v>0.05</v>
      </c>
      <c r="I8" s="227" t="s">
        <v>5</v>
      </c>
      <c r="J8" s="232"/>
      <c r="K8" s="232"/>
      <c r="L8" s="229"/>
      <c r="M8" s="229">
        <f>AVERAGE($L$4:$L8)</f>
        <v>2.5000000000000001E-2</v>
      </c>
      <c r="N8" s="230">
        <f t="shared" si="2"/>
        <v>4.4999999999999998E-2</v>
      </c>
      <c r="Q8" s="7" t="s">
        <v>20</v>
      </c>
      <c r="R8" s="15">
        <v>0</v>
      </c>
      <c r="S8" s="16">
        <v>0</v>
      </c>
      <c r="T8" s="16">
        <v>0</v>
      </c>
      <c r="U8" s="16">
        <v>0</v>
      </c>
      <c r="V8" s="16"/>
      <c r="W8" s="16"/>
      <c r="X8" s="16"/>
      <c r="Y8" s="16"/>
      <c r="Z8" s="16"/>
      <c r="AA8" s="16"/>
      <c r="AB8" s="16"/>
      <c r="AC8" s="16"/>
      <c r="AD8" s="234"/>
    </row>
    <row r="9" spans="1:30" ht="13.5" customHeight="1" x14ac:dyDescent="0.25">
      <c r="A9" s="227" t="s">
        <v>6</v>
      </c>
      <c r="B9" s="228"/>
      <c r="C9" s="228"/>
      <c r="D9" s="228"/>
      <c r="E9" s="229" t="e">
        <f>Table_46[[#This Row],[Desligamentos]]/Table_46[[#This Row],[Colaboradores]]</f>
        <v>#DIV/0!</v>
      </c>
      <c r="F9" s="229" t="e">
        <f>AVERAGE($E$4:$E9)</f>
        <v>#DIV/0!</v>
      </c>
      <c r="G9" s="230">
        <f t="shared" si="1"/>
        <v>0.05</v>
      </c>
      <c r="I9" s="227" t="s">
        <v>6</v>
      </c>
      <c r="J9" s="232"/>
      <c r="K9" s="232"/>
      <c r="L9" s="229"/>
      <c r="M9" s="229">
        <f>AVERAGE($L$4:$L9)</f>
        <v>2.5000000000000001E-2</v>
      </c>
      <c r="N9" s="230">
        <f t="shared" si="2"/>
        <v>4.4999999999999998E-2</v>
      </c>
      <c r="Q9" s="7" t="s">
        <v>21</v>
      </c>
      <c r="R9" s="15">
        <v>0</v>
      </c>
      <c r="S9" s="16">
        <v>0</v>
      </c>
      <c r="T9" s="16">
        <v>0</v>
      </c>
      <c r="U9" s="16">
        <v>0</v>
      </c>
      <c r="V9" s="16"/>
      <c r="W9" s="16"/>
      <c r="X9" s="16"/>
      <c r="Y9" s="16"/>
      <c r="Z9" s="16"/>
      <c r="AA9" s="16"/>
      <c r="AB9" s="16"/>
      <c r="AC9" s="16"/>
      <c r="AD9" s="234"/>
    </row>
    <row r="10" spans="1:30" ht="13.5" customHeight="1" x14ac:dyDescent="0.25">
      <c r="A10" s="227" t="s">
        <v>7</v>
      </c>
      <c r="B10" s="228"/>
      <c r="C10" s="228"/>
      <c r="D10" s="228"/>
      <c r="E10" s="229" t="e">
        <f>Table_46[[#This Row],[Desligamentos]]/Table_46[[#This Row],[Colaboradores]]</f>
        <v>#DIV/0!</v>
      </c>
      <c r="F10" s="229" t="e">
        <f>AVERAGE($E$4:$E10)</f>
        <v>#DIV/0!</v>
      </c>
      <c r="G10" s="230">
        <f t="shared" si="1"/>
        <v>0.05</v>
      </c>
      <c r="I10" s="227" t="s">
        <v>7</v>
      </c>
      <c r="J10" s="232"/>
      <c r="K10" s="232"/>
      <c r="L10" s="229"/>
      <c r="M10" s="229">
        <f>AVERAGE($L$4:$L10)</f>
        <v>2.5000000000000001E-2</v>
      </c>
      <c r="N10" s="230">
        <f t="shared" si="2"/>
        <v>4.4999999999999998E-2</v>
      </c>
      <c r="Q10" s="7" t="s">
        <v>22</v>
      </c>
      <c r="R10" s="17">
        <v>21</v>
      </c>
      <c r="S10" s="18">
        <v>19</v>
      </c>
      <c r="T10" s="18">
        <v>22</v>
      </c>
      <c r="U10" s="18">
        <v>20</v>
      </c>
      <c r="V10" s="18"/>
      <c r="W10" s="18"/>
      <c r="X10" s="18"/>
      <c r="Y10" s="18"/>
      <c r="Z10" s="18"/>
      <c r="AA10" s="18"/>
      <c r="AB10" s="18"/>
      <c r="AC10" s="18"/>
    </row>
    <row r="11" spans="1:30" ht="13.5" customHeight="1" x14ac:dyDescent="0.25">
      <c r="A11" s="227" t="s">
        <v>8</v>
      </c>
      <c r="B11" s="228"/>
      <c r="C11" s="228"/>
      <c r="D11" s="228"/>
      <c r="E11" s="229" t="e">
        <f>Table_46[[#This Row],[Desligamentos]]/Table_46[[#This Row],[Colaboradores]]</f>
        <v>#DIV/0!</v>
      </c>
      <c r="F11" s="229" t="e">
        <f>AVERAGE($E$4:$E11)</f>
        <v>#DIV/0!</v>
      </c>
      <c r="G11" s="230">
        <f t="shared" si="1"/>
        <v>0.05</v>
      </c>
      <c r="I11" s="227" t="s">
        <v>8</v>
      </c>
      <c r="J11" s="232"/>
      <c r="K11" s="232"/>
      <c r="L11" s="229"/>
      <c r="M11" s="229">
        <f>AVERAGE($L$4:$L11)</f>
        <v>2.5000000000000001E-2</v>
      </c>
      <c r="N11" s="230">
        <f t="shared" si="2"/>
        <v>4.4999999999999998E-2</v>
      </c>
      <c r="Q11" s="7" t="s">
        <v>23</v>
      </c>
      <c r="R11" s="20">
        <f>R10*R7</f>
        <v>73.5</v>
      </c>
      <c r="S11" s="20">
        <f>S10*S7</f>
        <v>95</v>
      </c>
      <c r="T11" s="20">
        <f>T10*T7</f>
        <v>132</v>
      </c>
      <c r="U11" s="20">
        <f>U10*U7</f>
        <v>110</v>
      </c>
      <c r="V11" s="21"/>
      <c r="W11" s="21"/>
      <c r="X11" s="21"/>
      <c r="Y11" s="21"/>
      <c r="Z11" s="21"/>
      <c r="AA11" s="21"/>
      <c r="AB11" s="21"/>
      <c r="AC11" s="21"/>
    </row>
    <row r="12" spans="1:30" ht="13.5" customHeight="1" x14ac:dyDescent="0.25">
      <c r="A12" s="227" t="s">
        <v>9</v>
      </c>
      <c r="B12" s="228"/>
      <c r="C12" s="228"/>
      <c r="D12" s="228"/>
      <c r="E12" s="229" t="e">
        <f>Table_46[[#This Row],[Desligamentos]]/Table_46[[#This Row],[Colaboradores]]</f>
        <v>#DIV/0!</v>
      </c>
      <c r="F12" s="229" t="e">
        <f>AVERAGE($E$4:$E12)</f>
        <v>#DIV/0!</v>
      </c>
      <c r="G12" s="230">
        <f t="shared" si="1"/>
        <v>0.05</v>
      </c>
      <c r="I12" s="227" t="s">
        <v>9</v>
      </c>
      <c r="J12" s="232"/>
      <c r="K12" s="232"/>
      <c r="L12" s="229"/>
      <c r="M12" s="229">
        <f>AVERAGE($L$4:$L12)</f>
        <v>2.5000000000000001E-2</v>
      </c>
      <c r="N12" s="230">
        <f t="shared" si="2"/>
        <v>4.4999999999999998E-2</v>
      </c>
      <c r="Q12" s="7" t="s">
        <v>24</v>
      </c>
      <c r="R12" s="20">
        <f>R11-R8</f>
        <v>73.5</v>
      </c>
      <c r="S12" s="20">
        <f>S11-S8</f>
        <v>95</v>
      </c>
      <c r="T12" s="20">
        <f>T11-T8</f>
        <v>132</v>
      </c>
      <c r="U12" s="20">
        <f>U11-U8</f>
        <v>110</v>
      </c>
      <c r="V12" s="21"/>
      <c r="W12" s="21"/>
      <c r="X12" s="21"/>
      <c r="Y12" s="21"/>
      <c r="Z12" s="21"/>
      <c r="AA12" s="21"/>
      <c r="AB12" s="21"/>
      <c r="AC12" s="21"/>
    </row>
    <row r="13" spans="1:30" ht="13.5" customHeight="1" x14ac:dyDescent="0.25">
      <c r="A13" s="227" t="s">
        <v>10</v>
      </c>
      <c r="B13" s="228"/>
      <c r="C13" s="228"/>
      <c r="D13" s="228"/>
      <c r="E13" s="229" t="e">
        <f>Table_46[[#This Row],[Desligamentos]]/Table_46[[#This Row],[Colaboradores]]</f>
        <v>#DIV/0!</v>
      </c>
      <c r="F13" s="229" t="e">
        <f>AVERAGE($E$4:$E13)</f>
        <v>#DIV/0!</v>
      </c>
      <c r="G13" s="230">
        <f t="shared" si="1"/>
        <v>0.05</v>
      </c>
      <c r="I13" s="227" t="s">
        <v>10</v>
      </c>
      <c r="J13" s="232"/>
      <c r="K13" s="232"/>
      <c r="L13" s="229"/>
      <c r="M13" s="229">
        <f>AVERAGE($L$4:$L13)</f>
        <v>2.5000000000000001E-2</v>
      </c>
      <c r="N13" s="230">
        <f t="shared" si="2"/>
        <v>4.4999999999999998E-2</v>
      </c>
      <c r="Q13" s="7" t="s">
        <v>25</v>
      </c>
      <c r="R13" s="235">
        <f>R8+R3</f>
        <v>0</v>
      </c>
      <c r="S13" s="235">
        <f>S8+S3</f>
        <v>0</v>
      </c>
      <c r="T13" s="235">
        <f>T8+T3</f>
        <v>0</v>
      </c>
      <c r="U13" s="235">
        <f>U8+U3</f>
        <v>10</v>
      </c>
      <c r="V13" s="236"/>
      <c r="W13" s="236"/>
      <c r="X13" s="236"/>
      <c r="Y13" s="236"/>
      <c r="Z13" s="236"/>
      <c r="AA13" s="236"/>
      <c r="AB13" s="236"/>
      <c r="AC13" s="236"/>
    </row>
    <row r="14" spans="1:30" ht="13.5" customHeight="1" x14ac:dyDescent="0.25">
      <c r="A14" s="227" t="s">
        <v>11</v>
      </c>
      <c r="B14" s="228"/>
      <c r="C14" s="228"/>
      <c r="D14" s="228"/>
      <c r="E14" s="229" t="e">
        <f>Table_46[[#This Row],[Desligamentos]]/Table_46[[#This Row],[Colaboradores]]</f>
        <v>#DIV/0!</v>
      </c>
      <c r="F14" s="229" t="e">
        <f>AVERAGE($E$4:$E14)</f>
        <v>#DIV/0!</v>
      </c>
      <c r="G14" s="230">
        <f t="shared" si="1"/>
        <v>0.05</v>
      </c>
      <c r="I14" s="227" t="s">
        <v>11</v>
      </c>
      <c r="J14" s="232"/>
      <c r="K14" s="232"/>
      <c r="L14" s="229"/>
      <c r="M14" s="229">
        <f>AVERAGE($L$4:$L14)</f>
        <v>2.5000000000000001E-2</v>
      </c>
      <c r="N14" s="230">
        <f t="shared" si="2"/>
        <v>4.4999999999999998E-2</v>
      </c>
      <c r="Q14" s="7" t="s">
        <v>26</v>
      </c>
      <c r="R14" s="20">
        <f>(R6*8.8)*R10</f>
        <v>739.2</v>
      </c>
      <c r="S14" s="20">
        <f>(S6*8.8)*S10</f>
        <v>1003.2</v>
      </c>
      <c r="T14" s="20">
        <f>(T6*8.8)*T10</f>
        <v>1161.6000000000001</v>
      </c>
      <c r="U14" s="20">
        <f>(U6*8.8)*U10</f>
        <v>880</v>
      </c>
      <c r="V14" s="21"/>
      <c r="W14" s="21"/>
      <c r="X14" s="21"/>
      <c r="Y14" s="21"/>
      <c r="Z14" s="21"/>
      <c r="AA14" s="21"/>
      <c r="AB14" s="21"/>
      <c r="AC14" s="21"/>
    </row>
    <row r="15" spans="1:30" ht="14.25" customHeight="1" x14ac:dyDescent="0.25">
      <c r="A15" s="237" t="s">
        <v>12</v>
      </c>
      <c r="B15" s="238"/>
      <c r="C15" s="238"/>
      <c r="D15" s="238"/>
      <c r="E15" s="229" t="e">
        <f>Table_46[[#This Row],[Desligamentos]]/Table_46[[#This Row],[Colaboradores]]</f>
        <v>#DIV/0!</v>
      </c>
      <c r="F15" s="239" t="e">
        <f>AVERAGE($E$4:$E15)</f>
        <v>#DIV/0!</v>
      </c>
      <c r="G15" s="240">
        <f t="shared" si="1"/>
        <v>0.05</v>
      </c>
      <c r="I15" s="237" t="s">
        <v>12</v>
      </c>
      <c r="J15" s="241"/>
      <c r="K15" s="242"/>
      <c r="L15" s="229"/>
      <c r="M15" s="239">
        <f>AVERAGE($L$4:$L15)</f>
        <v>2.5000000000000001E-2</v>
      </c>
      <c r="N15" s="240">
        <f t="shared" si="2"/>
        <v>4.4999999999999998E-2</v>
      </c>
      <c r="Q15" s="7" t="s">
        <v>27</v>
      </c>
      <c r="R15" s="24">
        <f>R13*8.8</f>
        <v>0</v>
      </c>
      <c r="S15" s="24">
        <f>S13*8.8</f>
        <v>0</v>
      </c>
      <c r="T15" s="24">
        <f>T13*8.8</f>
        <v>0</v>
      </c>
      <c r="U15" s="24">
        <f>U13*8.8</f>
        <v>88</v>
      </c>
      <c r="V15" s="25"/>
      <c r="W15" s="25"/>
      <c r="X15" s="25"/>
      <c r="Y15" s="25"/>
      <c r="Z15" s="25"/>
      <c r="AA15" s="25"/>
      <c r="AB15" s="25"/>
      <c r="AC15" s="25"/>
    </row>
    <row r="16" spans="1:30" ht="14.25" customHeight="1" x14ac:dyDescent="0.25">
      <c r="A16" s="785" t="s">
        <v>114</v>
      </c>
      <c r="B16" s="785"/>
      <c r="C16" s="785"/>
      <c r="D16" s="785"/>
      <c r="E16" s="785"/>
      <c r="F16" s="785"/>
      <c r="G16" s="785"/>
      <c r="Q16" s="7" t="s">
        <v>28</v>
      </c>
      <c r="R16" s="26">
        <f>(R14-R15)/(8.8*R10)</f>
        <v>4</v>
      </c>
      <c r="S16" s="26">
        <f>(S14-S15)/(8.8*S10)</f>
        <v>6</v>
      </c>
      <c r="T16" s="26">
        <f>(T14-T15)/(8.8*T10)</f>
        <v>6</v>
      </c>
      <c r="U16" s="26">
        <f>(U14-U15)/(8.8*U10)</f>
        <v>4.5</v>
      </c>
      <c r="V16" s="27"/>
      <c r="W16" s="27"/>
      <c r="X16" s="27"/>
      <c r="Y16" s="27"/>
      <c r="Z16" s="27"/>
      <c r="AA16" s="27"/>
      <c r="AB16" s="27"/>
      <c r="AC16" s="27"/>
    </row>
    <row r="17" spans="1:4" ht="14.25" customHeight="1" x14ac:dyDescent="0.25">
      <c r="A17" s="243"/>
      <c r="B17" s="243"/>
      <c r="C17" s="243"/>
      <c r="D17" s="243"/>
    </row>
  </sheetData>
  <mergeCells count="6">
    <mergeCell ref="A16:G16"/>
    <mergeCell ref="A1:G1"/>
    <mergeCell ref="I1:N1"/>
    <mergeCell ref="A2:C2"/>
    <mergeCell ref="D2:E2"/>
    <mergeCell ref="I2:K2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  <legacyDrawing r:id="rId2"/>
  <tableParts count="2">
    <tablePart r:id="rId3"/>
    <tablePart r:id="rId4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B1:U36"/>
  <sheetViews>
    <sheetView showGridLines="0" topLeftCell="D1" zoomScaleNormal="100" workbookViewId="0">
      <selection activeCell="E4" sqref="E4"/>
    </sheetView>
  </sheetViews>
  <sheetFormatPr defaultColWidth="9.140625" defaultRowHeight="12.75" x14ac:dyDescent="0.25"/>
  <cols>
    <col min="1" max="1" width="9.140625" style="57"/>
    <col min="2" max="2" width="10" style="57" customWidth="1"/>
    <col min="3" max="3" width="40" style="57" customWidth="1"/>
    <col min="4" max="4" width="12.5703125" style="57" customWidth="1"/>
    <col min="5" max="6" width="10.42578125" style="57" customWidth="1"/>
    <col min="7" max="7" width="11.5703125" style="57" customWidth="1"/>
    <col min="8" max="11" width="10.42578125" style="57" customWidth="1"/>
    <col min="12" max="12" width="4.140625" style="57" customWidth="1"/>
    <col min="13" max="13" width="11.42578125" style="58" customWidth="1"/>
    <col min="14" max="14" width="4.140625" style="57" customWidth="1"/>
    <col min="15" max="16" width="10.42578125" style="57" customWidth="1"/>
    <col min="17" max="17" width="4.140625" style="57" customWidth="1"/>
    <col min="18" max="18" width="27.140625" style="57" customWidth="1"/>
    <col min="19" max="19" width="2.140625" style="57" customWidth="1"/>
    <col min="20" max="20" width="13.140625" style="57" customWidth="1"/>
    <col min="21" max="21" width="3" style="57" customWidth="1"/>
    <col min="22" max="262" width="9.140625" style="57"/>
    <col min="263" max="263" width="10" style="57" customWidth="1"/>
    <col min="264" max="264" width="40" style="57" customWidth="1"/>
    <col min="265" max="265" width="12.5703125" style="57" customWidth="1"/>
    <col min="266" max="267" width="10.42578125" style="57" customWidth="1"/>
    <col min="268" max="268" width="11.5703125" style="57" customWidth="1"/>
    <col min="269" max="270" width="10.42578125" style="57" customWidth="1"/>
    <col min="271" max="271" width="6.5703125" style="57" customWidth="1"/>
    <col min="272" max="272" width="11.42578125" style="57" customWidth="1"/>
    <col min="273" max="273" width="4.140625" style="57" customWidth="1"/>
    <col min="274" max="274" width="18.5703125" style="57" customWidth="1"/>
    <col min="275" max="275" width="2.140625" style="57" customWidth="1"/>
    <col min="276" max="276" width="10.42578125" style="57" customWidth="1"/>
    <col min="277" max="518" width="9.140625" style="57"/>
    <col min="519" max="519" width="10" style="57" customWidth="1"/>
    <col min="520" max="520" width="40" style="57" customWidth="1"/>
    <col min="521" max="521" width="12.5703125" style="57" customWidth="1"/>
    <col min="522" max="523" width="10.42578125" style="57" customWidth="1"/>
    <col min="524" max="524" width="11.5703125" style="57" customWidth="1"/>
    <col min="525" max="526" width="10.42578125" style="57" customWidth="1"/>
    <col min="527" max="527" width="6.5703125" style="57" customWidth="1"/>
    <col min="528" max="528" width="11.42578125" style="57" customWidth="1"/>
    <col min="529" max="529" width="4.140625" style="57" customWidth="1"/>
    <col min="530" max="530" width="18.5703125" style="57" customWidth="1"/>
    <col min="531" max="531" width="2.140625" style="57" customWidth="1"/>
    <col min="532" max="532" width="10.42578125" style="57" customWidth="1"/>
    <col min="533" max="774" width="9.140625" style="57"/>
    <col min="775" max="775" width="10" style="57" customWidth="1"/>
    <col min="776" max="776" width="40" style="57" customWidth="1"/>
    <col min="777" max="777" width="12.5703125" style="57" customWidth="1"/>
    <col min="778" max="779" width="10.42578125" style="57" customWidth="1"/>
    <col min="780" max="780" width="11.5703125" style="57" customWidth="1"/>
    <col min="781" max="782" width="10.42578125" style="57" customWidth="1"/>
    <col min="783" max="783" width="6.5703125" style="57" customWidth="1"/>
    <col min="784" max="784" width="11.42578125" style="57" customWidth="1"/>
    <col min="785" max="785" width="4.140625" style="57" customWidth="1"/>
    <col min="786" max="786" width="18.5703125" style="57" customWidth="1"/>
    <col min="787" max="787" width="2.140625" style="57" customWidth="1"/>
    <col min="788" max="788" width="10.42578125" style="57" customWidth="1"/>
    <col min="789" max="1030" width="9.140625" style="57"/>
    <col min="1031" max="1031" width="10" style="57" customWidth="1"/>
    <col min="1032" max="1032" width="40" style="57" customWidth="1"/>
    <col min="1033" max="1033" width="12.5703125" style="57" customWidth="1"/>
    <col min="1034" max="1035" width="10.42578125" style="57" customWidth="1"/>
    <col min="1036" max="1036" width="11.5703125" style="57" customWidth="1"/>
    <col min="1037" max="1038" width="10.42578125" style="57" customWidth="1"/>
    <col min="1039" max="1039" width="6.5703125" style="57" customWidth="1"/>
    <col min="1040" max="1040" width="11.42578125" style="57" customWidth="1"/>
    <col min="1041" max="1041" width="4.140625" style="57" customWidth="1"/>
    <col min="1042" max="1042" width="18.5703125" style="57" customWidth="1"/>
    <col min="1043" max="1043" width="2.140625" style="57" customWidth="1"/>
    <col min="1044" max="1044" width="10.42578125" style="57" customWidth="1"/>
    <col min="1045" max="1286" width="9.140625" style="57"/>
    <col min="1287" max="1287" width="10" style="57" customWidth="1"/>
    <col min="1288" max="1288" width="40" style="57" customWidth="1"/>
    <col min="1289" max="1289" width="12.5703125" style="57" customWidth="1"/>
    <col min="1290" max="1291" width="10.42578125" style="57" customWidth="1"/>
    <col min="1292" max="1292" width="11.5703125" style="57" customWidth="1"/>
    <col min="1293" max="1294" width="10.42578125" style="57" customWidth="1"/>
    <col min="1295" max="1295" width="6.5703125" style="57" customWidth="1"/>
    <col min="1296" max="1296" width="11.42578125" style="57" customWidth="1"/>
    <col min="1297" max="1297" width="4.140625" style="57" customWidth="1"/>
    <col min="1298" max="1298" width="18.5703125" style="57" customWidth="1"/>
    <col min="1299" max="1299" width="2.140625" style="57" customWidth="1"/>
    <col min="1300" max="1300" width="10.42578125" style="57" customWidth="1"/>
    <col min="1301" max="1542" width="9.140625" style="57"/>
    <col min="1543" max="1543" width="10" style="57" customWidth="1"/>
    <col min="1544" max="1544" width="40" style="57" customWidth="1"/>
    <col min="1545" max="1545" width="12.5703125" style="57" customWidth="1"/>
    <col min="1546" max="1547" width="10.42578125" style="57" customWidth="1"/>
    <col min="1548" max="1548" width="11.5703125" style="57" customWidth="1"/>
    <col min="1549" max="1550" width="10.42578125" style="57" customWidth="1"/>
    <col min="1551" max="1551" width="6.5703125" style="57" customWidth="1"/>
    <col min="1552" max="1552" width="11.42578125" style="57" customWidth="1"/>
    <col min="1553" max="1553" width="4.140625" style="57" customWidth="1"/>
    <col min="1554" max="1554" width="18.5703125" style="57" customWidth="1"/>
    <col min="1555" max="1555" width="2.140625" style="57" customWidth="1"/>
    <col min="1556" max="1556" width="10.42578125" style="57" customWidth="1"/>
    <col min="1557" max="1798" width="9.140625" style="57"/>
    <col min="1799" max="1799" width="10" style="57" customWidth="1"/>
    <col min="1800" max="1800" width="40" style="57" customWidth="1"/>
    <col min="1801" max="1801" width="12.5703125" style="57" customWidth="1"/>
    <col min="1802" max="1803" width="10.42578125" style="57" customWidth="1"/>
    <col min="1804" max="1804" width="11.5703125" style="57" customWidth="1"/>
    <col min="1805" max="1806" width="10.42578125" style="57" customWidth="1"/>
    <col min="1807" max="1807" width="6.5703125" style="57" customWidth="1"/>
    <col min="1808" max="1808" width="11.42578125" style="57" customWidth="1"/>
    <col min="1809" max="1809" width="4.140625" style="57" customWidth="1"/>
    <col min="1810" max="1810" width="18.5703125" style="57" customWidth="1"/>
    <col min="1811" max="1811" width="2.140625" style="57" customWidth="1"/>
    <col min="1812" max="1812" width="10.42578125" style="57" customWidth="1"/>
    <col min="1813" max="2054" width="9.140625" style="57"/>
    <col min="2055" max="2055" width="10" style="57" customWidth="1"/>
    <col min="2056" max="2056" width="40" style="57" customWidth="1"/>
    <col min="2057" max="2057" width="12.5703125" style="57" customWidth="1"/>
    <col min="2058" max="2059" width="10.42578125" style="57" customWidth="1"/>
    <col min="2060" max="2060" width="11.5703125" style="57" customWidth="1"/>
    <col min="2061" max="2062" width="10.42578125" style="57" customWidth="1"/>
    <col min="2063" max="2063" width="6.5703125" style="57" customWidth="1"/>
    <col min="2064" max="2064" width="11.42578125" style="57" customWidth="1"/>
    <col min="2065" max="2065" width="4.140625" style="57" customWidth="1"/>
    <col min="2066" max="2066" width="18.5703125" style="57" customWidth="1"/>
    <col min="2067" max="2067" width="2.140625" style="57" customWidth="1"/>
    <col min="2068" max="2068" width="10.42578125" style="57" customWidth="1"/>
    <col min="2069" max="2310" width="9.140625" style="57"/>
    <col min="2311" max="2311" width="10" style="57" customWidth="1"/>
    <col min="2312" max="2312" width="40" style="57" customWidth="1"/>
    <col min="2313" max="2313" width="12.5703125" style="57" customWidth="1"/>
    <col min="2314" max="2315" width="10.42578125" style="57" customWidth="1"/>
    <col min="2316" max="2316" width="11.5703125" style="57" customWidth="1"/>
    <col min="2317" max="2318" width="10.42578125" style="57" customWidth="1"/>
    <col min="2319" max="2319" width="6.5703125" style="57" customWidth="1"/>
    <col min="2320" max="2320" width="11.42578125" style="57" customWidth="1"/>
    <col min="2321" max="2321" width="4.140625" style="57" customWidth="1"/>
    <col min="2322" max="2322" width="18.5703125" style="57" customWidth="1"/>
    <col min="2323" max="2323" width="2.140625" style="57" customWidth="1"/>
    <col min="2324" max="2324" width="10.42578125" style="57" customWidth="1"/>
    <col min="2325" max="2566" width="9.140625" style="57"/>
    <col min="2567" max="2567" width="10" style="57" customWidth="1"/>
    <col min="2568" max="2568" width="40" style="57" customWidth="1"/>
    <col min="2569" max="2569" width="12.5703125" style="57" customWidth="1"/>
    <col min="2570" max="2571" width="10.42578125" style="57" customWidth="1"/>
    <col min="2572" max="2572" width="11.5703125" style="57" customWidth="1"/>
    <col min="2573" max="2574" width="10.42578125" style="57" customWidth="1"/>
    <col min="2575" max="2575" width="6.5703125" style="57" customWidth="1"/>
    <col min="2576" max="2576" width="11.42578125" style="57" customWidth="1"/>
    <col min="2577" max="2577" width="4.140625" style="57" customWidth="1"/>
    <col min="2578" max="2578" width="18.5703125" style="57" customWidth="1"/>
    <col min="2579" max="2579" width="2.140625" style="57" customWidth="1"/>
    <col min="2580" max="2580" width="10.42578125" style="57" customWidth="1"/>
    <col min="2581" max="2822" width="9.140625" style="57"/>
    <col min="2823" max="2823" width="10" style="57" customWidth="1"/>
    <col min="2824" max="2824" width="40" style="57" customWidth="1"/>
    <col min="2825" max="2825" width="12.5703125" style="57" customWidth="1"/>
    <col min="2826" max="2827" width="10.42578125" style="57" customWidth="1"/>
    <col min="2828" max="2828" width="11.5703125" style="57" customWidth="1"/>
    <col min="2829" max="2830" width="10.42578125" style="57" customWidth="1"/>
    <col min="2831" max="2831" width="6.5703125" style="57" customWidth="1"/>
    <col min="2832" max="2832" width="11.42578125" style="57" customWidth="1"/>
    <col min="2833" max="2833" width="4.140625" style="57" customWidth="1"/>
    <col min="2834" max="2834" width="18.5703125" style="57" customWidth="1"/>
    <col min="2835" max="2835" width="2.140625" style="57" customWidth="1"/>
    <col min="2836" max="2836" width="10.42578125" style="57" customWidth="1"/>
    <col min="2837" max="3078" width="9.140625" style="57"/>
    <col min="3079" max="3079" width="10" style="57" customWidth="1"/>
    <col min="3080" max="3080" width="40" style="57" customWidth="1"/>
    <col min="3081" max="3081" width="12.5703125" style="57" customWidth="1"/>
    <col min="3082" max="3083" width="10.42578125" style="57" customWidth="1"/>
    <col min="3084" max="3084" width="11.5703125" style="57" customWidth="1"/>
    <col min="3085" max="3086" width="10.42578125" style="57" customWidth="1"/>
    <col min="3087" max="3087" width="6.5703125" style="57" customWidth="1"/>
    <col min="3088" max="3088" width="11.42578125" style="57" customWidth="1"/>
    <col min="3089" max="3089" width="4.140625" style="57" customWidth="1"/>
    <col min="3090" max="3090" width="18.5703125" style="57" customWidth="1"/>
    <col min="3091" max="3091" width="2.140625" style="57" customWidth="1"/>
    <col min="3092" max="3092" width="10.42578125" style="57" customWidth="1"/>
    <col min="3093" max="3334" width="9.140625" style="57"/>
    <col min="3335" max="3335" width="10" style="57" customWidth="1"/>
    <col min="3336" max="3336" width="40" style="57" customWidth="1"/>
    <col min="3337" max="3337" width="12.5703125" style="57" customWidth="1"/>
    <col min="3338" max="3339" width="10.42578125" style="57" customWidth="1"/>
    <col min="3340" max="3340" width="11.5703125" style="57" customWidth="1"/>
    <col min="3341" max="3342" width="10.42578125" style="57" customWidth="1"/>
    <col min="3343" max="3343" width="6.5703125" style="57" customWidth="1"/>
    <col min="3344" max="3344" width="11.42578125" style="57" customWidth="1"/>
    <col min="3345" max="3345" width="4.140625" style="57" customWidth="1"/>
    <col min="3346" max="3346" width="18.5703125" style="57" customWidth="1"/>
    <col min="3347" max="3347" width="2.140625" style="57" customWidth="1"/>
    <col min="3348" max="3348" width="10.42578125" style="57" customWidth="1"/>
    <col min="3349" max="3590" width="9.140625" style="57"/>
    <col min="3591" max="3591" width="10" style="57" customWidth="1"/>
    <col min="3592" max="3592" width="40" style="57" customWidth="1"/>
    <col min="3593" max="3593" width="12.5703125" style="57" customWidth="1"/>
    <col min="3594" max="3595" width="10.42578125" style="57" customWidth="1"/>
    <col min="3596" max="3596" width="11.5703125" style="57" customWidth="1"/>
    <col min="3597" max="3598" width="10.42578125" style="57" customWidth="1"/>
    <col min="3599" max="3599" width="6.5703125" style="57" customWidth="1"/>
    <col min="3600" max="3600" width="11.42578125" style="57" customWidth="1"/>
    <col min="3601" max="3601" width="4.140625" style="57" customWidth="1"/>
    <col min="3602" max="3602" width="18.5703125" style="57" customWidth="1"/>
    <col min="3603" max="3603" width="2.140625" style="57" customWidth="1"/>
    <col min="3604" max="3604" width="10.42578125" style="57" customWidth="1"/>
    <col min="3605" max="3846" width="9.140625" style="57"/>
    <col min="3847" max="3847" width="10" style="57" customWidth="1"/>
    <col min="3848" max="3848" width="40" style="57" customWidth="1"/>
    <col min="3849" max="3849" width="12.5703125" style="57" customWidth="1"/>
    <col min="3850" max="3851" width="10.42578125" style="57" customWidth="1"/>
    <col min="3852" max="3852" width="11.5703125" style="57" customWidth="1"/>
    <col min="3853" max="3854" width="10.42578125" style="57" customWidth="1"/>
    <col min="3855" max="3855" width="6.5703125" style="57" customWidth="1"/>
    <col min="3856" max="3856" width="11.42578125" style="57" customWidth="1"/>
    <col min="3857" max="3857" width="4.140625" style="57" customWidth="1"/>
    <col min="3858" max="3858" width="18.5703125" style="57" customWidth="1"/>
    <col min="3859" max="3859" width="2.140625" style="57" customWidth="1"/>
    <col min="3860" max="3860" width="10.42578125" style="57" customWidth="1"/>
    <col min="3861" max="4102" width="9.140625" style="57"/>
    <col min="4103" max="4103" width="10" style="57" customWidth="1"/>
    <col min="4104" max="4104" width="40" style="57" customWidth="1"/>
    <col min="4105" max="4105" width="12.5703125" style="57" customWidth="1"/>
    <col min="4106" max="4107" width="10.42578125" style="57" customWidth="1"/>
    <col min="4108" max="4108" width="11.5703125" style="57" customWidth="1"/>
    <col min="4109" max="4110" width="10.42578125" style="57" customWidth="1"/>
    <col min="4111" max="4111" width="6.5703125" style="57" customWidth="1"/>
    <col min="4112" max="4112" width="11.42578125" style="57" customWidth="1"/>
    <col min="4113" max="4113" width="4.140625" style="57" customWidth="1"/>
    <col min="4114" max="4114" width="18.5703125" style="57" customWidth="1"/>
    <col min="4115" max="4115" width="2.140625" style="57" customWidth="1"/>
    <col min="4116" max="4116" width="10.42578125" style="57" customWidth="1"/>
    <col min="4117" max="4358" width="9.140625" style="57"/>
    <col min="4359" max="4359" width="10" style="57" customWidth="1"/>
    <col min="4360" max="4360" width="40" style="57" customWidth="1"/>
    <col min="4361" max="4361" width="12.5703125" style="57" customWidth="1"/>
    <col min="4362" max="4363" width="10.42578125" style="57" customWidth="1"/>
    <col min="4364" max="4364" width="11.5703125" style="57" customWidth="1"/>
    <col min="4365" max="4366" width="10.42578125" style="57" customWidth="1"/>
    <col min="4367" max="4367" width="6.5703125" style="57" customWidth="1"/>
    <col min="4368" max="4368" width="11.42578125" style="57" customWidth="1"/>
    <col min="4369" max="4369" width="4.140625" style="57" customWidth="1"/>
    <col min="4370" max="4370" width="18.5703125" style="57" customWidth="1"/>
    <col min="4371" max="4371" width="2.140625" style="57" customWidth="1"/>
    <col min="4372" max="4372" width="10.42578125" style="57" customWidth="1"/>
    <col min="4373" max="4614" width="9.140625" style="57"/>
    <col min="4615" max="4615" width="10" style="57" customWidth="1"/>
    <col min="4616" max="4616" width="40" style="57" customWidth="1"/>
    <col min="4617" max="4617" width="12.5703125" style="57" customWidth="1"/>
    <col min="4618" max="4619" width="10.42578125" style="57" customWidth="1"/>
    <col min="4620" max="4620" width="11.5703125" style="57" customWidth="1"/>
    <col min="4621" max="4622" width="10.42578125" style="57" customWidth="1"/>
    <col min="4623" max="4623" width="6.5703125" style="57" customWidth="1"/>
    <col min="4624" max="4624" width="11.42578125" style="57" customWidth="1"/>
    <col min="4625" max="4625" width="4.140625" style="57" customWidth="1"/>
    <col min="4626" max="4626" width="18.5703125" style="57" customWidth="1"/>
    <col min="4627" max="4627" width="2.140625" style="57" customWidth="1"/>
    <col min="4628" max="4628" width="10.42578125" style="57" customWidth="1"/>
    <col min="4629" max="4870" width="9.140625" style="57"/>
    <col min="4871" max="4871" width="10" style="57" customWidth="1"/>
    <col min="4872" max="4872" width="40" style="57" customWidth="1"/>
    <col min="4873" max="4873" width="12.5703125" style="57" customWidth="1"/>
    <col min="4874" max="4875" width="10.42578125" style="57" customWidth="1"/>
    <col min="4876" max="4876" width="11.5703125" style="57" customWidth="1"/>
    <col min="4877" max="4878" width="10.42578125" style="57" customWidth="1"/>
    <col min="4879" max="4879" width="6.5703125" style="57" customWidth="1"/>
    <col min="4880" max="4880" width="11.42578125" style="57" customWidth="1"/>
    <col min="4881" max="4881" width="4.140625" style="57" customWidth="1"/>
    <col min="4882" max="4882" width="18.5703125" style="57" customWidth="1"/>
    <col min="4883" max="4883" width="2.140625" style="57" customWidth="1"/>
    <col min="4884" max="4884" width="10.42578125" style="57" customWidth="1"/>
    <col min="4885" max="5126" width="9.140625" style="57"/>
    <col min="5127" max="5127" width="10" style="57" customWidth="1"/>
    <col min="5128" max="5128" width="40" style="57" customWidth="1"/>
    <col min="5129" max="5129" width="12.5703125" style="57" customWidth="1"/>
    <col min="5130" max="5131" width="10.42578125" style="57" customWidth="1"/>
    <col min="5132" max="5132" width="11.5703125" style="57" customWidth="1"/>
    <col min="5133" max="5134" width="10.42578125" style="57" customWidth="1"/>
    <col min="5135" max="5135" width="6.5703125" style="57" customWidth="1"/>
    <col min="5136" max="5136" width="11.42578125" style="57" customWidth="1"/>
    <col min="5137" max="5137" width="4.140625" style="57" customWidth="1"/>
    <col min="5138" max="5138" width="18.5703125" style="57" customWidth="1"/>
    <col min="5139" max="5139" width="2.140625" style="57" customWidth="1"/>
    <col min="5140" max="5140" width="10.42578125" style="57" customWidth="1"/>
    <col min="5141" max="5382" width="9.140625" style="57"/>
    <col min="5383" max="5383" width="10" style="57" customWidth="1"/>
    <col min="5384" max="5384" width="40" style="57" customWidth="1"/>
    <col min="5385" max="5385" width="12.5703125" style="57" customWidth="1"/>
    <col min="5386" max="5387" width="10.42578125" style="57" customWidth="1"/>
    <col min="5388" max="5388" width="11.5703125" style="57" customWidth="1"/>
    <col min="5389" max="5390" width="10.42578125" style="57" customWidth="1"/>
    <col min="5391" max="5391" width="6.5703125" style="57" customWidth="1"/>
    <col min="5392" max="5392" width="11.42578125" style="57" customWidth="1"/>
    <col min="5393" max="5393" width="4.140625" style="57" customWidth="1"/>
    <col min="5394" max="5394" width="18.5703125" style="57" customWidth="1"/>
    <col min="5395" max="5395" width="2.140625" style="57" customWidth="1"/>
    <col min="5396" max="5396" width="10.42578125" style="57" customWidth="1"/>
    <col min="5397" max="5638" width="9.140625" style="57"/>
    <col min="5639" max="5639" width="10" style="57" customWidth="1"/>
    <col min="5640" max="5640" width="40" style="57" customWidth="1"/>
    <col min="5641" max="5641" width="12.5703125" style="57" customWidth="1"/>
    <col min="5642" max="5643" width="10.42578125" style="57" customWidth="1"/>
    <col min="5644" max="5644" width="11.5703125" style="57" customWidth="1"/>
    <col min="5645" max="5646" width="10.42578125" style="57" customWidth="1"/>
    <col min="5647" max="5647" width="6.5703125" style="57" customWidth="1"/>
    <col min="5648" max="5648" width="11.42578125" style="57" customWidth="1"/>
    <col min="5649" max="5649" width="4.140625" style="57" customWidth="1"/>
    <col min="5650" max="5650" width="18.5703125" style="57" customWidth="1"/>
    <col min="5651" max="5651" width="2.140625" style="57" customWidth="1"/>
    <col min="5652" max="5652" width="10.42578125" style="57" customWidth="1"/>
    <col min="5653" max="5894" width="9.140625" style="57"/>
    <col min="5895" max="5895" width="10" style="57" customWidth="1"/>
    <col min="5896" max="5896" width="40" style="57" customWidth="1"/>
    <col min="5897" max="5897" width="12.5703125" style="57" customWidth="1"/>
    <col min="5898" max="5899" width="10.42578125" style="57" customWidth="1"/>
    <col min="5900" max="5900" width="11.5703125" style="57" customWidth="1"/>
    <col min="5901" max="5902" width="10.42578125" style="57" customWidth="1"/>
    <col min="5903" max="5903" width="6.5703125" style="57" customWidth="1"/>
    <col min="5904" max="5904" width="11.42578125" style="57" customWidth="1"/>
    <col min="5905" max="5905" width="4.140625" style="57" customWidth="1"/>
    <col min="5906" max="5906" width="18.5703125" style="57" customWidth="1"/>
    <col min="5907" max="5907" width="2.140625" style="57" customWidth="1"/>
    <col min="5908" max="5908" width="10.42578125" style="57" customWidth="1"/>
    <col min="5909" max="6150" width="9.140625" style="57"/>
    <col min="6151" max="6151" width="10" style="57" customWidth="1"/>
    <col min="6152" max="6152" width="40" style="57" customWidth="1"/>
    <col min="6153" max="6153" width="12.5703125" style="57" customWidth="1"/>
    <col min="6154" max="6155" width="10.42578125" style="57" customWidth="1"/>
    <col min="6156" max="6156" width="11.5703125" style="57" customWidth="1"/>
    <col min="6157" max="6158" width="10.42578125" style="57" customWidth="1"/>
    <col min="6159" max="6159" width="6.5703125" style="57" customWidth="1"/>
    <col min="6160" max="6160" width="11.42578125" style="57" customWidth="1"/>
    <col min="6161" max="6161" width="4.140625" style="57" customWidth="1"/>
    <col min="6162" max="6162" width="18.5703125" style="57" customWidth="1"/>
    <col min="6163" max="6163" width="2.140625" style="57" customWidth="1"/>
    <col min="6164" max="6164" width="10.42578125" style="57" customWidth="1"/>
    <col min="6165" max="6406" width="9.140625" style="57"/>
    <col min="6407" max="6407" width="10" style="57" customWidth="1"/>
    <col min="6408" max="6408" width="40" style="57" customWidth="1"/>
    <col min="6409" max="6409" width="12.5703125" style="57" customWidth="1"/>
    <col min="6410" max="6411" width="10.42578125" style="57" customWidth="1"/>
    <col min="6412" max="6412" width="11.5703125" style="57" customWidth="1"/>
    <col min="6413" max="6414" width="10.42578125" style="57" customWidth="1"/>
    <col min="6415" max="6415" width="6.5703125" style="57" customWidth="1"/>
    <col min="6416" max="6416" width="11.42578125" style="57" customWidth="1"/>
    <col min="6417" max="6417" width="4.140625" style="57" customWidth="1"/>
    <col min="6418" max="6418" width="18.5703125" style="57" customWidth="1"/>
    <col min="6419" max="6419" width="2.140625" style="57" customWidth="1"/>
    <col min="6420" max="6420" width="10.42578125" style="57" customWidth="1"/>
    <col min="6421" max="6662" width="9.140625" style="57"/>
    <col min="6663" max="6663" width="10" style="57" customWidth="1"/>
    <col min="6664" max="6664" width="40" style="57" customWidth="1"/>
    <col min="6665" max="6665" width="12.5703125" style="57" customWidth="1"/>
    <col min="6666" max="6667" width="10.42578125" style="57" customWidth="1"/>
    <col min="6668" max="6668" width="11.5703125" style="57" customWidth="1"/>
    <col min="6669" max="6670" width="10.42578125" style="57" customWidth="1"/>
    <col min="6671" max="6671" width="6.5703125" style="57" customWidth="1"/>
    <col min="6672" max="6672" width="11.42578125" style="57" customWidth="1"/>
    <col min="6673" max="6673" width="4.140625" style="57" customWidth="1"/>
    <col min="6674" max="6674" width="18.5703125" style="57" customWidth="1"/>
    <col min="6675" max="6675" width="2.140625" style="57" customWidth="1"/>
    <col min="6676" max="6676" width="10.42578125" style="57" customWidth="1"/>
    <col min="6677" max="6918" width="9.140625" style="57"/>
    <col min="6919" max="6919" width="10" style="57" customWidth="1"/>
    <col min="6920" max="6920" width="40" style="57" customWidth="1"/>
    <col min="6921" max="6921" width="12.5703125" style="57" customWidth="1"/>
    <col min="6922" max="6923" width="10.42578125" style="57" customWidth="1"/>
    <col min="6924" max="6924" width="11.5703125" style="57" customWidth="1"/>
    <col min="6925" max="6926" width="10.42578125" style="57" customWidth="1"/>
    <col min="6927" max="6927" width="6.5703125" style="57" customWidth="1"/>
    <col min="6928" max="6928" width="11.42578125" style="57" customWidth="1"/>
    <col min="6929" max="6929" width="4.140625" style="57" customWidth="1"/>
    <col min="6930" max="6930" width="18.5703125" style="57" customWidth="1"/>
    <col min="6931" max="6931" width="2.140625" style="57" customWidth="1"/>
    <col min="6932" max="6932" width="10.42578125" style="57" customWidth="1"/>
    <col min="6933" max="7174" width="9.140625" style="57"/>
    <col min="7175" max="7175" width="10" style="57" customWidth="1"/>
    <col min="7176" max="7176" width="40" style="57" customWidth="1"/>
    <col min="7177" max="7177" width="12.5703125" style="57" customWidth="1"/>
    <col min="7178" max="7179" width="10.42578125" style="57" customWidth="1"/>
    <col min="7180" max="7180" width="11.5703125" style="57" customWidth="1"/>
    <col min="7181" max="7182" width="10.42578125" style="57" customWidth="1"/>
    <col min="7183" max="7183" width="6.5703125" style="57" customWidth="1"/>
    <col min="7184" max="7184" width="11.42578125" style="57" customWidth="1"/>
    <col min="7185" max="7185" width="4.140625" style="57" customWidth="1"/>
    <col min="7186" max="7186" width="18.5703125" style="57" customWidth="1"/>
    <col min="7187" max="7187" width="2.140625" style="57" customWidth="1"/>
    <col min="7188" max="7188" width="10.42578125" style="57" customWidth="1"/>
    <col min="7189" max="7430" width="9.140625" style="57"/>
    <col min="7431" max="7431" width="10" style="57" customWidth="1"/>
    <col min="7432" max="7432" width="40" style="57" customWidth="1"/>
    <col min="7433" max="7433" width="12.5703125" style="57" customWidth="1"/>
    <col min="7434" max="7435" width="10.42578125" style="57" customWidth="1"/>
    <col min="7436" max="7436" width="11.5703125" style="57" customWidth="1"/>
    <col min="7437" max="7438" width="10.42578125" style="57" customWidth="1"/>
    <col min="7439" max="7439" width="6.5703125" style="57" customWidth="1"/>
    <col min="7440" max="7440" width="11.42578125" style="57" customWidth="1"/>
    <col min="7441" max="7441" width="4.140625" style="57" customWidth="1"/>
    <col min="7442" max="7442" width="18.5703125" style="57" customWidth="1"/>
    <col min="7443" max="7443" width="2.140625" style="57" customWidth="1"/>
    <col min="7444" max="7444" width="10.42578125" style="57" customWidth="1"/>
    <col min="7445" max="7686" width="9.140625" style="57"/>
    <col min="7687" max="7687" width="10" style="57" customWidth="1"/>
    <col min="7688" max="7688" width="40" style="57" customWidth="1"/>
    <col min="7689" max="7689" width="12.5703125" style="57" customWidth="1"/>
    <col min="7690" max="7691" width="10.42578125" style="57" customWidth="1"/>
    <col min="7692" max="7692" width="11.5703125" style="57" customWidth="1"/>
    <col min="7693" max="7694" width="10.42578125" style="57" customWidth="1"/>
    <col min="7695" max="7695" width="6.5703125" style="57" customWidth="1"/>
    <col min="7696" max="7696" width="11.42578125" style="57" customWidth="1"/>
    <col min="7697" max="7697" width="4.140625" style="57" customWidth="1"/>
    <col min="7698" max="7698" width="18.5703125" style="57" customWidth="1"/>
    <col min="7699" max="7699" width="2.140625" style="57" customWidth="1"/>
    <col min="7700" max="7700" width="10.42578125" style="57" customWidth="1"/>
    <col min="7701" max="7942" width="9.140625" style="57"/>
    <col min="7943" max="7943" width="10" style="57" customWidth="1"/>
    <col min="7944" max="7944" width="40" style="57" customWidth="1"/>
    <col min="7945" max="7945" width="12.5703125" style="57" customWidth="1"/>
    <col min="7946" max="7947" width="10.42578125" style="57" customWidth="1"/>
    <col min="7948" max="7948" width="11.5703125" style="57" customWidth="1"/>
    <col min="7949" max="7950" width="10.42578125" style="57" customWidth="1"/>
    <col min="7951" max="7951" width="6.5703125" style="57" customWidth="1"/>
    <col min="7952" max="7952" width="11.42578125" style="57" customWidth="1"/>
    <col min="7953" max="7953" width="4.140625" style="57" customWidth="1"/>
    <col min="7954" max="7954" width="18.5703125" style="57" customWidth="1"/>
    <col min="7955" max="7955" width="2.140625" style="57" customWidth="1"/>
    <col min="7956" max="7956" width="10.42578125" style="57" customWidth="1"/>
    <col min="7957" max="8198" width="9.140625" style="57"/>
    <col min="8199" max="8199" width="10" style="57" customWidth="1"/>
    <col min="8200" max="8200" width="40" style="57" customWidth="1"/>
    <col min="8201" max="8201" width="12.5703125" style="57" customWidth="1"/>
    <col min="8202" max="8203" width="10.42578125" style="57" customWidth="1"/>
    <col min="8204" max="8204" width="11.5703125" style="57" customWidth="1"/>
    <col min="8205" max="8206" width="10.42578125" style="57" customWidth="1"/>
    <col min="8207" max="8207" width="6.5703125" style="57" customWidth="1"/>
    <col min="8208" max="8208" width="11.42578125" style="57" customWidth="1"/>
    <col min="8209" max="8209" width="4.140625" style="57" customWidth="1"/>
    <col min="8210" max="8210" width="18.5703125" style="57" customWidth="1"/>
    <col min="8211" max="8211" width="2.140625" style="57" customWidth="1"/>
    <col min="8212" max="8212" width="10.42578125" style="57" customWidth="1"/>
    <col min="8213" max="8454" width="9.140625" style="57"/>
    <col min="8455" max="8455" width="10" style="57" customWidth="1"/>
    <col min="8456" max="8456" width="40" style="57" customWidth="1"/>
    <col min="8457" max="8457" width="12.5703125" style="57" customWidth="1"/>
    <col min="8458" max="8459" width="10.42578125" style="57" customWidth="1"/>
    <col min="8460" max="8460" width="11.5703125" style="57" customWidth="1"/>
    <col min="8461" max="8462" width="10.42578125" style="57" customWidth="1"/>
    <col min="8463" max="8463" width="6.5703125" style="57" customWidth="1"/>
    <col min="8464" max="8464" width="11.42578125" style="57" customWidth="1"/>
    <col min="8465" max="8465" width="4.140625" style="57" customWidth="1"/>
    <col min="8466" max="8466" width="18.5703125" style="57" customWidth="1"/>
    <col min="8467" max="8467" width="2.140625" style="57" customWidth="1"/>
    <col min="8468" max="8468" width="10.42578125" style="57" customWidth="1"/>
    <col min="8469" max="8710" width="9.140625" style="57"/>
    <col min="8711" max="8711" width="10" style="57" customWidth="1"/>
    <col min="8712" max="8712" width="40" style="57" customWidth="1"/>
    <col min="8713" max="8713" width="12.5703125" style="57" customWidth="1"/>
    <col min="8714" max="8715" width="10.42578125" style="57" customWidth="1"/>
    <col min="8716" max="8716" width="11.5703125" style="57" customWidth="1"/>
    <col min="8717" max="8718" width="10.42578125" style="57" customWidth="1"/>
    <col min="8719" max="8719" width="6.5703125" style="57" customWidth="1"/>
    <col min="8720" max="8720" width="11.42578125" style="57" customWidth="1"/>
    <col min="8721" max="8721" width="4.140625" style="57" customWidth="1"/>
    <col min="8722" max="8722" width="18.5703125" style="57" customWidth="1"/>
    <col min="8723" max="8723" width="2.140625" style="57" customWidth="1"/>
    <col min="8724" max="8724" width="10.42578125" style="57" customWidth="1"/>
    <col min="8725" max="8966" width="9.140625" style="57"/>
    <col min="8967" max="8967" width="10" style="57" customWidth="1"/>
    <col min="8968" max="8968" width="40" style="57" customWidth="1"/>
    <col min="8969" max="8969" width="12.5703125" style="57" customWidth="1"/>
    <col min="8970" max="8971" width="10.42578125" style="57" customWidth="1"/>
    <col min="8972" max="8972" width="11.5703125" style="57" customWidth="1"/>
    <col min="8973" max="8974" width="10.42578125" style="57" customWidth="1"/>
    <col min="8975" max="8975" width="6.5703125" style="57" customWidth="1"/>
    <col min="8976" max="8976" width="11.42578125" style="57" customWidth="1"/>
    <col min="8977" max="8977" width="4.140625" style="57" customWidth="1"/>
    <col min="8978" max="8978" width="18.5703125" style="57" customWidth="1"/>
    <col min="8979" max="8979" width="2.140625" style="57" customWidth="1"/>
    <col min="8980" max="8980" width="10.42578125" style="57" customWidth="1"/>
    <col min="8981" max="9222" width="9.140625" style="57"/>
    <col min="9223" max="9223" width="10" style="57" customWidth="1"/>
    <col min="9224" max="9224" width="40" style="57" customWidth="1"/>
    <col min="9225" max="9225" width="12.5703125" style="57" customWidth="1"/>
    <col min="9226" max="9227" width="10.42578125" style="57" customWidth="1"/>
    <col min="9228" max="9228" width="11.5703125" style="57" customWidth="1"/>
    <col min="9229" max="9230" width="10.42578125" style="57" customWidth="1"/>
    <col min="9231" max="9231" width="6.5703125" style="57" customWidth="1"/>
    <col min="9232" max="9232" width="11.42578125" style="57" customWidth="1"/>
    <col min="9233" max="9233" width="4.140625" style="57" customWidth="1"/>
    <col min="9234" max="9234" width="18.5703125" style="57" customWidth="1"/>
    <col min="9235" max="9235" width="2.140625" style="57" customWidth="1"/>
    <col min="9236" max="9236" width="10.42578125" style="57" customWidth="1"/>
    <col min="9237" max="9478" width="9.140625" style="57"/>
    <col min="9479" max="9479" width="10" style="57" customWidth="1"/>
    <col min="9480" max="9480" width="40" style="57" customWidth="1"/>
    <col min="9481" max="9481" width="12.5703125" style="57" customWidth="1"/>
    <col min="9482" max="9483" width="10.42578125" style="57" customWidth="1"/>
    <col min="9484" max="9484" width="11.5703125" style="57" customWidth="1"/>
    <col min="9485" max="9486" width="10.42578125" style="57" customWidth="1"/>
    <col min="9487" max="9487" width="6.5703125" style="57" customWidth="1"/>
    <col min="9488" max="9488" width="11.42578125" style="57" customWidth="1"/>
    <col min="9489" max="9489" width="4.140625" style="57" customWidth="1"/>
    <col min="9490" max="9490" width="18.5703125" style="57" customWidth="1"/>
    <col min="9491" max="9491" width="2.140625" style="57" customWidth="1"/>
    <col min="9492" max="9492" width="10.42578125" style="57" customWidth="1"/>
    <col min="9493" max="9734" width="9.140625" style="57"/>
    <col min="9735" max="9735" width="10" style="57" customWidth="1"/>
    <col min="9736" max="9736" width="40" style="57" customWidth="1"/>
    <col min="9737" max="9737" width="12.5703125" style="57" customWidth="1"/>
    <col min="9738" max="9739" width="10.42578125" style="57" customWidth="1"/>
    <col min="9740" max="9740" width="11.5703125" style="57" customWidth="1"/>
    <col min="9741" max="9742" width="10.42578125" style="57" customWidth="1"/>
    <col min="9743" max="9743" width="6.5703125" style="57" customWidth="1"/>
    <col min="9744" max="9744" width="11.42578125" style="57" customWidth="1"/>
    <col min="9745" max="9745" width="4.140625" style="57" customWidth="1"/>
    <col min="9746" max="9746" width="18.5703125" style="57" customWidth="1"/>
    <col min="9747" max="9747" width="2.140625" style="57" customWidth="1"/>
    <col min="9748" max="9748" width="10.42578125" style="57" customWidth="1"/>
    <col min="9749" max="9990" width="9.140625" style="57"/>
    <col min="9991" max="9991" width="10" style="57" customWidth="1"/>
    <col min="9992" max="9992" width="40" style="57" customWidth="1"/>
    <col min="9993" max="9993" width="12.5703125" style="57" customWidth="1"/>
    <col min="9994" max="9995" width="10.42578125" style="57" customWidth="1"/>
    <col min="9996" max="9996" width="11.5703125" style="57" customWidth="1"/>
    <col min="9997" max="9998" width="10.42578125" style="57" customWidth="1"/>
    <col min="9999" max="9999" width="6.5703125" style="57" customWidth="1"/>
    <col min="10000" max="10000" width="11.42578125" style="57" customWidth="1"/>
    <col min="10001" max="10001" width="4.140625" style="57" customWidth="1"/>
    <col min="10002" max="10002" width="18.5703125" style="57" customWidth="1"/>
    <col min="10003" max="10003" width="2.140625" style="57" customWidth="1"/>
    <col min="10004" max="10004" width="10.42578125" style="57" customWidth="1"/>
    <col min="10005" max="10246" width="9.140625" style="57"/>
    <col min="10247" max="10247" width="10" style="57" customWidth="1"/>
    <col min="10248" max="10248" width="40" style="57" customWidth="1"/>
    <col min="10249" max="10249" width="12.5703125" style="57" customWidth="1"/>
    <col min="10250" max="10251" width="10.42578125" style="57" customWidth="1"/>
    <col min="10252" max="10252" width="11.5703125" style="57" customWidth="1"/>
    <col min="10253" max="10254" width="10.42578125" style="57" customWidth="1"/>
    <col min="10255" max="10255" width="6.5703125" style="57" customWidth="1"/>
    <col min="10256" max="10256" width="11.42578125" style="57" customWidth="1"/>
    <col min="10257" max="10257" width="4.140625" style="57" customWidth="1"/>
    <col min="10258" max="10258" width="18.5703125" style="57" customWidth="1"/>
    <col min="10259" max="10259" width="2.140625" style="57" customWidth="1"/>
    <col min="10260" max="10260" width="10.42578125" style="57" customWidth="1"/>
    <col min="10261" max="10502" width="9.140625" style="57"/>
    <col min="10503" max="10503" width="10" style="57" customWidth="1"/>
    <col min="10504" max="10504" width="40" style="57" customWidth="1"/>
    <col min="10505" max="10505" width="12.5703125" style="57" customWidth="1"/>
    <col min="10506" max="10507" width="10.42578125" style="57" customWidth="1"/>
    <col min="10508" max="10508" width="11.5703125" style="57" customWidth="1"/>
    <col min="10509" max="10510" width="10.42578125" style="57" customWidth="1"/>
    <col min="10511" max="10511" width="6.5703125" style="57" customWidth="1"/>
    <col min="10512" max="10512" width="11.42578125" style="57" customWidth="1"/>
    <col min="10513" max="10513" width="4.140625" style="57" customWidth="1"/>
    <col min="10514" max="10514" width="18.5703125" style="57" customWidth="1"/>
    <col min="10515" max="10515" width="2.140625" style="57" customWidth="1"/>
    <col min="10516" max="10516" width="10.42578125" style="57" customWidth="1"/>
    <col min="10517" max="10758" width="9.140625" style="57"/>
    <col min="10759" max="10759" width="10" style="57" customWidth="1"/>
    <col min="10760" max="10760" width="40" style="57" customWidth="1"/>
    <col min="10761" max="10761" width="12.5703125" style="57" customWidth="1"/>
    <col min="10762" max="10763" width="10.42578125" style="57" customWidth="1"/>
    <col min="10764" max="10764" width="11.5703125" style="57" customWidth="1"/>
    <col min="10765" max="10766" width="10.42578125" style="57" customWidth="1"/>
    <col min="10767" max="10767" width="6.5703125" style="57" customWidth="1"/>
    <col min="10768" max="10768" width="11.42578125" style="57" customWidth="1"/>
    <col min="10769" max="10769" width="4.140625" style="57" customWidth="1"/>
    <col min="10770" max="10770" width="18.5703125" style="57" customWidth="1"/>
    <col min="10771" max="10771" width="2.140625" style="57" customWidth="1"/>
    <col min="10772" max="10772" width="10.42578125" style="57" customWidth="1"/>
    <col min="10773" max="11014" width="9.140625" style="57"/>
    <col min="11015" max="11015" width="10" style="57" customWidth="1"/>
    <col min="11016" max="11016" width="40" style="57" customWidth="1"/>
    <col min="11017" max="11017" width="12.5703125" style="57" customWidth="1"/>
    <col min="11018" max="11019" width="10.42578125" style="57" customWidth="1"/>
    <col min="11020" max="11020" width="11.5703125" style="57" customWidth="1"/>
    <col min="11021" max="11022" width="10.42578125" style="57" customWidth="1"/>
    <col min="11023" max="11023" width="6.5703125" style="57" customWidth="1"/>
    <col min="11024" max="11024" width="11.42578125" style="57" customWidth="1"/>
    <col min="11025" max="11025" width="4.140625" style="57" customWidth="1"/>
    <col min="11026" max="11026" width="18.5703125" style="57" customWidth="1"/>
    <col min="11027" max="11027" width="2.140625" style="57" customWidth="1"/>
    <col min="11028" max="11028" width="10.42578125" style="57" customWidth="1"/>
    <col min="11029" max="11270" width="9.140625" style="57"/>
    <col min="11271" max="11271" width="10" style="57" customWidth="1"/>
    <col min="11272" max="11272" width="40" style="57" customWidth="1"/>
    <col min="11273" max="11273" width="12.5703125" style="57" customWidth="1"/>
    <col min="11274" max="11275" width="10.42578125" style="57" customWidth="1"/>
    <col min="11276" max="11276" width="11.5703125" style="57" customWidth="1"/>
    <col min="11277" max="11278" width="10.42578125" style="57" customWidth="1"/>
    <col min="11279" max="11279" width="6.5703125" style="57" customWidth="1"/>
    <col min="11280" max="11280" width="11.42578125" style="57" customWidth="1"/>
    <col min="11281" max="11281" width="4.140625" style="57" customWidth="1"/>
    <col min="11282" max="11282" width="18.5703125" style="57" customWidth="1"/>
    <col min="11283" max="11283" width="2.140625" style="57" customWidth="1"/>
    <col min="11284" max="11284" width="10.42578125" style="57" customWidth="1"/>
    <col min="11285" max="11526" width="9.140625" style="57"/>
    <col min="11527" max="11527" width="10" style="57" customWidth="1"/>
    <col min="11528" max="11528" width="40" style="57" customWidth="1"/>
    <col min="11529" max="11529" width="12.5703125" style="57" customWidth="1"/>
    <col min="11530" max="11531" width="10.42578125" style="57" customWidth="1"/>
    <col min="11532" max="11532" width="11.5703125" style="57" customWidth="1"/>
    <col min="11533" max="11534" width="10.42578125" style="57" customWidth="1"/>
    <col min="11535" max="11535" width="6.5703125" style="57" customWidth="1"/>
    <col min="11536" max="11536" width="11.42578125" style="57" customWidth="1"/>
    <col min="11537" max="11537" width="4.140625" style="57" customWidth="1"/>
    <col min="11538" max="11538" width="18.5703125" style="57" customWidth="1"/>
    <col min="11539" max="11539" width="2.140625" style="57" customWidth="1"/>
    <col min="11540" max="11540" width="10.42578125" style="57" customWidth="1"/>
    <col min="11541" max="11782" width="9.140625" style="57"/>
    <col min="11783" max="11783" width="10" style="57" customWidth="1"/>
    <col min="11784" max="11784" width="40" style="57" customWidth="1"/>
    <col min="11785" max="11785" width="12.5703125" style="57" customWidth="1"/>
    <col min="11786" max="11787" width="10.42578125" style="57" customWidth="1"/>
    <col min="11788" max="11788" width="11.5703125" style="57" customWidth="1"/>
    <col min="11789" max="11790" width="10.42578125" style="57" customWidth="1"/>
    <col min="11791" max="11791" width="6.5703125" style="57" customWidth="1"/>
    <col min="11792" max="11792" width="11.42578125" style="57" customWidth="1"/>
    <col min="11793" max="11793" width="4.140625" style="57" customWidth="1"/>
    <col min="11794" max="11794" width="18.5703125" style="57" customWidth="1"/>
    <col min="11795" max="11795" width="2.140625" style="57" customWidth="1"/>
    <col min="11796" max="11796" width="10.42578125" style="57" customWidth="1"/>
    <col min="11797" max="12038" width="9.140625" style="57"/>
    <col min="12039" max="12039" width="10" style="57" customWidth="1"/>
    <col min="12040" max="12040" width="40" style="57" customWidth="1"/>
    <col min="12041" max="12041" width="12.5703125" style="57" customWidth="1"/>
    <col min="12042" max="12043" width="10.42578125" style="57" customWidth="1"/>
    <col min="12044" max="12044" width="11.5703125" style="57" customWidth="1"/>
    <col min="12045" max="12046" width="10.42578125" style="57" customWidth="1"/>
    <col min="12047" max="12047" width="6.5703125" style="57" customWidth="1"/>
    <col min="12048" max="12048" width="11.42578125" style="57" customWidth="1"/>
    <col min="12049" max="12049" width="4.140625" style="57" customWidth="1"/>
    <col min="12050" max="12050" width="18.5703125" style="57" customWidth="1"/>
    <col min="12051" max="12051" width="2.140625" style="57" customWidth="1"/>
    <col min="12052" max="12052" width="10.42578125" style="57" customWidth="1"/>
    <col min="12053" max="12294" width="9.140625" style="57"/>
    <col min="12295" max="12295" width="10" style="57" customWidth="1"/>
    <col min="12296" max="12296" width="40" style="57" customWidth="1"/>
    <col min="12297" max="12297" width="12.5703125" style="57" customWidth="1"/>
    <col min="12298" max="12299" width="10.42578125" style="57" customWidth="1"/>
    <col min="12300" max="12300" width="11.5703125" style="57" customWidth="1"/>
    <col min="12301" max="12302" width="10.42578125" style="57" customWidth="1"/>
    <col min="12303" max="12303" width="6.5703125" style="57" customWidth="1"/>
    <col min="12304" max="12304" width="11.42578125" style="57" customWidth="1"/>
    <col min="12305" max="12305" width="4.140625" style="57" customWidth="1"/>
    <col min="12306" max="12306" width="18.5703125" style="57" customWidth="1"/>
    <col min="12307" max="12307" width="2.140625" style="57" customWidth="1"/>
    <col min="12308" max="12308" width="10.42578125" style="57" customWidth="1"/>
    <col min="12309" max="12550" width="9.140625" style="57"/>
    <col min="12551" max="12551" width="10" style="57" customWidth="1"/>
    <col min="12552" max="12552" width="40" style="57" customWidth="1"/>
    <col min="12553" max="12553" width="12.5703125" style="57" customWidth="1"/>
    <col min="12554" max="12555" width="10.42578125" style="57" customWidth="1"/>
    <col min="12556" max="12556" width="11.5703125" style="57" customWidth="1"/>
    <col min="12557" max="12558" width="10.42578125" style="57" customWidth="1"/>
    <col min="12559" max="12559" width="6.5703125" style="57" customWidth="1"/>
    <col min="12560" max="12560" width="11.42578125" style="57" customWidth="1"/>
    <col min="12561" max="12561" width="4.140625" style="57" customWidth="1"/>
    <col min="12562" max="12562" width="18.5703125" style="57" customWidth="1"/>
    <col min="12563" max="12563" width="2.140625" style="57" customWidth="1"/>
    <col min="12564" max="12564" width="10.42578125" style="57" customWidth="1"/>
    <col min="12565" max="12806" width="9.140625" style="57"/>
    <col min="12807" max="12807" width="10" style="57" customWidth="1"/>
    <col min="12808" max="12808" width="40" style="57" customWidth="1"/>
    <col min="12809" max="12809" width="12.5703125" style="57" customWidth="1"/>
    <col min="12810" max="12811" width="10.42578125" style="57" customWidth="1"/>
    <col min="12812" max="12812" width="11.5703125" style="57" customWidth="1"/>
    <col min="12813" max="12814" width="10.42578125" style="57" customWidth="1"/>
    <col min="12815" max="12815" width="6.5703125" style="57" customWidth="1"/>
    <col min="12816" max="12816" width="11.42578125" style="57" customWidth="1"/>
    <col min="12817" max="12817" width="4.140625" style="57" customWidth="1"/>
    <col min="12818" max="12818" width="18.5703125" style="57" customWidth="1"/>
    <col min="12819" max="12819" width="2.140625" style="57" customWidth="1"/>
    <col min="12820" max="12820" width="10.42578125" style="57" customWidth="1"/>
    <col min="12821" max="13062" width="9.140625" style="57"/>
    <col min="13063" max="13063" width="10" style="57" customWidth="1"/>
    <col min="13064" max="13064" width="40" style="57" customWidth="1"/>
    <col min="13065" max="13065" width="12.5703125" style="57" customWidth="1"/>
    <col min="13066" max="13067" width="10.42578125" style="57" customWidth="1"/>
    <col min="13068" max="13068" width="11.5703125" style="57" customWidth="1"/>
    <col min="13069" max="13070" width="10.42578125" style="57" customWidth="1"/>
    <col min="13071" max="13071" width="6.5703125" style="57" customWidth="1"/>
    <col min="13072" max="13072" width="11.42578125" style="57" customWidth="1"/>
    <col min="13073" max="13073" width="4.140625" style="57" customWidth="1"/>
    <col min="13074" max="13074" width="18.5703125" style="57" customWidth="1"/>
    <col min="13075" max="13075" width="2.140625" style="57" customWidth="1"/>
    <col min="13076" max="13076" width="10.42578125" style="57" customWidth="1"/>
    <col min="13077" max="13318" width="9.140625" style="57"/>
    <col min="13319" max="13319" width="10" style="57" customWidth="1"/>
    <col min="13320" max="13320" width="40" style="57" customWidth="1"/>
    <col min="13321" max="13321" width="12.5703125" style="57" customWidth="1"/>
    <col min="13322" max="13323" width="10.42578125" style="57" customWidth="1"/>
    <col min="13324" max="13324" width="11.5703125" style="57" customWidth="1"/>
    <col min="13325" max="13326" width="10.42578125" style="57" customWidth="1"/>
    <col min="13327" max="13327" width="6.5703125" style="57" customWidth="1"/>
    <col min="13328" max="13328" width="11.42578125" style="57" customWidth="1"/>
    <col min="13329" max="13329" width="4.140625" style="57" customWidth="1"/>
    <col min="13330" max="13330" width="18.5703125" style="57" customWidth="1"/>
    <col min="13331" max="13331" width="2.140625" style="57" customWidth="1"/>
    <col min="13332" max="13332" width="10.42578125" style="57" customWidth="1"/>
    <col min="13333" max="13574" width="9.140625" style="57"/>
    <col min="13575" max="13575" width="10" style="57" customWidth="1"/>
    <col min="13576" max="13576" width="40" style="57" customWidth="1"/>
    <col min="13577" max="13577" width="12.5703125" style="57" customWidth="1"/>
    <col min="13578" max="13579" width="10.42578125" style="57" customWidth="1"/>
    <col min="13580" max="13580" width="11.5703125" style="57" customWidth="1"/>
    <col min="13581" max="13582" width="10.42578125" style="57" customWidth="1"/>
    <col min="13583" max="13583" width="6.5703125" style="57" customWidth="1"/>
    <col min="13584" max="13584" width="11.42578125" style="57" customWidth="1"/>
    <col min="13585" max="13585" width="4.140625" style="57" customWidth="1"/>
    <col min="13586" max="13586" width="18.5703125" style="57" customWidth="1"/>
    <col min="13587" max="13587" width="2.140625" style="57" customWidth="1"/>
    <col min="13588" max="13588" width="10.42578125" style="57" customWidth="1"/>
    <col min="13589" max="13830" width="9.140625" style="57"/>
    <col min="13831" max="13831" width="10" style="57" customWidth="1"/>
    <col min="13832" max="13832" width="40" style="57" customWidth="1"/>
    <col min="13833" max="13833" width="12.5703125" style="57" customWidth="1"/>
    <col min="13834" max="13835" width="10.42578125" style="57" customWidth="1"/>
    <col min="13836" max="13836" width="11.5703125" style="57" customWidth="1"/>
    <col min="13837" max="13838" width="10.42578125" style="57" customWidth="1"/>
    <col min="13839" max="13839" width="6.5703125" style="57" customWidth="1"/>
    <col min="13840" max="13840" width="11.42578125" style="57" customWidth="1"/>
    <col min="13841" max="13841" width="4.140625" style="57" customWidth="1"/>
    <col min="13842" max="13842" width="18.5703125" style="57" customWidth="1"/>
    <col min="13843" max="13843" width="2.140625" style="57" customWidth="1"/>
    <col min="13844" max="13844" width="10.42578125" style="57" customWidth="1"/>
    <col min="13845" max="14086" width="9.140625" style="57"/>
    <col min="14087" max="14087" width="10" style="57" customWidth="1"/>
    <col min="14088" max="14088" width="40" style="57" customWidth="1"/>
    <col min="14089" max="14089" width="12.5703125" style="57" customWidth="1"/>
    <col min="14090" max="14091" width="10.42578125" style="57" customWidth="1"/>
    <col min="14092" max="14092" width="11.5703125" style="57" customWidth="1"/>
    <col min="14093" max="14094" width="10.42578125" style="57" customWidth="1"/>
    <col min="14095" max="14095" width="6.5703125" style="57" customWidth="1"/>
    <col min="14096" max="14096" width="11.42578125" style="57" customWidth="1"/>
    <col min="14097" max="14097" width="4.140625" style="57" customWidth="1"/>
    <col min="14098" max="14098" width="18.5703125" style="57" customWidth="1"/>
    <col min="14099" max="14099" width="2.140625" style="57" customWidth="1"/>
    <col min="14100" max="14100" width="10.42578125" style="57" customWidth="1"/>
    <col min="14101" max="14342" width="9.140625" style="57"/>
    <col min="14343" max="14343" width="10" style="57" customWidth="1"/>
    <col min="14344" max="14344" width="40" style="57" customWidth="1"/>
    <col min="14345" max="14345" width="12.5703125" style="57" customWidth="1"/>
    <col min="14346" max="14347" width="10.42578125" style="57" customWidth="1"/>
    <col min="14348" max="14348" width="11.5703125" style="57" customWidth="1"/>
    <col min="14349" max="14350" width="10.42578125" style="57" customWidth="1"/>
    <col min="14351" max="14351" width="6.5703125" style="57" customWidth="1"/>
    <col min="14352" max="14352" width="11.42578125" style="57" customWidth="1"/>
    <col min="14353" max="14353" width="4.140625" style="57" customWidth="1"/>
    <col min="14354" max="14354" width="18.5703125" style="57" customWidth="1"/>
    <col min="14355" max="14355" width="2.140625" style="57" customWidth="1"/>
    <col min="14356" max="14356" width="10.42578125" style="57" customWidth="1"/>
    <col min="14357" max="14598" width="9.140625" style="57"/>
    <col min="14599" max="14599" width="10" style="57" customWidth="1"/>
    <col min="14600" max="14600" width="40" style="57" customWidth="1"/>
    <col min="14601" max="14601" width="12.5703125" style="57" customWidth="1"/>
    <col min="14602" max="14603" width="10.42578125" style="57" customWidth="1"/>
    <col min="14604" max="14604" width="11.5703125" style="57" customWidth="1"/>
    <col min="14605" max="14606" width="10.42578125" style="57" customWidth="1"/>
    <col min="14607" max="14607" width="6.5703125" style="57" customWidth="1"/>
    <col min="14608" max="14608" width="11.42578125" style="57" customWidth="1"/>
    <col min="14609" max="14609" width="4.140625" style="57" customWidth="1"/>
    <col min="14610" max="14610" width="18.5703125" style="57" customWidth="1"/>
    <col min="14611" max="14611" width="2.140625" style="57" customWidth="1"/>
    <col min="14612" max="14612" width="10.42578125" style="57" customWidth="1"/>
    <col min="14613" max="14854" width="9.140625" style="57"/>
    <col min="14855" max="14855" width="10" style="57" customWidth="1"/>
    <col min="14856" max="14856" width="40" style="57" customWidth="1"/>
    <col min="14857" max="14857" width="12.5703125" style="57" customWidth="1"/>
    <col min="14858" max="14859" width="10.42578125" style="57" customWidth="1"/>
    <col min="14860" max="14860" width="11.5703125" style="57" customWidth="1"/>
    <col min="14861" max="14862" width="10.42578125" style="57" customWidth="1"/>
    <col min="14863" max="14863" width="6.5703125" style="57" customWidth="1"/>
    <col min="14864" max="14864" width="11.42578125" style="57" customWidth="1"/>
    <col min="14865" max="14865" width="4.140625" style="57" customWidth="1"/>
    <col min="14866" max="14866" width="18.5703125" style="57" customWidth="1"/>
    <col min="14867" max="14867" width="2.140625" style="57" customWidth="1"/>
    <col min="14868" max="14868" width="10.42578125" style="57" customWidth="1"/>
    <col min="14869" max="15110" width="9.140625" style="57"/>
    <col min="15111" max="15111" width="10" style="57" customWidth="1"/>
    <col min="15112" max="15112" width="40" style="57" customWidth="1"/>
    <col min="15113" max="15113" width="12.5703125" style="57" customWidth="1"/>
    <col min="15114" max="15115" width="10.42578125" style="57" customWidth="1"/>
    <col min="15116" max="15116" width="11.5703125" style="57" customWidth="1"/>
    <col min="15117" max="15118" width="10.42578125" style="57" customWidth="1"/>
    <col min="15119" max="15119" width="6.5703125" style="57" customWidth="1"/>
    <col min="15120" max="15120" width="11.42578125" style="57" customWidth="1"/>
    <col min="15121" max="15121" width="4.140625" style="57" customWidth="1"/>
    <col min="15122" max="15122" width="18.5703125" style="57" customWidth="1"/>
    <col min="15123" max="15123" width="2.140625" style="57" customWidth="1"/>
    <col min="15124" max="15124" width="10.42578125" style="57" customWidth="1"/>
    <col min="15125" max="15366" width="9.140625" style="57"/>
    <col min="15367" max="15367" width="10" style="57" customWidth="1"/>
    <col min="15368" max="15368" width="40" style="57" customWidth="1"/>
    <col min="15369" max="15369" width="12.5703125" style="57" customWidth="1"/>
    <col min="15370" max="15371" width="10.42578125" style="57" customWidth="1"/>
    <col min="15372" max="15372" width="11.5703125" style="57" customWidth="1"/>
    <col min="15373" max="15374" width="10.42578125" style="57" customWidth="1"/>
    <col min="15375" max="15375" width="6.5703125" style="57" customWidth="1"/>
    <col min="15376" max="15376" width="11.42578125" style="57" customWidth="1"/>
    <col min="15377" max="15377" width="4.140625" style="57" customWidth="1"/>
    <col min="15378" max="15378" width="18.5703125" style="57" customWidth="1"/>
    <col min="15379" max="15379" width="2.140625" style="57" customWidth="1"/>
    <col min="15380" max="15380" width="10.42578125" style="57" customWidth="1"/>
    <col min="15381" max="15622" width="9.140625" style="57"/>
    <col min="15623" max="15623" width="10" style="57" customWidth="1"/>
    <col min="15624" max="15624" width="40" style="57" customWidth="1"/>
    <col min="15625" max="15625" width="12.5703125" style="57" customWidth="1"/>
    <col min="15626" max="15627" width="10.42578125" style="57" customWidth="1"/>
    <col min="15628" max="15628" width="11.5703125" style="57" customWidth="1"/>
    <col min="15629" max="15630" width="10.42578125" style="57" customWidth="1"/>
    <col min="15631" max="15631" width="6.5703125" style="57" customWidth="1"/>
    <col min="15632" max="15632" width="11.42578125" style="57" customWidth="1"/>
    <col min="15633" max="15633" width="4.140625" style="57" customWidth="1"/>
    <col min="15634" max="15634" width="18.5703125" style="57" customWidth="1"/>
    <col min="15635" max="15635" width="2.140625" style="57" customWidth="1"/>
    <col min="15636" max="15636" width="10.42578125" style="57" customWidth="1"/>
    <col min="15637" max="15878" width="9.140625" style="57"/>
    <col min="15879" max="15879" width="10" style="57" customWidth="1"/>
    <col min="15880" max="15880" width="40" style="57" customWidth="1"/>
    <col min="15881" max="15881" width="12.5703125" style="57" customWidth="1"/>
    <col min="15882" max="15883" width="10.42578125" style="57" customWidth="1"/>
    <col min="15884" max="15884" width="11.5703125" style="57" customWidth="1"/>
    <col min="15885" max="15886" width="10.42578125" style="57" customWidth="1"/>
    <col min="15887" max="15887" width="6.5703125" style="57" customWidth="1"/>
    <col min="15888" max="15888" width="11.42578125" style="57" customWidth="1"/>
    <col min="15889" max="15889" width="4.140625" style="57" customWidth="1"/>
    <col min="15890" max="15890" width="18.5703125" style="57" customWidth="1"/>
    <col min="15891" max="15891" width="2.140625" style="57" customWidth="1"/>
    <col min="15892" max="15892" width="10.42578125" style="57" customWidth="1"/>
    <col min="15893" max="16134" width="9.140625" style="57"/>
    <col min="16135" max="16135" width="10" style="57" customWidth="1"/>
    <col min="16136" max="16136" width="40" style="57" customWidth="1"/>
    <col min="16137" max="16137" width="12.5703125" style="57" customWidth="1"/>
    <col min="16138" max="16139" width="10.42578125" style="57" customWidth="1"/>
    <col min="16140" max="16140" width="11.5703125" style="57" customWidth="1"/>
    <col min="16141" max="16142" width="10.42578125" style="57" customWidth="1"/>
    <col min="16143" max="16143" width="6.5703125" style="57" customWidth="1"/>
    <col min="16144" max="16144" width="11.42578125" style="57" customWidth="1"/>
    <col min="16145" max="16145" width="4.140625" style="57" customWidth="1"/>
    <col min="16146" max="16146" width="18.5703125" style="57" customWidth="1"/>
    <col min="16147" max="16147" width="2.140625" style="57" customWidth="1"/>
    <col min="16148" max="16148" width="10.42578125" style="57" customWidth="1"/>
    <col min="16149" max="16384" width="9.140625" style="57"/>
  </cols>
  <sheetData>
    <row r="1" spans="2:21" ht="13.5" customHeight="1" x14ac:dyDescent="0.25">
      <c r="H1" s="781" t="s">
        <v>38</v>
      </c>
      <c r="I1" s="781"/>
      <c r="J1" s="781"/>
      <c r="K1" s="781"/>
      <c r="L1" s="781"/>
      <c r="M1" s="781" t="s">
        <v>39</v>
      </c>
      <c r="N1" s="781"/>
      <c r="O1" s="783" t="s">
        <v>40</v>
      </c>
      <c r="P1" s="783"/>
      <c r="Q1" s="783"/>
    </row>
    <row r="2" spans="2:21" s="59" customFormat="1" ht="15" customHeight="1" x14ac:dyDescent="0.25">
      <c r="B2" s="60" t="s">
        <v>41</v>
      </c>
      <c r="C2" s="61" t="s">
        <v>42</v>
      </c>
      <c r="D2" s="61" t="s">
        <v>43</v>
      </c>
      <c r="E2" s="61" t="s">
        <v>44</v>
      </c>
      <c r="F2" s="61" t="s">
        <v>45</v>
      </c>
      <c r="G2" s="61" t="s">
        <v>46</v>
      </c>
      <c r="H2" s="61" t="s">
        <v>47</v>
      </c>
      <c r="I2" s="61" t="s">
        <v>48</v>
      </c>
      <c r="J2" s="61" t="s">
        <v>47</v>
      </c>
      <c r="K2" s="61" t="s">
        <v>48</v>
      </c>
      <c r="L2" s="65" t="s">
        <v>49</v>
      </c>
      <c r="M2" s="65" t="s">
        <v>39</v>
      </c>
      <c r="N2" s="65" t="s">
        <v>49</v>
      </c>
      <c r="O2" s="65" t="s">
        <v>47</v>
      </c>
      <c r="P2" s="65" t="s">
        <v>48</v>
      </c>
      <c r="Q2" s="65" t="s">
        <v>49</v>
      </c>
      <c r="R2" s="63" t="s">
        <v>50</v>
      </c>
    </row>
    <row r="3" spans="2:21" ht="15" customHeight="1" x14ac:dyDescent="0.25">
      <c r="B3" s="67">
        <v>7</v>
      </c>
      <c r="C3" s="68" t="s">
        <v>66</v>
      </c>
      <c r="D3" s="110" t="s">
        <v>60</v>
      </c>
      <c r="E3" s="69">
        <v>45546</v>
      </c>
      <c r="F3" s="69"/>
      <c r="G3" s="68"/>
      <c r="H3" s="72"/>
      <c r="I3" s="72"/>
      <c r="J3" s="72"/>
      <c r="K3" s="72"/>
      <c r="L3" s="131">
        <v>0</v>
      </c>
      <c r="M3" s="160"/>
      <c r="N3" s="133">
        <v>0</v>
      </c>
      <c r="O3" s="109"/>
      <c r="P3" s="109"/>
      <c r="Q3" s="78">
        <v>0</v>
      </c>
      <c r="R3" s="161"/>
      <c r="T3" s="81" t="s">
        <v>53</v>
      </c>
      <c r="U3" s="82">
        <v>5</v>
      </c>
    </row>
    <row r="4" spans="2:21" ht="15" customHeight="1" x14ac:dyDescent="0.25">
      <c r="B4" s="67">
        <v>5</v>
      </c>
      <c r="C4" s="259" t="s">
        <v>118</v>
      </c>
      <c r="D4" s="153" t="s">
        <v>60</v>
      </c>
      <c r="E4" s="260">
        <v>45667</v>
      </c>
      <c r="F4" s="114"/>
      <c r="G4" s="68"/>
      <c r="H4" s="72"/>
      <c r="I4" s="72"/>
      <c r="J4" s="72"/>
      <c r="K4" s="72"/>
      <c r="L4" s="131">
        <v>0</v>
      </c>
      <c r="M4" s="160"/>
      <c r="N4" s="133">
        <v>0</v>
      </c>
      <c r="O4" s="109"/>
      <c r="P4" s="109"/>
      <c r="Q4" s="78">
        <v>0</v>
      </c>
      <c r="R4" s="134"/>
      <c r="T4" s="83" t="s">
        <v>44</v>
      </c>
      <c r="U4" s="84">
        <v>1</v>
      </c>
    </row>
    <row r="5" spans="2:21" ht="15" customHeight="1" x14ac:dyDescent="0.25">
      <c r="B5" s="67">
        <v>2</v>
      </c>
      <c r="C5" s="116" t="s">
        <v>51</v>
      </c>
      <c r="D5" s="110" t="s">
        <v>60</v>
      </c>
      <c r="E5" s="118">
        <v>44599</v>
      </c>
      <c r="F5" s="118"/>
      <c r="G5" s="116"/>
      <c r="H5" s="121"/>
      <c r="I5" s="121"/>
      <c r="J5" s="121"/>
      <c r="K5" s="121"/>
      <c r="L5" s="131">
        <v>0</v>
      </c>
      <c r="M5" s="140"/>
      <c r="N5" s="141">
        <v>0</v>
      </c>
      <c r="O5" s="127"/>
      <c r="P5" s="127"/>
      <c r="Q5" s="78">
        <v>0</v>
      </c>
      <c r="R5" s="142"/>
      <c r="T5" s="83" t="s">
        <v>45</v>
      </c>
      <c r="U5" s="84">
        <v>0</v>
      </c>
    </row>
    <row r="6" spans="2:21" ht="15" customHeight="1" x14ac:dyDescent="0.25">
      <c r="B6" s="67">
        <v>6</v>
      </c>
      <c r="C6" s="116" t="s">
        <v>68</v>
      </c>
      <c r="D6" s="110" t="s">
        <v>60</v>
      </c>
      <c r="E6" s="118">
        <v>45630</v>
      </c>
      <c r="F6" s="118"/>
      <c r="G6" s="116"/>
      <c r="H6" s="121"/>
      <c r="I6" s="121"/>
      <c r="J6" s="121"/>
      <c r="K6" s="121"/>
      <c r="L6" s="131">
        <v>0</v>
      </c>
      <c r="M6" s="145"/>
      <c r="N6" s="141">
        <v>0</v>
      </c>
      <c r="O6" s="127"/>
      <c r="P6" s="127"/>
      <c r="Q6" s="155">
        <v>0</v>
      </c>
      <c r="R6" s="142"/>
      <c r="T6" s="100" t="s">
        <v>56</v>
      </c>
      <c r="U6" s="101">
        <f>U3+U4-U5</f>
        <v>6</v>
      </c>
    </row>
    <row r="7" spans="2:21" ht="15" customHeight="1" x14ac:dyDescent="0.25">
      <c r="B7" s="167">
        <v>8</v>
      </c>
      <c r="C7" s="168" t="s">
        <v>67</v>
      </c>
      <c r="D7" s="169" t="s">
        <v>60</v>
      </c>
      <c r="E7" s="170">
        <v>45567</v>
      </c>
      <c r="F7" s="166"/>
      <c r="G7" s="116"/>
      <c r="H7" s="121">
        <v>45686</v>
      </c>
      <c r="I7" s="121">
        <v>45688</v>
      </c>
      <c r="J7" s="121"/>
      <c r="K7" s="121"/>
      <c r="L7" s="131">
        <v>3</v>
      </c>
      <c r="M7" s="145"/>
      <c r="N7" s="141">
        <v>0</v>
      </c>
      <c r="O7" s="127"/>
      <c r="P7" s="127"/>
      <c r="Q7" s="155">
        <v>0</v>
      </c>
      <c r="R7" s="142"/>
    </row>
    <row r="8" spans="2:21" ht="15" customHeight="1" x14ac:dyDescent="0.25">
      <c r="B8" s="85">
        <v>3</v>
      </c>
      <c r="C8" s="86" t="s">
        <v>55</v>
      </c>
      <c r="D8" s="130" t="s">
        <v>60</v>
      </c>
      <c r="E8" s="87">
        <v>44602</v>
      </c>
      <c r="F8" s="87"/>
      <c r="G8" s="86"/>
      <c r="H8" s="90"/>
      <c r="I8" s="90"/>
      <c r="J8" s="90"/>
      <c r="K8" s="90"/>
      <c r="L8" s="135">
        <v>0</v>
      </c>
      <c r="M8" s="136"/>
      <c r="N8" s="137">
        <v>0</v>
      </c>
      <c r="O8" s="96"/>
      <c r="P8" s="96"/>
      <c r="Q8" s="138">
        <v>0</v>
      </c>
      <c r="R8" s="139"/>
      <c r="T8" s="81" t="s">
        <v>57</v>
      </c>
      <c r="U8" s="82">
        <v>2</v>
      </c>
    </row>
    <row r="9" spans="2:21" ht="15" customHeight="1" x14ac:dyDescent="0.25">
      <c r="L9" s="99">
        <f>SUM(L3:L8)</f>
        <v>3</v>
      </c>
      <c r="N9" s="99">
        <f>SUM(N3:N8)</f>
        <v>0</v>
      </c>
      <c r="O9" s="99"/>
      <c r="P9" s="99"/>
      <c r="Q9" s="99">
        <f>SUM(Q3:Q8)</f>
        <v>0</v>
      </c>
      <c r="T9" s="100" t="s">
        <v>13</v>
      </c>
      <c r="U9" s="101">
        <f>U6+U8</f>
        <v>8</v>
      </c>
    </row>
    <row r="10" spans="2:21" ht="15" customHeight="1" x14ac:dyDescent="0.25"/>
    <row r="11" spans="2:21" ht="15" customHeight="1" x14ac:dyDescent="0.25">
      <c r="T11" s="784" t="s">
        <v>58</v>
      </c>
      <c r="U11" s="784"/>
    </row>
    <row r="12" spans="2:21" ht="15" customHeight="1" x14ac:dyDescent="0.25">
      <c r="T12" s="83" t="s">
        <v>38</v>
      </c>
      <c r="U12" s="102">
        <f>L9</f>
        <v>3</v>
      </c>
    </row>
    <row r="13" spans="2:21" ht="15" customHeight="1" x14ac:dyDescent="0.25">
      <c r="T13" s="103" t="s">
        <v>39</v>
      </c>
      <c r="U13" s="104">
        <f>N9</f>
        <v>0</v>
      </c>
    </row>
    <row r="14" spans="2:21" ht="15" customHeight="1" x14ac:dyDescent="0.25"/>
    <row r="15" spans="2:21" ht="15" customHeight="1" x14ac:dyDescent="0.25">
      <c r="T15" s="81" t="s">
        <v>40</v>
      </c>
      <c r="U15" s="105">
        <f>Q9</f>
        <v>0</v>
      </c>
    </row>
    <row r="16" spans="2:21" ht="15" customHeight="1" x14ac:dyDescent="0.25">
      <c r="T16" s="103" t="s">
        <v>59</v>
      </c>
      <c r="U16" s="104">
        <v>0</v>
      </c>
    </row>
    <row r="17" spans="20:21" ht="15" customHeight="1" x14ac:dyDescent="0.25"/>
    <row r="18" spans="20:21" ht="15" customHeight="1" x14ac:dyDescent="0.25">
      <c r="T18" s="106" t="s">
        <v>22</v>
      </c>
      <c r="U18" s="107">
        <v>22</v>
      </c>
    </row>
    <row r="19" spans="20:21" ht="15" customHeight="1" x14ac:dyDescent="0.25"/>
    <row r="20" spans="20:21" ht="15" customHeight="1" x14ac:dyDescent="0.25"/>
    <row r="21" spans="20:21" ht="15" customHeight="1" x14ac:dyDescent="0.25"/>
    <row r="22" spans="20:21" ht="15" customHeight="1" x14ac:dyDescent="0.25"/>
    <row r="23" spans="20:21" ht="15" customHeight="1" x14ac:dyDescent="0.25"/>
    <row r="24" spans="20:21" ht="15" customHeight="1" x14ac:dyDescent="0.25"/>
    <row r="25" spans="20:21" ht="15" customHeight="1" x14ac:dyDescent="0.25"/>
    <row r="26" spans="20:21" ht="15" customHeight="1" x14ac:dyDescent="0.25"/>
    <row r="27" spans="20:21" ht="15" customHeight="1" x14ac:dyDescent="0.25"/>
    <row r="28" spans="20:21" ht="15" customHeight="1" x14ac:dyDescent="0.25"/>
    <row r="29" spans="20:21" ht="15" customHeight="1" x14ac:dyDescent="0.25"/>
    <row r="30" spans="20:21" ht="15" customHeight="1" x14ac:dyDescent="0.25"/>
    <row r="31" spans="20:21" ht="15" customHeight="1" x14ac:dyDescent="0.25"/>
    <row r="32" spans="20:21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</sheetData>
  <mergeCells count="4">
    <mergeCell ref="H1:L1"/>
    <mergeCell ref="M1:N1"/>
    <mergeCell ref="O1:Q1"/>
    <mergeCell ref="T11:U11"/>
  </mergeCells>
  <pageMargins left="0.25" right="0.25" top="0.75" bottom="0.75" header="0.511811023622047" footer="0.511811023622047"/>
  <pageSetup paperSize="9" orientation="landscape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B1:U36"/>
  <sheetViews>
    <sheetView showGridLines="0" topLeftCell="E1" zoomScaleNormal="100" workbookViewId="0">
      <selection activeCell="E4" sqref="E4"/>
    </sheetView>
  </sheetViews>
  <sheetFormatPr defaultColWidth="9.140625" defaultRowHeight="12.75" x14ac:dyDescent="0.25"/>
  <cols>
    <col min="1" max="1" width="9.140625" style="57"/>
    <col min="2" max="2" width="10" style="57" customWidth="1"/>
    <col min="3" max="3" width="40" style="57" customWidth="1"/>
    <col min="4" max="4" width="12.5703125" style="57" customWidth="1"/>
    <col min="5" max="6" width="10.42578125" style="57" customWidth="1"/>
    <col min="7" max="7" width="11.5703125" style="57" customWidth="1"/>
    <col min="8" max="11" width="10.42578125" style="57" customWidth="1"/>
    <col min="12" max="12" width="4.140625" style="57" customWidth="1"/>
    <col min="13" max="13" width="11.42578125" style="58" customWidth="1"/>
    <col min="14" max="14" width="4.140625" style="57" customWidth="1"/>
    <col min="15" max="16" width="10.42578125" style="57" customWidth="1"/>
    <col min="17" max="17" width="4.140625" style="57" customWidth="1"/>
    <col min="18" max="18" width="27.140625" style="57" customWidth="1"/>
    <col min="19" max="19" width="2.140625" style="57" customWidth="1"/>
    <col min="20" max="20" width="13.140625" style="57" customWidth="1"/>
    <col min="21" max="21" width="3" style="57" customWidth="1"/>
    <col min="22" max="262" width="9.140625" style="57"/>
    <col min="263" max="263" width="10" style="57" customWidth="1"/>
    <col min="264" max="264" width="40" style="57" customWidth="1"/>
    <col min="265" max="265" width="12.5703125" style="57" customWidth="1"/>
    <col min="266" max="267" width="10.42578125" style="57" customWidth="1"/>
    <col min="268" max="268" width="11.5703125" style="57" customWidth="1"/>
    <col min="269" max="270" width="10.42578125" style="57" customWidth="1"/>
    <col min="271" max="271" width="6.5703125" style="57" customWidth="1"/>
    <col min="272" max="272" width="11.42578125" style="57" customWidth="1"/>
    <col min="273" max="273" width="4.140625" style="57" customWidth="1"/>
    <col min="274" max="274" width="18.5703125" style="57" customWidth="1"/>
    <col min="275" max="275" width="2.140625" style="57" customWidth="1"/>
    <col min="276" max="276" width="10.42578125" style="57" customWidth="1"/>
    <col min="277" max="518" width="9.140625" style="57"/>
    <col min="519" max="519" width="10" style="57" customWidth="1"/>
    <col min="520" max="520" width="40" style="57" customWidth="1"/>
    <col min="521" max="521" width="12.5703125" style="57" customWidth="1"/>
    <col min="522" max="523" width="10.42578125" style="57" customWidth="1"/>
    <col min="524" max="524" width="11.5703125" style="57" customWidth="1"/>
    <col min="525" max="526" width="10.42578125" style="57" customWidth="1"/>
    <col min="527" max="527" width="6.5703125" style="57" customWidth="1"/>
    <col min="528" max="528" width="11.42578125" style="57" customWidth="1"/>
    <col min="529" max="529" width="4.140625" style="57" customWidth="1"/>
    <col min="530" max="530" width="18.5703125" style="57" customWidth="1"/>
    <col min="531" max="531" width="2.140625" style="57" customWidth="1"/>
    <col min="532" max="532" width="10.42578125" style="57" customWidth="1"/>
    <col min="533" max="774" width="9.140625" style="57"/>
    <col min="775" max="775" width="10" style="57" customWidth="1"/>
    <col min="776" max="776" width="40" style="57" customWidth="1"/>
    <col min="777" max="777" width="12.5703125" style="57" customWidth="1"/>
    <col min="778" max="779" width="10.42578125" style="57" customWidth="1"/>
    <col min="780" max="780" width="11.5703125" style="57" customWidth="1"/>
    <col min="781" max="782" width="10.42578125" style="57" customWidth="1"/>
    <col min="783" max="783" width="6.5703125" style="57" customWidth="1"/>
    <col min="784" max="784" width="11.42578125" style="57" customWidth="1"/>
    <col min="785" max="785" width="4.140625" style="57" customWidth="1"/>
    <col min="786" max="786" width="18.5703125" style="57" customWidth="1"/>
    <col min="787" max="787" width="2.140625" style="57" customWidth="1"/>
    <col min="788" max="788" width="10.42578125" style="57" customWidth="1"/>
    <col min="789" max="1030" width="9.140625" style="57"/>
    <col min="1031" max="1031" width="10" style="57" customWidth="1"/>
    <col min="1032" max="1032" width="40" style="57" customWidth="1"/>
    <col min="1033" max="1033" width="12.5703125" style="57" customWidth="1"/>
    <col min="1034" max="1035" width="10.42578125" style="57" customWidth="1"/>
    <col min="1036" max="1036" width="11.5703125" style="57" customWidth="1"/>
    <col min="1037" max="1038" width="10.42578125" style="57" customWidth="1"/>
    <col min="1039" max="1039" width="6.5703125" style="57" customWidth="1"/>
    <col min="1040" max="1040" width="11.42578125" style="57" customWidth="1"/>
    <col min="1041" max="1041" width="4.140625" style="57" customWidth="1"/>
    <col min="1042" max="1042" width="18.5703125" style="57" customWidth="1"/>
    <col min="1043" max="1043" width="2.140625" style="57" customWidth="1"/>
    <col min="1044" max="1044" width="10.42578125" style="57" customWidth="1"/>
    <col min="1045" max="1286" width="9.140625" style="57"/>
    <col min="1287" max="1287" width="10" style="57" customWidth="1"/>
    <col min="1288" max="1288" width="40" style="57" customWidth="1"/>
    <col min="1289" max="1289" width="12.5703125" style="57" customWidth="1"/>
    <col min="1290" max="1291" width="10.42578125" style="57" customWidth="1"/>
    <col min="1292" max="1292" width="11.5703125" style="57" customWidth="1"/>
    <col min="1293" max="1294" width="10.42578125" style="57" customWidth="1"/>
    <col min="1295" max="1295" width="6.5703125" style="57" customWidth="1"/>
    <col min="1296" max="1296" width="11.42578125" style="57" customWidth="1"/>
    <col min="1297" max="1297" width="4.140625" style="57" customWidth="1"/>
    <col min="1298" max="1298" width="18.5703125" style="57" customWidth="1"/>
    <col min="1299" max="1299" width="2.140625" style="57" customWidth="1"/>
    <col min="1300" max="1300" width="10.42578125" style="57" customWidth="1"/>
    <col min="1301" max="1542" width="9.140625" style="57"/>
    <col min="1543" max="1543" width="10" style="57" customWidth="1"/>
    <col min="1544" max="1544" width="40" style="57" customWidth="1"/>
    <col min="1545" max="1545" width="12.5703125" style="57" customWidth="1"/>
    <col min="1546" max="1547" width="10.42578125" style="57" customWidth="1"/>
    <col min="1548" max="1548" width="11.5703125" style="57" customWidth="1"/>
    <col min="1549" max="1550" width="10.42578125" style="57" customWidth="1"/>
    <col min="1551" max="1551" width="6.5703125" style="57" customWidth="1"/>
    <col min="1552" max="1552" width="11.42578125" style="57" customWidth="1"/>
    <col min="1553" max="1553" width="4.140625" style="57" customWidth="1"/>
    <col min="1554" max="1554" width="18.5703125" style="57" customWidth="1"/>
    <col min="1555" max="1555" width="2.140625" style="57" customWidth="1"/>
    <col min="1556" max="1556" width="10.42578125" style="57" customWidth="1"/>
    <col min="1557" max="1798" width="9.140625" style="57"/>
    <col min="1799" max="1799" width="10" style="57" customWidth="1"/>
    <col min="1800" max="1800" width="40" style="57" customWidth="1"/>
    <col min="1801" max="1801" width="12.5703125" style="57" customWidth="1"/>
    <col min="1802" max="1803" width="10.42578125" style="57" customWidth="1"/>
    <col min="1804" max="1804" width="11.5703125" style="57" customWidth="1"/>
    <col min="1805" max="1806" width="10.42578125" style="57" customWidth="1"/>
    <col min="1807" max="1807" width="6.5703125" style="57" customWidth="1"/>
    <col min="1808" max="1808" width="11.42578125" style="57" customWidth="1"/>
    <col min="1809" max="1809" width="4.140625" style="57" customWidth="1"/>
    <col min="1810" max="1810" width="18.5703125" style="57" customWidth="1"/>
    <col min="1811" max="1811" width="2.140625" style="57" customWidth="1"/>
    <col min="1812" max="1812" width="10.42578125" style="57" customWidth="1"/>
    <col min="1813" max="2054" width="9.140625" style="57"/>
    <col min="2055" max="2055" width="10" style="57" customWidth="1"/>
    <col min="2056" max="2056" width="40" style="57" customWidth="1"/>
    <col min="2057" max="2057" width="12.5703125" style="57" customWidth="1"/>
    <col min="2058" max="2059" width="10.42578125" style="57" customWidth="1"/>
    <col min="2060" max="2060" width="11.5703125" style="57" customWidth="1"/>
    <col min="2061" max="2062" width="10.42578125" style="57" customWidth="1"/>
    <col min="2063" max="2063" width="6.5703125" style="57" customWidth="1"/>
    <col min="2064" max="2064" width="11.42578125" style="57" customWidth="1"/>
    <col min="2065" max="2065" width="4.140625" style="57" customWidth="1"/>
    <col min="2066" max="2066" width="18.5703125" style="57" customWidth="1"/>
    <col min="2067" max="2067" width="2.140625" style="57" customWidth="1"/>
    <col min="2068" max="2068" width="10.42578125" style="57" customWidth="1"/>
    <col min="2069" max="2310" width="9.140625" style="57"/>
    <col min="2311" max="2311" width="10" style="57" customWidth="1"/>
    <col min="2312" max="2312" width="40" style="57" customWidth="1"/>
    <col min="2313" max="2313" width="12.5703125" style="57" customWidth="1"/>
    <col min="2314" max="2315" width="10.42578125" style="57" customWidth="1"/>
    <col min="2316" max="2316" width="11.5703125" style="57" customWidth="1"/>
    <col min="2317" max="2318" width="10.42578125" style="57" customWidth="1"/>
    <col min="2319" max="2319" width="6.5703125" style="57" customWidth="1"/>
    <col min="2320" max="2320" width="11.42578125" style="57" customWidth="1"/>
    <col min="2321" max="2321" width="4.140625" style="57" customWidth="1"/>
    <col min="2322" max="2322" width="18.5703125" style="57" customWidth="1"/>
    <col min="2323" max="2323" width="2.140625" style="57" customWidth="1"/>
    <col min="2324" max="2324" width="10.42578125" style="57" customWidth="1"/>
    <col min="2325" max="2566" width="9.140625" style="57"/>
    <col min="2567" max="2567" width="10" style="57" customWidth="1"/>
    <col min="2568" max="2568" width="40" style="57" customWidth="1"/>
    <col min="2569" max="2569" width="12.5703125" style="57" customWidth="1"/>
    <col min="2570" max="2571" width="10.42578125" style="57" customWidth="1"/>
    <col min="2572" max="2572" width="11.5703125" style="57" customWidth="1"/>
    <col min="2573" max="2574" width="10.42578125" style="57" customWidth="1"/>
    <col min="2575" max="2575" width="6.5703125" style="57" customWidth="1"/>
    <col min="2576" max="2576" width="11.42578125" style="57" customWidth="1"/>
    <col min="2577" max="2577" width="4.140625" style="57" customWidth="1"/>
    <col min="2578" max="2578" width="18.5703125" style="57" customWidth="1"/>
    <col min="2579" max="2579" width="2.140625" style="57" customWidth="1"/>
    <col min="2580" max="2580" width="10.42578125" style="57" customWidth="1"/>
    <col min="2581" max="2822" width="9.140625" style="57"/>
    <col min="2823" max="2823" width="10" style="57" customWidth="1"/>
    <col min="2824" max="2824" width="40" style="57" customWidth="1"/>
    <col min="2825" max="2825" width="12.5703125" style="57" customWidth="1"/>
    <col min="2826" max="2827" width="10.42578125" style="57" customWidth="1"/>
    <col min="2828" max="2828" width="11.5703125" style="57" customWidth="1"/>
    <col min="2829" max="2830" width="10.42578125" style="57" customWidth="1"/>
    <col min="2831" max="2831" width="6.5703125" style="57" customWidth="1"/>
    <col min="2832" max="2832" width="11.42578125" style="57" customWidth="1"/>
    <col min="2833" max="2833" width="4.140625" style="57" customWidth="1"/>
    <col min="2834" max="2834" width="18.5703125" style="57" customWidth="1"/>
    <col min="2835" max="2835" width="2.140625" style="57" customWidth="1"/>
    <col min="2836" max="2836" width="10.42578125" style="57" customWidth="1"/>
    <col min="2837" max="3078" width="9.140625" style="57"/>
    <col min="3079" max="3079" width="10" style="57" customWidth="1"/>
    <col min="3080" max="3080" width="40" style="57" customWidth="1"/>
    <col min="3081" max="3081" width="12.5703125" style="57" customWidth="1"/>
    <col min="3082" max="3083" width="10.42578125" style="57" customWidth="1"/>
    <col min="3084" max="3084" width="11.5703125" style="57" customWidth="1"/>
    <col min="3085" max="3086" width="10.42578125" style="57" customWidth="1"/>
    <col min="3087" max="3087" width="6.5703125" style="57" customWidth="1"/>
    <col min="3088" max="3088" width="11.42578125" style="57" customWidth="1"/>
    <col min="3089" max="3089" width="4.140625" style="57" customWidth="1"/>
    <col min="3090" max="3090" width="18.5703125" style="57" customWidth="1"/>
    <col min="3091" max="3091" width="2.140625" style="57" customWidth="1"/>
    <col min="3092" max="3092" width="10.42578125" style="57" customWidth="1"/>
    <col min="3093" max="3334" width="9.140625" style="57"/>
    <col min="3335" max="3335" width="10" style="57" customWidth="1"/>
    <col min="3336" max="3336" width="40" style="57" customWidth="1"/>
    <col min="3337" max="3337" width="12.5703125" style="57" customWidth="1"/>
    <col min="3338" max="3339" width="10.42578125" style="57" customWidth="1"/>
    <col min="3340" max="3340" width="11.5703125" style="57" customWidth="1"/>
    <col min="3341" max="3342" width="10.42578125" style="57" customWidth="1"/>
    <col min="3343" max="3343" width="6.5703125" style="57" customWidth="1"/>
    <col min="3344" max="3344" width="11.42578125" style="57" customWidth="1"/>
    <col min="3345" max="3345" width="4.140625" style="57" customWidth="1"/>
    <col min="3346" max="3346" width="18.5703125" style="57" customWidth="1"/>
    <col min="3347" max="3347" width="2.140625" style="57" customWidth="1"/>
    <col min="3348" max="3348" width="10.42578125" style="57" customWidth="1"/>
    <col min="3349" max="3590" width="9.140625" style="57"/>
    <col min="3591" max="3591" width="10" style="57" customWidth="1"/>
    <col min="3592" max="3592" width="40" style="57" customWidth="1"/>
    <col min="3593" max="3593" width="12.5703125" style="57" customWidth="1"/>
    <col min="3594" max="3595" width="10.42578125" style="57" customWidth="1"/>
    <col min="3596" max="3596" width="11.5703125" style="57" customWidth="1"/>
    <col min="3597" max="3598" width="10.42578125" style="57" customWidth="1"/>
    <col min="3599" max="3599" width="6.5703125" style="57" customWidth="1"/>
    <col min="3600" max="3600" width="11.42578125" style="57" customWidth="1"/>
    <col min="3601" max="3601" width="4.140625" style="57" customWidth="1"/>
    <col min="3602" max="3602" width="18.5703125" style="57" customWidth="1"/>
    <col min="3603" max="3603" width="2.140625" style="57" customWidth="1"/>
    <col min="3604" max="3604" width="10.42578125" style="57" customWidth="1"/>
    <col min="3605" max="3846" width="9.140625" style="57"/>
    <col min="3847" max="3847" width="10" style="57" customWidth="1"/>
    <col min="3848" max="3848" width="40" style="57" customWidth="1"/>
    <col min="3849" max="3849" width="12.5703125" style="57" customWidth="1"/>
    <col min="3850" max="3851" width="10.42578125" style="57" customWidth="1"/>
    <col min="3852" max="3852" width="11.5703125" style="57" customWidth="1"/>
    <col min="3853" max="3854" width="10.42578125" style="57" customWidth="1"/>
    <col min="3855" max="3855" width="6.5703125" style="57" customWidth="1"/>
    <col min="3856" max="3856" width="11.42578125" style="57" customWidth="1"/>
    <col min="3857" max="3857" width="4.140625" style="57" customWidth="1"/>
    <col min="3858" max="3858" width="18.5703125" style="57" customWidth="1"/>
    <col min="3859" max="3859" width="2.140625" style="57" customWidth="1"/>
    <col min="3860" max="3860" width="10.42578125" style="57" customWidth="1"/>
    <col min="3861" max="4102" width="9.140625" style="57"/>
    <col min="4103" max="4103" width="10" style="57" customWidth="1"/>
    <col min="4104" max="4104" width="40" style="57" customWidth="1"/>
    <col min="4105" max="4105" width="12.5703125" style="57" customWidth="1"/>
    <col min="4106" max="4107" width="10.42578125" style="57" customWidth="1"/>
    <col min="4108" max="4108" width="11.5703125" style="57" customWidth="1"/>
    <col min="4109" max="4110" width="10.42578125" style="57" customWidth="1"/>
    <col min="4111" max="4111" width="6.5703125" style="57" customWidth="1"/>
    <col min="4112" max="4112" width="11.42578125" style="57" customWidth="1"/>
    <col min="4113" max="4113" width="4.140625" style="57" customWidth="1"/>
    <col min="4114" max="4114" width="18.5703125" style="57" customWidth="1"/>
    <col min="4115" max="4115" width="2.140625" style="57" customWidth="1"/>
    <col min="4116" max="4116" width="10.42578125" style="57" customWidth="1"/>
    <col min="4117" max="4358" width="9.140625" style="57"/>
    <col min="4359" max="4359" width="10" style="57" customWidth="1"/>
    <col min="4360" max="4360" width="40" style="57" customWidth="1"/>
    <col min="4361" max="4361" width="12.5703125" style="57" customWidth="1"/>
    <col min="4362" max="4363" width="10.42578125" style="57" customWidth="1"/>
    <col min="4364" max="4364" width="11.5703125" style="57" customWidth="1"/>
    <col min="4365" max="4366" width="10.42578125" style="57" customWidth="1"/>
    <col min="4367" max="4367" width="6.5703125" style="57" customWidth="1"/>
    <col min="4368" max="4368" width="11.42578125" style="57" customWidth="1"/>
    <col min="4369" max="4369" width="4.140625" style="57" customWidth="1"/>
    <col min="4370" max="4370" width="18.5703125" style="57" customWidth="1"/>
    <col min="4371" max="4371" width="2.140625" style="57" customWidth="1"/>
    <col min="4372" max="4372" width="10.42578125" style="57" customWidth="1"/>
    <col min="4373" max="4614" width="9.140625" style="57"/>
    <col min="4615" max="4615" width="10" style="57" customWidth="1"/>
    <col min="4616" max="4616" width="40" style="57" customWidth="1"/>
    <col min="4617" max="4617" width="12.5703125" style="57" customWidth="1"/>
    <col min="4618" max="4619" width="10.42578125" style="57" customWidth="1"/>
    <col min="4620" max="4620" width="11.5703125" style="57" customWidth="1"/>
    <col min="4621" max="4622" width="10.42578125" style="57" customWidth="1"/>
    <col min="4623" max="4623" width="6.5703125" style="57" customWidth="1"/>
    <col min="4624" max="4624" width="11.42578125" style="57" customWidth="1"/>
    <col min="4625" max="4625" width="4.140625" style="57" customWidth="1"/>
    <col min="4626" max="4626" width="18.5703125" style="57" customWidth="1"/>
    <col min="4627" max="4627" width="2.140625" style="57" customWidth="1"/>
    <col min="4628" max="4628" width="10.42578125" style="57" customWidth="1"/>
    <col min="4629" max="4870" width="9.140625" style="57"/>
    <col min="4871" max="4871" width="10" style="57" customWidth="1"/>
    <col min="4872" max="4872" width="40" style="57" customWidth="1"/>
    <col min="4873" max="4873" width="12.5703125" style="57" customWidth="1"/>
    <col min="4874" max="4875" width="10.42578125" style="57" customWidth="1"/>
    <col min="4876" max="4876" width="11.5703125" style="57" customWidth="1"/>
    <col min="4877" max="4878" width="10.42578125" style="57" customWidth="1"/>
    <col min="4879" max="4879" width="6.5703125" style="57" customWidth="1"/>
    <col min="4880" max="4880" width="11.42578125" style="57" customWidth="1"/>
    <col min="4881" max="4881" width="4.140625" style="57" customWidth="1"/>
    <col min="4882" max="4882" width="18.5703125" style="57" customWidth="1"/>
    <col min="4883" max="4883" width="2.140625" style="57" customWidth="1"/>
    <col min="4884" max="4884" width="10.42578125" style="57" customWidth="1"/>
    <col min="4885" max="5126" width="9.140625" style="57"/>
    <col min="5127" max="5127" width="10" style="57" customWidth="1"/>
    <col min="5128" max="5128" width="40" style="57" customWidth="1"/>
    <col min="5129" max="5129" width="12.5703125" style="57" customWidth="1"/>
    <col min="5130" max="5131" width="10.42578125" style="57" customWidth="1"/>
    <col min="5132" max="5132" width="11.5703125" style="57" customWidth="1"/>
    <col min="5133" max="5134" width="10.42578125" style="57" customWidth="1"/>
    <col min="5135" max="5135" width="6.5703125" style="57" customWidth="1"/>
    <col min="5136" max="5136" width="11.42578125" style="57" customWidth="1"/>
    <col min="5137" max="5137" width="4.140625" style="57" customWidth="1"/>
    <col min="5138" max="5138" width="18.5703125" style="57" customWidth="1"/>
    <col min="5139" max="5139" width="2.140625" style="57" customWidth="1"/>
    <col min="5140" max="5140" width="10.42578125" style="57" customWidth="1"/>
    <col min="5141" max="5382" width="9.140625" style="57"/>
    <col min="5383" max="5383" width="10" style="57" customWidth="1"/>
    <col min="5384" max="5384" width="40" style="57" customWidth="1"/>
    <col min="5385" max="5385" width="12.5703125" style="57" customWidth="1"/>
    <col min="5386" max="5387" width="10.42578125" style="57" customWidth="1"/>
    <col min="5388" max="5388" width="11.5703125" style="57" customWidth="1"/>
    <col min="5389" max="5390" width="10.42578125" style="57" customWidth="1"/>
    <col min="5391" max="5391" width="6.5703125" style="57" customWidth="1"/>
    <col min="5392" max="5392" width="11.42578125" style="57" customWidth="1"/>
    <col min="5393" max="5393" width="4.140625" style="57" customWidth="1"/>
    <col min="5394" max="5394" width="18.5703125" style="57" customWidth="1"/>
    <col min="5395" max="5395" width="2.140625" style="57" customWidth="1"/>
    <col min="5396" max="5396" width="10.42578125" style="57" customWidth="1"/>
    <col min="5397" max="5638" width="9.140625" style="57"/>
    <col min="5639" max="5639" width="10" style="57" customWidth="1"/>
    <col min="5640" max="5640" width="40" style="57" customWidth="1"/>
    <col min="5641" max="5641" width="12.5703125" style="57" customWidth="1"/>
    <col min="5642" max="5643" width="10.42578125" style="57" customWidth="1"/>
    <col min="5644" max="5644" width="11.5703125" style="57" customWidth="1"/>
    <col min="5645" max="5646" width="10.42578125" style="57" customWidth="1"/>
    <col min="5647" max="5647" width="6.5703125" style="57" customWidth="1"/>
    <col min="5648" max="5648" width="11.42578125" style="57" customWidth="1"/>
    <col min="5649" max="5649" width="4.140625" style="57" customWidth="1"/>
    <col min="5650" max="5650" width="18.5703125" style="57" customWidth="1"/>
    <col min="5651" max="5651" width="2.140625" style="57" customWidth="1"/>
    <col min="5652" max="5652" width="10.42578125" style="57" customWidth="1"/>
    <col min="5653" max="5894" width="9.140625" style="57"/>
    <col min="5895" max="5895" width="10" style="57" customWidth="1"/>
    <col min="5896" max="5896" width="40" style="57" customWidth="1"/>
    <col min="5897" max="5897" width="12.5703125" style="57" customWidth="1"/>
    <col min="5898" max="5899" width="10.42578125" style="57" customWidth="1"/>
    <col min="5900" max="5900" width="11.5703125" style="57" customWidth="1"/>
    <col min="5901" max="5902" width="10.42578125" style="57" customWidth="1"/>
    <col min="5903" max="5903" width="6.5703125" style="57" customWidth="1"/>
    <col min="5904" max="5904" width="11.42578125" style="57" customWidth="1"/>
    <col min="5905" max="5905" width="4.140625" style="57" customWidth="1"/>
    <col min="5906" max="5906" width="18.5703125" style="57" customWidth="1"/>
    <col min="5907" max="5907" width="2.140625" style="57" customWidth="1"/>
    <col min="5908" max="5908" width="10.42578125" style="57" customWidth="1"/>
    <col min="5909" max="6150" width="9.140625" style="57"/>
    <col min="6151" max="6151" width="10" style="57" customWidth="1"/>
    <col min="6152" max="6152" width="40" style="57" customWidth="1"/>
    <col min="6153" max="6153" width="12.5703125" style="57" customWidth="1"/>
    <col min="6154" max="6155" width="10.42578125" style="57" customWidth="1"/>
    <col min="6156" max="6156" width="11.5703125" style="57" customWidth="1"/>
    <col min="6157" max="6158" width="10.42578125" style="57" customWidth="1"/>
    <col min="6159" max="6159" width="6.5703125" style="57" customWidth="1"/>
    <col min="6160" max="6160" width="11.42578125" style="57" customWidth="1"/>
    <col min="6161" max="6161" width="4.140625" style="57" customWidth="1"/>
    <col min="6162" max="6162" width="18.5703125" style="57" customWidth="1"/>
    <col min="6163" max="6163" width="2.140625" style="57" customWidth="1"/>
    <col min="6164" max="6164" width="10.42578125" style="57" customWidth="1"/>
    <col min="6165" max="6406" width="9.140625" style="57"/>
    <col min="6407" max="6407" width="10" style="57" customWidth="1"/>
    <col min="6408" max="6408" width="40" style="57" customWidth="1"/>
    <col min="6409" max="6409" width="12.5703125" style="57" customWidth="1"/>
    <col min="6410" max="6411" width="10.42578125" style="57" customWidth="1"/>
    <col min="6412" max="6412" width="11.5703125" style="57" customWidth="1"/>
    <col min="6413" max="6414" width="10.42578125" style="57" customWidth="1"/>
    <col min="6415" max="6415" width="6.5703125" style="57" customWidth="1"/>
    <col min="6416" max="6416" width="11.42578125" style="57" customWidth="1"/>
    <col min="6417" max="6417" width="4.140625" style="57" customWidth="1"/>
    <col min="6418" max="6418" width="18.5703125" style="57" customWidth="1"/>
    <col min="6419" max="6419" width="2.140625" style="57" customWidth="1"/>
    <col min="6420" max="6420" width="10.42578125" style="57" customWidth="1"/>
    <col min="6421" max="6662" width="9.140625" style="57"/>
    <col min="6663" max="6663" width="10" style="57" customWidth="1"/>
    <col min="6664" max="6664" width="40" style="57" customWidth="1"/>
    <col min="6665" max="6665" width="12.5703125" style="57" customWidth="1"/>
    <col min="6666" max="6667" width="10.42578125" style="57" customWidth="1"/>
    <col min="6668" max="6668" width="11.5703125" style="57" customWidth="1"/>
    <col min="6669" max="6670" width="10.42578125" style="57" customWidth="1"/>
    <col min="6671" max="6671" width="6.5703125" style="57" customWidth="1"/>
    <col min="6672" max="6672" width="11.42578125" style="57" customWidth="1"/>
    <col min="6673" max="6673" width="4.140625" style="57" customWidth="1"/>
    <col min="6674" max="6674" width="18.5703125" style="57" customWidth="1"/>
    <col min="6675" max="6675" width="2.140625" style="57" customWidth="1"/>
    <col min="6676" max="6676" width="10.42578125" style="57" customWidth="1"/>
    <col min="6677" max="6918" width="9.140625" style="57"/>
    <col min="6919" max="6919" width="10" style="57" customWidth="1"/>
    <col min="6920" max="6920" width="40" style="57" customWidth="1"/>
    <col min="6921" max="6921" width="12.5703125" style="57" customWidth="1"/>
    <col min="6922" max="6923" width="10.42578125" style="57" customWidth="1"/>
    <col min="6924" max="6924" width="11.5703125" style="57" customWidth="1"/>
    <col min="6925" max="6926" width="10.42578125" style="57" customWidth="1"/>
    <col min="6927" max="6927" width="6.5703125" style="57" customWidth="1"/>
    <col min="6928" max="6928" width="11.42578125" style="57" customWidth="1"/>
    <col min="6929" max="6929" width="4.140625" style="57" customWidth="1"/>
    <col min="6930" max="6930" width="18.5703125" style="57" customWidth="1"/>
    <col min="6931" max="6931" width="2.140625" style="57" customWidth="1"/>
    <col min="6932" max="6932" width="10.42578125" style="57" customWidth="1"/>
    <col min="6933" max="7174" width="9.140625" style="57"/>
    <col min="7175" max="7175" width="10" style="57" customWidth="1"/>
    <col min="7176" max="7176" width="40" style="57" customWidth="1"/>
    <col min="7177" max="7177" width="12.5703125" style="57" customWidth="1"/>
    <col min="7178" max="7179" width="10.42578125" style="57" customWidth="1"/>
    <col min="7180" max="7180" width="11.5703125" style="57" customWidth="1"/>
    <col min="7181" max="7182" width="10.42578125" style="57" customWidth="1"/>
    <col min="7183" max="7183" width="6.5703125" style="57" customWidth="1"/>
    <col min="7184" max="7184" width="11.42578125" style="57" customWidth="1"/>
    <col min="7185" max="7185" width="4.140625" style="57" customWidth="1"/>
    <col min="7186" max="7186" width="18.5703125" style="57" customWidth="1"/>
    <col min="7187" max="7187" width="2.140625" style="57" customWidth="1"/>
    <col min="7188" max="7188" width="10.42578125" style="57" customWidth="1"/>
    <col min="7189" max="7430" width="9.140625" style="57"/>
    <col min="7431" max="7431" width="10" style="57" customWidth="1"/>
    <col min="7432" max="7432" width="40" style="57" customWidth="1"/>
    <col min="7433" max="7433" width="12.5703125" style="57" customWidth="1"/>
    <col min="7434" max="7435" width="10.42578125" style="57" customWidth="1"/>
    <col min="7436" max="7436" width="11.5703125" style="57" customWidth="1"/>
    <col min="7437" max="7438" width="10.42578125" style="57" customWidth="1"/>
    <col min="7439" max="7439" width="6.5703125" style="57" customWidth="1"/>
    <col min="7440" max="7440" width="11.42578125" style="57" customWidth="1"/>
    <col min="7441" max="7441" width="4.140625" style="57" customWidth="1"/>
    <col min="7442" max="7442" width="18.5703125" style="57" customWidth="1"/>
    <col min="7443" max="7443" width="2.140625" style="57" customWidth="1"/>
    <col min="7444" max="7444" width="10.42578125" style="57" customWidth="1"/>
    <col min="7445" max="7686" width="9.140625" style="57"/>
    <col min="7687" max="7687" width="10" style="57" customWidth="1"/>
    <col min="7688" max="7688" width="40" style="57" customWidth="1"/>
    <col min="7689" max="7689" width="12.5703125" style="57" customWidth="1"/>
    <col min="7690" max="7691" width="10.42578125" style="57" customWidth="1"/>
    <col min="7692" max="7692" width="11.5703125" style="57" customWidth="1"/>
    <col min="7693" max="7694" width="10.42578125" style="57" customWidth="1"/>
    <col min="7695" max="7695" width="6.5703125" style="57" customWidth="1"/>
    <col min="7696" max="7696" width="11.42578125" style="57" customWidth="1"/>
    <col min="7697" max="7697" width="4.140625" style="57" customWidth="1"/>
    <col min="7698" max="7698" width="18.5703125" style="57" customWidth="1"/>
    <col min="7699" max="7699" width="2.140625" style="57" customWidth="1"/>
    <col min="7700" max="7700" width="10.42578125" style="57" customWidth="1"/>
    <col min="7701" max="7942" width="9.140625" style="57"/>
    <col min="7943" max="7943" width="10" style="57" customWidth="1"/>
    <col min="7944" max="7944" width="40" style="57" customWidth="1"/>
    <col min="7945" max="7945" width="12.5703125" style="57" customWidth="1"/>
    <col min="7946" max="7947" width="10.42578125" style="57" customWidth="1"/>
    <col min="7948" max="7948" width="11.5703125" style="57" customWidth="1"/>
    <col min="7949" max="7950" width="10.42578125" style="57" customWidth="1"/>
    <col min="7951" max="7951" width="6.5703125" style="57" customWidth="1"/>
    <col min="7952" max="7952" width="11.42578125" style="57" customWidth="1"/>
    <col min="7953" max="7953" width="4.140625" style="57" customWidth="1"/>
    <col min="7954" max="7954" width="18.5703125" style="57" customWidth="1"/>
    <col min="7955" max="7955" width="2.140625" style="57" customWidth="1"/>
    <col min="7956" max="7956" width="10.42578125" style="57" customWidth="1"/>
    <col min="7957" max="8198" width="9.140625" style="57"/>
    <col min="8199" max="8199" width="10" style="57" customWidth="1"/>
    <col min="8200" max="8200" width="40" style="57" customWidth="1"/>
    <col min="8201" max="8201" width="12.5703125" style="57" customWidth="1"/>
    <col min="8202" max="8203" width="10.42578125" style="57" customWidth="1"/>
    <col min="8204" max="8204" width="11.5703125" style="57" customWidth="1"/>
    <col min="8205" max="8206" width="10.42578125" style="57" customWidth="1"/>
    <col min="8207" max="8207" width="6.5703125" style="57" customWidth="1"/>
    <col min="8208" max="8208" width="11.42578125" style="57" customWidth="1"/>
    <col min="8209" max="8209" width="4.140625" style="57" customWidth="1"/>
    <col min="8210" max="8210" width="18.5703125" style="57" customWidth="1"/>
    <col min="8211" max="8211" width="2.140625" style="57" customWidth="1"/>
    <col min="8212" max="8212" width="10.42578125" style="57" customWidth="1"/>
    <col min="8213" max="8454" width="9.140625" style="57"/>
    <col min="8455" max="8455" width="10" style="57" customWidth="1"/>
    <col min="8456" max="8456" width="40" style="57" customWidth="1"/>
    <col min="8457" max="8457" width="12.5703125" style="57" customWidth="1"/>
    <col min="8458" max="8459" width="10.42578125" style="57" customWidth="1"/>
    <col min="8460" max="8460" width="11.5703125" style="57" customWidth="1"/>
    <col min="8461" max="8462" width="10.42578125" style="57" customWidth="1"/>
    <col min="8463" max="8463" width="6.5703125" style="57" customWidth="1"/>
    <col min="8464" max="8464" width="11.42578125" style="57" customWidth="1"/>
    <col min="8465" max="8465" width="4.140625" style="57" customWidth="1"/>
    <col min="8466" max="8466" width="18.5703125" style="57" customWidth="1"/>
    <col min="8467" max="8467" width="2.140625" style="57" customWidth="1"/>
    <col min="8468" max="8468" width="10.42578125" style="57" customWidth="1"/>
    <col min="8469" max="8710" width="9.140625" style="57"/>
    <col min="8711" max="8711" width="10" style="57" customWidth="1"/>
    <col min="8712" max="8712" width="40" style="57" customWidth="1"/>
    <col min="8713" max="8713" width="12.5703125" style="57" customWidth="1"/>
    <col min="8714" max="8715" width="10.42578125" style="57" customWidth="1"/>
    <col min="8716" max="8716" width="11.5703125" style="57" customWidth="1"/>
    <col min="8717" max="8718" width="10.42578125" style="57" customWidth="1"/>
    <col min="8719" max="8719" width="6.5703125" style="57" customWidth="1"/>
    <col min="8720" max="8720" width="11.42578125" style="57" customWidth="1"/>
    <col min="8721" max="8721" width="4.140625" style="57" customWidth="1"/>
    <col min="8722" max="8722" width="18.5703125" style="57" customWidth="1"/>
    <col min="8723" max="8723" width="2.140625" style="57" customWidth="1"/>
    <col min="8724" max="8724" width="10.42578125" style="57" customWidth="1"/>
    <col min="8725" max="8966" width="9.140625" style="57"/>
    <col min="8967" max="8967" width="10" style="57" customWidth="1"/>
    <col min="8968" max="8968" width="40" style="57" customWidth="1"/>
    <col min="8969" max="8969" width="12.5703125" style="57" customWidth="1"/>
    <col min="8970" max="8971" width="10.42578125" style="57" customWidth="1"/>
    <col min="8972" max="8972" width="11.5703125" style="57" customWidth="1"/>
    <col min="8973" max="8974" width="10.42578125" style="57" customWidth="1"/>
    <col min="8975" max="8975" width="6.5703125" style="57" customWidth="1"/>
    <col min="8976" max="8976" width="11.42578125" style="57" customWidth="1"/>
    <col min="8977" max="8977" width="4.140625" style="57" customWidth="1"/>
    <col min="8978" max="8978" width="18.5703125" style="57" customWidth="1"/>
    <col min="8979" max="8979" width="2.140625" style="57" customWidth="1"/>
    <col min="8980" max="8980" width="10.42578125" style="57" customWidth="1"/>
    <col min="8981" max="9222" width="9.140625" style="57"/>
    <col min="9223" max="9223" width="10" style="57" customWidth="1"/>
    <col min="9224" max="9224" width="40" style="57" customWidth="1"/>
    <col min="9225" max="9225" width="12.5703125" style="57" customWidth="1"/>
    <col min="9226" max="9227" width="10.42578125" style="57" customWidth="1"/>
    <col min="9228" max="9228" width="11.5703125" style="57" customWidth="1"/>
    <col min="9229" max="9230" width="10.42578125" style="57" customWidth="1"/>
    <col min="9231" max="9231" width="6.5703125" style="57" customWidth="1"/>
    <col min="9232" max="9232" width="11.42578125" style="57" customWidth="1"/>
    <col min="9233" max="9233" width="4.140625" style="57" customWidth="1"/>
    <col min="9234" max="9234" width="18.5703125" style="57" customWidth="1"/>
    <col min="9235" max="9235" width="2.140625" style="57" customWidth="1"/>
    <col min="9236" max="9236" width="10.42578125" style="57" customWidth="1"/>
    <col min="9237" max="9478" width="9.140625" style="57"/>
    <col min="9479" max="9479" width="10" style="57" customWidth="1"/>
    <col min="9480" max="9480" width="40" style="57" customWidth="1"/>
    <col min="9481" max="9481" width="12.5703125" style="57" customWidth="1"/>
    <col min="9482" max="9483" width="10.42578125" style="57" customWidth="1"/>
    <col min="9484" max="9484" width="11.5703125" style="57" customWidth="1"/>
    <col min="9485" max="9486" width="10.42578125" style="57" customWidth="1"/>
    <col min="9487" max="9487" width="6.5703125" style="57" customWidth="1"/>
    <col min="9488" max="9488" width="11.42578125" style="57" customWidth="1"/>
    <col min="9489" max="9489" width="4.140625" style="57" customWidth="1"/>
    <col min="9490" max="9490" width="18.5703125" style="57" customWidth="1"/>
    <col min="9491" max="9491" width="2.140625" style="57" customWidth="1"/>
    <col min="9492" max="9492" width="10.42578125" style="57" customWidth="1"/>
    <col min="9493" max="9734" width="9.140625" style="57"/>
    <col min="9735" max="9735" width="10" style="57" customWidth="1"/>
    <col min="9736" max="9736" width="40" style="57" customWidth="1"/>
    <col min="9737" max="9737" width="12.5703125" style="57" customWidth="1"/>
    <col min="9738" max="9739" width="10.42578125" style="57" customWidth="1"/>
    <col min="9740" max="9740" width="11.5703125" style="57" customWidth="1"/>
    <col min="9741" max="9742" width="10.42578125" style="57" customWidth="1"/>
    <col min="9743" max="9743" width="6.5703125" style="57" customWidth="1"/>
    <col min="9744" max="9744" width="11.42578125" style="57" customWidth="1"/>
    <col min="9745" max="9745" width="4.140625" style="57" customWidth="1"/>
    <col min="9746" max="9746" width="18.5703125" style="57" customWidth="1"/>
    <col min="9747" max="9747" width="2.140625" style="57" customWidth="1"/>
    <col min="9748" max="9748" width="10.42578125" style="57" customWidth="1"/>
    <col min="9749" max="9990" width="9.140625" style="57"/>
    <col min="9991" max="9991" width="10" style="57" customWidth="1"/>
    <col min="9992" max="9992" width="40" style="57" customWidth="1"/>
    <col min="9993" max="9993" width="12.5703125" style="57" customWidth="1"/>
    <col min="9994" max="9995" width="10.42578125" style="57" customWidth="1"/>
    <col min="9996" max="9996" width="11.5703125" style="57" customWidth="1"/>
    <col min="9997" max="9998" width="10.42578125" style="57" customWidth="1"/>
    <col min="9999" max="9999" width="6.5703125" style="57" customWidth="1"/>
    <col min="10000" max="10000" width="11.42578125" style="57" customWidth="1"/>
    <col min="10001" max="10001" width="4.140625" style="57" customWidth="1"/>
    <col min="10002" max="10002" width="18.5703125" style="57" customWidth="1"/>
    <col min="10003" max="10003" width="2.140625" style="57" customWidth="1"/>
    <col min="10004" max="10004" width="10.42578125" style="57" customWidth="1"/>
    <col min="10005" max="10246" width="9.140625" style="57"/>
    <col min="10247" max="10247" width="10" style="57" customWidth="1"/>
    <col min="10248" max="10248" width="40" style="57" customWidth="1"/>
    <col min="10249" max="10249" width="12.5703125" style="57" customWidth="1"/>
    <col min="10250" max="10251" width="10.42578125" style="57" customWidth="1"/>
    <col min="10252" max="10252" width="11.5703125" style="57" customWidth="1"/>
    <col min="10253" max="10254" width="10.42578125" style="57" customWidth="1"/>
    <col min="10255" max="10255" width="6.5703125" style="57" customWidth="1"/>
    <col min="10256" max="10256" width="11.42578125" style="57" customWidth="1"/>
    <col min="10257" max="10257" width="4.140625" style="57" customWidth="1"/>
    <col min="10258" max="10258" width="18.5703125" style="57" customWidth="1"/>
    <col min="10259" max="10259" width="2.140625" style="57" customWidth="1"/>
    <col min="10260" max="10260" width="10.42578125" style="57" customWidth="1"/>
    <col min="10261" max="10502" width="9.140625" style="57"/>
    <col min="10503" max="10503" width="10" style="57" customWidth="1"/>
    <col min="10504" max="10504" width="40" style="57" customWidth="1"/>
    <col min="10505" max="10505" width="12.5703125" style="57" customWidth="1"/>
    <col min="10506" max="10507" width="10.42578125" style="57" customWidth="1"/>
    <col min="10508" max="10508" width="11.5703125" style="57" customWidth="1"/>
    <col min="10509" max="10510" width="10.42578125" style="57" customWidth="1"/>
    <col min="10511" max="10511" width="6.5703125" style="57" customWidth="1"/>
    <col min="10512" max="10512" width="11.42578125" style="57" customWidth="1"/>
    <col min="10513" max="10513" width="4.140625" style="57" customWidth="1"/>
    <col min="10514" max="10514" width="18.5703125" style="57" customWidth="1"/>
    <col min="10515" max="10515" width="2.140625" style="57" customWidth="1"/>
    <col min="10516" max="10516" width="10.42578125" style="57" customWidth="1"/>
    <col min="10517" max="10758" width="9.140625" style="57"/>
    <col min="10759" max="10759" width="10" style="57" customWidth="1"/>
    <col min="10760" max="10760" width="40" style="57" customWidth="1"/>
    <col min="10761" max="10761" width="12.5703125" style="57" customWidth="1"/>
    <col min="10762" max="10763" width="10.42578125" style="57" customWidth="1"/>
    <col min="10764" max="10764" width="11.5703125" style="57" customWidth="1"/>
    <col min="10765" max="10766" width="10.42578125" style="57" customWidth="1"/>
    <col min="10767" max="10767" width="6.5703125" style="57" customWidth="1"/>
    <col min="10768" max="10768" width="11.42578125" style="57" customWidth="1"/>
    <col min="10769" max="10769" width="4.140625" style="57" customWidth="1"/>
    <col min="10770" max="10770" width="18.5703125" style="57" customWidth="1"/>
    <col min="10771" max="10771" width="2.140625" style="57" customWidth="1"/>
    <col min="10772" max="10772" width="10.42578125" style="57" customWidth="1"/>
    <col min="10773" max="11014" width="9.140625" style="57"/>
    <col min="11015" max="11015" width="10" style="57" customWidth="1"/>
    <col min="11016" max="11016" width="40" style="57" customWidth="1"/>
    <col min="11017" max="11017" width="12.5703125" style="57" customWidth="1"/>
    <col min="11018" max="11019" width="10.42578125" style="57" customWidth="1"/>
    <col min="11020" max="11020" width="11.5703125" style="57" customWidth="1"/>
    <col min="11021" max="11022" width="10.42578125" style="57" customWidth="1"/>
    <col min="11023" max="11023" width="6.5703125" style="57" customWidth="1"/>
    <col min="11024" max="11024" width="11.42578125" style="57" customWidth="1"/>
    <col min="11025" max="11025" width="4.140625" style="57" customWidth="1"/>
    <col min="11026" max="11026" width="18.5703125" style="57" customWidth="1"/>
    <col min="11027" max="11027" width="2.140625" style="57" customWidth="1"/>
    <col min="11028" max="11028" width="10.42578125" style="57" customWidth="1"/>
    <col min="11029" max="11270" width="9.140625" style="57"/>
    <col min="11271" max="11271" width="10" style="57" customWidth="1"/>
    <col min="11272" max="11272" width="40" style="57" customWidth="1"/>
    <col min="11273" max="11273" width="12.5703125" style="57" customWidth="1"/>
    <col min="11274" max="11275" width="10.42578125" style="57" customWidth="1"/>
    <col min="11276" max="11276" width="11.5703125" style="57" customWidth="1"/>
    <col min="11277" max="11278" width="10.42578125" style="57" customWidth="1"/>
    <col min="11279" max="11279" width="6.5703125" style="57" customWidth="1"/>
    <col min="11280" max="11280" width="11.42578125" style="57" customWidth="1"/>
    <col min="11281" max="11281" width="4.140625" style="57" customWidth="1"/>
    <col min="11282" max="11282" width="18.5703125" style="57" customWidth="1"/>
    <col min="11283" max="11283" width="2.140625" style="57" customWidth="1"/>
    <col min="11284" max="11284" width="10.42578125" style="57" customWidth="1"/>
    <col min="11285" max="11526" width="9.140625" style="57"/>
    <col min="11527" max="11527" width="10" style="57" customWidth="1"/>
    <col min="11528" max="11528" width="40" style="57" customWidth="1"/>
    <col min="11529" max="11529" width="12.5703125" style="57" customWidth="1"/>
    <col min="11530" max="11531" width="10.42578125" style="57" customWidth="1"/>
    <col min="11532" max="11532" width="11.5703125" style="57" customWidth="1"/>
    <col min="11533" max="11534" width="10.42578125" style="57" customWidth="1"/>
    <col min="11535" max="11535" width="6.5703125" style="57" customWidth="1"/>
    <col min="11536" max="11536" width="11.42578125" style="57" customWidth="1"/>
    <col min="11537" max="11537" width="4.140625" style="57" customWidth="1"/>
    <col min="11538" max="11538" width="18.5703125" style="57" customWidth="1"/>
    <col min="11539" max="11539" width="2.140625" style="57" customWidth="1"/>
    <col min="11540" max="11540" width="10.42578125" style="57" customWidth="1"/>
    <col min="11541" max="11782" width="9.140625" style="57"/>
    <col min="11783" max="11783" width="10" style="57" customWidth="1"/>
    <col min="11784" max="11784" width="40" style="57" customWidth="1"/>
    <col min="11785" max="11785" width="12.5703125" style="57" customWidth="1"/>
    <col min="11786" max="11787" width="10.42578125" style="57" customWidth="1"/>
    <col min="11788" max="11788" width="11.5703125" style="57" customWidth="1"/>
    <col min="11789" max="11790" width="10.42578125" style="57" customWidth="1"/>
    <col min="11791" max="11791" width="6.5703125" style="57" customWidth="1"/>
    <col min="11792" max="11792" width="11.42578125" style="57" customWidth="1"/>
    <col min="11793" max="11793" width="4.140625" style="57" customWidth="1"/>
    <col min="11794" max="11794" width="18.5703125" style="57" customWidth="1"/>
    <col min="11795" max="11795" width="2.140625" style="57" customWidth="1"/>
    <col min="11796" max="11796" width="10.42578125" style="57" customWidth="1"/>
    <col min="11797" max="12038" width="9.140625" style="57"/>
    <col min="12039" max="12039" width="10" style="57" customWidth="1"/>
    <col min="12040" max="12040" width="40" style="57" customWidth="1"/>
    <col min="12041" max="12041" width="12.5703125" style="57" customWidth="1"/>
    <col min="12042" max="12043" width="10.42578125" style="57" customWidth="1"/>
    <col min="12044" max="12044" width="11.5703125" style="57" customWidth="1"/>
    <col min="12045" max="12046" width="10.42578125" style="57" customWidth="1"/>
    <col min="12047" max="12047" width="6.5703125" style="57" customWidth="1"/>
    <col min="12048" max="12048" width="11.42578125" style="57" customWidth="1"/>
    <col min="12049" max="12049" width="4.140625" style="57" customWidth="1"/>
    <col min="12050" max="12050" width="18.5703125" style="57" customWidth="1"/>
    <col min="12051" max="12051" width="2.140625" style="57" customWidth="1"/>
    <col min="12052" max="12052" width="10.42578125" style="57" customWidth="1"/>
    <col min="12053" max="12294" width="9.140625" style="57"/>
    <col min="12295" max="12295" width="10" style="57" customWidth="1"/>
    <col min="12296" max="12296" width="40" style="57" customWidth="1"/>
    <col min="12297" max="12297" width="12.5703125" style="57" customWidth="1"/>
    <col min="12298" max="12299" width="10.42578125" style="57" customWidth="1"/>
    <col min="12300" max="12300" width="11.5703125" style="57" customWidth="1"/>
    <col min="12301" max="12302" width="10.42578125" style="57" customWidth="1"/>
    <col min="12303" max="12303" width="6.5703125" style="57" customWidth="1"/>
    <col min="12304" max="12304" width="11.42578125" style="57" customWidth="1"/>
    <col min="12305" max="12305" width="4.140625" style="57" customWidth="1"/>
    <col min="12306" max="12306" width="18.5703125" style="57" customWidth="1"/>
    <col min="12307" max="12307" width="2.140625" style="57" customWidth="1"/>
    <col min="12308" max="12308" width="10.42578125" style="57" customWidth="1"/>
    <col min="12309" max="12550" width="9.140625" style="57"/>
    <col min="12551" max="12551" width="10" style="57" customWidth="1"/>
    <col min="12552" max="12552" width="40" style="57" customWidth="1"/>
    <col min="12553" max="12553" width="12.5703125" style="57" customWidth="1"/>
    <col min="12554" max="12555" width="10.42578125" style="57" customWidth="1"/>
    <col min="12556" max="12556" width="11.5703125" style="57" customWidth="1"/>
    <col min="12557" max="12558" width="10.42578125" style="57" customWidth="1"/>
    <col min="12559" max="12559" width="6.5703125" style="57" customWidth="1"/>
    <col min="12560" max="12560" width="11.42578125" style="57" customWidth="1"/>
    <col min="12561" max="12561" width="4.140625" style="57" customWidth="1"/>
    <col min="12562" max="12562" width="18.5703125" style="57" customWidth="1"/>
    <col min="12563" max="12563" width="2.140625" style="57" customWidth="1"/>
    <col min="12564" max="12564" width="10.42578125" style="57" customWidth="1"/>
    <col min="12565" max="12806" width="9.140625" style="57"/>
    <col min="12807" max="12807" width="10" style="57" customWidth="1"/>
    <col min="12808" max="12808" width="40" style="57" customWidth="1"/>
    <col min="12809" max="12809" width="12.5703125" style="57" customWidth="1"/>
    <col min="12810" max="12811" width="10.42578125" style="57" customWidth="1"/>
    <col min="12812" max="12812" width="11.5703125" style="57" customWidth="1"/>
    <col min="12813" max="12814" width="10.42578125" style="57" customWidth="1"/>
    <col min="12815" max="12815" width="6.5703125" style="57" customWidth="1"/>
    <col min="12816" max="12816" width="11.42578125" style="57" customWidth="1"/>
    <col min="12817" max="12817" width="4.140625" style="57" customWidth="1"/>
    <col min="12818" max="12818" width="18.5703125" style="57" customWidth="1"/>
    <col min="12819" max="12819" width="2.140625" style="57" customWidth="1"/>
    <col min="12820" max="12820" width="10.42578125" style="57" customWidth="1"/>
    <col min="12821" max="13062" width="9.140625" style="57"/>
    <col min="13063" max="13063" width="10" style="57" customWidth="1"/>
    <col min="13064" max="13064" width="40" style="57" customWidth="1"/>
    <col min="13065" max="13065" width="12.5703125" style="57" customWidth="1"/>
    <col min="13066" max="13067" width="10.42578125" style="57" customWidth="1"/>
    <col min="13068" max="13068" width="11.5703125" style="57" customWidth="1"/>
    <col min="13069" max="13070" width="10.42578125" style="57" customWidth="1"/>
    <col min="13071" max="13071" width="6.5703125" style="57" customWidth="1"/>
    <col min="13072" max="13072" width="11.42578125" style="57" customWidth="1"/>
    <col min="13073" max="13073" width="4.140625" style="57" customWidth="1"/>
    <col min="13074" max="13074" width="18.5703125" style="57" customWidth="1"/>
    <col min="13075" max="13075" width="2.140625" style="57" customWidth="1"/>
    <col min="13076" max="13076" width="10.42578125" style="57" customWidth="1"/>
    <col min="13077" max="13318" width="9.140625" style="57"/>
    <col min="13319" max="13319" width="10" style="57" customWidth="1"/>
    <col min="13320" max="13320" width="40" style="57" customWidth="1"/>
    <col min="13321" max="13321" width="12.5703125" style="57" customWidth="1"/>
    <col min="13322" max="13323" width="10.42578125" style="57" customWidth="1"/>
    <col min="13324" max="13324" width="11.5703125" style="57" customWidth="1"/>
    <col min="13325" max="13326" width="10.42578125" style="57" customWidth="1"/>
    <col min="13327" max="13327" width="6.5703125" style="57" customWidth="1"/>
    <col min="13328" max="13328" width="11.42578125" style="57" customWidth="1"/>
    <col min="13329" max="13329" width="4.140625" style="57" customWidth="1"/>
    <col min="13330" max="13330" width="18.5703125" style="57" customWidth="1"/>
    <col min="13331" max="13331" width="2.140625" style="57" customWidth="1"/>
    <col min="13332" max="13332" width="10.42578125" style="57" customWidth="1"/>
    <col min="13333" max="13574" width="9.140625" style="57"/>
    <col min="13575" max="13575" width="10" style="57" customWidth="1"/>
    <col min="13576" max="13576" width="40" style="57" customWidth="1"/>
    <col min="13577" max="13577" width="12.5703125" style="57" customWidth="1"/>
    <col min="13578" max="13579" width="10.42578125" style="57" customWidth="1"/>
    <col min="13580" max="13580" width="11.5703125" style="57" customWidth="1"/>
    <col min="13581" max="13582" width="10.42578125" style="57" customWidth="1"/>
    <col min="13583" max="13583" width="6.5703125" style="57" customWidth="1"/>
    <col min="13584" max="13584" width="11.42578125" style="57" customWidth="1"/>
    <col min="13585" max="13585" width="4.140625" style="57" customWidth="1"/>
    <col min="13586" max="13586" width="18.5703125" style="57" customWidth="1"/>
    <col min="13587" max="13587" width="2.140625" style="57" customWidth="1"/>
    <col min="13588" max="13588" width="10.42578125" style="57" customWidth="1"/>
    <col min="13589" max="13830" width="9.140625" style="57"/>
    <col min="13831" max="13831" width="10" style="57" customWidth="1"/>
    <col min="13832" max="13832" width="40" style="57" customWidth="1"/>
    <col min="13833" max="13833" width="12.5703125" style="57" customWidth="1"/>
    <col min="13834" max="13835" width="10.42578125" style="57" customWidth="1"/>
    <col min="13836" max="13836" width="11.5703125" style="57" customWidth="1"/>
    <col min="13837" max="13838" width="10.42578125" style="57" customWidth="1"/>
    <col min="13839" max="13839" width="6.5703125" style="57" customWidth="1"/>
    <col min="13840" max="13840" width="11.42578125" style="57" customWidth="1"/>
    <col min="13841" max="13841" width="4.140625" style="57" customWidth="1"/>
    <col min="13842" max="13842" width="18.5703125" style="57" customWidth="1"/>
    <col min="13843" max="13843" width="2.140625" style="57" customWidth="1"/>
    <col min="13844" max="13844" width="10.42578125" style="57" customWidth="1"/>
    <col min="13845" max="14086" width="9.140625" style="57"/>
    <col min="14087" max="14087" width="10" style="57" customWidth="1"/>
    <col min="14088" max="14088" width="40" style="57" customWidth="1"/>
    <col min="14089" max="14089" width="12.5703125" style="57" customWidth="1"/>
    <col min="14090" max="14091" width="10.42578125" style="57" customWidth="1"/>
    <col min="14092" max="14092" width="11.5703125" style="57" customWidth="1"/>
    <col min="14093" max="14094" width="10.42578125" style="57" customWidth="1"/>
    <col min="14095" max="14095" width="6.5703125" style="57" customWidth="1"/>
    <col min="14096" max="14096" width="11.42578125" style="57" customWidth="1"/>
    <col min="14097" max="14097" width="4.140625" style="57" customWidth="1"/>
    <col min="14098" max="14098" width="18.5703125" style="57" customWidth="1"/>
    <col min="14099" max="14099" width="2.140625" style="57" customWidth="1"/>
    <col min="14100" max="14100" width="10.42578125" style="57" customWidth="1"/>
    <col min="14101" max="14342" width="9.140625" style="57"/>
    <col min="14343" max="14343" width="10" style="57" customWidth="1"/>
    <col min="14344" max="14344" width="40" style="57" customWidth="1"/>
    <col min="14345" max="14345" width="12.5703125" style="57" customWidth="1"/>
    <col min="14346" max="14347" width="10.42578125" style="57" customWidth="1"/>
    <col min="14348" max="14348" width="11.5703125" style="57" customWidth="1"/>
    <col min="14349" max="14350" width="10.42578125" style="57" customWidth="1"/>
    <col min="14351" max="14351" width="6.5703125" style="57" customWidth="1"/>
    <col min="14352" max="14352" width="11.42578125" style="57" customWidth="1"/>
    <col min="14353" max="14353" width="4.140625" style="57" customWidth="1"/>
    <col min="14354" max="14354" width="18.5703125" style="57" customWidth="1"/>
    <col min="14355" max="14355" width="2.140625" style="57" customWidth="1"/>
    <col min="14356" max="14356" width="10.42578125" style="57" customWidth="1"/>
    <col min="14357" max="14598" width="9.140625" style="57"/>
    <col min="14599" max="14599" width="10" style="57" customWidth="1"/>
    <col min="14600" max="14600" width="40" style="57" customWidth="1"/>
    <col min="14601" max="14601" width="12.5703125" style="57" customWidth="1"/>
    <col min="14602" max="14603" width="10.42578125" style="57" customWidth="1"/>
    <col min="14604" max="14604" width="11.5703125" style="57" customWidth="1"/>
    <col min="14605" max="14606" width="10.42578125" style="57" customWidth="1"/>
    <col min="14607" max="14607" width="6.5703125" style="57" customWidth="1"/>
    <col min="14608" max="14608" width="11.42578125" style="57" customWidth="1"/>
    <col min="14609" max="14609" width="4.140625" style="57" customWidth="1"/>
    <col min="14610" max="14610" width="18.5703125" style="57" customWidth="1"/>
    <col min="14611" max="14611" width="2.140625" style="57" customWidth="1"/>
    <col min="14612" max="14612" width="10.42578125" style="57" customWidth="1"/>
    <col min="14613" max="14854" width="9.140625" style="57"/>
    <col min="14855" max="14855" width="10" style="57" customWidth="1"/>
    <col min="14856" max="14856" width="40" style="57" customWidth="1"/>
    <col min="14857" max="14857" width="12.5703125" style="57" customWidth="1"/>
    <col min="14858" max="14859" width="10.42578125" style="57" customWidth="1"/>
    <col min="14860" max="14860" width="11.5703125" style="57" customWidth="1"/>
    <col min="14861" max="14862" width="10.42578125" style="57" customWidth="1"/>
    <col min="14863" max="14863" width="6.5703125" style="57" customWidth="1"/>
    <col min="14864" max="14864" width="11.42578125" style="57" customWidth="1"/>
    <col min="14865" max="14865" width="4.140625" style="57" customWidth="1"/>
    <col min="14866" max="14866" width="18.5703125" style="57" customWidth="1"/>
    <col min="14867" max="14867" width="2.140625" style="57" customWidth="1"/>
    <col min="14868" max="14868" width="10.42578125" style="57" customWidth="1"/>
    <col min="14869" max="15110" width="9.140625" style="57"/>
    <col min="15111" max="15111" width="10" style="57" customWidth="1"/>
    <col min="15112" max="15112" width="40" style="57" customWidth="1"/>
    <col min="15113" max="15113" width="12.5703125" style="57" customWidth="1"/>
    <col min="15114" max="15115" width="10.42578125" style="57" customWidth="1"/>
    <col min="15116" max="15116" width="11.5703125" style="57" customWidth="1"/>
    <col min="15117" max="15118" width="10.42578125" style="57" customWidth="1"/>
    <col min="15119" max="15119" width="6.5703125" style="57" customWidth="1"/>
    <col min="15120" max="15120" width="11.42578125" style="57" customWidth="1"/>
    <col min="15121" max="15121" width="4.140625" style="57" customWidth="1"/>
    <col min="15122" max="15122" width="18.5703125" style="57" customWidth="1"/>
    <col min="15123" max="15123" width="2.140625" style="57" customWidth="1"/>
    <col min="15124" max="15124" width="10.42578125" style="57" customWidth="1"/>
    <col min="15125" max="15366" width="9.140625" style="57"/>
    <col min="15367" max="15367" width="10" style="57" customWidth="1"/>
    <col min="15368" max="15368" width="40" style="57" customWidth="1"/>
    <col min="15369" max="15369" width="12.5703125" style="57" customWidth="1"/>
    <col min="15370" max="15371" width="10.42578125" style="57" customWidth="1"/>
    <col min="15372" max="15372" width="11.5703125" style="57" customWidth="1"/>
    <col min="15373" max="15374" width="10.42578125" style="57" customWidth="1"/>
    <col min="15375" max="15375" width="6.5703125" style="57" customWidth="1"/>
    <col min="15376" max="15376" width="11.42578125" style="57" customWidth="1"/>
    <col min="15377" max="15377" width="4.140625" style="57" customWidth="1"/>
    <col min="15378" max="15378" width="18.5703125" style="57" customWidth="1"/>
    <col min="15379" max="15379" width="2.140625" style="57" customWidth="1"/>
    <col min="15380" max="15380" width="10.42578125" style="57" customWidth="1"/>
    <col min="15381" max="15622" width="9.140625" style="57"/>
    <col min="15623" max="15623" width="10" style="57" customWidth="1"/>
    <col min="15624" max="15624" width="40" style="57" customWidth="1"/>
    <col min="15625" max="15625" width="12.5703125" style="57" customWidth="1"/>
    <col min="15626" max="15627" width="10.42578125" style="57" customWidth="1"/>
    <col min="15628" max="15628" width="11.5703125" style="57" customWidth="1"/>
    <col min="15629" max="15630" width="10.42578125" style="57" customWidth="1"/>
    <col min="15631" max="15631" width="6.5703125" style="57" customWidth="1"/>
    <col min="15632" max="15632" width="11.42578125" style="57" customWidth="1"/>
    <col min="15633" max="15633" width="4.140625" style="57" customWidth="1"/>
    <col min="15634" max="15634" width="18.5703125" style="57" customWidth="1"/>
    <col min="15635" max="15635" width="2.140625" style="57" customWidth="1"/>
    <col min="15636" max="15636" width="10.42578125" style="57" customWidth="1"/>
    <col min="15637" max="15878" width="9.140625" style="57"/>
    <col min="15879" max="15879" width="10" style="57" customWidth="1"/>
    <col min="15880" max="15880" width="40" style="57" customWidth="1"/>
    <col min="15881" max="15881" width="12.5703125" style="57" customWidth="1"/>
    <col min="15882" max="15883" width="10.42578125" style="57" customWidth="1"/>
    <col min="15884" max="15884" width="11.5703125" style="57" customWidth="1"/>
    <col min="15885" max="15886" width="10.42578125" style="57" customWidth="1"/>
    <col min="15887" max="15887" width="6.5703125" style="57" customWidth="1"/>
    <col min="15888" max="15888" width="11.42578125" style="57" customWidth="1"/>
    <col min="15889" max="15889" width="4.140625" style="57" customWidth="1"/>
    <col min="15890" max="15890" width="18.5703125" style="57" customWidth="1"/>
    <col min="15891" max="15891" width="2.140625" style="57" customWidth="1"/>
    <col min="15892" max="15892" width="10.42578125" style="57" customWidth="1"/>
    <col min="15893" max="16134" width="9.140625" style="57"/>
    <col min="16135" max="16135" width="10" style="57" customWidth="1"/>
    <col min="16136" max="16136" width="40" style="57" customWidth="1"/>
    <col min="16137" max="16137" width="12.5703125" style="57" customWidth="1"/>
    <col min="16138" max="16139" width="10.42578125" style="57" customWidth="1"/>
    <col min="16140" max="16140" width="11.5703125" style="57" customWidth="1"/>
    <col min="16141" max="16142" width="10.42578125" style="57" customWidth="1"/>
    <col min="16143" max="16143" width="6.5703125" style="57" customWidth="1"/>
    <col min="16144" max="16144" width="11.42578125" style="57" customWidth="1"/>
    <col min="16145" max="16145" width="4.140625" style="57" customWidth="1"/>
    <col min="16146" max="16146" width="18.5703125" style="57" customWidth="1"/>
    <col min="16147" max="16147" width="2.140625" style="57" customWidth="1"/>
    <col min="16148" max="16148" width="10.42578125" style="57" customWidth="1"/>
    <col min="16149" max="16384" width="9.140625" style="57"/>
  </cols>
  <sheetData>
    <row r="1" spans="2:21" ht="13.5" customHeight="1" x14ac:dyDescent="0.25">
      <c r="H1" s="781" t="s">
        <v>38</v>
      </c>
      <c r="I1" s="781"/>
      <c r="J1" s="781"/>
      <c r="K1" s="781"/>
      <c r="L1" s="781"/>
      <c r="M1" s="781" t="s">
        <v>39</v>
      </c>
      <c r="N1" s="781"/>
      <c r="O1" s="783" t="s">
        <v>40</v>
      </c>
      <c r="P1" s="783"/>
      <c r="Q1" s="783"/>
    </row>
    <row r="2" spans="2:21" s="59" customFormat="1" ht="15" customHeight="1" x14ac:dyDescent="0.25">
      <c r="B2" s="60" t="s">
        <v>41</v>
      </c>
      <c r="C2" s="61" t="s">
        <v>42</v>
      </c>
      <c r="D2" s="61" t="s">
        <v>43</v>
      </c>
      <c r="E2" s="61" t="s">
        <v>44</v>
      </c>
      <c r="F2" s="61" t="s">
        <v>45</v>
      </c>
      <c r="G2" s="61" t="s">
        <v>46</v>
      </c>
      <c r="H2" s="61" t="s">
        <v>47</v>
      </c>
      <c r="I2" s="61" t="s">
        <v>48</v>
      </c>
      <c r="J2" s="61" t="s">
        <v>47</v>
      </c>
      <c r="K2" s="61" t="s">
        <v>48</v>
      </c>
      <c r="L2" s="65" t="s">
        <v>49</v>
      </c>
      <c r="M2" s="65" t="s">
        <v>39</v>
      </c>
      <c r="N2" s="65" t="s">
        <v>49</v>
      </c>
      <c r="O2" s="65" t="s">
        <v>47</v>
      </c>
      <c r="P2" s="65" t="s">
        <v>48</v>
      </c>
      <c r="Q2" s="65" t="s">
        <v>49</v>
      </c>
      <c r="R2" s="63" t="s">
        <v>50</v>
      </c>
    </row>
    <row r="3" spans="2:21" ht="15" customHeight="1" x14ac:dyDescent="0.25">
      <c r="B3" s="67">
        <v>4</v>
      </c>
      <c r="C3" s="68" t="s">
        <v>66</v>
      </c>
      <c r="D3" s="110" t="s">
        <v>60</v>
      </c>
      <c r="E3" s="69">
        <v>45546</v>
      </c>
      <c r="F3" s="69"/>
      <c r="G3" s="68"/>
      <c r="H3" s="72"/>
      <c r="I3" s="72"/>
      <c r="J3" s="72"/>
      <c r="K3" s="72"/>
      <c r="L3" s="131">
        <v>0</v>
      </c>
      <c r="M3" s="160"/>
      <c r="N3" s="133">
        <v>0</v>
      </c>
      <c r="O3" s="109"/>
      <c r="P3" s="109"/>
      <c r="Q3" s="78">
        <v>0</v>
      </c>
      <c r="R3" s="161"/>
      <c r="T3" s="81" t="s">
        <v>53</v>
      </c>
      <c r="U3" s="82">
        <v>6</v>
      </c>
    </row>
    <row r="4" spans="2:21" ht="15" customHeight="1" x14ac:dyDescent="0.25">
      <c r="B4" s="111">
        <v>5</v>
      </c>
      <c r="C4" s="112" t="s">
        <v>118</v>
      </c>
      <c r="D4" s="113" t="s">
        <v>60</v>
      </c>
      <c r="E4" s="114">
        <v>45667</v>
      </c>
      <c r="F4" s="114">
        <v>45695</v>
      </c>
      <c r="G4" s="68"/>
      <c r="H4" s="72"/>
      <c r="I4" s="72"/>
      <c r="J4" s="72"/>
      <c r="K4" s="72"/>
      <c r="L4" s="131">
        <v>0</v>
      </c>
      <c r="M4" s="160"/>
      <c r="N4" s="133">
        <v>0</v>
      </c>
      <c r="O4" s="109"/>
      <c r="P4" s="109"/>
      <c r="Q4" s="78">
        <v>0</v>
      </c>
      <c r="R4" s="134"/>
      <c r="T4" s="83" t="s">
        <v>44</v>
      </c>
      <c r="U4" s="84">
        <v>2</v>
      </c>
    </row>
    <row r="5" spans="2:21" ht="15" customHeight="1" x14ac:dyDescent="0.25">
      <c r="B5" s="67">
        <v>2</v>
      </c>
      <c r="C5" s="116" t="s">
        <v>51</v>
      </c>
      <c r="D5" s="110" t="s">
        <v>60</v>
      </c>
      <c r="E5" s="118">
        <v>44599</v>
      </c>
      <c r="F5" s="118"/>
      <c r="G5" s="116"/>
      <c r="H5" s="121"/>
      <c r="I5" s="121"/>
      <c r="J5" s="121"/>
      <c r="K5" s="121"/>
      <c r="L5" s="131">
        <v>0</v>
      </c>
      <c r="M5" s="140"/>
      <c r="N5" s="141">
        <v>0</v>
      </c>
      <c r="O5" s="127"/>
      <c r="P5" s="127"/>
      <c r="Q5" s="78">
        <v>0</v>
      </c>
      <c r="R5" s="142"/>
      <c r="T5" s="83" t="s">
        <v>45</v>
      </c>
      <c r="U5" s="84">
        <v>2</v>
      </c>
    </row>
    <row r="6" spans="2:21" ht="15" customHeight="1" x14ac:dyDescent="0.25">
      <c r="B6" s="67">
        <v>6</v>
      </c>
      <c r="C6" s="116" t="s">
        <v>68</v>
      </c>
      <c r="D6" s="110" t="s">
        <v>60</v>
      </c>
      <c r="E6" s="118">
        <v>45630</v>
      </c>
      <c r="F6" s="118"/>
      <c r="G6" s="116"/>
      <c r="H6" s="121"/>
      <c r="I6" s="121"/>
      <c r="J6" s="121"/>
      <c r="K6" s="121"/>
      <c r="L6" s="131">
        <v>0</v>
      </c>
      <c r="M6" s="145"/>
      <c r="N6" s="141">
        <v>0</v>
      </c>
      <c r="O6" s="127"/>
      <c r="P6" s="127"/>
      <c r="Q6" s="155">
        <v>0</v>
      </c>
      <c r="R6" s="142"/>
      <c r="T6" s="100" t="s">
        <v>56</v>
      </c>
      <c r="U6" s="101">
        <f>U3+U4-U5</f>
        <v>6</v>
      </c>
    </row>
    <row r="7" spans="2:21" ht="15" customHeight="1" x14ac:dyDescent="0.25">
      <c r="B7" s="162">
        <v>7</v>
      </c>
      <c r="C7" s="152" t="s">
        <v>119</v>
      </c>
      <c r="D7" s="163" t="s">
        <v>60</v>
      </c>
      <c r="E7" s="154">
        <v>45693</v>
      </c>
      <c r="F7" s="118"/>
      <c r="G7" s="116"/>
      <c r="H7" s="121"/>
      <c r="I7" s="121"/>
      <c r="J7" s="121"/>
      <c r="K7" s="121"/>
      <c r="L7" s="131">
        <v>0</v>
      </c>
      <c r="M7" s="145"/>
      <c r="N7" s="141">
        <v>0</v>
      </c>
      <c r="O7" s="127"/>
      <c r="P7" s="127"/>
      <c r="Q7" s="155">
        <v>0</v>
      </c>
      <c r="R7" s="142"/>
    </row>
    <row r="8" spans="2:21" ht="15" customHeight="1" x14ac:dyDescent="0.25">
      <c r="B8" s="261">
        <v>8</v>
      </c>
      <c r="C8" s="209" t="s">
        <v>67</v>
      </c>
      <c r="D8" s="210" t="s">
        <v>60</v>
      </c>
      <c r="E8" s="211">
        <v>45567</v>
      </c>
      <c r="F8" s="166">
        <v>45691</v>
      </c>
      <c r="G8" s="116"/>
      <c r="H8" s="121"/>
      <c r="I8" s="121"/>
      <c r="J8" s="121"/>
      <c r="K8" s="121"/>
      <c r="L8" s="131">
        <v>0</v>
      </c>
      <c r="M8" s="145"/>
      <c r="N8" s="141">
        <v>0</v>
      </c>
      <c r="O8" s="127"/>
      <c r="P8" s="127"/>
      <c r="Q8" s="155">
        <v>0</v>
      </c>
      <c r="R8" s="142"/>
      <c r="T8" s="81" t="s">
        <v>57</v>
      </c>
      <c r="U8" s="82">
        <v>2</v>
      </c>
    </row>
    <row r="9" spans="2:21" ht="15" customHeight="1" x14ac:dyDescent="0.25">
      <c r="B9" s="262">
        <v>9</v>
      </c>
      <c r="C9" s="172" t="s">
        <v>98</v>
      </c>
      <c r="D9" s="263" t="s">
        <v>60</v>
      </c>
      <c r="E9" s="264">
        <v>45702</v>
      </c>
      <c r="F9" s="166"/>
      <c r="G9" s="116"/>
      <c r="H9" s="121"/>
      <c r="I9" s="121"/>
      <c r="J9" s="121"/>
      <c r="K9" s="121"/>
      <c r="L9" s="164">
        <v>0</v>
      </c>
      <c r="M9" s="145"/>
      <c r="N9" s="141">
        <v>0</v>
      </c>
      <c r="O9" s="127"/>
      <c r="P9" s="127"/>
      <c r="Q9" s="155">
        <v>0</v>
      </c>
      <c r="R9" s="142"/>
      <c r="T9" s="100" t="s">
        <v>13</v>
      </c>
      <c r="U9" s="101">
        <f>U6+U8</f>
        <v>8</v>
      </c>
    </row>
    <row r="10" spans="2:21" ht="15" customHeight="1" x14ac:dyDescent="0.25">
      <c r="B10" s="85">
        <v>3</v>
      </c>
      <c r="C10" s="86" t="s">
        <v>55</v>
      </c>
      <c r="D10" s="130" t="s">
        <v>60</v>
      </c>
      <c r="E10" s="87">
        <v>44602</v>
      </c>
      <c r="F10" s="87"/>
      <c r="G10" s="86"/>
      <c r="H10" s="90"/>
      <c r="I10" s="90"/>
      <c r="J10" s="90"/>
      <c r="K10" s="90"/>
      <c r="L10" s="135">
        <v>0</v>
      </c>
      <c r="M10" s="136"/>
      <c r="N10" s="137">
        <v>0</v>
      </c>
      <c r="O10" s="96"/>
      <c r="P10" s="96"/>
      <c r="Q10" s="138">
        <v>0</v>
      </c>
      <c r="R10" s="139"/>
    </row>
    <row r="11" spans="2:21" ht="15" customHeight="1" x14ac:dyDescent="0.25">
      <c r="L11" s="99">
        <f>SUM(L3:L10)</f>
        <v>0</v>
      </c>
      <c r="N11" s="99">
        <f>SUM(N3:N10)</f>
        <v>0</v>
      </c>
      <c r="O11" s="99"/>
      <c r="P11" s="99"/>
      <c r="Q11" s="99">
        <f>SUM(Q3:Q10)</f>
        <v>0</v>
      </c>
      <c r="T11" s="784" t="s">
        <v>58</v>
      </c>
      <c r="U11" s="784"/>
    </row>
    <row r="12" spans="2:21" ht="15" customHeight="1" x14ac:dyDescent="0.25">
      <c r="T12" s="83" t="s">
        <v>38</v>
      </c>
      <c r="U12" s="102">
        <f>L11</f>
        <v>0</v>
      </c>
    </row>
    <row r="13" spans="2:21" ht="15" customHeight="1" x14ac:dyDescent="0.25">
      <c r="T13" s="103" t="s">
        <v>39</v>
      </c>
      <c r="U13" s="104">
        <f>N11</f>
        <v>0</v>
      </c>
    </row>
    <row r="14" spans="2:21" ht="15" customHeight="1" x14ac:dyDescent="0.25"/>
    <row r="15" spans="2:21" ht="15" customHeight="1" x14ac:dyDescent="0.25">
      <c r="T15" s="81" t="s">
        <v>40</v>
      </c>
      <c r="U15" s="105">
        <f>Q11</f>
        <v>0</v>
      </c>
    </row>
    <row r="16" spans="2:21" ht="15" customHeight="1" x14ac:dyDescent="0.25">
      <c r="T16" s="103" t="s">
        <v>59</v>
      </c>
      <c r="U16" s="104">
        <v>0</v>
      </c>
    </row>
    <row r="17" spans="20:21" ht="15" customHeight="1" x14ac:dyDescent="0.25"/>
    <row r="18" spans="20:21" ht="15" customHeight="1" x14ac:dyDescent="0.25">
      <c r="T18" s="106" t="s">
        <v>22</v>
      </c>
      <c r="U18" s="107">
        <v>20</v>
      </c>
    </row>
    <row r="19" spans="20:21" ht="15" customHeight="1" x14ac:dyDescent="0.25"/>
    <row r="20" spans="20:21" ht="15" customHeight="1" x14ac:dyDescent="0.25"/>
    <row r="21" spans="20:21" ht="15" customHeight="1" x14ac:dyDescent="0.25"/>
    <row r="22" spans="20:21" ht="15" customHeight="1" x14ac:dyDescent="0.25"/>
    <row r="23" spans="20:21" ht="15" customHeight="1" x14ac:dyDescent="0.25"/>
    <row r="24" spans="20:21" ht="15" customHeight="1" x14ac:dyDescent="0.25"/>
    <row r="25" spans="20:21" ht="15" customHeight="1" x14ac:dyDescent="0.25"/>
    <row r="26" spans="20:21" ht="15" customHeight="1" x14ac:dyDescent="0.25"/>
    <row r="27" spans="20:21" ht="15" customHeight="1" x14ac:dyDescent="0.25"/>
    <row r="28" spans="20:21" ht="15" customHeight="1" x14ac:dyDescent="0.25"/>
    <row r="29" spans="20:21" ht="15" customHeight="1" x14ac:dyDescent="0.25"/>
    <row r="30" spans="20:21" ht="15" customHeight="1" x14ac:dyDescent="0.25"/>
    <row r="31" spans="20:21" ht="15" customHeight="1" x14ac:dyDescent="0.25"/>
    <row r="32" spans="20:21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</sheetData>
  <mergeCells count="4">
    <mergeCell ref="H1:L1"/>
    <mergeCell ref="M1:N1"/>
    <mergeCell ref="O1:Q1"/>
    <mergeCell ref="T11:U11"/>
  </mergeCells>
  <pageMargins left="0.25" right="0.25" top="0.75" bottom="0.75" header="0.511811023622047" footer="0.511811023622047"/>
  <pageSetup paperSize="9" orientation="landscape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B1:U36"/>
  <sheetViews>
    <sheetView showGridLines="0" topLeftCell="E1" zoomScaleNormal="100" workbookViewId="0">
      <selection activeCell="E4" sqref="E4"/>
    </sheetView>
  </sheetViews>
  <sheetFormatPr defaultColWidth="9.140625" defaultRowHeight="12.75" x14ac:dyDescent="0.25"/>
  <cols>
    <col min="1" max="1" width="9.140625" style="57"/>
    <col min="2" max="2" width="10" style="57" customWidth="1"/>
    <col min="3" max="3" width="40" style="57" customWidth="1"/>
    <col min="4" max="4" width="12.5703125" style="57" customWidth="1"/>
    <col min="5" max="6" width="10.42578125" style="57" customWidth="1"/>
    <col min="7" max="7" width="11.5703125" style="57" customWidth="1"/>
    <col min="8" max="11" width="10.42578125" style="57" customWidth="1"/>
    <col min="12" max="12" width="4.140625" style="57" customWidth="1"/>
    <col min="13" max="13" width="11.42578125" style="58" customWidth="1"/>
    <col min="14" max="14" width="4.140625" style="57" customWidth="1"/>
    <col min="15" max="16" width="10.42578125" style="57" customWidth="1"/>
    <col min="17" max="17" width="4.140625" style="57" customWidth="1"/>
    <col min="18" max="18" width="27.140625" style="57" customWidth="1"/>
    <col min="19" max="19" width="2.140625" style="57" customWidth="1"/>
    <col min="20" max="20" width="13.140625" style="57" customWidth="1"/>
    <col min="21" max="21" width="3" style="57" customWidth="1"/>
    <col min="22" max="262" width="9.140625" style="57"/>
    <col min="263" max="263" width="10" style="57" customWidth="1"/>
    <col min="264" max="264" width="40" style="57" customWidth="1"/>
    <col min="265" max="265" width="12.5703125" style="57" customWidth="1"/>
    <col min="266" max="267" width="10.42578125" style="57" customWidth="1"/>
    <col min="268" max="268" width="11.5703125" style="57" customWidth="1"/>
    <col min="269" max="270" width="10.42578125" style="57" customWidth="1"/>
    <col min="271" max="271" width="6.5703125" style="57" customWidth="1"/>
    <col min="272" max="272" width="11.42578125" style="57" customWidth="1"/>
    <col min="273" max="273" width="4.140625" style="57" customWidth="1"/>
    <col min="274" max="274" width="18.5703125" style="57" customWidth="1"/>
    <col min="275" max="275" width="2.140625" style="57" customWidth="1"/>
    <col min="276" max="276" width="10.42578125" style="57" customWidth="1"/>
    <col min="277" max="518" width="9.140625" style="57"/>
    <col min="519" max="519" width="10" style="57" customWidth="1"/>
    <col min="520" max="520" width="40" style="57" customWidth="1"/>
    <col min="521" max="521" width="12.5703125" style="57" customWidth="1"/>
    <col min="522" max="523" width="10.42578125" style="57" customWidth="1"/>
    <col min="524" max="524" width="11.5703125" style="57" customWidth="1"/>
    <col min="525" max="526" width="10.42578125" style="57" customWidth="1"/>
    <col min="527" max="527" width="6.5703125" style="57" customWidth="1"/>
    <col min="528" max="528" width="11.42578125" style="57" customWidth="1"/>
    <col min="529" max="529" width="4.140625" style="57" customWidth="1"/>
    <col min="530" max="530" width="18.5703125" style="57" customWidth="1"/>
    <col min="531" max="531" width="2.140625" style="57" customWidth="1"/>
    <col min="532" max="532" width="10.42578125" style="57" customWidth="1"/>
    <col min="533" max="774" width="9.140625" style="57"/>
    <col min="775" max="775" width="10" style="57" customWidth="1"/>
    <col min="776" max="776" width="40" style="57" customWidth="1"/>
    <col min="777" max="777" width="12.5703125" style="57" customWidth="1"/>
    <col min="778" max="779" width="10.42578125" style="57" customWidth="1"/>
    <col min="780" max="780" width="11.5703125" style="57" customWidth="1"/>
    <col min="781" max="782" width="10.42578125" style="57" customWidth="1"/>
    <col min="783" max="783" width="6.5703125" style="57" customWidth="1"/>
    <col min="784" max="784" width="11.42578125" style="57" customWidth="1"/>
    <col min="785" max="785" width="4.140625" style="57" customWidth="1"/>
    <col min="786" max="786" width="18.5703125" style="57" customWidth="1"/>
    <col min="787" max="787" width="2.140625" style="57" customWidth="1"/>
    <col min="788" max="788" width="10.42578125" style="57" customWidth="1"/>
    <col min="789" max="1030" width="9.140625" style="57"/>
    <col min="1031" max="1031" width="10" style="57" customWidth="1"/>
    <col min="1032" max="1032" width="40" style="57" customWidth="1"/>
    <col min="1033" max="1033" width="12.5703125" style="57" customWidth="1"/>
    <col min="1034" max="1035" width="10.42578125" style="57" customWidth="1"/>
    <col min="1036" max="1036" width="11.5703125" style="57" customWidth="1"/>
    <col min="1037" max="1038" width="10.42578125" style="57" customWidth="1"/>
    <col min="1039" max="1039" width="6.5703125" style="57" customWidth="1"/>
    <col min="1040" max="1040" width="11.42578125" style="57" customWidth="1"/>
    <col min="1041" max="1041" width="4.140625" style="57" customWidth="1"/>
    <col min="1042" max="1042" width="18.5703125" style="57" customWidth="1"/>
    <col min="1043" max="1043" width="2.140625" style="57" customWidth="1"/>
    <col min="1044" max="1044" width="10.42578125" style="57" customWidth="1"/>
    <col min="1045" max="1286" width="9.140625" style="57"/>
    <col min="1287" max="1287" width="10" style="57" customWidth="1"/>
    <col min="1288" max="1288" width="40" style="57" customWidth="1"/>
    <col min="1289" max="1289" width="12.5703125" style="57" customWidth="1"/>
    <col min="1290" max="1291" width="10.42578125" style="57" customWidth="1"/>
    <col min="1292" max="1292" width="11.5703125" style="57" customWidth="1"/>
    <col min="1293" max="1294" width="10.42578125" style="57" customWidth="1"/>
    <col min="1295" max="1295" width="6.5703125" style="57" customWidth="1"/>
    <col min="1296" max="1296" width="11.42578125" style="57" customWidth="1"/>
    <col min="1297" max="1297" width="4.140625" style="57" customWidth="1"/>
    <col min="1298" max="1298" width="18.5703125" style="57" customWidth="1"/>
    <col min="1299" max="1299" width="2.140625" style="57" customWidth="1"/>
    <col min="1300" max="1300" width="10.42578125" style="57" customWidth="1"/>
    <col min="1301" max="1542" width="9.140625" style="57"/>
    <col min="1543" max="1543" width="10" style="57" customWidth="1"/>
    <col min="1544" max="1544" width="40" style="57" customWidth="1"/>
    <col min="1545" max="1545" width="12.5703125" style="57" customWidth="1"/>
    <col min="1546" max="1547" width="10.42578125" style="57" customWidth="1"/>
    <col min="1548" max="1548" width="11.5703125" style="57" customWidth="1"/>
    <col min="1549" max="1550" width="10.42578125" style="57" customWidth="1"/>
    <col min="1551" max="1551" width="6.5703125" style="57" customWidth="1"/>
    <col min="1552" max="1552" width="11.42578125" style="57" customWidth="1"/>
    <col min="1553" max="1553" width="4.140625" style="57" customWidth="1"/>
    <col min="1554" max="1554" width="18.5703125" style="57" customWidth="1"/>
    <col min="1555" max="1555" width="2.140625" style="57" customWidth="1"/>
    <col min="1556" max="1556" width="10.42578125" style="57" customWidth="1"/>
    <col min="1557" max="1798" width="9.140625" style="57"/>
    <col min="1799" max="1799" width="10" style="57" customWidth="1"/>
    <col min="1800" max="1800" width="40" style="57" customWidth="1"/>
    <col min="1801" max="1801" width="12.5703125" style="57" customWidth="1"/>
    <col min="1802" max="1803" width="10.42578125" style="57" customWidth="1"/>
    <col min="1804" max="1804" width="11.5703125" style="57" customWidth="1"/>
    <col min="1805" max="1806" width="10.42578125" style="57" customWidth="1"/>
    <col min="1807" max="1807" width="6.5703125" style="57" customWidth="1"/>
    <col min="1808" max="1808" width="11.42578125" style="57" customWidth="1"/>
    <col min="1809" max="1809" width="4.140625" style="57" customWidth="1"/>
    <col min="1810" max="1810" width="18.5703125" style="57" customWidth="1"/>
    <col min="1811" max="1811" width="2.140625" style="57" customWidth="1"/>
    <col min="1812" max="1812" width="10.42578125" style="57" customWidth="1"/>
    <col min="1813" max="2054" width="9.140625" style="57"/>
    <col min="2055" max="2055" width="10" style="57" customWidth="1"/>
    <col min="2056" max="2056" width="40" style="57" customWidth="1"/>
    <col min="2057" max="2057" width="12.5703125" style="57" customWidth="1"/>
    <col min="2058" max="2059" width="10.42578125" style="57" customWidth="1"/>
    <col min="2060" max="2060" width="11.5703125" style="57" customWidth="1"/>
    <col min="2061" max="2062" width="10.42578125" style="57" customWidth="1"/>
    <col min="2063" max="2063" width="6.5703125" style="57" customWidth="1"/>
    <col min="2064" max="2064" width="11.42578125" style="57" customWidth="1"/>
    <col min="2065" max="2065" width="4.140625" style="57" customWidth="1"/>
    <col min="2066" max="2066" width="18.5703125" style="57" customWidth="1"/>
    <col min="2067" max="2067" width="2.140625" style="57" customWidth="1"/>
    <col min="2068" max="2068" width="10.42578125" style="57" customWidth="1"/>
    <col min="2069" max="2310" width="9.140625" style="57"/>
    <col min="2311" max="2311" width="10" style="57" customWidth="1"/>
    <col min="2312" max="2312" width="40" style="57" customWidth="1"/>
    <col min="2313" max="2313" width="12.5703125" style="57" customWidth="1"/>
    <col min="2314" max="2315" width="10.42578125" style="57" customWidth="1"/>
    <col min="2316" max="2316" width="11.5703125" style="57" customWidth="1"/>
    <col min="2317" max="2318" width="10.42578125" style="57" customWidth="1"/>
    <col min="2319" max="2319" width="6.5703125" style="57" customWidth="1"/>
    <col min="2320" max="2320" width="11.42578125" style="57" customWidth="1"/>
    <col min="2321" max="2321" width="4.140625" style="57" customWidth="1"/>
    <col min="2322" max="2322" width="18.5703125" style="57" customWidth="1"/>
    <col min="2323" max="2323" width="2.140625" style="57" customWidth="1"/>
    <col min="2324" max="2324" width="10.42578125" style="57" customWidth="1"/>
    <col min="2325" max="2566" width="9.140625" style="57"/>
    <col min="2567" max="2567" width="10" style="57" customWidth="1"/>
    <col min="2568" max="2568" width="40" style="57" customWidth="1"/>
    <col min="2569" max="2569" width="12.5703125" style="57" customWidth="1"/>
    <col min="2570" max="2571" width="10.42578125" style="57" customWidth="1"/>
    <col min="2572" max="2572" width="11.5703125" style="57" customWidth="1"/>
    <col min="2573" max="2574" width="10.42578125" style="57" customWidth="1"/>
    <col min="2575" max="2575" width="6.5703125" style="57" customWidth="1"/>
    <col min="2576" max="2576" width="11.42578125" style="57" customWidth="1"/>
    <col min="2577" max="2577" width="4.140625" style="57" customWidth="1"/>
    <col min="2578" max="2578" width="18.5703125" style="57" customWidth="1"/>
    <col min="2579" max="2579" width="2.140625" style="57" customWidth="1"/>
    <col min="2580" max="2580" width="10.42578125" style="57" customWidth="1"/>
    <col min="2581" max="2822" width="9.140625" style="57"/>
    <col min="2823" max="2823" width="10" style="57" customWidth="1"/>
    <col min="2824" max="2824" width="40" style="57" customWidth="1"/>
    <col min="2825" max="2825" width="12.5703125" style="57" customWidth="1"/>
    <col min="2826" max="2827" width="10.42578125" style="57" customWidth="1"/>
    <col min="2828" max="2828" width="11.5703125" style="57" customWidth="1"/>
    <col min="2829" max="2830" width="10.42578125" style="57" customWidth="1"/>
    <col min="2831" max="2831" width="6.5703125" style="57" customWidth="1"/>
    <col min="2832" max="2832" width="11.42578125" style="57" customWidth="1"/>
    <col min="2833" max="2833" width="4.140625" style="57" customWidth="1"/>
    <col min="2834" max="2834" width="18.5703125" style="57" customWidth="1"/>
    <col min="2835" max="2835" width="2.140625" style="57" customWidth="1"/>
    <col min="2836" max="2836" width="10.42578125" style="57" customWidth="1"/>
    <col min="2837" max="3078" width="9.140625" style="57"/>
    <col min="3079" max="3079" width="10" style="57" customWidth="1"/>
    <col min="3080" max="3080" width="40" style="57" customWidth="1"/>
    <col min="3081" max="3081" width="12.5703125" style="57" customWidth="1"/>
    <col min="3082" max="3083" width="10.42578125" style="57" customWidth="1"/>
    <col min="3084" max="3084" width="11.5703125" style="57" customWidth="1"/>
    <col min="3085" max="3086" width="10.42578125" style="57" customWidth="1"/>
    <col min="3087" max="3087" width="6.5703125" style="57" customWidth="1"/>
    <col min="3088" max="3088" width="11.42578125" style="57" customWidth="1"/>
    <col min="3089" max="3089" width="4.140625" style="57" customWidth="1"/>
    <col min="3090" max="3090" width="18.5703125" style="57" customWidth="1"/>
    <col min="3091" max="3091" width="2.140625" style="57" customWidth="1"/>
    <col min="3092" max="3092" width="10.42578125" style="57" customWidth="1"/>
    <col min="3093" max="3334" width="9.140625" style="57"/>
    <col min="3335" max="3335" width="10" style="57" customWidth="1"/>
    <col min="3336" max="3336" width="40" style="57" customWidth="1"/>
    <col min="3337" max="3337" width="12.5703125" style="57" customWidth="1"/>
    <col min="3338" max="3339" width="10.42578125" style="57" customWidth="1"/>
    <col min="3340" max="3340" width="11.5703125" style="57" customWidth="1"/>
    <col min="3341" max="3342" width="10.42578125" style="57" customWidth="1"/>
    <col min="3343" max="3343" width="6.5703125" style="57" customWidth="1"/>
    <col min="3344" max="3344" width="11.42578125" style="57" customWidth="1"/>
    <col min="3345" max="3345" width="4.140625" style="57" customWidth="1"/>
    <col min="3346" max="3346" width="18.5703125" style="57" customWidth="1"/>
    <col min="3347" max="3347" width="2.140625" style="57" customWidth="1"/>
    <col min="3348" max="3348" width="10.42578125" style="57" customWidth="1"/>
    <col min="3349" max="3590" width="9.140625" style="57"/>
    <col min="3591" max="3591" width="10" style="57" customWidth="1"/>
    <col min="3592" max="3592" width="40" style="57" customWidth="1"/>
    <col min="3593" max="3593" width="12.5703125" style="57" customWidth="1"/>
    <col min="3594" max="3595" width="10.42578125" style="57" customWidth="1"/>
    <col min="3596" max="3596" width="11.5703125" style="57" customWidth="1"/>
    <col min="3597" max="3598" width="10.42578125" style="57" customWidth="1"/>
    <col min="3599" max="3599" width="6.5703125" style="57" customWidth="1"/>
    <col min="3600" max="3600" width="11.42578125" style="57" customWidth="1"/>
    <col min="3601" max="3601" width="4.140625" style="57" customWidth="1"/>
    <col min="3602" max="3602" width="18.5703125" style="57" customWidth="1"/>
    <col min="3603" max="3603" width="2.140625" style="57" customWidth="1"/>
    <col min="3604" max="3604" width="10.42578125" style="57" customWidth="1"/>
    <col min="3605" max="3846" width="9.140625" style="57"/>
    <col min="3847" max="3847" width="10" style="57" customWidth="1"/>
    <col min="3848" max="3848" width="40" style="57" customWidth="1"/>
    <col min="3849" max="3849" width="12.5703125" style="57" customWidth="1"/>
    <col min="3850" max="3851" width="10.42578125" style="57" customWidth="1"/>
    <col min="3852" max="3852" width="11.5703125" style="57" customWidth="1"/>
    <col min="3853" max="3854" width="10.42578125" style="57" customWidth="1"/>
    <col min="3855" max="3855" width="6.5703125" style="57" customWidth="1"/>
    <col min="3856" max="3856" width="11.42578125" style="57" customWidth="1"/>
    <col min="3857" max="3857" width="4.140625" style="57" customWidth="1"/>
    <col min="3858" max="3858" width="18.5703125" style="57" customWidth="1"/>
    <col min="3859" max="3859" width="2.140625" style="57" customWidth="1"/>
    <col min="3860" max="3860" width="10.42578125" style="57" customWidth="1"/>
    <col min="3861" max="4102" width="9.140625" style="57"/>
    <col min="4103" max="4103" width="10" style="57" customWidth="1"/>
    <col min="4104" max="4104" width="40" style="57" customWidth="1"/>
    <col min="4105" max="4105" width="12.5703125" style="57" customWidth="1"/>
    <col min="4106" max="4107" width="10.42578125" style="57" customWidth="1"/>
    <col min="4108" max="4108" width="11.5703125" style="57" customWidth="1"/>
    <col min="4109" max="4110" width="10.42578125" style="57" customWidth="1"/>
    <col min="4111" max="4111" width="6.5703125" style="57" customWidth="1"/>
    <col min="4112" max="4112" width="11.42578125" style="57" customWidth="1"/>
    <col min="4113" max="4113" width="4.140625" style="57" customWidth="1"/>
    <col min="4114" max="4114" width="18.5703125" style="57" customWidth="1"/>
    <col min="4115" max="4115" width="2.140625" style="57" customWidth="1"/>
    <col min="4116" max="4116" width="10.42578125" style="57" customWidth="1"/>
    <col min="4117" max="4358" width="9.140625" style="57"/>
    <col min="4359" max="4359" width="10" style="57" customWidth="1"/>
    <col min="4360" max="4360" width="40" style="57" customWidth="1"/>
    <col min="4361" max="4361" width="12.5703125" style="57" customWidth="1"/>
    <col min="4362" max="4363" width="10.42578125" style="57" customWidth="1"/>
    <col min="4364" max="4364" width="11.5703125" style="57" customWidth="1"/>
    <col min="4365" max="4366" width="10.42578125" style="57" customWidth="1"/>
    <col min="4367" max="4367" width="6.5703125" style="57" customWidth="1"/>
    <col min="4368" max="4368" width="11.42578125" style="57" customWidth="1"/>
    <col min="4369" max="4369" width="4.140625" style="57" customWidth="1"/>
    <col min="4370" max="4370" width="18.5703125" style="57" customWidth="1"/>
    <col min="4371" max="4371" width="2.140625" style="57" customWidth="1"/>
    <col min="4372" max="4372" width="10.42578125" style="57" customWidth="1"/>
    <col min="4373" max="4614" width="9.140625" style="57"/>
    <col min="4615" max="4615" width="10" style="57" customWidth="1"/>
    <col min="4616" max="4616" width="40" style="57" customWidth="1"/>
    <col min="4617" max="4617" width="12.5703125" style="57" customWidth="1"/>
    <col min="4618" max="4619" width="10.42578125" style="57" customWidth="1"/>
    <col min="4620" max="4620" width="11.5703125" style="57" customWidth="1"/>
    <col min="4621" max="4622" width="10.42578125" style="57" customWidth="1"/>
    <col min="4623" max="4623" width="6.5703125" style="57" customWidth="1"/>
    <col min="4624" max="4624" width="11.42578125" style="57" customWidth="1"/>
    <col min="4625" max="4625" width="4.140625" style="57" customWidth="1"/>
    <col min="4626" max="4626" width="18.5703125" style="57" customWidth="1"/>
    <col min="4627" max="4627" width="2.140625" style="57" customWidth="1"/>
    <col min="4628" max="4628" width="10.42578125" style="57" customWidth="1"/>
    <col min="4629" max="4870" width="9.140625" style="57"/>
    <col min="4871" max="4871" width="10" style="57" customWidth="1"/>
    <col min="4872" max="4872" width="40" style="57" customWidth="1"/>
    <col min="4873" max="4873" width="12.5703125" style="57" customWidth="1"/>
    <col min="4874" max="4875" width="10.42578125" style="57" customWidth="1"/>
    <col min="4876" max="4876" width="11.5703125" style="57" customWidth="1"/>
    <col min="4877" max="4878" width="10.42578125" style="57" customWidth="1"/>
    <col min="4879" max="4879" width="6.5703125" style="57" customWidth="1"/>
    <col min="4880" max="4880" width="11.42578125" style="57" customWidth="1"/>
    <col min="4881" max="4881" width="4.140625" style="57" customWidth="1"/>
    <col min="4882" max="4882" width="18.5703125" style="57" customWidth="1"/>
    <col min="4883" max="4883" width="2.140625" style="57" customWidth="1"/>
    <col min="4884" max="4884" width="10.42578125" style="57" customWidth="1"/>
    <col min="4885" max="5126" width="9.140625" style="57"/>
    <col min="5127" max="5127" width="10" style="57" customWidth="1"/>
    <col min="5128" max="5128" width="40" style="57" customWidth="1"/>
    <col min="5129" max="5129" width="12.5703125" style="57" customWidth="1"/>
    <col min="5130" max="5131" width="10.42578125" style="57" customWidth="1"/>
    <col min="5132" max="5132" width="11.5703125" style="57" customWidth="1"/>
    <col min="5133" max="5134" width="10.42578125" style="57" customWidth="1"/>
    <col min="5135" max="5135" width="6.5703125" style="57" customWidth="1"/>
    <col min="5136" max="5136" width="11.42578125" style="57" customWidth="1"/>
    <col min="5137" max="5137" width="4.140625" style="57" customWidth="1"/>
    <col min="5138" max="5138" width="18.5703125" style="57" customWidth="1"/>
    <col min="5139" max="5139" width="2.140625" style="57" customWidth="1"/>
    <col min="5140" max="5140" width="10.42578125" style="57" customWidth="1"/>
    <col min="5141" max="5382" width="9.140625" style="57"/>
    <col min="5383" max="5383" width="10" style="57" customWidth="1"/>
    <col min="5384" max="5384" width="40" style="57" customWidth="1"/>
    <col min="5385" max="5385" width="12.5703125" style="57" customWidth="1"/>
    <col min="5386" max="5387" width="10.42578125" style="57" customWidth="1"/>
    <col min="5388" max="5388" width="11.5703125" style="57" customWidth="1"/>
    <col min="5389" max="5390" width="10.42578125" style="57" customWidth="1"/>
    <col min="5391" max="5391" width="6.5703125" style="57" customWidth="1"/>
    <col min="5392" max="5392" width="11.42578125" style="57" customWidth="1"/>
    <col min="5393" max="5393" width="4.140625" style="57" customWidth="1"/>
    <col min="5394" max="5394" width="18.5703125" style="57" customWidth="1"/>
    <col min="5395" max="5395" width="2.140625" style="57" customWidth="1"/>
    <col min="5396" max="5396" width="10.42578125" style="57" customWidth="1"/>
    <col min="5397" max="5638" width="9.140625" style="57"/>
    <col min="5639" max="5639" width="10" style="57" customWidth="1"/>
    <col min="5640" max="5640" width="40" style="57" customWidth="1"/>
    <col min="5641" max="5641" width="12.5703125" style="57" customWidth="1"/>
    <col min="5642" max="5643" width="10.42578125" style="57" customWidth="1"/>
    <col min="5644" max="5644" width="11.5703125" style="57" customWidth="1"/>
    <col min="5645" max="5646" width="10.42578125" style="57" customWidth="1"/>
    <col min="5647" max="5647" width="6.5703125" style="57" customWidth="1"/>
    <col min="5648" max="5648" width="11.42578125" style="57" customWidth="1"/>
    <col min="5649" max="5649" width="4.140625" style="57" customWidth="1"/>
    <col min="5650" max="5650" width="18.5703125" style="57" customWidth="1"/>
    <col min="5651" max="5651" width="2.140625" style="57" customWidth="1"/>
    <col min="5652" max="5652" width="10.42578125" style="57" customWidth="1"/>
    <col min="5653" max="5894" width="9.140625" style="57"/>
    <col min="5895" max="5895" width="10" style="57" customWidth="1"/>
    <col min="5896" max="5896" width="40" style="57" customWidth="1"/>
    <col min="5897" max="5897" width="12.5703125" style="57" customWidth="1"/>
    <col min="5898" max="5899" width="10.42578125" style="57" customWidth="1"/>
    <col min="5900" max="5900" width="11.5703125" style="57" customWidth="1"/>
    <col min="5901" max="5902" width="10.42578125" style="57" customWidth="1"/>
    <col min="5903" max="5903" width="6.5703125" style="57" customWidth="1"/>
    <col min="5904" max="5904" width="11.42578125" style="57" customWidth="1"/>
    <col min="5905" max="5905" width="4.140625" style="57" customWidth="1"/>
    <col min="5906" max="5906" width="18.5703125" style="57" customWidth="1"/>
    <col min="5907" max="5907" width="2.140625" style="57" customWidth="1"/>
    <col min="5908" max="5908" width="10.42578125" style="57" customWidth="1"/>
    <col min="5909" max="6150" width="9.140625" style="57"/>
    <col min="6151" max="6151" width="10" style="57" customWidth="1"/>
    <col min="6152" max="6152" width="40" style="57" customWidth="1"/>
    <col min="6153" max="6153" width="12.5703125" style="57" customWidth="1"/>
    <col min="6154" max="6155" width="10.42578125" style="57" customWidth="1"/>
    <col min="6156" max="6156" width="11.5703125" style="57" customWidth="1"/>
    <col min="6157" max="6158" width="10.42578125" style="57" customWidth="1"/>
    <col min="6159" max="6159" width="6.5703125" style="57" customWidth="1"/>
    <col min="6160" max="6160" width="11.42578125" style="57" customWidth="1"/>
    <col min="6161" max="6161" width="4.140625" style="57" customWidth="1"/>
    <col min="6162" max="6162" width="18.5703125" style="57" customWidth="1"/>
    <col min="6163" max="6163" width="2.140625" style="57" customWidth="1"/>
    <col min="6164" max="6164" width="10.42578125" style="57" customWidth="1"/>
    <col min="6165" max="6406" width="9.140625" style="57"/>
    <col min="6407" max="6407" width="10" style="57" customWidth="1"/>
    <col min="6408" max="6408" width="40" style="57" customWidth="1"/>
    <col min="6409" max="6409" width="12.5703125" style="57" customWidth="1"/>
    <col min="6410" max="6411" width="10.42578125" style="57" customWidth="1"/>
    <col min="6412" max="6412" width="11.5703125" style="57" customWidth="1"/>
    <col min="6413" max="6414" width="10.42578125" style="57" customWidth="1"/>
    <col min="6415" max="6415" width="6.5703125" style="57" customWidth="1"/>
    <col min="6416" max="6416" width="11.42578125" style="57" customWidth="1"/>
    <col min="6417" max="6417" width="4.140625" style="57" customWidth="1"/>
    <col min="6418" max="6418" width="18.5703125" style="57" customWidth="1"/>
    <col min="6419" max="6419" width="2.140625" style="57" customWidth="1"/>
    <col min="6420" max="6420" width="10.42578125" style="57" customWidth="1"/>
    <col min="6421" max="6662" width="9.140625" style="57"/>
    <col min="6663" max="6663" width="10" style="57" customWidth="1"/>
    <col min="6664" max="6664" width="40" style="57" customWidth="1"/>
    <col min="6665" max="6665" width="12.5703125" style="57" customWidth="1"/>
    <col min="6666" max="6667" width="10.42578125" style="57" customWidth="1"/>
    <col min="6668" max="6668" width="11.5703125" style="57" customWidth="1"/>
    <col min="6669" max="6670" width="10.42578125" style="57" customWidth="1"/>
    <col min="6671" max="6671" width="6.5703125" style="57" customWidth="1"/>
    <col min="6672" max="6672" width="11.42578125" style="57" customWidth="1"/>
    <col min="6673" max="6673" width="4.140625" style="57" customWidth="1"/>
    <col min="6674" max="6674" width="18.5703125" style="57" customWidth="1"/>
    <col min="6675" max="6675" width="2.140625" style="57" customWidth="1"/>
    <col min="6676" max="6676" width="10.42578125" style="57" customWidth="1"/>
    <col min="6677" max="6918" width="9.140625" style="57"/>
    <col min="6919" max="6919" width="10" style="57" customWidth="1"/>
    <col min="6920" max="6920" width="40" style="57" customWidth="1"/>
    <col min="6921" max="6921" width="12.5703125" style="57" customWidth="1"/>
    <col min="6922" max="6923" width="10.42578125" style="57" customWidth="1"/>
    <col min="6924" max="6924" width="11.5703125" style="57" customWidth="1"/>
    <col min="6925" max="6926" width="10.42578125" style="57" customWidth="1"/>
    <col min="6927" max="6927" width="6.5703125" style="57" customWidth="1"/>
    <col min="6928" max="6928" width="11.42578125" style="57" customWidth="1"/>
    <col min="6929" max="6929" width="4.140625" style="57" customWidth="1"/>
    <col min="6930" max="6930" width="18.5703125" style="57" customWidth="1"/>
    <col min="6931" max="6931" width="2.140625" style="57" customWidth="1"/>
    <col min="6932" max="6932" width="10.42578125" style="57" customWidth="1"/>
    <col min="6933" max="7174" width="9.140625" style="57"/>
    <col min="7175" max="7175" width="10" style="57" customWidth="1"/>
    <col min="7176" max="7176" width="40" style="57" customWidth="1"/>
    <col min="7177" max="7177" width="12.5703125" style="57" customWidth="1"/>
    <col min="7178" max="7179" width="10.42578125" style="57" customWidth="1"/>
    <col min="7180" max="7180" width="11.5703125" style="57" customWidth="1"/>
    <col min="7181" max="7182" width="10.42578125" style="57" customWidth="1"/>
    <col min="7183" max="7183" width="6.5703125" style="57" customWidth="1"/>
    <col min="7184" max="7184" width="11.42578125" style="57" customWidth="1"/>
    <col min="7185" max="7185" width="4.140625" style="57" customWidth="1"/>
    <col min="7186" max="7186" width="18.5703125" style="57" customWidth="1"/>
    <col min="7187" max="7187" width="2.140625" style="57" customWidth="1"/>
    <col min="7188" max="7188" width="10.42578125" style="57" customWidth="1"/>
    <col min="7189" max="7430" width="9.140625" style="57"/>
    <col min="7431" max="7431" width="10" style="57" customWidth="1"/>
    <col min="7432" max="7432" width="40" style="57" customWidth="1"/>
    <col min="7433" max="7433" width="12.5703125" style="57" customWidth="1"/>
    <col min="7434" max="7435" width="10.42578125" style="57" customWidth="1"/>
    <col min="7436" max="7436" width="11.5703125" style="57" customWidth="1"/>
    <col min="7437" max="7438" width="10.42578125" style="57" customWidth="1"/>
    <col min="7439" max="7439" width="6.5703125" style="57" customWidth="1"/>
    <col min="7440" max="7440" width="11.42578125" style="57" customWidth="1"/>
    <col min="7441" max="7441" width="4.140625" style="57" customWidth="1"/>
    <col min="7442" max="7442" width="18.5703125" style="57" customWidth="1"/>
    <col min="7443" max="7443" width="2.140625" style="57" customWidth="1"/>
    <col min="7444" max="7444" width="10.42578125" style="57" customWidth="1"/>
    <col min="7445" max="7686" width="9.140625" style="57"/>
    <col min="7687" max="7687" width="10" style="57" customWidth="1"/>
    <col min="7688" max="7688" width="40" style="57" customWidth="1"/>
    <col min="7689" max="7689" width="12.5703125" style="57" customWidth="1"/>
    <col min="7690" max="7691" width="10.42578125" style="57" customWidth="1"/>
    <col min="7692" max="7692" width="11.5703125" style="57" customWidth="1"/>
    <col min="7693" max="7694" width="10.42578125" style="57" customWidth="1"/>
    <col min="7695" max="7695" width="6.5703125" style="57" customWidth="1"/>
    <col min="7696" max="7696" width="11.42578125" style="57" customWidth="1"/>
    <col min="7697" max="7697" width="4.140625" style="57" customWidth="1"/>
    <col min="7698" max="7698" width="18.5703125" style="57" customWidth="1"/>
    <col min="7699" max="7699" width="2.140625" style="57" customWidth="1"/>
    <col min="7700" max="7700" width="10.42578125" style="57" customWidth="1"/>
    <col min="7701" max="7942" width="9.140625" style="57"/>
    <col min="7943" max="7943" width="10" style="57" customWidth="1"/>
    <col min="7944" max="7944" width="40" style="57" customWidth="1"/>
    <col min="7945" max="7945" width="12.5703125" style="57" customWidth="1"/>
    <col min="7946" max="7947" width="10.42578125" style="57" customWidth="1"/>
    <col min="7948" max="7948" width="11.5703125" style="57" customWidth="1"/>
    <col min="7949" max="7950" width="10.42578125" style="57" customWidth="1"/>
    <col min="7951" max="7951" width="6.5703125" style="57" customWidth="1"/>
    <col min="7952" max="7952" width="11.42578125" style="57" customWidth="1"/>
    <col min="7953" max="7953" width="4.140625" style="57" customWidth="1"/>
    <col min="7954" max="7954" width="18.5703125" style="57" customWidth="1"/>
    <col min="7955" max="7955" width="2.140625" style="57" customWidth="1"/>
    <col min="7956" max="7956" width="10.42578125" style="57" customWidth="1"/>
    <col min="7957" max="8198" width="9.140625" style="57"/>
    <col min="8199" max="8199" width="10" style="57" customWidth="1"/>
    <col min="8200" max="8200" width="40" style="57" customWidth="1"/>
    <col min="8201" max="8201" width="12.5703125" style="57" customWidth="1"/>
    <col min="8202" max="8203" width="10.42578125" style="57" customWidth="1"/>
    <col min="8204" max="8204" width="11.5703125" style="57" customWidth="1"/>
    <col min="8205" max="8206" width="10.42578125" style="57" customWidth="1"/>
    <col min="8207" max="8207" width="6.5703125" style="57" customWidth="1"/>
    <col min="8208" max="8208" width="11.42578125" style="57" customWidth="1"/>
    <col min="8209" max="8209" width="4.140625" style="57" customWidth="1"/>
    <col min="8210" max="8210" width="18.5703125" style="57" customWidth="1"/>
    <col min="8211" max="8211" width="2.140625" style="57" customWidth="1"/>
    <col min="8212" max="8212" width="10.42578125" style="57" customWidth="1"/>
    <col min="8213" max="8454" width="9.140625" style="57"/>
    <col min="8455" max="8455" width="10" style="57" customWidth="1"/>
    <col min="8456" max="8456" width="40" style="57" customWidth="1"/>
    <col min="8457" max="8457" width="12.5703125" style="57" customWidth="1"/>
    <col min="8458" max="8459" width="10.42578125" style="57" customWidth="1"/>
    <col min="8460" max="8460" width="11.5703125" style="57" customWidth="1"/>
    <col min="8461" max="8462" width="10.42578125" style="57" customWidth="1"/>
    <col min="8463" max="8463" width="6.5703125" style="57" customWidth="1"/>
    <col min="8464" max="8464" width="11.42578125" style="57" customWidth="1"/>
    <col min="8465" max="8465" width="4.140625" style="57" customWidth="1"/>
    <col min="8466" max="8466" width="18.5703125" style="57" customWidth="1"/>
    <col min="8467" max="8467" width="2.140625" style="57" customWidth="1"/>
    <col min="8468" max="8468" width="10.42578125" style="57" customWidth="1"/>
    <col min="8469" max="8710" width="9.140625" style="57"/>
    <col min="8711" max="8711" width="10" style="57" customWidth="1"/>
    <col min="8712" max="8712" width="40" style="57" customWidth="1"/>
    <col min="8713" max="8713" width="12.5703125" style="57" customWidth="1"/>
    <col min="8714" max="8715" width="10.42578125" style="57" customWidth="1"/>
    <col min="8716" max="8716" width="11.5703125" style="57" customWidth="1"/>
    <col min="8717" max="8718" width="10.42578125" style="57" customWidth="1"/>
    <col min="8719" max="8719" width="6.5703125" style="57" customWidth="1"/>
    <col min="8720" max="8720" width="11.42578125" style="57" customWidth="1"/>
    <col min="8721" max="8721" width="4.140625" style="57" customWidth="1"/>
    <col min="8722" max="8722" width="18.5703125" style="57" customWidth="1"/>
    <col min="8723" max="8723" width="2.140625" style="57" customWidth="1"/>
    <col min="8724" max="8724" width="10.42578125" style="57" customWidth="1"/>
    <col min="8725" max="8966" width="9.140625" style="57"/>
    <col min="8967" max="8967" width="10" style="57" customWidth="1"/>
    <col min="8968" max="8968" width="40" style="57" customWidth="1"/>
    <col min="8969" max="8969" width="12.5703125" style="57" customWidth="1"/>
    <col min="8970" max="8971" width="10.42578125" style="57" customWidth="1"/>
    <col min="8972" max="8972" width="11.5703125" style="57" customWidth="1"/>
    <col min="8973" max="8974" width="10.42578125" style="57" customWidth="1"/>
    <col min="8975" max="8975" width="6.5703125" style="57" customWidth="1"/>
    <col min="8976" max="8976" width="11.42578125" style="57" customWidth="1"/>
    <col min="8977" max="8977" width="4.140625" style="57" customWidth="1"/>
    <col min="8978" max="8978" width="18.5703125" style="57" customWidth="1"/>
    <col min="8979" max="8979" width="2.140625" style="57" customWidth="1"/>
    <col min="8980" max="8980" width="10.42578125" style="57" customWidth="1"/>
    <col min="8981" max="9222" width="9.140625" style="57"/>
    <col min="9223" max="9223" width="10" style="57" customWidth="1"/>
    <col min="9224" max="9224" width="40" style="57" customWidth="1"/>
    <col min="9225" max="9225" width="12.5703125" style="57" customWidth="1"/>
    <col min="9226" max="9227" width="10.42578125" style="57" customWidth="1"/>
    <col min="9228" max="9228" width="11.5703125" style="57" customWidth="1"/>
    <col min="9229" max="9230" width="10.42578125" style="57" customWidth="1"/>
    <col min="9231" max="9231" width="6.5703125" style="57" customWidth="1"/>
    <col min="9232" max="9232" width="11.42578125" style="57" customWidth="1"/>
    <col min="9233" max="9233" width="4.140625" style="57" customWidth="1"/>
    <col min="9234" max="9234" width="18.5703125" style="57" customWidth="1"/>
    <col min="9235" max="9235" width="2.140625" style="57" customWidth="1"/>
    <col min="9236" max="9236" width="10.42578125" style="57" customWidth="1"/>
    <col min="9237" max="9478" width="9.140625" style="57"/>
    <col min="9479" max="9479" width="10" style="57" customWidth="1"/>
    <col min="9480" max="9480" width="40" style="57" customWidth="1"/>
    <col min="9481" max="9481" width="12.5703125" style="57" customWidth="1"/>
    <col min="9482" max="9483" width="10.42578125" style="57" customWidth="1"/>
    <col min="9484" max="9484" width="11.5703125" style="57" customWidth="1"/>
    <col min="9485" max="9486" width="10.42578125" style="57" customWidth="1"/>
    <col min="9487" max="9487" width="6.5703125" style="57" customWidth="1"/>
    <col min="9488" max="9488" width="11.42578125" style="57" customWidth="1"/>
    <col min="9489" max="9489" width="4.140625" style="57" customWidth="1"/>
    <col min="9490" max="9490" width="18.5703125" style="57" customWidth="1"/>
    <col min="9491" max="9491" width="2.140625" style="57" customWidth="1"/>
    <col min="9492" max="9492" width="10.42578125" style="57" customWidth="1"/>
    <col min="9493" max="9734" width="9.140625" style="57"/>
    <col min="9735" max="9735" width="10" style="57" customWidth="1"/>
    <col min="9736" max="9736" width="40" style="57" customWidth="1"/>
    <col min="9737" max="9737" width="12.5703125" style="57" customWidth="1"/>
    <col min="9738" max="9739" width="10.42578125" style="57" customWidth="1"/>
    <col min="9740" max="9740" width="11.5703125" style="57" customWidth="1"/>
    <col min="9741" max="9742" width="10.42578125" style="57" customWidth="1"/>
    <col min="9743" max="9743" width="6.5703125" style="57" customWidth="1"/>
    <col min="9744" max="9744" width="11.42578125" style="57" customWidth="1"/>
    <col min="9745" max="9745" width="4.140625" style="57" customWidth="1"/>
    <col min="9746" max="9746" width="18.5703125" style="57" customWidth="1"/>
    <col min="9747" max="9747" width="2.140625" style="57" customWidth="1"/>
    <col min="9748" max="9748" width="10.42578125" style="57" customWidth="1"/>
    <col min="9749" max="9990" width="9.140625" style="57"/>
    <col min="9991" max="9991" width="10" style="57" customWidth="1"/>
    <col min="9992" max="9992" width="40" style="57" customWidth="1"/>
    <col min="9993" max="9993" width="12.5703125" style="57" customWidth="1"/>
    <col min="9994" max="9995" width="10.42578125" style="57" customWidth="1"/>
    <col min="9996" max="9996" width="11.5703125" style="57" customWidth="1"/>
    <col min="9997" max="9998" width="10.42578125" style="57" customWidth="1"/>
    <col min="9999" max="9999" width="6.5703125" style="57" customWidth="1"/>
    <col min="10000" max="10000" width="11.42578125" style="57" customWidth="1"/>
    <col min="10001" max="10001" width="4.140625" style="57" customWidth="1"/>
    <col min="10002" max="10002" width="18.5703125" style="57" customWidth="1"/>
    <col min="10003" max="10003" width="2.140625" style="57" customWidth="1"/>
    <col min="10004" max="10004" width="10.42578125" style="57" customWidth="1"/>
    <col min="10005" max="10246" width="9.140625" style="57"/>
    <col min="10247" max="10247" width="10" style="57" customWidth="1"/>
    <col min="10248" max="10248" width="40" style="57" customWidth="1"/>
    <col min="10249" max="10249" width="12.5703125" style="57" customWidth="1"/>
    <col min="10250" max="10251" width="10.42578125" style="57" customWidth="1"/>
    <col min="10252" max="10252" width="11.5703125" style="57" customWidth="1"/>
    <col min="10253" max="10254" width="10.42578125" style="57" customWidth="1"/>
    <col min="10255" max="10255" width="6.5703125" style="57" customWidth="1"/>
    <col min="10256" max="10256" width="11.42578125" style="57" customWidth="1"/>
    <col min="10257" max="10257" width="4.140625" style="57" customWidth="1"/>
    <col min="10258" max="10258" width="18.5703125" style="57" customWidth="1"/>
    <col min="10259" max="10259" width="2.140625" style="57" customWidth="1"/>
    <col min="10260" max="10260" width="10.42578125" style="57" customWidth="1"/>
    <col min="10261" max="10502" width="9.140625" style="57"/>
    <col min="10503" max="10503" width="10" style="57" customWidth="1"/>
    <col min="10504" max="10504" width="40" style="57" customWidth="1"/>
    <col min="10505" max="10505" width="12.5703125" style="57" customWidth="1"/>
    <col min="10506" max="10507" width="10.42578125" style="57" customWidth="1"/>
    <col min="10508" max="10508" width="11.5703125" style="57" customWidth="1"/>
    <col min="10509" max="10510" width="10.42578125" style="57" customWidth="1"/>
    <col min="10511" max="10511" width="6.5703125" style="57" customWidth="1"/>
    <col min="10512" max="10512" width="11.42578125" style="57" customWidth="1"/>
    <col min="10513" max="10513" width="4.140625" style="57" customWidth="1"/>
    <col min="10514" max="10514" width="18.5703125" style="57" customWidth="1"/>
    <col min="10515" max="10515" width="2.140625" style="57" customWidth="1"/>
    <col min="10516" max="10516" width="10.42578125" style="57" customWidth="1"/>
    <col min="10517" max="10758" width="9.140625" style="57"/>
    <col min="10759" max="10759" width="10" style="57" customWidth="1"/>
    <col min="10760" max="10760" width="40" style="57" customWidth="1"/>
    <col min="10761" max="10761" width="12.5703125" style="57" customWidth="1"/>
    <col min="10762" max="10763" width="10.42578125" style="57" customWidth="1"/>
    <col min="10764" max="10764" width="11.5703125" style="57" customWidth="1"/>
    <col min="10765" max="10766" width="10.42578125" style="57" customWidth="1"/>
    <col min="10767" max="10767" width="6.5703125" style="57" customWidth="1"/>
    <col min="10768" max="10768" width="11.42578125" style="57" customWidth="1"/>
    <col min="10769" max="10769" width="4.140625" style="57" customWidth="1"/>
    <col min="10770" max="10770" width="18.5703125" style="57" customWidth="1"/>
    <col min="10771" max="10771" width="2.140625" style="57" customWidth="1"/>
    <col min="10772" max="10772" width="10.42578125" style="57" customWidth="1"/>
    <col min="10773" max="11014" width="9.140625" style="57"/>
    <col min="11015" max="11015" width="10" style="57" customWidth="1"/>
    <col min="11016" max="11016" width="40" style="57" customWidth="1"/>
    <col min="11017" max="11017" width="12.5703125" style="57" customWidth="1"/>
    <col min="11018" max="11019" width="10.42578125" style="57" customWidth="1"/>
    <col min="11020" max="11020" width="11.5703125" style="57" customWidth="1"/>
    <col min="11021" max="11022" width="10.42578125" style="57" customWidth="1"/>
    <col min="11023" max="11023" width="6.5703125" style="57" customWidth="1"/>
    <col min="11024" max="11024" width="11.42578125" style="57" customWidth="1"/>
    <col min="11025" max="11025" width="4.140625" style="57" customWidth="1"/>
    <col min="11026" max="11026" width="18.5703125" style="57" customWidth="1"/>
    <col min="11027" max="11027" width="2.140625" style="57" customWidth="1"/>
    <col min="11028" max="11028" width="10.42578125" style="57" customWidth="1"/>
    <col min="11029" max="11270" width="9.140625" style="57"/>
    <col min="11271" max="11271" width="10" style="57" customWidth="1"/>
    <col min="11272" max="11272" width="40" style="57" customWidth="1"/>
    <col min="11273" max="11273" width="12.5703125" style="57" customWidth="1"/>
    <col min="11274" max="11275" width="10.42578125" style="57" customWidth="1"/>
    <col min="11276" max="11276" width="11.5703125" style="57" customWidth="1"/>
    <col min="11277" max="11278" width="10.42578125" style="57" customWidth="1"/>
    <col min="11279" max="11279" width="6.5703125" style="57" customWidth="1"/>
    <col min="11280" max="11280" width="11.42578125" style="57" customWidth="1"/>
    <col min="11281" max="11281" width="4.140625" style="57" customWidth="1"/>
    <col min="11282" max="11282" width="18.5703125" style="57" customWidth="1"/>
    <col min="11283" max="11283" width="2.140625" style="57" customWidth="1"/>
    <col min="11284" max="11284" width="10.42578125" style="57" customWidth="1"/>
    <col min="11285" max="11526" width="9.140625" style="57"/>
    <col min="11527" max="11527" width="10" style="57" customWidth="1"/>
    <col min="11528" max="11528" width="40" style="57" customWidth="1"/>
    <col min="11529" max="11529" width="12.5703125" style="57" customWidth="1"/>
    <col min="11530" max="11531" width="10.42578125" style="57" customWidth="1"/>
    <col min="11532" max="11532" width="11.5703125" style="57" customWidth="1"/>
    <col min="11533" max="11534" width="10.42578125" style="57" customWidth="1"/>
    <col min="11535" max="11535" width="6.5703125" style="57" customWidth="1"/>
    <col min="11536" max="11536" width="11.42578125" style="57" customWidth="1"/>
    <col min="11537" max="11537" width="4.140625" style="57" customWidth="1"/>
    <col min="11538" max="11538" width="18.5703125" style="57" customWidth="1"/>
    <col min="11539" max="11539" width="2.140625" style="57" customWidth="1"/>
    <col min="11540" max="11540" width="10.42578125" style="57" customWidth="1"/>
    <col min="11541" max="11782" width="9.140625" style="57"/>
    <col min="11783" max="11783" width="10" style="57" customWidth="1"/>
    <col min="11784" max="11784" width="40" style="57" customWidth="1"/>
    <col min="11785" max="11785" width="12.5703125" style="57" customWidth="1"/>
    <col min="11786" max="11787" width="10.42578125" style="57" customWidth="1"/>
    <col min="11788" max="11788" width="11.5703125" style="57" customWidth="1"/>
    <col min="11789" max="11790" width="10.42578125" style="57" customWidth="1"/>
    <col min="11791" max="11791" width="6.5703125" style="57" customWidth="1"/>
    <col min="11792" max="11792" width="11.42578125" style="57" customWidth="1"/>
    <col min="11793" max="11793" width="4.140625" style="57" customWidth="1"/>
    <col min="11794" max="11794" width="18.5703125" style="57" customWidth="1"/>
    <col min="11795" max="11795" width="2.140625" style="57" customWidth="1"/>
    <col min="11796" max="11796" width="10.42578125" style="57" customWidth="1"/>
    <col min="11797" max="12038" width="9.140625" style="57"/>
    <col min="12039" max="12039" width="10" style="57" customWidth="1"/>
    <col min="12040" max="12040" width="40" style="57" customWidth="1"/>
    <col min="12041" max="12041" width="12.5703125" style="57" customWidth="1"/>
    <col min="12042" max="12043" width="10.42578125" style="57" customWidth="1"/>
    <col min="12044" max="12044" width="11.5703125" style="57" customWidth="1"/>
    <col min="12045" max="12046" width="10.42578125" style="57" customWidth="1"/>
    <col min="12047" max="12047" width="6.5703125" style="57" customWidth="1"/>
    <col min="12048" max="12048" width="11.42578125" style="57" customWidth="1"/>
    <col min="12049" max="12049" width="4.140625" style="57" customWidth="1"/>
    <col min="12050" max="12050" width="18.5703125" style="57" customWidth="1"/>
    <col min="12051" max="12051" width="2.140625" style="57" customWidth="1"/>
    <col min="12052" max="12052" width="10.42578125" style="57" customWidth="1"/>
    <col min="12053" max="12294" width="9.140625" style="57"/>
    <col min="12295" max="12295" width="10" style="57" customWidth="1"/>
    <col min="12296" max="12296" width="40" style="57" customWidth="1"/>
    <col min="12297" max="12297" width="12.5703125" style="57" customWidth="1"/>
    <col min="12298" max="12299" width="10.42578125" style="57" customWidth="1"/>
    <col min="12300" max="12300" width="11.5703125" style="57" customWidth="1"/>
    <col min="12301" max="12302" width="10.42578125" style="57" customWidth="1"/>
    <col min="12303" max="12303" width="6.5703125" style="57" customWidth="1"/>
    <col min="12304" max="12304" width="11.42578125" style="57" customWidth="1"/>
    <col min="12305" max="12305" width="4.140625" style="57" customWidth="1"/>
    <col min="12306" max="12306" width="18.5703125" style="57" customWidth="1"/>
    <col min="12307" max="12307" width="2.140625" style="57" customWidth="1"/>
    <col min="12308" max="12308" width="10.42578125" style="57" customWidth="1"/>
    <col min="12309" max="12550" width="9.140625" style="57"/>
    <col min="12551" max="12551" width="10" style="57" customWidth="1"/>
    <col min="12552" max="12552" width="40" style="57" customWidth="1"/>
    <col min="12553" max="12553" width="12.5703125" style="57" customWidth="1"/>
    <col min="12554" max="12555" width="10.42578125" style="57" customWidth="1"/>
    <col min="12556" max="12556" width="11.5703125" style="57" customWidth="1"/>
    <col min="12557" max="12558" width="10.42578125" style="57" customWidth="1"/>
    <col min="12559" max="12559" width="6.5703125" style="57" customWidth="1"/>
    <col min="12560" max="12560" width="11.42578125" style="57" customWidth="1"/>
    <col min="12561" max="12561" width="4.140625" style="57" customWidth="1"/>
    <col min="12562" max="12562" width="18.5703125" style="57" customWidth="1"/>
    <col min="12563" max="12563" width="2.140625" style="57" customWidth="1"/>
    <col min="12564" max="12564" width="10.42578125" style="57" customWidth="1"/>
    <col min="12565" max="12806" width="9.140625" style="57"/>
    <col min="12807" max="12807" width="10" style="57" customWidth="1"/>
    <col min="12808" max="12808" width="40" style="57" customWidth="1"/>
    <col min="12809" max="12809" width="12.5703125" style="57" customWidth="1"/>
    <col min="12810" max="12811" width="10.42578125" style="57" customWidth="1"/>
    <col min="12812" max="12812" width="11.5703125" style="57" customWidth="1"/>
    <col min="12813" max="12814" width="10.42578125" style="57" customWidth="1"/>
    <col min="12815" max="12815" width="6.5703125" style="57" customWidth="1"/>
    <col min="12816" max="12816" width="11.42578125" style="57" customWidth="1"/>
    <col min="12817" max="12817" width="4.140625" style="57" customWidth="1"/>
    <col min="12818" max="12818" width="18.5703125" style="57" customWidth="1"/>
    <col min="12819" max="12819" width="2.140625" style="57" customWidth="1"/>
    <col min="12820" max="12820" width="10.42578125" style="57" customWidth="1"/>
    <col min="12821" max="13062" width="9.140625" style="57"/>
    <col min="13063" max="13063" width="10" style="57" customWidth="1"/>
    <col min="13064" max="13064" width="40" style="57" customWidth="1"/>
    <col min="13065" max="13065" width="12.5703125" style="57" customWidth="1"/>
    <col min="13066" max="13067" width="10.42578125" style="57" customWidth="1"/>
    <col min="13068" max="13068" width="11.5703125" style="57" customWidth="1"/>
    <col min="13069" max="13070" width="10.42578125" style="57" customWidth="1"/>
    <col min="13071" max="13071" width="6.5703125" style="57" customWidth="1"/>
    <col min="13072" max="13072" width="11.42578125" style="57" customWidth="1"/>
    <col min="13073" max="13073" width="4.140625" style="57" customWidth="1"/>
    <col min="13074" max="13074" width="18.5703125" style="57" customWidth="1"/>
    <col min="13075" max="13075" width="2.140625" style="57" customWidth="1"/>
    <col min="13076" max="13076" width="10.42578125" style="57" customWidth="1"/>
    <col min="13077" max="13318" width="9.140625" style="57"/>
    <col min="13319" max="13319" width="10" style="57" customWidth="1"/>
    <col min="13320" max="13320" width="40" style="57" customWidth="1"/>
    <col min="13321" max="13321" width="12.5703125" style="57" customWidth="1"/>
    <col min="13322" max="13323" width="10.42578125" style="57" customWidth="1"/>
    <col min="13324" max="13324" width="11.5703125" style="57" customWidth="1"/>
    <col min="13325" max="13326" width="10.42578125" style="57" customWidth="1"/>
    <col min="13327" max="13327" width="6.5703125" style="57" customWidth="1"/>
    <col min="13328" max="13328" width="11.42578125" style="57" customWidth="1"/>
    <col min="13329" max="13329" width="4.140625" style="57" customWidth="1"/>
    <col min="13330" max="13330" width="18.5703125" style="57" customWidth="1"/>
    <col min="13331" max="13331" width="2.140625" style="57" customWidth="1"/>
    <col min="13332" max="13332" width="10.42578125" style="57" customWidth="1"/>
    <col min="13333" max="13574" width="9.140625" style="57"/>
    <col min="13575" max="13575" width="10" style="57" customWidth="1"/>
    <col min="13576" max="13576" width="40" style="57" customWidth="1"/>
    <col min="13577" max="13577" width="12.5703125" style="57" customWidth="1"/>
    <col min="13578" max="13579" width="10.42578125" style="57" customWidth="1"/>
    <col min="13580" max="13580" width="11.5703125" style="57" customWidth="1"/>
    <col min="13581" max="13582" width="10.42578125" style="57" customWidth="1"/>
    <col min="13583" max="13583" width="6.5703125" style="57" customWidth="1"/>
    <col min="13584" max="13584" width="11.42578125" style="57" customWidth="1"/>
    <col min="13585" max="13585" width="4.140625" style="57" customWidth="1"/>
    <col min="13586" max="13586" width="18.5703125" style="57" customWidth="1"/>
    <col min="13587" max="13587" width="2.140625" style="57" customWidth="1"/>
    <col min="13588" max="13588" width="10.42578125" style="57" customWidth="1"/>
    <col min="13589" max="13830" width="9.140625" style="57"/>
    <col min="13831" max="13831" width="10" style="57" customWidth="1"/>
    <col min="13832" max="13832" width="40" style="57" customWidth="1"/>
    <col min="13833" max="13833" width="12.5703125" style="57" customWidth="1"/>
    <col min="13834" max="13835" width="10.42578125" style="57" customWidth="1"/>
    <col min="13836" max="13836" width="11.5703125" style="57" customWidth="1"/>
    <col min="13837" max="13838" width="10.42578125" style="57" customWidth="1"/>
    <col min="13839" max="13839" width="6.5703125" style="57" customWidth="1"/>
    <col min="13840" max="13840" width="11.42578125" style="57" customWidth="1"/>
    <col min="13841" max="13841" width="4.140625" style="57" customWidth="1"/>
    <col min="13842" max="13842" width="18.5703125" style="57" customWidth="1"/>
    <col min="13843" max="13843" width="2.140625" style="57" customWidth="1"/>
    <col min="13844" max="13844" width="10.42578125" style="57" customWidth="1"/>
    <col min="13845" max="14086" width="9.140625" style="57"/>
    <col min="14087" max="14087" width="10" style="57" customWidth="1"/>
    <col min="14088" max="14088" width="40" style="57" customWidth="1"/>
    <col min="14089" max="14089" width="12.5703125" style="57" customWidth="1"/>
    <col min="14090" max="14091" width="10.42578125" style="57" customWidth="1"/>
    <col min="14092" max="14092" width="11.5703125" style="57" customWidth="1"/>
    <col min="14093" max="14094" width="10.42578125" style="57" customWidth="1"/>
    <col min="14095" max="14095" width="6.5703125" style="57" customWidth="1"/>
    <col min="14096" max="14096" width="11.42578125" style="57" customWidth="1"/>
    <col min="14097" max="14097" width="4.140625" style="57" customWidth="1"/>
    <col min="14098" max="14098" width="18.5703125" style="57" customWidth="1"/>
    <col min="14099" max="14099" width="2.140625" style="57" customWidth="1"/>
    <col min="14100" max="14100" width="10.42578125" style="57" customWidth="1"/>
    <col min="14101" max="14342" width="9.140625" style="57"/>
    <col min="14343" max="14343" width="10" style="57" customWidth="1"/>
    <col min="14344" max="14344" width="40" style="57" customWidth="1"/>
    <col min="14345" max="14345" width="12.5703125" style="57" customWidth="1"/>
    <col min="14346" max="14347" width="10.42578125" style="57" customWidth="1"/>
    <col min="14348" max="14348" width="11.5703125" style="57" customWidth="1"/>
    <col min="14349" max="14350" width="10.42578125" style="57" customWidth="1"/>
    <col min="14351" max="14351" width="6.5703125" style="57" customWidth="1"/>
    <col min="14352" max="14352" width="11.42578125" style="57" customWidth="1"/>
    <col min="14353" max="14353" width="4.140625" style="57" customWidth="1"/>
    <col min="14354" max="14354" width="18.5703125" style="57" customWidth="1"/>
    <col min="14355" max="14355" width="2.140625" style="57" customWidth="1"/>
    <col min="14356" max="14356" width="10.42578125" style="57" customWidth="1"/>
    <col min="14357" max="14598" width="9.140625" style="57"/>
    <col min="14599" max="14599" width="10" style="57" customWidth="1"/>
    <col min="14600" max="14600" width="40" style="57" customWidth="1"/>
    <col min="14601" max="14601" width="12.5703125" style="57" customWidth="1"/>
    <col min="14602" max="14603" width="10.42578125" style="57" customWidth="1"/>
    <col min="14604" max="14604" width="11.5703125" style="57" customWidth="1"/>
    <col min="14605" max="14606" width="10.42578125" style="57" customWidth="1"/>
    <col min="14607" max="14607" width="6.5703125" style="57" customWidth="1"/>
    <col min="14608" max="14608" width="11.42578125" style="57" customWidth="1"/>
    <col min="14609" max="14609" width="4.140625" style="57" customWidth="1"/>
    <col min="14610" max="14610" width="18.5703125" style="57" customWidth="1"/>
    <col min="14611" max="14611" width="2.140625" style="57" customWidth="1"/>
    <col min="14612" max="14612" width="10.42578125" style="57" customWidth="1"/>
    <col min="14613" max="14854" width="9.140625" style="57"/>
    <col min="14855" max="14855" width="10" style="57" customWidth="1"/>
    <col min="14856" max="14856" width="40" style="57" customWidth="1"/>
    <col min="14857" max="14857" width="12.5703125" style="57" customWidth="1"/>
    <col min="14858" max="14859" width="10.42578125" style="57" customWidth="1"/>
    <col min="14860" max="14860" width="11.5703125" style="57" customWidth="1"/>
    <col min="14861" max="14862" width="10.42578125" style="57" customWidth="1"/>
    <col min="14863" max="14863" width="6.5703125" style="57" customWidth="1"/>
    <col min="14864" max="14864" width="11.42578125" style="57" customWidth="1"/>
    <col min="14865" max="14865" width="4.140625" style="57" customWidth="1"/>
    <col min="14866" max="14866" width="18.5703125" style="57" customWidth="1"/>
    <col min="14867" max="14867" width="2.140625" style="57" customWidth="1"/>
    <col min="14868" max="14868" width="10.42578125" style="57" customWidth="1"/>
    <col min="14869" max="15110" width="9.140625" style="57"/>
    <col min="15111" max="15111" width="10" style="57" customWidth="1"/>
    <col min="15112" max="15112" width="40" style="57" customWidth="1"/>
    <col min="15113" max="15113" width="12.5703125" style="57" customWidth="1"/>
    <col min="15114" max="15115" width="10.42578125" style="57" customWidth="1"/>
    <col min="15116" max="15116" width="11.5703125" style="57" customWidth="1"/>
    <col min="15117" max="15118" width="10.42578125" style="57" customWidth="1"/>
    <col min="15119" max="15119" width="6.5703125" style="57" customWidth="1"/>
    <col min="15120" max="15120" width="11.42578125" style="57" customWidth="1"/>
    <col min="15121" max="15121" width="4.140625" style="57" customWidth="1"/>
    <col min="15122" max="15122" width="18.5703125" style="57" customWidth="1"/>
    <col min="15123" max="15123" width="2.140625" style="57" customWidth="1"/>
    <col min="15124" max="15124" width="10.42578125" style="57" customWidth="1"/>
    <col min="15125" max="15366" width="9.140625" style="57"/>
    <col min="15367" max="15367" width="10" style="57" customWidth="1"/>
    <col min="15368" max="15368" width="40" style="57" customWidth="1"/>
    <col min="15369" max="15369" width="12.5703125" style="57" customWidth="1"/>
    <col min="15370" max="15371" width="10.42578125" style="57" customWidth="1"/>
    <col min="15372" max="15372" width="11.5703125" style="57" customWidth="1"/>
    <col min="15373" max="15374" width="10.42578125" style="57" customWidth="1"/>
    <col min="15375" max="15375" width="6.5703125" style="57" customWidth="1"/>
    <col min="15376" max="15376" width="11.42578125" style="57" customWidth="1"/>
    <col min="15377" max="15377" width="4.140625" style="57" customWidth="1"/>
    <col min="15378" max="15378" width="18.5703125" style="57" customWidth="1"/>
    <col min="15379" max="15379" width="2.140625" style="57" customWidth="1"/>
    <col min="15380" max="15380" width="10.42578125" style="57" customWidth="1"/>
    <col min="15381" max="15622" width="9.140625" style="57"/>
    <col min="15623" max="15623" width="10" style="57" customWidth="1"/>
    <col min="15624" max="15624" width="40" style="57" customWidth="1"/>
    <col min="15625" max="15625" width="12.5703125" style="57" customWidth="1"/>
    <col min="15626" max="15627" width="10.42578125" style="57" customWidth="1"/>
    <col min="15628" max="15628" width="11.5703125" style="57" customWidth="1"/>
    <col min="15629" max="15630" width="10.42578125" style="57" customWidth="1"/>
    <col min="15631" max="15631" width="6.5703125" style="57" customWidth="1"/>
    <col min="15632" max="15632" width="11.42578125" style="57" customWidth="1"/>
    <col min="15633" max="15633" width="4.140625" style="57" customWidth="1"/>
    <col min="15634" max="15634" width="18.5703125" style="57" customWidth="1"/>
    <col min="15635" max="15635" width="2.140625" style="57" customWidth="1"/>
    <col min="15636" max="15636" width="10.42578125" style="57" customWidth="1"/>
    <col min="15637" max="15878" width="9.140625" style="57"/>
    <col min="15879" max="15879" width="10" style="57" customWidth="1"/>
    <col min="15880" max="15880" width="40" style="57" customWidth="1"/>
    <col min="15881" max="15881" width="12.5703125" style="57" customWidth="1"/>
    <col min="15882" max="15883" width="10.42578125" style="57" customWidth="1"/>
    <col min="15884" max="15884" width="11.5703125" style="57" customWidth="1"/>
    <col min="15885" max="15886" width="10.42578125" style="57" customWidth="1"/>
    <col min="15887" max="15887" width="6.5703125" style="57" customWidth="1"/>
    <col min="15888" max="15888" width="11.42578125" style="57" customWidth="1"/>
    <col min="15889" max="15889" width="4.140625" style="57" customWidth="1"/>
    <col min="15890" max="15890" width="18.5703125" style="57" customWidth="1"/>
    <col min="15891" max="15891" width="2.140625" style="57" customWidth="1"/>
    <col min="15892" max="15892" width="10.42578125" style="57" customWidth="1"/>
    <col min="15893" max="16134" width="9.140625" style="57"/>
    <col min="16135" max="16135" width="10" style="57" customWidth="1"/>
    <col min="16136" max="16136" width="40" style="57" customWidth="1"/>
    <col min="16137" max="16137" width="12.5703125" style="57" customWidth="1"/>
    <col min="16138" max="16139" width="10.42578125" style="57" customWidth="1"/>
    <col min="16140" max="16140" width="11.5703125" style="57" customWidth="1"/>
    <col min="16141" max="16142" width="10.42578125" style="57" customWidth="1"/>
    <col min="16143" max="16143" width="6.5703125" style="57" customWidth="1"/>
    <col min="16144" max="16144" width="11.42578125" style="57" customWidth="1"/>
    <col min="16145" max="16145" width="4.140625" style="57" customWidth="1"/>
    <col min="16146" max="16146" width="18.5703125" style="57" customWidth="1"/>
    <col min="16147" max="16147" width="2.140625" style="57" customWidth="1"/>
    <col min="16148" max="16148" width="10.42578125" style="57" customWidth="1"/>
    <col min="16149" max="16384" width="9.140625" style="57"/>
  </cols>
  <sheetData>
    <row r="1" spans="2:21" ht="13.5" customHeight="1" x14ac:dyDescent="0.25">
      <c r="H1" s="781" t="s">
        <v>38</v>
      </c>
      <c r="I1" s="781"/>
      <c r="J1" s="781"/>
      <c r="K1" s="781"/>
      <c r="L1" s="781"/>
      <c r="M1" s="781" t="s">
        <v>39</v>
      </c>
      <c r="N1" s="781"/>
      <c r="O1" s="783" t="s">
        <v>40</v>
      </c>
      <c r="P1" s="783"/>
      <c r="Q1" s="783"/>
    </row>
    <row r="2" spans="2:21" s="59" customFormat="1" ht="15" customHeight="1" x14ac:dyDescent="0.25">
      <c r="B2" s="60" t="s">
        <v>41</v>
      </c>
      <c r="C2" s="61" t="s">
        <v>42</v>
      </c>
      <c r="D2" s="61" t="s">
        <v>43</v>
      </c>
      <c r="E2" s="61" t="s">
        <v>44</v>
      </c>
      <c r="F2" s="61" t="s">
        <v>45</v>
      </c>
      <c r="G2" s="61" t="s">
        <v>46</v>
      </c>
      <c r="H2" s="61" t="s">
        <v>47</v>
      </c>
      <c r="I2" s="61" t="s">
        <v>48</v>
      </c>
      <c r="J2" s="61" t="s">
        <v>47</v>
      </c>
      <c r="K2" s="61" t="s">
        <v>48</v>
      </c>
      <c r="L2" s="65" t="s">
        <v>49</v>
      </c>
      <c r="M2" s="65" t="s">
        <v>39</v>
      </c>
      <c r="N2" s="65" t="s">
        <v>49</v>
      </c>
      <c r="O2" s="65" t="s">
        <v>47</v>
      </c>
      <c r="P2" s="65" t="s">
        <v>48</v>
      </c>
      <c r="Q2" s="65" t="s">
        <v>49</v>
      </c>
      <c r="R2" s="63" t="s">
        <v>50</v>
      </c>
    </row>
    <row r="3" spans="2:21" ht="15" customHeight="1" x14ac:dyDescent="0.25">
      <c r="B3" s="265">
        <v>4</v>
      </c>
      <c r="C3" s="266" t="s">
        <v>66</v>
      </c>
      <c r="D3" s="267" t="s">
        <v>60</v>
      </c>
      <c r="E3" s="268">
        <v>45546</v>
      </c>
      <c r="F3" s="268">
        <v>45742</v>
      </c>
      <c r="G3" s="68"/>
      <c r="H3" s="72"/>
      <c r="I3" s="72"/>
      <c r="J3" s="72"/>
      <c r="K3" s="72"/>
      <c r="L3" s="131">
        <v>0</v>
      </c>
      <c r="M3" s="160"/>
      <c r="N3" s="133">
        <v>0</v>
      </c>
      <c r="O3" s="109"/>
      <c r="P3" s="109"/>
      <c r="Q3" s="78">
        <v>0</v>
      </c>
      <c r="R3" s="161"/>
      <c r="T3" s="81" t="s">
        <v>53</v>
      </c>
      <c r="U3" s="82">
        <v>6</v>
      </c>
    </row>
    <row r="4" spans="2:21" ht="15" customHeight="1" x14ac:dyDescent="0.25">
      <c r="B4" s="67">
        <v>2</v>
      </c>
      <c r="C4" s="116" t="s">
        <v>51</v>
      </c>
      <c r="D4" s="110" t="s">
        <v>60</v>
      </c>
      <c r="E4" s="118">
        <v>44599</v>
      </c>
      <c r="F4" s="118"/>
      <c r="G4" s="116"/>
      <c r="H4" s="121"/>
      <c r="I4" s="121"/>
      <c r="J4" s="121"/>
      <c r="K4" s="121"/>
      <c r="L4" s="131">
        <v>0</v>
      </c>
      <c r="M4" s="140"/>
      <c r="N4" s="141">
        <v>0</v>
      </c>
      <c r="O4" s="127"/>
      <c r="P4" s="127"/>
      <c r="Q4" s="78">
        <v>0</v>
      </c>
      <c r="R4" s="142"/>
      <c r="T4" s="83" t="s">
        <v>44</v>
      </c>
      <c r="U4" s="84">
        <v>2</v>
      </c>
    </row>
    <row r="5" spans="2:21" ht="15" customHeight="1" x14ac:dyDescent="0.25">
      <c r="B5" s="111">
        <v>6</v>
      </c>
      <c r="C5" s="165" t="s">
        <v>68</v>
      </c>
      <c r="D5" s="113" t="s">
        <v>60</v>
      </c>
      <c r="E5" s="166">
        <v>45630</v>
      </c>
      <c r="F5" s="269">
        <v>45719</v>
      </c>
      <c r="G5" s="116"/>
      <c r="H5" s="121"/>
      <c r="I5" s="121"/>
      <c r="J5" s="121"/>
      <c r="K5" s="121"/>
      <c r="L5" s="131">
        <v>0</v>
      </c>
      <c r="M5" s="145"/>
      <c r="N5" s="141">
        <v>0</v>
      </c>
      <c r="O5" s="127"/>
      <c r="P5" s="127"/>
      <c r="Q5" s="155">
        <v>0</v>
      </c>
      <c r="R5" s="142" t="s">
        <v>120</v>
      </c>
      <c r="T5" s="83" t="s">
        <v>45</v>
      </c>
      <c r="U5" s="84">
        <v>2</v>
      </c>
    </row>
    <row r="6" spans="2:21" ht="15" customHeight="1" x14ac:dyDescent="0.25">
      <c r="B6" s="167">
        <v>7</v>
      </c>
      <c r="C6" s="168" t="s">
        <v>119</v>
      </c>
      <c r="D6" s="169" t="s">
        <v>60</v>
      </c>
      <c r="E6" s="170">
        <v>45693</v>
      </c>
      <c r="F6" s="118"/>
      <c r="G6" s="116"/>
      <c r="H6" s="121"/>
      <c r="I6" s="121"/>
      <c r="J6" s="121"/>
      <c r="K6" s="121"/>
      <c r="L6" s="131">
        <v>0</v>
      </c>
      <c r="M6" s="145"/>
      <c r="N6" s="141">
        <v>0</v>
      </c>
      <c r="O6" s="127"/>
      <c r="P6" s="127"/>
      <c r="Q6" s="155">
        <v>0</v>
      </c>
      <c r="R6" s="142"/>
      <c r="T6" s="100" t="s">
        <v>56</v>
      </c>
      <c r="U6" s="101">
        <f>U3+U4-U5</f>
        <v>6</v>
      </c>
    </row>
    <row r="7" spans="2:21" ht="15" customHeight="1" x14ac:dyDescent="0.25">
      <c r="B7" s="202">
        <v>9</v>
      </c>
      <c r="C7" s="203" t="s">
        <v>98</v>
      </c>
      <c r="D7" s="204" t="s">
        <v>60</v>
      </c>
      <c r="E7" s="205">
        <v>45702</v>
      </c>
      <c r="F7" s="166"/>
      <c r="G7" s="116"/>
      <c r="H7" s="121"/>
      <c r="I7" s="121"/>
      <c r="J7" s="121"/>
      <c r="K7" s="121"/>
      <c r="L7" s="164">
        <v>0</v>
      </c>
      <c r="M7" s="145"/>
      <c r="N7" s="141">
        <v>0</v>
      </c>
      <c r="O7" s="127"/>
      <c r="P7" s="127"/>
      <c r="Q7" s="155">
        <v>0</v>
      </c>
      <c r="R7" s="142"/>
    </row>
    <row r="8" spans="2:21" ht="15" customHeight="1" x14ac:dyDescent="0.25">
      <c r="B8" s="115">
        <v>3</v>
      </c>
      <c r="C8" s="116" t="s">
        <v>55</v>
      </c>
      <c r="D8" s="117" t="s">
        <v>60</v>
      </c>
      <c r="E8" s="118">
        <v>44602</v>
      </c>
      <c r="F8" s="118"/>
      <c r="G8" s="116"/>
      <c r="H8" s="121">
        <v>45741</v>
      </c>
      <c r="I8" s="121">
        <v>45741</v>
      </c>
      <c r="J8" s="121"/>
      <c r="K8" s="121"/>
      <c r="L8" s="164">
        <v>1</v>
      </c>
      <c r="M8" s="140"/>
      <c r="N8" s="141">
        <v>0</v>
      </c>
      <c r="O8" s="127"/>
      <c r="P8" s="127"/>
      <c r="Q8" s="155">
        <v>0</v>
      </c>
      <c r="R8" s="142"/>
      <c r="T8" s="81" t="s">
        <v>57</v>
      </c>
      <c r="U8" s="82">
        <v>2</v>
      </c>
    </row>
    <row r="9" spans="2:21" ht="15" customHeight="1" x14ac:dyDescent="0.25">
      <c r="B9" s="67">
        <v>11</v>
      </c>
      <c r="C9" s="259" t="s">
        <v>99</v>
      </c>
      <c r="D9" s="153" t="s">
        <v>60</v>
      </c>
      <c r="E9" s="260">
        <v>45736</v>
      </c>
      <c r="F9" s="69"/>
      <c r="G9" s="68"/>
      <c r="H9" s="72"/>
      <c r="I9" s="72"/>
      <c r="J9" s="72"/>
      <c r="K9" s="72"/>
      <c r="L9" s="164">
        <v>0</v>
      </c>
      <c r="M9" s="132"/>
      <c r="N9" s="141">
        <v>0</v>
      </c>
      <c r="O9" s="109"/>
      <c r="P9" s="109"/>
      <c r="Q9" s="155">
        <v>0</v>
      </c>
      <c r="R9" s="134"/>
      <c r="T9" s="100" t="s">
        <v>13</v>
      </c>
      <c r="U9" s="101">
        <f>U6+U8</f>
        <v>8</v>
      </c>
    </row>
    <row r="10" spans="2:21" ht="15" customHeight="1" x14ac:dyDescent="0.25">
      <c r="B10" s="85">
        <v>10</v>
      </c>
      <c r="C10" s="157" t="s">
        <v>121</v>
      </c>
      <c r="D10" s="158" t="s">
        <v>60</v>
      </c>
      <c r="E10" s="159">
        <v>45734</v>
      </c>
      <c r="F10" s="87"/>
      <c r="G10" s="86"/>
      <c r="H10" s="90"/>
      <c r="I10" s="90"/>
      <c r="J10" s="90"/>
      <c r="K10" s="90"/>
      <c r="L10" s="135">
        <v>0</v>
      </c>
      <c r="M10" s="136"/>
      <c r="N10" s="137">
        <v>0</v>
      </c>
      <c r="O10" s="96"/>
      <c r="P10" s="96"/>
      <c r="Q10" s="138">
        <v>0</v>
      </c>
      <c r="R10" s="139"/>
    </row>
    <row r="11" spans="2:21" ht="15" customHeight="1" x14ac:dyDescent="0.25">
      <c r="L11" s="99">
        <f>SUM(L3:L8)</f>
        <v>1</v>
      </c>
      <c r="N11" s="99">
        <f>SUM(N3:N8)</f>
        <v>0</v>
      </c>
      <c r="O11" s="99"/>
      <c r="P11" s="99"/>
      <c r="Q11" s="99">
        <f>SUM(Q3:Q8)</f>
        <v>0</v>
      </c>
      <c r="T11" s="784" t="s">
        <v>58</v>
      </c>
      <c r="U11" s="784"/>
    </row>
    <row r="12" spans="2:21" ht="15" customHeight="1" x14ac:dyDescent="0.25">
      <c r="T12" s="83" t="s">
        <v>38</v>
      </c>
      <c r="U12" s="102">
        <f>L11</f>
        <v>1</v>
      </c>
    </row>
    <row r="13" spans="2:21" ht="15" customHeight="1" x14ac:dyDescent="0.25">
      <c r="T13" s="103" t="s">
        <v>39</v>
      </c>
      <c r="U13" s="104">
        <f>N11</f>
        <v>0</v>
      </c>
    </row>
    <row r="14" spans="2:21" ht="15" customHeight="1" x14ac:dyDescent="0.25"/>
    <row r="15" spans="2:21" ht="15" customHeight="1" x14ac:dyDescent="0.25">
      <c r="T15" s="81" t="s">
        <v>40</v>
      </c>
      <c r="U15" s="105">
        <f>Q11</f>
        <v>0</v>
      </c>
    </row>
    <row r="16" spans="2:21" ht="15" customHeight="1" x14ac:dyDescent="0.25">
      <c r="T16" s="103" t="s">
        <v>59</v>
      </c>
      <c r="U16" s="104">
        <v>0</v>
      </c>
    </row>
    <row r="17" spans="20:21" ht="15" customHeight="1" x14ac:dyDescent="0.25"/>
    <row r="18" spans="20:21" ht="15" customHeight="1" x14ac:dyDescent="0.25">
      <c r="T18" s="106" t="s">
        <v>22</v>
      </c>
      <c r="U18" s="107">
        <v>21</v>
      </c>
    </row>
    <row r="19" spans="20:21" ht="15" customHeight="1" x14ac:dyDescent="0.25"/>
    <row r="20" spans="20:21" ht="15" customHeight="1" x14ac:dyDescent="0.25"/>
    <row r="21" spans="20:21" ht="15" customHeight="1" x14ac:dyDescent="0.25"/>
    <row r="22" spans="20:21" ht="15" customHeight="1" x14ac:dyDescent="0.25"/>
    <row r="23" spans="20:21" ht="15" customHeight="1" x14ac:dyDescent="0.25"/>
    <row r="24" spans="20:21" ht="15" customHeight="1" x14ac:dyDescent="0.25"/>
    <row r="25" spans="20:21" ht="15" customHeight="1" x14ac:dyDescent="0.25"/>
    <row r="26" spans="20:21" ht="15" customHeight="1" x14ac:dyDescent="0.25"/>
    <row r="27" spans="20:21" ht="15" customHeight="1" x14ac:dyDescent="0.25"/>
    <row r="28" spans="20:21" ht="15" customHeight="1" x14ac:dyDescent="0.25"/>
    <row r="29" spans="20:21" ht="15" customHeight="1" x14ac:dyDescent="0.25"/>
    <row r="30" spans="20:21" ht="15" customHeight="1" x14ac:dyDescent="0.25"/>
    <row r="31" spans="20:21" ht="15" customHeight="1" x14ac:dyDescent="0.25"/>
    <row r="32" spans="20:21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</sheetData>
  <mergeCells count="4">
    <mergeCell ref="H1:L1"/>
    <mergeCell ref="M1:N1"/>
    <mergeCell ref="O1:Q1"/>
    <mergeCell ref="T11:U11"/>
  </mergeCells>
  <pageMargins left="0.25" right="0.25" top="0.75" bottom="0.75" header="0.511811023622047" footer="0.511811023622047"/>
  <pageSetup paperSize="9" orientation="landscape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U35"/>
  <sheetViews>
    <sheetView showGridLines="0" topLeftCell="E1" zoomScaleNormal="100" workbookViewId="0">
      <selection activeCell="E4" sqref="E4"/>
    </sheetView>
  </sheetViews>
  <sheetFormatPr defaultColWidth="9.140625" defaultRowHeight="12.75" x14ac:dyDescent="0.25"/>
  <cols>
    <col min="1" max="1" width="9.140625" style="57"/>
    <col min="2" max="2" width="10" style="57" customWidth="1"/>
    <col min="3" max="3" width="40" style="57" customWidth="1"/>
    <col min="4" max="4" width="12.5703125" style="57" customWidth="1"/>
    <col min="5" max="6" width="10.42578125" style="57" customWidth="1"/>
    <col min="7" max="7" width="11.5703125" style="57" customWidth="1"/>
    <col min="8" max="11" width="10.42578125" style="57" customWidth="1"/>
    <col min="12" max="12" width="4.140625" style="57" customWidth="1"/>
    <col min="13" max="13" width="11.42578125" style="58" customWidth="1"/>
    <col min="14" max="14" width="4.140625" style="57" customWidth="1"/>
    <col min="15" max="16" width="10.42578125" style="57" customWidth="1"/>
    <col min="17" max="17" width="4.140625" style="57" customWidth="1"/>
    <col min="18" max="18" width="27.140625" style="57" customWidth="1"/>
    <col min="19" max="19" width="2.140625" style="57" customWidth="1"/>
    <col min="20" max="20" width="13.140625" style="57" customWidth="1"/>
    <col min="21" max="21" width="5.140625" style="57" customWidth="1"/>
    <col min="22" max="262" width="9.140625" style="57"/>
    <col min="263" max="263" width="10" style="57" customWidth="1"/>
    <col min="264" max="264" width="40" style="57" customWidth="1"/>
    <col min="265" max="265" width="12.5703125" style="57" customWidth="1"/>
    <col min="266" max="267" width="10.42578125" style="57" customWidth="1"/>
    <col min="268" max="268" width="11.5703125" style="57" customWidth="1"/>
    <col min="269" max="270" width="10.42578125" style="57" customWidth="1"/>
    <col min="271" max="271" width="6.5703125" style="57" customWidth="1"/>
    <col min="272" max="272" width="11.42578125" style="57" customWidth="1"/>
    <col min="273" max="273" width="4.140625" style="57" customWidth="1"/>
    <col min="274" max="274" width="18.5703125" style="57" customWidth="1"/>
    <col min="275" max="275" width="2.140625" style="57" customWidth="1"/>
    <col min="276" max="276" width="10.42578125" style="57" customWidth="1"/>
    <col min="277" max="518" width="9.140625" style="57"/>
    <col min="519" max="519" width="10" style="57" customWidth="1"/>
    <col min="520" max="520" width="40" style="57" customWidth="1"/>
    <col min="521" max="521" width="12.5703125" style="57" customWidth="1"/>
    <col min="522" max="523" width="10.42578125" style="57" customWidth="1"/>
    <col min="524" max="524" width="11.5703125" style="57" customWidth="1"/>
    <col min="525" max="526" width="10.42578125" style="57" customWidth="1"/>
    <col min="527" max="527" width="6.5703125" style="57" customWidth="1"/>
    <col min="528" max="528" width="11.42578125" style="57" customWidth="1"/>
    <col min="529" max="529" width="4.140625" style="57" customWidth="1"/>
    <col min="530" max="530" width="18.5703125" style="57" customWidth="1"/>
    <col min="531" max="531" width="2.140625" style="57" customWidth="1"/>
    <col min="532" max="532" width="10.42578125" style="57" customWidth="1"/>
    <col min="533" max="774" width="9.140625" style="57"/>
    <col min="775" max="775" width="10" style="57" customWidth="1"/>
    <col min="776" max="776" width="40" style="57" customWidth="1"/>
    <col min="777" max="777" width="12.5703125" style="57" customWidth="1"/>
    <col min="778" max="779" width="10.42578125" style="57" customWidth="1"/>
    <col min="780" max="780" width="11.5703125" style="57" customWidth="1"/>
    <col min="781" max="782" width="10.42578125" style="57" customWidth="1"/>
    <col min="783" max="783" width="6.5703125" style="57" customWidth="1"/>
    <col min="784" max="784" width="11.42578125" style="57" customWidth="1"/>
    <col min="785" max="785" width="4.140625" style="57" customWidth="1"/>
    <col min="786" max="786" width="18.5703125" style="57" customWidth="1"/>
    <col min="787" max="787" width="2.140625" style="57" customWidth="1"/>
    <col min="788" max="788" width="10.42578125" style="57" customWidth="1"/>
    <col min="789" max="1030" width="9.140625" style="57"/>
    <col min="1031" max="1031" width="10" style="57" customWidth="1"/>
    <col min="1032" max="1032" width="40" style="57" customWidth="1"/>
    <col min="1033" max="1033" width="12.5703125" style="57" customWidth="1"/>
    <col min="1034" max="1035" width="10.42578125" style="57" customWidth="1"/>
    <col min="1036" max="1036" width="11.5703125" style="57" customWidth="1"/>
    <col min="1037" max="1038" width="10.42578125" style="57" customWidth="1"/>
    <col min="1039" max="1039" width="6.5703125" style="57" customWidth="1"/>
    <col min="1040" max="1040" width="11.42578125" style="57" customWidth="1"/>
    <col min="1041" max="1041" width="4.140625" style="57" customWidth="1"/>
    <col min="1042" max="1042" width="18.5703125" style="57" customWidth="1"/>
    <col min="1043" max="1043" width="2.140625" style="57" customWidth="1"/>
    <col min="1044" max="1044" width="10.42578125" style="57" customWidth="1"/>
    <col min="1045" max="1286" width="9.140625" style="57"/>
    <col min="1287" max="1287" width="10" style="57" customWidth="1"/>
    <col min="1288" max="1288" width="40" style="57" customWidth="1"/>
    <col min="1289" max="1289" width="12.5703125" style="57" customWidth="1"/>
    <col min="1290" max="1291" width="10.42578125" style="57" customWidth="1"/>
    <col min="1292" max="1292" width="11.5703125" style="57" customWidth="1"/>
    <col min="1293" max="1294" width="10.42578125" style="57" customWidth="1"/>
    <col min="1295" max="1295" width="6.5703125" style="57" customWidth="1"/>
    <col min="1296" max="1296" width="11.42578125" style="57" customWidth="1"/>
    <col min="1297" max="1297" width="4.140625" style="57" customWidth="1"/>
    <col min="1298" max="1298" width="18.5703125" style="57" customWidth="1"/>
    <col min="1299" max="1299" width="2.140625" style="57" customWidth="1"/>
    <col min="1300" max="1300" width="10.42578125" style="57" customWidth="1"/>
    <col min="1301" max="1542" width="9.140625" style="57"/>
    <col min="1543" max="1543" width="10" style="57" customWidth="1"/>
    <col min="1544" max="1544" width="40" style="57" customWidth="1"/>
    <col min="1545" max="1545" width="12.5703125" style="57" customWidth="1"/>
    <col min="1546" max="1547" width="10.42578125" style="57" customWidth="1"/>
    <col min="1548" max="1548" width="11.5703125" style="57" customWidth="1"/>
    <col min="1549" max="1550" width="10.42578125" style="57" customWidth="1"/>
    <col min="1551" max="1551" width="6.5703125" style="57" customWidth="1"/>
    <col min="1552" max="1552" width="11.42578125" style="57" customWidth="1"/>
    <col min="1553" max="1553" width="4.140625" style="57" customWidth="1"/>
    <col min="1554" max="1554" width="18.5703125" style="57" customWidth="1"/>
    <col min="1555" max="1555" width="2.140625" style="57" customWidth="1"/>
    <col min="1556" max="1556" width="10.42578125" style="57" customWidth="1"/>
    <col min="1557" max="1798" width="9.140625" style="57"/>
    <col min="1799" max="1799" width="10" style="57" customWidth="1"/>
    <col min="1800" max="1800" width="40" style="57" customWidth="1"/>
    <col min="1801" max="1801" width="12.5703125" style="57" customWidth="1"/>
    <col min="1802" max="1803" width="10.42578125" style="57" customWidth="1"/>
    <col min="1804" max="1804" width="11.5703125" style="57" customWidth="1"/>
    <col min="1805" max="1806" width="10.42578125" style="57" customWidth="1"/>
    <col min="1807" max="1807" width="6.5703125" style="57" customWidth="1"/>
    <col min="1808" max="1808" width="11.42578125" style="57" customWidth="1"/>
    <col min="1809" max="1809" width="4.140625" style="57" customWidth="1"/>
    <col min="1810" max="1810" width="18.5703125" style="57" customWidth="1"/>
    <col min="1811" max="1811" width="2.140625" style="57" customWidth="1"/>
    <col min="1812" max="1812" width="10.42578125" style="57" customWidth="1"/>
    <col min="1813" max="2054" width="9.140625" style="57"/>
    <col min="2055" max="2055" width="10" style="57" customWidth="1"/>
    <col min="2056" max="2056" width="40" style="57" customWidth="1"/>
    <col min="2057" max="2057" width="12.5703125" style="57" customWidth="1"/>
    <col min="2058" max="2059" width="10.42578125" style="57" customWidth="1"/>
    <col min="2060" max="2060" width="11.5703125" style="57" customWidth="1"/>
    <col min="2061" max="2062" width="10.42578125" style="57" customWidth="1"/>
    <col min="2063" max="2063" width="6.5703125" style="57" customWidth="1"/>
    <col min="2064" max="2064" width="11.42578125" style="57" customWidth="1"/>
    <col min="2065" max="2065" width="4.140625" style="57" customWidth="1"/>
    <col min="2066" max="2066" width="18.5703125" style="57" customWidth="1"/>
    <col min="2067" max="2067" width="2.140625" style="57" customWidth="1"/>
    <col min="2068" max="2068" width="10.42578125" style="57" customWidth="1"/>
    <col min="2069" max="2310" width="9.140625" style="57"/>
    <col min="2311" max="2311" width="10" style="57" customWidth="1"/>
    <col min="2312" max="2312" width="40" style="57" customWidth="1"/>
    <col min="2313" max="2313" width="12.5703125" style="57" customWidth="1"/>
    <col min="2314" max="2315" width="10.42578125" style="57" customWidth="1"/>
    <col min="2316" max="2316" width="11.5703125" style="57" customWidth="1"/>
    <col min="2317" max="2318" width="10.42578125" style="57" customWidth="1"/>
    <col min="2319" max="2319" width="6.5703125" style="57" customWidth="1"/>
    <col min="2320" max="2320" width="11.42578125" style="57" customWidth="1"/>
    <col min="2321" max="2321" width="4.140625" style="57" customWidth="1"/>
    <col min="2322" max="2322" width="18.5703125" style="57" customWidth="1"/>
    <col min="2323" max="2323" width="2.140625" style="57" customWidth="1"/>
    <col min="2324" max="2324" width="10.42578125" style="57" customWidth="1"/>
    <col min="2325" max="2566" width="9.140625" style="57"/>
    <col min="2567" max="2567" width="10" style="57" customWidth="1"/>
    <col min="2568" max="2568" width="40" style="57" customWidth="1"/>
    <col min="2569" max="2569" width="12.5703125" style="57" customWidth="1"/>
    <col min="2570" max="2571" width="10.42578125" style="57" customWidth="1"/>
    <col min="2572" max="2572" width="11.5703125" style="57" customWidth="1"/>
    <col min="2573" max="2574" width="10.42578125" style="57" customWidth="1"/>
    <col min="2575" max="2575" width="6.5703125" style="57" customWidth="1"/>
    <col min="2576" max="2576" width="11.42578125" style="57" customWidth="1"/>
    <col min="2577" max="2577" width="4.140625" style="57" customWidth="1"/>
    <col min="2578" max="2578" width="18.5703125" style="57" customWidth="1"/>
    <col min="2579" max="2579" width="2.140625" style="57" customWidth="1"/>
    <col min="2580" max="2580" width="10.42578125" style="57" customWidth="1"/>
    <col min="2581" max="2822" width="9.140625" style="57"/>
    <col min="2823" max="2823" width="10" style="57" customWidth="1"/>
    <col min="2824" max="2824" width="40" style="57" customWidth="1"/>
    <col min="2825" max="2825" width="12.5703125" style="57" customWidth="1"/>
    <col min="2826" max="2827" width="10.42578125" style="57" customWidth="1"/>
    <col min="2828" max="2828" width="11.5703125" style="57" customWidth="1"/>
    <col min="2829" max="2830" width="10.42578125" style="57" customWidth="1"/>
    <col min="2831" max="2831" width="6.5703125" style="57" customWidth="1"/>
    <col min="2832" max="2832" width="11.42578125" style="57" customWidth="1"/>
    <col min="2833" max="2833" width="4.140625" style="57" customWidth="1"/>
    <col min="2834" max="2834" width="18.5703125" style="57" customWidth="1"/>
    <col min="2835" max="2835" width="2.140625" style="57" customWidth="1"/>
    <col min="2836" max="2836" width="10.42578125" style="57" customWidth="1"/>
    <col min="2837" max="3078" width="9.140625" style="57"/>
    <col min="3079" max="3079" width="10" style="57" customWidth="1"/>
    <col min="3080" max="3080" width="40" style="57" customWidth="1"/>
    <col min="3081" max="3081" width="12.5703125" style="57" customWidth="1"/>
    <col min="3082" max="3083" width="10.42578125" style="57" customWidth="1"/>
    <col min="3084" max="3084" width="11.5703125" style="57" customWidth="1"/>
    <col min="3085" max="3086" width="10.42578125" style="57" customWidth="1"/>
    <col min="3087" max="3087" width="6.5703125" style="57" customWidth="1"/>
    <col min="3088" max="3088" width="11.42578125" style="57" customWidth="1"/>
    <col min="3089" max="3089" width="4.140625" style="57" customWidth="1"/>
    <col min="3090" max="3090" width="18.5703125" style="57" customWidth="1"/>
    <col min="3091" max="3091" width="2.140625" style="57" customWidth="1"/>
    <col min="3092" max="3092" width="10.42578125" style="57" customWidth="1"/>
    <col min="3093" max="3334" width="9.140625" style="57"/>
    <col min="3335" max="3335" width="10" style="57" customWidth="1"/>
    <col min="3336" max="3336" width="40" style="57" customWidth="1"/>
    <col min="3337" max="3337" width="12.5703125" style="57" customWidth="1"/>
    <col min="3338" max="3339" width="10.42578125" style="57" customWidth="1"/>
    <col min="3340" max="3340" width="11.5703125" style="57" customWidth="1"/>
    <col min="3341" max="3342" width="10.42578125" style="57" customWidth="1"/>
    <col min="3343" max="3343" width="6.5703125" style="57" customWidth="1"/>
    <col min="3344" max="3344" width="11.42578125" style="57" customWidth="1"/>
    <col min="3345" max="3345" width="4.140625" style="57" customWidth="1"/>
    <col min="3346" max="3346" width="18.5703125" style="57" customWidth="1"/>
    <col min="3347" max="3347" width="2.140625" style="57" customWidth="1"/>
    <col min="3348" max="3348" width="10.42578125" style="57" customWidth="1"/>
    <col min="3349" max="3590" width="9.140625" style="57"/>
    <col min="3591" max="3591" width="10" style="57" customWidth="1"/>
    <col min="3592" max="3592" width="40" style="57" customWidth="1"/>
    <col min="3593" max="3593" width="12.5703125" style="57" customWidth="1"/>
    <col min="3594" max="3595" width="10.42578125" style="57" customWidth="1"/>
    <col min="3596" max="3596" width="11.5703125" style="57" customWidth="1"/>
    <col min="3597" max="3598" width="10.42578125" style="57" customWidth="1"/>
    <col min="3599" max="3599" width="6.5703125" style="57" customWidth="1"/>
    <col min="3600" max="3600" width="11.42578125" style="57" customWidth="1"/>
    <col min="3601" max="3601" width="4.140625" style="57" customWidth="1"/>
    <col min="3602" max="3602" width="18.5703125" style="57" customWidth="1"/>
    <col min="3603" max="3603" width="2.140625" style="57" customWidth="1"/>
    <col min="3604" max="3604" width="10.42578125" style="57" customWidth="1"/>
    <col min="3605" max="3846" width="9.140625" style="57"/>
    <col min="3847" max="3847" width="10" style="57" customWidth="1"/>
    <col min="3848" max="3848" width="40" style="57" customWidth="1"/>
    <col min="3849" max="3849" width="12.5703125" style="57" customWidth="1"/>
    <col min="3850" max="3851" width="10.42578125" style="57" customWidth="1"/>
    <col min="3852" max="3852" width="11.5703125" style="57" customWidth="1"/>
    <col min="3853" max="3854" width="10.42578125" style="57" customWidth="1"/>
    <col min="3855" max="3855" width="6.5703125" style="57" customWidth="1"/>
    <col min="3856" max="3856" width="11.42578125" style="57" customWidth="1"/>
    <col min="3857" max="3857" width="4.140625" style="57" customWidth="1"/>
    <col min="3858" max="3858" width="18.5703125" style="57" customWidth="1"/>
    <col min="3859" max="3859" width="2.140625" style="57" customWidth="1"/>
    <col min="3860" max="3860" width="10.42578125" style="57" customWidth="1"/>
    <col min="3861" max="4102" width="9.140625" style="57"/>
    <col min="4103" max="4103" width="10" style="57" customWidth="1"/>
    <col min="4104" max="4104" width="40" style="57" customWidth="1"/>
    <col min="4105" max="4105" width="12.5703125" style="57" customWidth="1"/>
    <col min="4106" max="4107" width="10.42578125" style="57" customWidth="1"/>
    <col min="4108" max="4108" width="11.5703125" style="57" customWidth="1"/>
    <col min="4109" max="4110" width="10.42578125" style="57" customWidth="1"/>
    <col min="4111" max="4111" width="6.5703125" style="57" customWidth="1"/>
    <col min="4112" max="4112" width="11.42578125" style="57" customWidth="1"/>
    <col min="4113" max="4113" width="4.140625" style="57" customWidth="1"/>
    <col min="4114" max="4114" width="18.5703125" style="57" customWidth="1"/>
    <col min="4115" max="4115" width="2.140625" style="57" customWidth="1"/>
    <col min="4116" max="4116" width="10.42578125" style="57" customWidth="1"/>
    <col min="4117" max="4358" width="9.140625" style="57"/>
    <col min="4359" max="4359" width="10" style="57" customWidth="1"/>
    <col min="4360" max="4360" width="40" style="57" customWidth="1"/>
    <col min="4361" max="4361" width="12.5703125" style="57" customWidth="1"/>
    <col min="4362" max="4363" width="10.42578125" style="57" customWidth="1"/>
    <col min="4364" max="4364" width="11.5703125" style="57" customWidth="1"/>
    <col min="4365" max="4366" width="10.42578125" style="57" customWidth="1"/>
    <col min="4367" max="4367" width="6.5703125" style="57" customWidth="1"/>
    <col min="4368" max="4368" width="11.42578125" style="57" customWidth="1"/>
    <col min="4369" max="4369" width="4.140625" style="57" customWidth="1"/>
    <col min="4370" max="4370" width="18.5703125" style="57" customWidth="1"/>
    <col min="4371" max="4371" width="2.140625" style="57" customWidth="1"/>
    <col min="4372" max="4372" width="10.42578125" style="57" customWidth="1"/>
    <col min="4373" max="4614" width="9.140625" style="57"/>
    <col min="4615" max="4615" width="10" style="57" customWidth="1"/>
    <col min="4616" max="4616" width="40" style="57" customWidth="1"/>
    <col min="4617" max="4617" width="12.5703125" style="57" customWidth="1"/>
    <col min="4618" max="4619" width="10.42578125" style="57" customWidth="1"/>
    <col min="4620" max="4620" width="11.5703125" style="57" customWidth="1"/>
    <col min="4621" max="4622" width="10.42578125" style="57" customWidth="1"/>
    <col min="4623" max="4623" width="6.5703125" style="57" customWidth="1"/>
    <col min="4624" max="4624" width="11.42578125" style="57" customWidth="1"/>
    <col min="4625" max="4625" width="4.140625" style="57" customWidth="1"/>
    <col min="4626" max="4626" width="18.5703125" style="57" customWidth="1"/>
    <col min="4627" max="4627" width="2.140625" style="57" customWidth="1"/>
    <col min="4628" max="4628" width="10.42578125" style="57" customWidth="1"/>
    <col min="4629" max="4870" width="9.140625" style="57"/>
    <col min="4871" max="4871" width="10" style="57" customWidth="1"/>
    <col min="4872" max="4872" width="40" style="57" customWidth="1"/>
    <col min="4873" max="4873" width="12.5703125" style="57" customWidth="1"/>
    <col min="4874" max="4875" width="10.42578125" style="57" customWidth="1"/>
    <col min="4876" max="4876" width="11.5703125" style="57" customWidth="1"/>
    <col min="4877" max="4878" width="10.42578125" style="57" customWidth="1"/>
    <col min="4879" max="4879" width="6.5703125" style="57" customWidth="1"/>
    <col min="4880" max="4880" width="11.42578125" style="57" customWidth="1"/>
    <col min="4881" max="4881" width="4.140625" style="57" customWidth="1"/>
    <col min="4882" max="4882" width="18.5703125" style="57" customWidth="1"/>
    <col min="4883" max="4883" width="2.140625" style="57" customWidth="1"/>
    <col min="4884" max="4884" width="10.42578125" style="57" customWidth="1"/>
    <col min="4885" max="5126" width="9.140625" style="57"/>
    <col min="5127" max="5127" width="10" style="57" customWidth="1"/>
    <col min="5128" max="5128" width="40" style="57" customWidth="1"/>
    <col min="5129" max="5129" width="12.5703125" style="57" customWidth="1"/>
    <col min="5130" max="5131" width="10.42578125" style="57" customWidth="1"/>
    <col min="5132" max="5132" width="11.5703125" style="57" customWidth="1"/>
    <col min="5133" max="5134" width="10.42578125" style="57" customWidth="1"/>
    <col min="5135" max="5135" width="6.5703125" style="57" customWidth="1"/>
    <col min="5136" max="5136" width="11.42578125" style="57" customWidth="1"/>
    <col min="5137" max="5137" width="4.140625" style="57" customWidth="1"/>
    <col min="5138" max="5138" width="18.5703125" style="57" customWidth="1"/>
    <col min="5139" max="5139" width="2.140625" style="57" customWidth="1"/>
    <col min="5140" max="5140" width="10.42578125" style="57" customWidth="1"/>
    <col min="5141" max="5382" width="9.140625" style="57"/>
    <col min="5383" max="5383" width="10" style="57" customWidth="1"/>
    <col min="5384" max="5384" width="40" style="57" customWidth="1"/>
    <col min="5385" max="5385" width="12.5703125" style="57" customWidth="1"/>
    <col min="5386" max="5387" width="10.42578125" style="57" customWidth="1"/>
    <col min="5388" max="5388" width="11.5703125" style="57" customWidth="1"/>
    <col min="5389" max="5390" width="10.42578125" style="57" customWidth="1"/>
    <col min="5391" max="5391" width="6.5703125" style="57" customWidth="1"/>
    <col min="5392" max="5392" width="11.42578125" style="57" customWidth="1"/>
    <col min="5393" max="5393" width="4.140625" style="57" customWidth="1"/>
    <col min="5394" max="5394" width="18.5703125" style="57" customWidth="1"/>
    <col min="5395" max="5395" width="2.140625" style="57" customWidth="1"/>
    <col min="5396" max="5396" width="10.42578125" style="57" customWidth="1"/>
    <col min="5397" max="5638" width="9.140625" style="57"/>
    <col min="5639" max="5639" width="10" style="57" customWidth="1"/>
    <col min="5640" max="5640" width="40" style="57" customWidth="1"/>
    <col min="5641" max="5641" width="12.5703125" style="57" customWidth="1"/>
    <col min="5642" max="5643" width="10.42578125" style="57" customWidth="1"/>
    <col min="5644" max="5644" width="11.5703125" style="57" customWidth="1"/>
    <col min="5645" max="5646" width="10.42578125" style="57" customWidth="1"/>
    <col min="5647" max="5647" width="6.5703125" style="57" customWidth="1"/>
    <col min="5648" max="5648" width="11.42578125" style="57" customWidth="1"/>
    <col min="5649" max="5649" width="4.140625" style="57" customWidth="1"/>
    <col min="5650" max="5650" width="18.5703125" style="57" customWidth="1"/>
    <col min="5651" max="5651" width="2.140625" style="57" customWidth="1"/>
    <col min="5652" max="5652" width="10.42578125" style="57" customWidth="1"/>
    <col min="5653" max="5894" width="9.140625" style="57"/>
    <col min="5895" max="5895" width="10" style="57" customWidth="1"/>
    <col min="5896" max="5896" width="40" style="57" customWidth="1"/>
    <col min="5897" max="5897" width="12.5703125" style="57" customWidth="1"/>
    <col min="5898" max="5899" width="10.42578125" style="57" customWidth="1"/>
    <col min="5900" max="5900" width="11.5703125" style="57" customWidth="1"/>
    <col min="5901" max="5902" width="10.42578125" style="57" customWidth="1"/>
    <col min="5903" max="5903" width="6.5703125" style="57" customWidth="1"/>
    <col min="5904" max="5904" width="11.42578125" style="57" customWidth="1"/>
    <col min="5905" max="5905" width="4.140625" style="57" customWidth="1"/>
    <col min="5906" max="5906" width="18.5703125" style="57" customWidth="1"/>
    <col min="5907" max="5907" width="2.140625" style="57" customWidth="1"/>
    <col min="5908" max="5908" width="10.42578125" style="57" customWidth="1"/>
    <col min="5909" max="6150" width="9.140625" style="57"/>
    <col min="6151" max="6151" width="10" style="57" customWidth="1"/>
    <col min="6152" max="6152" width="40" style="57" customWidth="1"/>
    <col min="6153" max="6153" width="12.5703125" style="57" customWidth="1"/>
    <col min="6154" max="6155" width="10.42578125" style="57" customWidth="1"/>
    <col min="6156" max="6156" width="11.5703125" style="57" customWidth="1"/>
    <col min="6157" max="6158" width="10.42578125" style="57" customWidth="1"/>
    <col min="6159" max="6159" width="6.5703125" style="57" customWidth="1"/>
    <col min="6160" max="6160" width="11.42578125" style="57" customWidth="1"/>
    <col min="6161" max="6161" width="4.140625" style="57" customWidth="1"/>
    <col min="6162" max="6162" width="18.5703125" style="57" customWidth="1"/>
    <col min="6163" max="6163" width="2.140625" style="57" customWidth="1"/>
    <col min="6164" max="6164" width="10.42578125" style="57" customWidth="1"/>
    <col min="6165" max="6406" width="9.140625" style="57"/>
    <col min="6407" max="6407" width="10" style="57" customWidth="1"/>
    <col min="6408" max="6408" width="40" style="57" customWidth="1"/>
    <col min="6409" max="6409" width="12.5703125" style="57" customWidth="1"/>
    <col min="6410" max="6411" width="10.42578125" style="57" customWidth="1"/>
    <col min="6412" max="6412" width="11.5703125" style="57" customWidth="1"/>
    <col min="6413" max="6414" width="10.42578125" style="57" customWidth="1"/>
    <col min="6415" max="6415" width="6.5703125" style="57" customWidth="1"/>
    <col min="6416" max="6416" width="11.42578125" style="57" customWidth="1"/>
    <col min="6417" max="6417" width="4.140625" style="57" customWidth="1"/>
    <col min="6418" max="6418" width="18.5703125" style="57" customWidth="1"/>
    <col min="6419" max="6419" width="2.140625" style="57" customWidth="1"/>
    <col min="6420" max="6420" width="10.42578125" style="57" customWidth="1"/>
    <col min="6421" max="6662" width="9.140625" style="57"/>
    <col min="6663" max="6663" width="10" style="57" customWidth="1"/>
    <col min="6664" max="6664" width="40" style="57" customWidth="1"/>
    <col min="6665" max="6665" width="12.5703125" style="57" customWidth="1"/>
    <col min="6666" max="6667" width="10.42578125" style="57" customWidth="1"/>
    <col min="6668" max="6668" width="11.5703125" style="57" customWidth="1"/>
    <col min="6669" max="6670" width="10.42578125" style="57" customWidth="1"/>
    <col min="6671" max="6671" width="6.5703125" style="57" customWidth="1"/>
    <col min="6672" max="6672" width="11.42578125" style="57" customWidth="1"/>
    <col min="6673" max="6673" width="4.140625" style="57" customWidth="1"/>
    <col min="6674" max="6674" width="18.5703125" style="57" customWidth="1"/>
    <col min="6675" max="6675" width="2.140625" style="57" customWidth="1"/>
    <col min="6676" max="6676" width="10.42578125" style="57" customWidth="1"/>
    <col min="6677" max="6918" width="9.140625" style="57"/>
    <col min="6919" max="6919" width="10" style="57" customWidth="1"/>
    <col min="6920" max="6920" width="40" style="57" customWidth="1"/>
    <col min="6921" max="6921" width="12.5703125" style="57" customWidth="1"/>
    <col min="6922" max="6923" width="10.42578125" style="57" customWidth="1"/>
    <col min="6924" max="6924" width="11.5703125" style="57" customWidth="1"/>
    <col min="6925" max="6926" width="10.42578125" style="57" customWidth="1"/>
    <col min="6927" max="6927" width="6.5703125" style="57" customWidth="1"/>
    <col min="6928" max="6928" width="11.42578125" style="57" customWidth="1"/>
    <col min="6929" max="6929" width="4.140625" style="57" customWidth="1"/>
    <col min="6930" max="6930" width="18.5703125" style="57" customWidth="1"/>
    <col min="6931" max="6931" width="2.140625" style="57" customWidth="1"/>
    <col min="6932" max="6932" width="10.42578125" style="57" customWidth="1"/>
    <col min="6933" max="7174" width="9.140625" style="57"/>
    <col min="7175" max="7175" width="10" style="57" customWidth="1"/>
    <col min="7176" max="7176" width="40" style="57" customWidth="1"/>
    <col min="7177" max="7177" width="12.5703125" style="57" customWidth="1"/>
    <col min="7178" max="7179" width="10.42578125" style="57" customWidth="1"/>
    <col min="7180" max="7180" width="11.5703125" style="57" customWidth="1"/>
    <col min="7181" max="7182" width="10.42578125" style="57" customWidth="1"/>
    <col min="7183" max="7183" width="6.5703125" style="57" customWidth="1"/>
    <col min="7184" max="7184" width="11.42578125" style="57" customWidth="1"/>
    <col min="7185" max="7185" width="4.140625" style="57" customWidth="1"/>
    <col min="7186" max="7186" width="18.5703125" style="57" customWidth="1"/>
    <col min="7187" max="7187" width="2.140625" style="57" customWidth="1"/>
    <col min="7188" max="7188" width="10.42578125" style="57" customWidth="1"/>
    <col min="7189" max="7430" width="9.140625" style="57"/>
    <col min="7431" max="7431" width="10" style="57" customWidth="1"/>
    <col min="7432" max="7432" width="40" style="57" customWidth="1"/>
    <col min="7433" max="7433" width="12.5703125" style="57" customWidth="1"/>
    <col min="7434" max="7435" width="10.42578125" style="57" customWidth="1"/>
    <col min="7436" max="7436" width="11.5703125" style="57" customWidth="1"/>
    <col min="7437" max="7438" width="10.42578125" style="57" customWidth="1"/>
    <col min="7439" max="7439" width="6.5703125" style="57" customWidth="1"/>
    <col min="7440" max="7440" width="11.42578125" style="57" customWidth="1"/>
    <col min="7441" max="7441" width="4.140625" style="57" customWidth="1"/>
    <col min="7442" max="7442" width="18.5703125" style="57" customWidth="1"/>
    <col min="7443" max="7443" width="2.140625" style="57" customWidth="1"/>
    <col min="7444" max="7444" width="10.42578125" style="57" customWidth="1"/>
    <col min="7445" max="7686" width="9.140625" style="57"/>
    <col min="7687" max="7687" width="10" style="57" customWidth="1"/>
    <col min="7688" max="7688" width="40" style="57" customWidth="1"/>
    <col min="7689" max="7689" width="12.5703125" style="57" customWidth="1"/>
    <col min="7690" max="7691" width="10.42578125" style="57" customWidth="1"/>
    <col min="7692" max="7692" width="11.5703125" style="57" customWidth="1"/>
    <col min="7693" max="7694" width="10.42578125" style="57" customWidth="1"/>
    <col min="7695" max="7695" width="6.5703125" style="57" customWidth="1"/>
    <col min="7696" max="7696" width="11.42578125" style="57" customWidth="1"/>
    <col min="7697" max="7697" width="4.140625" style="57" customWidth="1"/>
    <col min="7698" max="7698" width="18.5703125" style="57" customWidth="1"/>
    <col min="7699" max="7699" width="2.140625" style="57" customWidth="1"/>
    <col min="7700" max="7700" width="10.42578125" style="57" customWidth="1"/>
    <col min="7701" max="7942" width="9.140625" style="57"/>
    <col min="7943" max="7943" width="10" style="57" customWidth="1"/>
    <col min="7944" max="7944" width="40" style="57" customWidth="1"/>
    <col min="7945" max="7945" width="12.5703125" style="57" customWidth="1"/>
    <col min="7946" max="7947" width="10.42578125" style="57" customWidth="1"/>
    <col min="7948" max="7948" width="11.5703125" style="57" customWidth="1"/>
    <col min="7949" max="7950" width="10.42578125" style="57" customWidth="1"/>
    <col min="7951" max="7951" width="6.5703125" style="57" customWidth="1"/>
    <col min="7952" max="7952" width="11.42578125" style="57" customWidth="1"/>
    <col min="7953" max="7953" width="4.140625" style="57" customWidth="1"/>
    <col min="7954" max="7954" width="18.5703125" style="57" customWidth="1"/>
    <col min="7955" max="7955" width="2.140625" style="57" customWidth="1"/>
    <col min="7956" max="7956" width="10.42578125" style="57" customWidth="1"/>
    <col min="7957" max="8198" width="9.140625" style="57"/>
    <col min="8199" max="8199" width="10" style="57" customWidth="1"/>
    <col min="8200" max="8200" width="40" style="57" customWidth="1"/>
    <col min="8201" max="8201" width="12.5703125" style="57" customWidth="1"/>
    <col min="8202" max="8203" width="10.42578125" style="57" customWidth="1"/>
    <col min="8204" max="8204" width="11.5703125" style="57" customWidth="1"/>
    <col min="8205" max="8206" width="10.42578125" style="57" customWidth="1"/>
    <col min="8207" max="8207" width="6.5703125" style="57" customWidth="1"/>
    <col min="8208" max="8208" width="11.42578125" style="57" customWidth="1"/>
    <col min="8209" max="8209" width="4.140625" style="57" customWidth="1"/>
    <col min="8210" max="8210" width="18.5703125" style="57" customWidth="1"/>
    <col min="8211" max="8211" width="2.140625" style="57" customWidth="1"/>
    <col min="8212" max="8212" width="10.42578125" style="57" customWidth="1"/>
    <col min="8213" max="8454" width="9.140625" style="57"/>
    <col min="8455" max="8455" width="10" style="57" customWidth="1"/>
    <col min="8456" max="8456" width="40" style="57" customWidth="1"/>
    <col min="8457" max="8457" width="12.5703125" style="57" customWidth="1"/>
    <col min="8458" max="8459" width="10.42578125" style="57" customWidth="1"/>
    <col min="8460" max="8460" width="11.5703125" style="57" customWidth="1"/>
    <col min="8461" max="8462" width="10.42578125" style="57" customWidth="1"/>
    <col min="8463" max="8463" width="6.5703125" style="57" customWidth="1"/>
    <col min="8464" max="8464" width="11.42578125" style="57" customWidth="1"/>
    <col min="8465" max="8465" width="4.140625" style="57" customWidth="1"/>
    <col min="8466" max="8466" width="18.5703125" style="57" customWidth="1"/>
    <col min="8467" max="8467" width="2.140625" style="57" customWidth="1"/>
    <col min="8468" max="8468" width="10.42578125" style="57" customWidth="1"/>
    <col min="8469" max="8710" width="9.140625" style="57"/>
    <col min="8711" max="8711" width="10" style="57" customWidth="1"/>
    <col min="8712" max="8712" width="40" style="57" customWidth="1"/>
    <col min="8713" max="8713" width="12.5703125" style="57" customWidth="1"/>
    <col min="8714" max="8715" width="10.42578125" style="57" customWidth="1"/>
    <col min="8716" max="8716" width="11.5703125" style="57" customWidth="1"/>
    <col min="8717" max="8718" width="10.42578125" style="57" customWidth="1"/>
    <col min="8719" max="8719" width="6.5703125" style="57" customWidth="1"/>
    <col min="8720" max="8720" width="11.42578125" style="57" customWidth="1"/>
    <col min="8721" max="8721" width="4.140625" style="57" customWidth="1"/>
    <col min="8722" max="8722" width="18.5703125" style="57" customWidth="1"/>
    <col min="8723" max="8723" width="2.140625" style="57" customWidth="1"/>
    <col min="8724" max="8724" width="10.42578125" style="57" customWidth="1"/>
    <col min="8725" max="8966" width="9.140625" style="57"/>
    <col min="8967" max="8967" width="10" style="57" customWidth="1"/>
    <col min="8968" max="8968" width="40" style="57" customWidth="1"/>
    <col min="8969" max="8969" width="12.5703125" style="57" customWidth="1"/>
    <col min="8970" max="8971" width="10.42578125" style="57" customWidth="1"/>
    <col min="8972" max="8972" width="11.5703125" style="57" customWidth="1"/>
    <col min="8973" max="8974" width="10.42578125" style="57" customWidth="1"/>
    <col min="8975" max="8975" width="6.5703125" style="57" customWidth="1"/>
    <col min="8976" max="8976" width="11.42578125" style="57" customWidth="1"/>
    <col min="8977" max="8977" width="4.140625" style="57" customWidth="1"/>
    <col min="8978" max="8978" width="18.5703125" style="57" customWidth="1"/>
    <col min="8979" max="8979" width="2.140625" style="57" customWidth="1"/>
    <col min="8980" max="8980" width="10.42578125" style="57" customWidth="1"/>
    <col min="8981" max="9222" width="9.140625" style="57"/>
    <col min="9223" max="9223" width="10" style="57" customWidth="1"/>
    <col min="9224" max="9224" width="40" style="57" customWidth="1"/>
    <col min="9225" max="9225" width="12.5703125" style="57" customWidth="1"/>
    <col min="9226" max="9227" width="10.42578125" style="57" customWidth="1"/>
    <col min="9228" max="9228" width="11.5703125" style="57" customWidth="1"/>
    <col min="9229" max="9230" width="10.42578125" style="57" customWidth="1"/>
    <col min="9231" max="9231" width="6.5703125" style="57" customWidth="1"/>
    <col min="9232" max="9232" width="11.42578125" style="57" customWidth="1"/>
    <col min="9233" max="9233" width="4.140625" style="57" customWidth="1"/>
    <col min="9234" max="9234" width="18.5703125" style="57" customWidth="1"/>
    <col min="9235" max="9235" width="2.140625" style="57" customWidth="1"/>
    <col min="9236" max="9236" width="10.42578125" style="57" customWidth="1"/>
    <col min="9237" max="9478" width="9.140625" style="57"/>
    <col min="9479" max="9479" width="10" style="57" customWidth="1"/>
    <col min="9480" max="9480" width="40" style="57" customWidth="1"/>
    <col min="9481" max="9481" width="12.5703125" style="57" customWidth="1"/>
    <col min="9482" max="9483" width="10.42578125" style="57" customWidth="1"/>
    <col min="9484" max="9484" width="11.5703125" style="57" customWidth="1"/>
    <col min="9485" max="9486" width="10.42578125" style="57" customWidth="1"/>
    <col min="9487" max="9487" width="6.5703125" style="57" customWidth="1"/>
    <col min="9488" max="9488" width="11.42578125" style="57" customWidth="1"/>
    <col min="9489" max="9489" width="4.140625" style="57" customWidth="1"/>
    <col min="9490" max="9490" width="18.5703125" style="57" customWidth="1"/>
    <col min="9491" max="9491" width="2.140625" style="57" customWidth="1"/>
    <col min="9492" max="9492" width="10.42578125" style="57" customWidth="1"/>
    <col min="9493" max="9734" width="9.140625" style="57"/>
    <col min="9735" max="9735" width="10" style="57" customWidth="1"/>
    <col min="9736" max="9736" width="40" style="57" customWidth="1"/>
    <col min="9737" max="9737" width="12.5703125" style="57" customWidth="1"/>
    <col min="9738" max="9739" width="10.42578125" style="57" customWidth="1"/>
    <col min="9740" max="9740" width="11.5703125" style="57" customWidth="1"/>
    <col min="9741" max="9742" width="10.42578125" style="57" customWidth="1"/>
    <col min="9743" max="9743" width="6.5703125" style="57" customWidth="1"/>
    <col min="9744" max="9744" width="11.42578125" style="57" customWidth="1"/>
    <col min="9745" max="9745" width="4.140625" style="57" customWidth="1"/>
    <col min="9746" max="9746" width="18.5703125" style="57" customWidth="1"/>
    <col min="9747" max="9747" width="2.140625" style="57" customWidth="1"/>
    <col min="9748" max="9748" width="10.42578125" style="57" customWidth="1"/>
    <col min="9749" max="9990" width="9.140625" style="57"/>
    <col min="9991" max="9991" width="10" style="57" customWidth="1"/>
    <col min="9992" max="9992" width="40" style="57" customWidth="1"/>
    <col min="9993" max="9993" width="12.5703125" style="57" customWidth="1"/>
    <col min="9994" max="9995" width="10.42578125" style="57" customWidth="1"/>
    <col min="9996" max="9996" width="11.5703125" style="57" customWidth="1"/>
    <col min="9997" max="9998" width="10.42578125" style="57" customWidth="1"/>
    <col min="9999" max="9999" width="6.5703125" style="57" customWidth="1"/>
    <col min="10000" max="10000" width="11.42578125" style="57" customWidth="1"/>
    <col min="10001" max="10001" width="4.140625" style="57" customWidth="1"/>
    <col min="10002" max="10002" width="18.5703125" style="57" customWidth="1"/>
    <col min="10003" max="10003" width="2.140625" style="57" customWidth="1"/>
    <col min="10004" max="10004" width="10.42578125" style="57" customWidth="1"/>
    <col min="10005" max="10246" width="9.140625" style="57"/>
    <col min="10247" max="10247" width="10" style="57" customWidth="1"/>
    <col min="10248" max="10248" width="40" style="57" customWidth="1"/>
    <col min="10249" max="10249" width="12.5703125" style="57" customWidth="1"/>
    <col min="10250" max="10251" width="10.42578125" style="57" customWidth="1"/>
    <col min="10252" max="10252" width="11.5703125" style="57" customWidth="1"/>
    <col min="10253" max="10254" width="10.42578125" style="57" customWidth="1"/>
    <col min="10255" max="10255" width="6.5703125" style="57" customWidth="1"/>
    <col min="10256" max="10256" width="11.42578125" style="57" customWidth="1"/>
    <col min="10257" max="10257" width="4.140625" style="57" customWidth="1"/>
    <col min="10258" max="10258" width="18.5703125" style="57" customWidth="1"/>
    <col min="10259" max="10259" width="2.140625" style="57" customWidth="1"/>
    <col min="10260" max="10260" width="10.42578125" style="57" customWidth="1"/>
    <col min="10261" max="10502" width="9.140625" style="57"/>
    <col min="10503" max="10503" width="10" style="57" customWidth="1"/>
    <col min="10504" max="10504" width="40" style="57" customWidth="1"/>
    <col min="10505" max="10505" width="12.5703125" style="57" customWidth="1"/>
    <col min="10506" max="10507" width="10.42578125" style="57" customWidth="1"/>
    <col min="10508" max="10508" width="11.5703125" style="57" customWidth="1"/>
    <col min="10509" max="10510" width="10.42578125" style="57" customWidth="1"/>
    <col min="10511" max="10511" width="6.5703125" style="57" customWidth="1"/>
    <col min="10512" max="10512" width="11.42578125" style="57" customWidth="1"/>
    <col min="10513" max="10513" width="4.140625" style="57" customWidth="1"/>
    <col min="10514" max="10514" width="18.5703125" style="57" customWidth="1"/>
    <col min="10515" max="10515" width="2.140625" style="57" customWidth="1"/>
    <col min="10516" max="10516" width="10.42578125" style="57" customWidth="1"/>
    <col min="10517" max="10758" width="9.140625" style="57"/>
    <col min="10759" max="10759" width="10" style="57" customWidth="1"/>
    <col min="10760" max="10760" width="40" style="57" customWidth="1"/>
    <col min="10761" max="10761" width="12.5703125" style="57" customWidth="1"/>
    <col min="10762" max="10763" width="10.42578125" style="57" customWidth="1"/>
    <col min="10764" max="10764" width="11.5703125" style="57" customWidth="1"/>
    <col min="10765" max="10766" width="10.42578125" style="57" customWidth="1"/>
    <col min="10767" max="10767" width="6.5703125" style="57" customWidth="1"/>
    <col min="10768" max="10768" width="11.42578125" style="57" customWidth="1"/>
    <col min="10769" max="10769" width="4.140625" style="57" customWidth="1"/>
    <col min="10770" max="10770" width="18.5703125" style="57" customWidth="1"/>
    <col min="10771" max="10771" width="2.140625" style="57" customWidth="1"/>
    <col min="10772" max="10772" width="10.42578125" style="57" customWidth="1"/>
    <col min="10773" max="11014" width="9.140625" style="57"/>
    <col min="11015" max="11015" width="10" style="57" customWidth="1"/>
    <col min="11016" max="11016" width="40" style="57" customWidth="1"/>
    <col min="11017" max="11017" width="12.5703125" style="57" customWidth="1"/>
    <col min="11018" max="11019" width="10.42578125" style="57" customWidth="1"/>
    <col min="11020" max="11020" width="11.5703125" style="57" customWidth="1"/>
    <col min="11021" max="11022" width="10.42578125" style="57" customWidth="1"/>
    <col min="11023" max="11023" width="6.5703125" style="57" customWidth="1"/>
    <col min="11024" max="11024" width="11.42578125" style="57" customWidth="1"/>
    <col min="11025" max="11025" width="4.140625" style="57" customWidth="1"/>
    <col min="11026" max="11026" width="18.5703125" style="57" customWidth="1"/>
    <col min="11027" max="11027" width="2.140625" style="57" customWidth="1"/>
    <col min="11028" max="11028" width="10.42578125" style="57" customWidth="1"/>
    <col min="11029" max="11270" width="9.140625" style="57"/>
    <col min="11271" max="11271" width="10" style="57" customWidth="1"/>
    <col min="11272" max="11272" width="40" style="57" customWidth="1"/>
    <col min="11273" max="11273" width="12.5703125" style="57" customWidth="1"/>
    <col min="11274" max="11275" width="10.42578125" style="57" customWidth="1"/>
    <col min="11276" max="11276" width="11.5703125" style="57" customWidth="1"/>
    <col min="11277" max="11278" width="10.42578125" style="57" customWidth="1"/>
    <col min="11279" max="11279" width="6.5703125" style="57" customWidth="1"/>
    <col min="11280" max="11280" width="11.42578125" style="57" customWidth="1"/>
    <col min="11281" max="11281" width="4.140625" style="57" customWidth="1"/>
    <col min="11282" max="11282" width="18.5703125" style="57" customWidth="1"/>
    <col min="11283" max="11283" width="2.140625" style="57" customWidth="1"/>
    <col min="11284" max="11284" width="10.42578125" style="57" customWidth="1"/>
    <col min="11285" max="11526" width="9.140625" style="57"/>
    <col min="11527" max="11527" width="10" style="57" customWidth="1"/>
    <col min="11528" max="11528" width="40" style="57" customWidth="1"/>
    <col min="11529" max="11529" width="12.5703125" style="57" customWidth="1"/>
    <col min="11530" max="11531" width="10.42578125" style="57" customWidth="1"/>
    <col min="11532" max="11532" width="11.5703125" style="57" customWidth="1"/>
    <col min="11533" max="11534" width="10.42578125" style="57" customWidth="1"/>
    <col min="11535" max="11535" width="6.5703125" style="57" customWidth="1"/>
    <col min="11536" max="11536" width="11.42578125" style="57" customWidth="1"/>
    <col min="11537" max="11537" width="4.140625" style="57" customWidth="1"/>
    <col min="11538" max="11538" width="18.5703125" style="57" customWidth="1"/>
    <col min="11539" max="11539" width="2.140625" style="57" customWidth="1"/>
    <col min="11540" max="11540" width="10.42578125" style="57" customWidth="1"/>
    <col min="11541" max="11782" width="9.140625" style="57"/>
    <col min="11783" max="11783" width="10" style="57" customWidth="1"/>
    <col min="11784" max="11784" width="40" style="57" customWidth="1"/>
    <col min="11785" max="11785" width="12.5703125" style="57" customWidth="1"/>
    <col min="11786" max="11787" width="10.42578125" style="57" customWidth="1"/>
    <col min="11788" max="11788" width="11.5703125" style="57" customWidth="1"/>
    <col min="11789" max="11790" width="10.42578125" style="57" customWidth="1"/>
    <col min="11791" max="11791" width="6.5703125" style="57" customWidth="1"/>
    <col min="11792" max="11792" width="11.42578125" style="57" customWidth="1"/>
    <col min="11793" max="11793" width="4.140625" style="57" customWidth="1"/>
    <col min="11794" max="11794" width="18.5703125" style="57" customWidth="1"/>
    <col min="11795" max="11795" width="2.140625" style="57" customWidth="1"/>
    <col min="11796" max="11796" width="10.42578125" style="57" customWidth="1"/>
    <col min="11797" max="12038" width="9.140625" style="57"/>
    <col min="12039" max="12039" width="10" style="57" customWidth="1"/>
    <col min="12040" max="12040" width="40" style="57" customWidth="1"/>
    <col min="12041" max="12041" width="12.5703125" style="57" customWidth="1"/>
    <col min="12042" max="12043" width="10.42578125" style="57" customWidth="1"/>
    <col min="12044" max="12044" width="11.5703125" style="57" customWidth="1"/>
    <col min="12045" max="12046" width="10.42578125" style="57" customWidth="1"/>
    <col min="12047" max="12047" width="6.5703125" style="57" customWidth="1"/>
    <col min="12048" max="12048" width="11.42578125" style="57" customWidth="1"/>
    <col min="12049" max="12049" width="4.140625" style="57" customWidth="1"/>
    <col min="12050" max="12050" width="18.5703125" style="57" customWidth="1"/>
    <col min="12051" max="12051" width="2.140625" style="57" customWidth="1"/>
    <col min="12052" max="12052" width="10.42578125" style="57" customWidth="1"/>
    <col min="12053" max="12294" width="9.140625" style="57"/>
    <col min="12295" max="12295" width="10" style="57" customWidth="1"/>
    <col min="12296" max="12296" width="40" style="57" customWidth="1"/>
    <col min="12297" max="12297" width="12.5703125" style="57" customWidth="1"/>
    <col min="12298" max="12299" width="10.42578125" style="57" customWidth="1"/>
    <col min="12300" max="12300" width="11.5703125" style="57" customWidth="1"/>
    <col min="12301" max="12302" width="10.42578125" style="57" customWidth="1"/>
    <col min="12303" max="12303" width="6.5703125" style="57" customWidth="1"/>
    <col min="12304" max="12304" width="11.42578125" style="57" customWidth="1"/>
    <col min="12305" max="12305" width="4.140625" style="57" customWidth="1"/>
    <col min="12306" max="12306" width="18.5703125" style="57" customWidth="1"/>
    <col min="12307" max="12307" width="2.140625" style="57" customWidth="1"/>
    <col min="12308" max="12308" width="10.42578125" style="57" customWidth="1"/>
    <col min="12309" max="12550" width="9.140625" style="57"/>
    <col min="12551" max="12551" width="10" style="57" customWidth="1"/>
    <col min="12552" max="12552" width="40" style="57" customWidth="1"/>
    <col min="12553" max="12553" width="12.5703125" style="57" customWidth="1"/>
    <col min="12554" max="12555" width="10.42578125" style="57" customWidth="1"/>
    <col min="12556" max="12556" width="11.5703125" style="57" customWidth="1"/>
    <col min="12557" max="12558" width="10.42578125" style="57" customWidth="1"/>
    <col min="12559" max="12559" width="6.5703125" style="57" customWidth="1"/>
    <col min="12560" max="12560" width="11.42578125" style="57" customWidth="1"/>
    <col min="12561" max="12561" width="4.140625" style="57" customWidth="1"/>
    <col min="12562" max="12562" width="18.5703125" style="57" customWidth="1"/>
    <col min="12563" max="12563" width="2.140625" style="57" customWidth="1"/>
    <col min="12564" max="12564" width="10.42578125" style="57" customWidth="1"/>
    <col min="12565" max="12806" width="9.140625" style="57"/>
    <col min="12807" max="12807" width="10" style="57" customWidth="1"/>
    <col min="12808" max="12808" width="40" style="57" customWidth="1"/>
    <col min="12809" max="12809" width="12.5703125" style="57" customWidth="1"/>
    <col min="12810" max="12811" width="10.42578125" style="57" customWidth="1"/>
    <col min="12812" max="12812" width="11.5703125" style="57" customWidth="1"/>
    <col min="12813" max="12814" width="10.42578125" style="57" customWidth="1"/>
    <col min="12815" max="12815" width="6.5703125" style="57" customWidth="1"/>
    <col min="12816" max="12816" width="11.42578125" style="57" customWidth="1"/>
    <col min="12817" max="12817" width="4.140625" style="57" customWidth="1"/>
    <col min="12818" max="12818" width="18.5703125" style="57" customWidth="1"/>
    <col min="12819" max="12819" width="2.140625" style="57" customWidth="1"/>
    <col min="12820" max="12820" width="10.42578125" style="57" customWidth="1"/>
    <col min="12821" max="13062" width="9.140625" style="57"/>
    <col min="13063" max="13063" width="10" style="57" customWidth="1"/>
    <col min="13064" max="13064" width="40" style="57" customWidth="1"/>
    <col min="13065" max="13065" width="12.5703125" style="57" customWidth="1"/>
    <col min="13066" max="13067" width="10.42578125" style="57" customWidth="1"/>
    <col min="13068" max="13068" width="11.5703125" style="57" customWidth="1"/>
    <col min="13069" max="13070" width="10.42578125" style="57" customWidth="1"/>
    <col min="13071" max="13071" width="6.5703125" style="57" customWidth="1"/>
    <col min="13072" max="13072" width="11.42578125" style="57" customWidth="1"/>
    <col min="13073" max="13073" width="4.140625" style="57" customWidth="1"/>
    <col min="13074" max="13074" width="18.5703125" style="57" customWidth="1"/>
    <col min="13075" max="13075" width="2.140625" style="57" customWidth="1"/>
    <col min="13076" max="13076" width="10.42578125" style="57" customWidth="1"/>
    <col min="13077" max="13318" width="9.140625" style="57"/>
    <col min="13319" max="13319" width="10" style="57" customWidth="1"/>
    <col min="13320" max="13320" width="40" style="57" customWidth="1"/>
    <col min="13321" max="13321" width="12.5703125" style="57" customWidth="1"/>
    <col min="13322" max="13323" width="10.42578125" style="57" customWidth="1"/>
    <col min="13324" max="13324" width="11.5703125" style="57" customWidth="1"/>
    <col min="13325" max="13326" width="10.42578125" style="57" customWidth="1"/>
    <col min="13327" max="13327" width="6.5703125" style="57" customWidth="1"/>
    <col min="13328" max="13328" width="11.42578125" style="57" customWidth="1"/>
    <col min="13329" max="13329" width="4.140625" style="57" customWidth="1"/>
    <col min="13330" max="13330" width="18.5703125" style="57" customWidth="1"/>
    <col min="13331" max="13331" width="2.140625" style="57" customWidth="1"/>
    <col min="13332" max="13332" width="10.42578125" style="57" customWidth="1"/>
    <col min="13333" max="13574" width="9.140625" style="57"/>
    <col min="13575" max="13575" width="10" style="57" customWidth="1"/>
    <col min="13576" max="13576" width="40" style="57" customWidth="1"/>
    <col min="13577" max="13577" width="12.5703125" style="57" customWidth="1"/>
    <col min="13578" max="13579" width="10.42578125" style="57" customWidth="1"/>
    <col min="13580" max="13580" width="11.5703125" style="57" customWidth="1"/>
    <col min="13581" max="13582" width="10.42578125" style="57" customWidth="1"/>
    <col min="13583" max="13583" width="6.5703125" style="57" customWidth="1"/>
    <col min="13584" max="13584" width="11.42578125" style="57" customWidth="1"/>
    <col min="13585" max="13585" width="4.140625" style="57" customWidth="1"/>
    <col min="13586" max="13586" width="18.5703125" style="57" customWidth="1"/>
    <col min="13587" max="13587" width="2.140625" style="57" customWidth="1"/>
    <col min="13588" max="13588" width="10.42578125" style="57" customWidth="1"/>
    <col min="13589" max="13830" width="9.140625" style="57"/>
    <col min="13831" max="13831" width="10" style="57" customWidth="1"/>
    <col min="13832" max="13832" width="40" style="57" customWidth="1"/>
    <col min="13833" max="13833" width="12.5703125" style="57" customWidth="1"/>
    <col min="13834" max="13835" width="10.42578125" style="57" customWidth="1"/>
    <col min="13836" max="13836" width="11.5703125" style="57" customWidth="1"/>
    <col min="13837" max="13838" width="10.42578125" style="57" customWidth="1"/>
    <col min="13839" max="13839" width="6.5703125" style="57" customWidth="1"/>
    <col min="13840" max="13840" width="11.42578125" style="57" customWidth="1"/>
    <col min="13841" max="13841" width="4.140625" style="57" customWidth="1"/>
    <col min="13842" max="13842" width="18.5703125" style="57" customWidth="1"/>
    <col min="13843" max="13843" width="2.140625" style="57" customWidth="1"/>
    <col min="13844" max="13844" width="10.42578125" style="57" customWidth="1"/>
    <col min="13845" max="14086" width="9.140625" style="57"/>
    <col min="14087" max="14087" width="10" style="57" customWidth="1"/>
    <col min="14088" max="14088" width="40" style="57" customWidth="1"/>
    <col min="14089" max="14089" width="12.5703125" style="57" customWidth="1"/>
    <col min="14090" max="14091" width="10.42578125" style="57" customWidth="1"/>
    <col min="14092" max="14092" width="11.5703125" style="57" customWidth="1"/>
    <col min="14093" max="14094" width="10.42578125" style="57" customWidth="1"/>
    <col min="14095" max="14095" width="6.5703125" style="57" customWidth="1"/>
    <col min="14096" max="14096" width="11.42578125" style="57" customWidth="1"/>
    <col min="14097" max="14097" width="4.140625" style="57" customWidth="1"/>
    <col min="14098" max="14098" width="18.5703125" style="57" customWidth="1"/>
    <col min="14099" max="14099" width="2.140625" style="57" customWidth="1"/>
    <col min="14100" max="14100" width="10.42578125" style="57" customWidth="1"/>
    <col min="14101" max="14342" width="9.140625" style="57"/>
    <col min="14343" max="14343" width="10" style="57" customWidth="1"/>
    <col min="14344" max="14344" width="40" style="57" customWidth="1"/>
    <col min="14345" max="14345" width="12.5703125" style="57" customWidth="1"/>
    <col min="14346" max="14347" width="10.42578125" style="57" customWidth="1"/>
    <col min="14348" max="14348" width="11.5703125" style="57" customWidth="1"/>
    <col min="14349" max="14350" width="10.42578125" style="57" customWidth="1"/>
    <col min="14351" max="14351" width="6.5703125" style="57" customWidth="1"/>
    <col min="14352" max="14352" width="11.42578125" style="57" customWidth="1"/>
    <col min="14353" max="14353" width="4.140625" style="57" customWidth="1"/>
    <col min="14354" max="14354" width="18.5703125" style="57" customWidth="1"/>
    <col min="14355" max="14355" width="2.140625" style="57" customWidth="1"/>
    <col min="14356" max="14356" width="10.42578125" style="57" customWidth="1"/>
    <col min="14357" max="14598" width="9.140625" style="57"/>
    <col min="14599" max="14599" width="10" style="57" customWidth="1"/>
    <col min="14600" max="14600" width="40" style="57" customWidth="1"/>
    <col min="14601" max="14601" width="12.5703125" style="57" customWidth="1"/>
    <col min="14602" max="14603" width="10.42578125" style="57" customWidth="1"/>
    <col min="14604" max="14604" width="11.5703125" style="57" customWidth="1"/>
    <col min="14605" max="14606" width="10.42578125" style="57" customWidth="1"/>
    <col min="14607" max="14607" width="6.5703125" style="57" customWidth="1"/>
    <col min="14608" max="14608" width="11.42578125" style="57" customWidth="1"/>
    <col min="14609" max="14609" width="4.140625" style="57" customWidth="1"/>
    <col min="14610" max="14610" width="18.5703125" style="57" customWidth="1"/>
    <col min="14611" max="14611" width="2.140625" style="57" customWidth="1"/>
    <col min="14612" max="14612" width="10.42578125" style="57" customWidth="1"/>
    <col min="14613" max="14854" width="9.140625" style="57"/>
    <col min="14855" max="14855" width="10" style="57" customWidth="1"/>
    <col min="14856" max="14856" width="40" style="57" customWidth="1"/>
    <col min="14857" max="14857" width="12.5703125" style="57" customWidth="1"/>
    <col min="14858" max="14859" width="10.42578125" style="57" customWidth="1"/>
    <col min="14860" max="14860" width="11.5703125" style="57" customWidth="1"/>
    <col min="14861" max="14862" width="10.42578125" style="57" customWidth="1"/>
    <col min="14863" max="14863" width="6.5703125" style="57" customWidth="1"/>
    <col min="14864" max="14864" width="11.42578125" style="57" customWidth="1"/>
    <col min="14865" max="14865" width="4.140625" style="57" customWidth="1"/>
    <col min="14866" max="14866" width="18.5703125" style="57" customWidth="1"/>
    <col min="14867" max="14867" width="2.140625" style="57" customWidth="1"/>
    <col min="14868" max="14868" width="10.42578125" style="57" customWidth="1"/>
    <col min="14869" max="15110" width="9.140625" style="57"/>
    <col min="15111" max="15111" width="10" style="57" customWidth="1"/>
    <col min="15112" max="15112" width="40" style="57" customWidth="1"/>
    <col min="15113" max="15113" width="12.5703125" style="57" customWidth="1"/>
    <col min="15114" max="15115" width="10.42578125" style="57" customWidth="1"/>
    <col min="15116" max="15116" width="11.5703125" style="57" customWidth="1"/>
    <col min="15117" max="15118" width="10.42578125" style="57" customWidth="1"/>
    <col min="15119" max="15119" width="6.5703125" style="57" customWidth="1"/>
    <col min="15120" max="15120" width="11.42578125" style="57" customWidth="1"/>
    <col min="15121" max="15121" width="4.140625" style="57" customWidth="1"/>
    <col min="15122" max="15122" width="18.5703125" style="57" customWidth="1"/>
    <col min="15123" max="15123" width="2.140625" style="57" customWidth="1"/>
    <col min="15124" max="15124" width="10.42578125" style="57" customWidth="1"/>
    <col min="15125" max="15366" width="9.140625" style="57"/>
    <col min="15367" max="15367" width="10" style="57" customWidth="1"/>
    <col min="15368" max="15368" width="40" style="57" customWidth="1"/>
    <col min="15369" max="15369" width="12.5703125" style="57" customWidth="1"/>
    <col min="15370" max="15371" width="10.42578125" style="57" customWidth="1"/>
    <col min="15372" max="15372" width="11.5703125" style="57" customWidth="1"/>
    <col min="15373" max="15374" width="10.42578125" style="57" customWidth="1"/>
    <col min="15375" max="15375" width="6.5703125" style="57" customWidth="1"/>
    <col min="15376" max="15376" width="11.42578125" style="57" customWidth="1"/>
    <col min="15377" max="15377" width="4.140625" style="57" customWidth="1"/>
    <col min="15378" max="15378" width="18.5703125" style="57" customWidth="1"/>
    <col min="15379" max="15379" width="2.140625" style="57" customWidth="1"/>
    <col min="15380" max="15380" width="10.42578125" style="57" customWidth="1"/>
    <col min="15381" max="15622" width="9.140625" style="57"/>
    <col min="15623" max="15623" width="10" style="57" customWidth="1"/>
    <col min="15624" max="15624" width="40" style="57" customWidth="1"/>
    <col min="15625" max="15625" width="12.5703125" style="57" customWidth="1"/>
    <col min="15626" max="15627" width="10.42578125" style="57" customWidth="1"/>
    <col min="15628" max="15628" width="11.5703125" style="57" customWidth="1"/>
    <col min="15629" max="15630" width="10.42578125" style="57" customWidth="1"/>
    <col min="15631" max="15631" width="6.5703125" style="57" customWidth="1"/>
    <col min="15632" max="15632" width="11.42578125" style="57" customWidth="1"/>
    <col min="15633" max="15633" width="4.140625" style="57" customWidth="1"/>
    <col min="15634" max="15634" width="18.5703125" style="57" customWidth="1"/>
    <col min="15635" max="15635" width="2.140625" style="57" customWidth="1"/>
    <col min="15636" max="15636" width="10.42578125" style="57" customWidth="1"/>
    <col min="15637" max="15878" width="9.140625" style="57"/>
    <col min="15879" max="15879" width="10" style="57" customWidth="1"/>
    <col min="15880" max="15880" width="40" style="57" customWidth="1"/>
    <col min="15881" max="15881" width="12.5703125" style="57" customWidth="1"/>
    <col min="15882" max="15883" width="10.42578125" style="57" customWidth="1"/>
    <col min="15884" max="15884" width="11.5703125" style="57" customWidth="1"/>
    <col min="15885" max="15886" width="10.42578125" style="57" customWidth="1"/>
    <col min="15887" max="15887" width="6.5703125" style="57" customWidth="1"/>
    <col min="15888" max="15888" width="11.42578125" style="57" customWidth="1"/>
    <col min="15889" max="15889" width="4.140625" style="57" customWidth="1"/>
    <col min="15890" max="15890" width="18.5703125" style="57" customWidth="1"/>
    <col min="15891" max="15891" width="2.140625" style="57" customWidth="1"/>
    <col min="15892" max="15892" width="10.42578125" style="57" customWidth="1"/>
    <col min="15893" max="16134" width="9.140625" style="57"/>
    <col min="16135" max="16135" width="10" style="57" customWidth="1"/>
    <col min="16136" max="16136" width="40" style="57" customWidth="1"/>
    <col min="16137" max="16137" width="12.5703125" style="57" customWidth="1"/>
    <col min="16138" max="16139" width="10.42578125" style="57" customWidth="1"/>
    <col min="16140" max="16140" width="11.5703125" style="57" customWidth="1"/>
    <col min="16141" max="16142" width="10.42578125" style="57" customWidth="1"/>
    <col min="16143" max="16143" width="6.5703125" style="57" customWidth="1"/>
    <col min="16144" max="16144" width="11.42578125" style="57" customWidth="1"/>
    <col min="16145" max="16145" width="4.140625" style="57" customWidth="1"/>
    <col min="16146" max="16146" width="18.5703125" style="57" customWidth="1"/>
    <col min="16147" max="16147" width="2.140625" style="57" customWidth="1"/>
    <col min="16148" max="16148" width="10.42578125" style="57" customWidth="1"/>
    <col min="16149" max="16384" width="9.140625" style="57"/>
  </cols>
  <sheetData>
    <row r="1" spans="2:21" ht="13.5" customHeight="1" x14ac:dyDescent="0.25">
      <c r="H1" s="782" t="s">
        <v>38</v>
      </c>
      <c r="I1" s="782"/>
      <c r="J1" s="782"/>
      <c r="K1" s="782"/>
      <c r="L1" s="782"/>
      <c r="M1" s="782" t="s">
        <v>39</v>
      </c>
      <c r="N1" s="782"/>
      <c r="O1" s="782" t="s">
        <v>40</v>
      </c>
      <c r="P1" s="782"/>
      <c r="Q1" s="782"/>
    </row>
    <row r="2" spans="2:21" s="59" customFormat="1" ht="15" customHeight="1" x14ac:dyDescent="0.25">
      <c r="B2" s="60" t="s">
        <v>41</v>
      </c>
      <c r="C2" s="61" t="s">
        <v>42</v>
      </c>
      <c r="D2" s="61" t="s">
        <v>43</v>
      </c>
      <c r="E2" s="61" t="s">
        <v>44</v>
      </c>
      <c r="F2" s="61" t="s">
        <v>45</v>
      </c>
      <c r="G2" s="61" t="s">
        <v>46</v>
      </c>
      <c r="H2" s="61" t="s">
        <v>47</v>
      </c>
      <c r="I2" s="61" t="s">
        <v>48</v>
      </c>
      <c r="J2" s="61" t="s">
        <v>47</v>
      </c>
      <c r="K2" s="61" t="s">
        <v>48</v>
      </c>
      <c r="L2" s="65" t="s">
        <v>49</v>
      </c>
      <c r="M2" s="65" t="s">
        <v>39</v>
      </c>
      <c r="N2" s="65" t="s">
        <v>49</v>
      </c>
      <c r="O2" s="65" t="s">
        <v>47</v>
      </c>
      <c r="P2" s="65" t="s">
        <v>48</v>
      </c>
      <c r="Q2" s="65" t="s">
        <v>49</v>
      </c>
      <c r="R2" s="63" t="s">
        <v>50</v>
      </c>
      <c r="T2" s="81" t="s">
        <v>53</v>
      </c>
      <c r="U2" s="82">
        <f>'Março 25'!U6</f>
        <v>6</v>
      </c>
    </row>
    <row r="3" spans="2:21" ht="15" customHeight="1" x14ac:dyDescent="0.25">
      <c r="B3" s="67">
        <v>2</v>
      </c>
      <c r="C3" s="116" t="s">
        <v>51</v>
      </c>
      <c r="D3" s="110" t="s">
        <v>60</v>
      </c>
      <c r="E3" s="118">
        <v>44599</v>
      </c>
      <c r="F3" s="118"/>
      <c r="G3" s="116"/>
      <c r="H3" s="121"/>
      <c r="I3" s="121"/>
      <c r="J3" s="121"/>
      <c r="K3" s="121"/>
      <c r="L3" s="131">
        <v>0</v>
      </c>
      <c r="M3" s="140"/>
      <c r="N3" s="141">
        <v>0</v>
      </c>
      <c r="O3" s="127"/>
      <c r="P3" s="127"/>
      <c r="Q3" s="78">
        <v>0</v>
      </c>
      <c r="R3" s="142"/>
      <c r="T3" s="83" t="s">
        <v>44</v>
      </c>
      <c r="U3" s="84">
        <v>1</v>
      </c>
    </row>
    <row r="4" spans="2:21" ht="15" customHeight="1" x14ac:dyDescent="0.25">
      <c r="B4" s="151">
        <v>11</v>
      </c>
      <c r="C4" s="152" t="s">
        <v>122</v>
      </c>
      <c r="D4" s="153" t="s">
        <v>60</v>
      </c>
      <c r="E4" s="154">
        <v>45770</v>
      </c>
      <c r="F4" s="118"/>
      <c r="G4" s="116"/>
      <c r="H4" s="121"/>
      <c r="I4" s="121"/>
      <c r="J4" s="121"/>
      <c r="K4" s="121"/>
      <c r="L4" s="131">
        <v>0</v>
      </c>
      <c r="M4" s="145"/>
      <c r="N4" s="141">
        <v>0</v>
      </c>
      <c r="O4" s="127"/>
      <c r="P4" s="127"/>
      <c r="Q4" s="155">
        <v>0</v>
      </c>
      <c r="R4" s="142"/>
      <c r="T4" s="83" t="s">
        <v>45</v>
      </c>
      <c r="U4" s="84">
        <v>1</v>
      </c>
    </row>
    <row r="5" spans="2:21" ht="15" customHeight="1" x14ac:dyDescent="0.25">
      <c r="B5" s="167">
        <v>7</v>
      </c>
      <c r="C5" s="168" t="s">
        <v>119</v>
      </c>
      <c r="D5" s="169" t="s">
        <v>60</v>
      </c>
      <c r="E5" s="170">
        <v>45693</v>
      </c>
      <c r="F5" s="118"/>
      <c r="G5" s="116"/>
      <c r="H5" s="121"/>
      <c r="I5" s="121"/>
      <c r="J5" s="121"/>
      <c r="K5" s="121"/>
      <c r="L5" s="131">
        <v>0</v>
      </c>
      <c r="M5" s="145"/>
      <c r="N5" s="141">
        <v>0</v>
      </c>
      <c r="O5" s="127"/>
      <c r="P5" s="127"/>
      <c r="Q5" s="155">
        <v>0</v>
      </c>
      <c r="R5" s="142"/>
      <c r="T5" s="100" t="s">
        <v>56</v>
      </c>
      <c r="U5" s="101">
        <f>U2+U3-U4</f>
        <v>6</v>
      </c>
    </row>
    <row r="6" spans="2:21" ht="15" customHeight="1" x14ac:dyDescent="0.25">
      <c r="B6" s="202">
        <v>8</v>
      </c>
      <c r="C6" s="203" t="s">
        <v>98</v>
      </c>
      <c r="D6" s="204" t="s">
        <v>60</v>
      </c>
      <c r="E6" s="205">
        <v>45702</v>
      </c>
      <c r="F6" s="166"/>
      <c r="G6" s="116"/>
      <c r="H6" s="121"/>
      <c r="I6" s="121"/>
      <c r="J6" s="121"/>
      <c r="K6" s="121"/>
      <c r="L6" s="164">
        <v>0</v>
      </c>
      <c r="M6" s="145"/>
      <c r="N6" s="141">
        <v>0</v>
      </c>
      <c r="O6" s="127"/>
      <c r="P6" s="127"/>
      <c r="Q6" s="155">
        <v>0</v>
      </c>
      <c r="R6" s="142"/>
    </row>
    <row r="7" spans="2:21" ht="15" customHeight="1" x14ac:dyDescent="0.25">
      <c r="B7" s="270">
        <v>3</v>
      </c>
      <c r="C7" s="271" t="s">
        <v>55</v>
      </c>
      <c r="D7" s="272" t="s">
        <v>60</v>
      </c>
      <c r="E7" s="269">
        <v>44602</v>
      </c>
      <c r="F7" s="269">
        <v>45760</v>
      </c>
      <c r="G7" s="116"/>
      <c r="H7" s="121"/>
      <c r="I7" s="121"/>
      <c r="J7" s="121"/>
      <c r="K7" s="121"/>
      <c r="L7" s="164">
        <v>0</v>
      </c>
      <c r="M7" s="140"/>
      <c r="N7" s="141">
        <v>0</v>
      </c>
      <c r="O7" s="127"/>
      <c r="P7" s="127"/>
      <c r="Q7" s="155">
        <v>0</v>
      </c>
      <c r="R7" s="142"/>
      <c r="T7" s="81" t="s">
        <v>57</v>
      </c>
      <c r="U7" s="82">
        <v>2</v>
      </c>
    </row>
    <row r="8" spans="2:21" ht="15" customHeight="1" x14ac:dyDescent="0.25">
      <c r="B8" s="67">
        <v>10</v>
      </c>
      <c r="C8" s="206" t="s">
        <v>99</v>
      </c>
      <c r="D8" s="207" t="s">
        <v>60</v>
      </c>
      <c r="E8" s="208">
        <v>45736</v>
      </c>
      <c r="F8" s="69"/>
      <c r="G8" s="68"/>
      <c r="H8" s="72"/>
      <c r="I8" s="72"/>
      <c r="J8" s="72"/>
      <c r="K8" s="72"/>
      <c r="L8" s="164">
        <v>0</v>
      </c>
      <c r="M8" s="132"/>
      <c r="N8" s="141">
        <v>0</v>
      </c>
      <c r="O8" s="109"/>
      <c r="P8" s="109"/>
      <c r="Q8" s="155">
        <v>0</v>
      </c>
      <c r="R8" s="134"/>
      <c r="T8" s="100" t="s">
        <v>13</v>
      </c>
      <c r="U8" s="101">
        <f>U5+U7</f>
        <v>8</v>
      </c>
    </row>
    <row r="9" spans="2:21" ht="15" customHeight="1" x14ac:dyDescent="0.25">
      <c r="B9" s="85">
        <v>9</v>
      </c>
      <c r="C9" s="273" t="s">
        <v>121</v>
      </c>
      <c r="D9" s="274" t="s">
        <v>60</v>
      </c>
      <c r="E9" s="275">
        <v>45734</v>
      </c>
      <c r="F9" s="87"/>
      <c r="G9" s="86"/>
      <c r="H9" s="90"/>
      <c r="I9" s="90"/>
      <c r="J9" s="90"/>
      <c r="K9" s="90"/>
      <c r="L9" s="135">
        <v>0</v>
      </c>
      <c r="M9" s="136"/>
      <c r="N9" s="137">
        <v>0</v>
      </c>
      <c r="O9" s="96"/>
      <c r="P9" s="96"/>
      <c r="Q9" s="138">
        <v>0</v>
      </c>
      <c r="R9" s="139"/>
    </row>
    <row r="10" spans="2:21" ht="15" customHeight="1" x14ac:dyDescent="0.25">
      <c r="L10" s="99">
        <f>SUM(L3:L7)</f>
        <v>0</v>
      </c>
      <c r="N10" s="99">
        <f>SUM(N3:N7)</f>
        <v>0</v>
      </c>
      <c r="O10" s="99"/>
      <c r="P10" s="99"/>
      <c r="Q10" s="99">
        <f>SUM(Q3:Q7)</f>
        <v>0</v>
      </c>
      <c r="T10" s="784" t="s">
        <v>58</v>
      </c>
      <c r="U10" s="784"/>
    </row>
    <row r="11" spans="2:21" ht="15" customHeight="1" x14ac:dyDescent="0.25">
      <c r="T11" s="83" t="s">
        <v>38</v>
      </c>
      <c r="U11" s="102">
        <f>L10</f>
        <v>0</v>
      </c>
    </row>
    <row r="12" spans="2:21" ht="15" customHeight="1" x14ac:dyDescent="0.25">
      <c r="T12" s="103" t="s">
        <v>39</v>
      </c>
      <c r="U12" s="104">
        <f>N10</f>
        <v>0</v>
      </c>
    </row>
    <row r="13" spans="2:21" ht="15" customHeight="1" x14ac:dyDescent="0.25"/>
    <row r="14" spans="2:21" ht="15" customHeight="1" x14ac:dyDescent="0.25">
      <c r="T14" s="81" t="s">
        <v>40</v>
      </c>
      <c r="U14" s="105">
        <f>Q10</f>
        <v>0</v>
      </c>
    </row>
    <row r="15" spans="2:21" ht="15" customHeight="1" x14ac:dyDescent="0.25">
      <c r="T15" s="103" t="s">
        <v>59</v>
      </c>
      <c r="U15" s="104">
        <v>0</v>
      </c>
    </row>
    <row r="16" spans="2:21" ht="15" customHeight="1" x14ac:dyDescent="0.25"/>
    <row r="17" spans="20:21" ht="15" customHeight="1" x14ac:dyDescent="0.25">
      <c r="T17" s="106" t="s">
        <v>22</v>
      </c>
      <c r="U17" s="107" t="e">
        <f>#REF!</f>
        <v>#REF!</v>
      </c>
    </row>
    <row r="18" spans="20:21" ht="15" customHeight="1" x14ac:dyDescent="0.25"/>
    <row r="19" spans="20:21" ht="15" customHeight="1" x14ac:dyDescent="0.25"/>
    <row r="20" spans="20:21" ht="15" customHeight="1" x14ac:dyDescent="0.25"/>
    <row r="21" spans="20:21" ht="15" customHeight="1" x14ac:dyDescent="0.25"/>
    <row r="22" spans="20:21" ht="15" customHeight="1" x14ac:dyDescent="0.25"/>
    <row r="23" spans="20:21" ht="15" customHeight="1" x14ac:dyDescent="0.25"/>
    <row r="24" spans="20:21" ht="15" customHeight="1" x14ac:dyDescent="0.25"/>
    <row r="25" spans="20:21" ht="15" customHeight="1" x14ac:dyDescent="0.25"/>
    <row r="26" spans="20:21" ht="15" customHeight="1" x14ac:dyDescent="0.25"/>
    <row r="27" spans="20:21" ht="15" customHeight="1" x14ac:dyDescent="0.25"/>
    <row r="28" spans="20:21" ht="15" customHeight="1" x14ac:dyDescent="0.25"/>
    <row r="29" spans="20:21" ht="15" customHeight="1" x14ac:dyDescent="0.25"/>
    <row r="30" spans="20:21" ht="15" customHeight="1" x14ac:dyDescent="0.25"/>
    <row r="31" spans="20:21" ht="15" customHeight="1" x14ac:dyDescent="0.25"/>
    <row r="32" spans="20:21" ht="15" customHeight="1" x14ac:dyDescent="0.25"/>
    <row r="33" ht="15" customHeight="1" x14ac:dyDescent="0.25"/>
    <row r="34" ht="15" customHeight="1" x14ac:dyDescent="0.25"/>
    <row r="35" ht="15" customHeight="1" x14ac:dyDescent="0.25"/>
  </sheetData>
  <mergeCells count="4">
    <mergeCell ref="H1:L1"/>
    <mergeCell ref="M1:N1"/>
    <mergeCell ref="O1:Q1"/>
    <mergeCell ref="T10:U10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U35"/>
  <sheetViews>
    <sheetView showGridLines="0" topLeftCell="D1" zoomScaleNormal="100" workbookViewId="0">
      <selection activeCell="E4" sqref="E4"/>
    </sheetView>
  </sheetViews>
  <sheetFormatPr defaultColWidth="9.140625" defaultRowHeight="12.75" x14ac:dyDescent="0.25"/>
  <cols>
    <col min="1" max="1" width="9.140625" style="57"/>
    <col min="2" max="2" width="10" style="57" customWidth="1"/>
    <col min="3" max="3" width="40" style="57" customWidth="1"/>
    <col min="4" max="4" width="12.5703125" style="57" customWidth="1"/>
    <col min="5" max="6" width="10.42578125" style="57" customWidth="1"/>
    <col min="7" max="7" width="11.5703125" style="57" customWidth="1"/>
    <col min="8" max="11" width="10.42578125" style="57" customWidth="1"/>
    <col min="12" max="12" width="4.140625" style="57" customWidth="1"/>
    <col min="13" max="13" width="11.42578125" style="58" customWidth="1"/>
    <col min="14" max="14" width="4.140625" style="57" customWidth="1"/>
    <col min="15" max="16" width="10.42578125" style="57" customWidth="1"/>
    <col min="17" max="17" width="4.140625" style="57" customWidth="1"/>
    <col min="18" max="18" width="27.140625" style="57" customWidth="1"/>
    <col min="19" max="19" width="2.140625" style="57" customWidth="1"/>
    <col min="20" max="20" width="13.140625" style="57" customWidth="1"/>
    <col min="21" max="21" width="5.140625" style="57" customWidth="1"/>
    <col min="22" max="262" width="9.140625" style="57"/>
    <col min="263" max="263" width="10" style="57" customWidth="1"/>
    <col min="264" max="264" width="40" style="57" customWidth="1"/>
    <col min="265" max="265" width="12.5703125" style="57" customWidth="1"/>
    <col min="266" max="267" width="10.42578125" style="57" customWidth="1"/>
    <col min="268" max="268" width="11.5703125" style="57" customWidth="1"/>
    <col min="269" max="270" width="10.42578125" style="57" customWidth="1"/>
    <col min="271" max="271" width="6.5703125" style="57" customWidth="1"/>
    <col min="272" max="272" width="11.42578125" style="57" customWidth="1"/>
    <col min="273" max="273" width="4.140625" style="57" customWidth="1"/>
    <col min="274" max="274" width="18.5703125" style="57" customWidth="1"/>
    <col min="275" max="275" width="2.140625" style="57" customWidth="1"/>
    <col min="276" max="276" width="10.42578125" style="57" customWidth="1"/>
    <col min="277" max="518" width="9.140625" style="57"/>
    <col min="519" max="519" width="10" style="57" customWidth="1"/>
    <col min="520" max="520" width="40" style="57" customWidth="1"/>
    <col min="521" max="521" width="12.5703125" style="57" customWidth="1"/>
    <col min="522" max="523" width="10.42578125" style="57" customWidth="1"/>
    <col min="524" max="524" width="11.5703125" style="57" customWidth="1"/>
    <col min="525" max="526" width="10.42578125" style="57" customWidth="1"/>
    <col min="527" max="527" width="6.5703125" style="57" customWidth="1"/>
    <col min="528" max="528" width="11.42578125" style="57" customWidth="1"/>
    <col min="529" max="529" width="4.140625" style="57" customWidth="1"/>
    <col min="530" max="530" width="18.5703125" style="57" customWidth="1"/>
    <col min="531" max="531" width="2.140625" style="57" customWidth="1"/>
    <col min="532" max="532" width="10.42578125" style="57" customWidth="1"/>
    <col min="533" max="774" width="9.140625" style="57"/>
    <col min="775" max="775" width="10" style="57" customWidth="1"/>
    <col min="776" max="776" width="40" style="57" customWidth="1"/>
    <col min="777" max="777" width="12.5703125" style="57" customWidth="1"/>
    <col min="778" max="779" width="10.42578125" style="57" customWidth="1"/>
    <col min="780" max="780" width="11.5703125" style="57" customWidth="1"/>
    <col min="781" max="782" width="10.42578125" style="57" customWidth="1"/>
    <col min="783" max="783" width="6.5703125" style="57" customWidth="1"/>
    <col min="784" max="784" width="11.42578125" style="57" customWidth="1"/>
    <col min="785" max="785" width="4.140625" style="57" customWidth="1"/>
    <col min="786" max="786" width="18.5703125" style="57" customWidth="1"/>
    <col min="787" max="787" width="2.140625" style="57" customWidth="1"/>
    <col min="788" max="788" width="10.42578125" style="57" customWidth="1"/>
    <col min="789" max="1030" width="9.140625" style="57"/>
    <col min="1031" max="1031" width="10" style="57" customWidth="1"/>
    <col min="1032" max="1032" width="40" style="57" customWidth="1"/>
    <col min="1033" max="1033" width="12.5703125" style="57" customWidth="1"/>
    <col min="1034" max="1035" width="10.42578125" style="57" customWidth="1"/>
    <col min="1036" max="1036" width="11.5703125" style="57" customWidth="1"/>
    <col min="1037" max="1038" width="10.42578125" style="57" customWidth="1"/>
    <col min="1039" max="1039" width="6.5703125" style="57" customWidth="1"/>
    <col min="1040" max="1040" width="11.42578125" style="57" customWidth="1"/>
    <col min="1041" max="1041" width="4.140625" style="57" customWidth="1"/>
    <col min="1042" max="1042" width="18.5703125" style="57" customWidth="1"/>
    <col min="1043" max="1043" width="2.140625" style="57" customWidth="1"/>
    <col min="1044" max="1044" width="10.42578125" style="57" customWidth="1"/>
    <col min="1045" max="1286" width="9.140625" style="57"/>
    <col min="1287" max="1287" width="10" style="57" customWidth="1"/>
    <col min="1288" max="1288" width="40" style="57" customWidth="1"/>
    <col min="1289" max="1289" width="12.5703125" style="57" customWidth="1"/>
    <col min="1290" max="1291" width="10.42578125" style="57" customWidth="1"/>
    <col min="1292" max="1292" width="11.5703125" style="57" customWidth="1"/>
    <col min="1293" max="1294" width="10.42578125" style="57" customWidth="1"/>
    <col min="1295" max="1295" width="6.5703125" style="57" customWidth="1"/>
    <col min="1296" max="1296" width="11.42578125" style="57" customWidth="1"/>
    <col min="1297" max="1297" width="4.140625" style="57" customWidth="1"/>
    <col min="1298" max="1298" width="18.5703125" style="57" customWidth="1"/>
    <col min="1299" max="1299" width="2.140625" style="57" customWidth="1"/>
    <col min="1300" max="1300" width="10.42578125" style="57" customWidth="1"/>
    <col min="1301" max="1542" width="9.140625" style="57"/>
    <col min="1543" max="1543" width="10" style="57" customWidth="1"/>
    <col min="1544" max="1544" width="40" style="57" customWidth="1"/>
    <col min="1545" max="1545" width="12.5703125" style="57" customWidth="1"/>
    <col min="1546" max="1547" width="10.42578125" style="57" customWidth="1"/>
    <col min="1548" max="1548" width="11.5703125" style="57" customWidth="1"/>
    <col min="1549" max="1550" width="10.42578125" style="57" customWidth="1"/>
    <col min="1551" max="1551" width="6.5703125" style="57" customWidth="1"/>
    <col min="1552" max="1552" width="11.42578125" style="57" customWidth="1"/>
    <col min="1553" max="1553" width="4.140625" style="57" customWidth="1"/>
    <col min="1554" max="1554" width="18.5703125" style="57" customWidth="1"/>
    <col min="1555" max="1555" width="2.140625" style="57" customWidth="1"/>
    <col min="1556" max="1556" width="10.42578125" style="57" customWidth="1"/>
    <col min="1557" max="1798" width="9.140625" style="57"/>
    <col min="1799" max="1799" width="10" style="57" customWidth="1"/>
    <col min="1800" max="1800" width="40" style="57" customWidth="1"/>
    <col min="1801" max="1801" width="12.5703125" style="57" customWidth="1"/>
    <col min="1802" max="1803" width="10.42578125" style="57" customWidth="1"/>
    <col min="1804" max="1804" width="11.5703125" style="57" customWidth="1"/>
    <col min="1805" max="1806" width="10.42578125" style="57" customWidth="1"/>
    <col min="1807" max="1807" width="6.5703125" style="57" customWidth="1"/>
    <col min="1808" max="1808" width="11.42578125" style="57" customWidth="1"/>
    <col min="1809" max="1809" width="4.140625" style="57" customWidth="1"/>
    <col min="1810" max="1810" width="18.5703125" style="57" customWidth="1"/>
    <col min="1811" max="1811" width="2.140625" style="57" customWidth="1"/>
    <col min="1812" max="1812" width="10.42578125" style="57" customWidth="1"/>
    <col min="1813" max="2054" width="9.140625" style="57"/>
    <col min="2055" max="2055" width="10" style="57" customWidth="1"/>
    <col min="2056" max="2056" width="40" style="57" customWidth="1"/>
    <col min="2057" max="2057" width="12.5703125" style="57" customWidth="1"/>
    <col min="2058" max="2059" width="10.42578125" style="57" customWidth="1"/>
    <col min="2060" max="2060" width="11.5703125" style="57" customWidth="1"/>
    <col min="2061" max="2062" width="10.42578125" style="57" customWidth="1"/>
    <col min="2063" max="2063" width="6.5703125" style="57" customWidth="1"/>
    <col min="2064" max="2064" width="11.42578125" style="57" customWidth="1"/>
    <col min="2065" max="2065" width="4.140625" style="57" customWidth="1"/>
    <col min="2066" max="2066" width="18.5703125" style="57" customWidth="1"/>
    <col min="2067" max="2067" width="2.140625" style="57" customWidth="1"/>
    <col min="2068" max="2068" width="10.42578125" style="57" customWidth="1"/>
    <col min="2069" max="2310" width="9.140625" style="57"/>
    <col min="2311" max="2311" width="10" style="57" customWidth="1"/>
    <col min="2312" max="2312" width="40" style="57" customWidth="1"/>
    <col min="2313" max="2313" width="12.5703125" style="57" customWidth="1"/>
    <col min="2314" max="2315" width="10.42578125" style="57" customWidth="1"/>
    <col min="2316" max="2316" width="11.5703125" style="57" customWidth="1"/>
    <col min="2317" max="2318" width="10.42578125" style="57" customWidth="1"/>
    <col min="2319" max="2319" width="6.5703125" style="57" customWidth="1"/>
    <col min="2320" max="2320" width="11.42578125" style="57" customWidth="1"/>
    <col min="2321" max="2321" width="4.140625" style="57" customWidth="1"/>
    <col min="2322" max="2322" width="18.5703125" style="57" customWidth="1"/>
    <col min="2323" max="2323" width="2.140625" style="57" customWidth="1"/>
    <col min="2324" max="2324" width="10.42578125" style="57" customWidth="1"/>
    <col min="2325" max="2566" width="9.140625" style="57"/>
    <col min="2567" max="2567" width="10" style="57" customWidth="1"/>
    <col min="2568" max="2568" width="40" style="57" customWidth="1"/>
    <col min="2569" max="2569" width="12.5703125" style="57" customWidth="1"/>
    <col min="2570" max="2571" width="10.42578125" style="57" customWidth="1"/>
    <col min="2572" max="2572" width="11.5703125" style="57" customWidth="1"/>
    <col min="2573" max="2574" width="10.42578125" style="57" customWidth="1"/>
    <col min="2575" max="2575" width="6.5703125" style="57" customWidth="1"/>
    <col min="2576" max="2576" width="11.42578125" style="57" customWidth="1"/>
    <col min="2577" max="2577" width="4.140625" style="57" customWidth="1"/>
    <col min="2578" max="2578" width="18.5703125" style="57" customWidth="1"/>
    <col min="2579" max="2579" width="2.140625" style="57" customWidth="1"/>
    <col min="2580" max="2580" width="10.42578125" style="57" customWidth="1"/>
    <col min="2581" max="2822" width="9.140625" style="57"/>
    <col min="2823" max="2823" width="10" style="57" customWidth="1"/>
    <col min="2824" max="2824" width="40" style="57" customWidth="1"/>
    <col min="2825" max="2825" width="12.5703125" style="57" customWidth="1"/>
    <col min="2826" max="2827" width="10.42578125" style="57" customWidth="1"/>
    <col min="2828" max="2828" width="11.5703125" style="57" customWidth="1"/>
    <col min="2829" max="2830" width="10.42578125" style="57" customWidth="1"/>
    <col min="2831" max="2831" width="6.5703125" style="57" customWidth="1"/>
    <col min="2832" max="2832" width="11.42578125" style="57" customWidth="1"/>
    <col min="2833" max="2833" width="4.140625" style="57" customWidth="1"/>
    <col min="2834" max="2834" width="18.5703125" style="57" customWidth="1"/>
    <col min="2835" max="2835" width="2.140625" style="57" customWidth="1"/>
    <col min="2836" max="2836" width="10.42578125" style="57" customWidth="1"/>
    <col min="2837" max="3078" width="9.140625" style="57"/>
    <col min="3079" max="3079" width="10" style="57" customWidth="1"/>
    <col min="3080" max="3080" width="40" style="57" customWidth="1"/>
    <col min="3081" max="3081" width="12.5703125" style="57" customWidth="1"/>
    <col min="3082" max="3083" width="10.42578125" style="57" customWidth="1"/>
    <col min="3084" max="3084" width="11.5703125" style="57" customWidth="1"/>
    <col min="3085" max="3086" width="10.42578125" style="57" customWidth="1"/>
    <col min="3087" max="3087" width="6.5703125" style="57" customWidth="1"/>
    <col min="3088" max="3088" width="11.42578125" style="57" customWidth="1"/>
    <col min="3089" max="3089" width="4.140625" style="57" customWidth="1"/>
    <col min="3090" max="3090" width="18.5703125" style="57" customWidth="1"/>
    <col min="3091" max="3091" width="2.140625" style="57" customWidth="1"/>
    <col min="3092" max="3092" width="10.42578125" style="57" customWidth="1"/>
    <col min="3093" max="3334" width="9.140625" style="57"/>
    <col min="3335" max="3335" width="10" style="57" customWidth="1"/>
    <col min="3336" max="3336" width="40" style="57" customWidth="1"/>
    <col min="3337" max="3337" width="12.5703125" style="57" customWidth="1"/>
    <col min="3338" max="3339" width="10.42578125" style="57" customWidth="1"/>
    <col min="3340" max="3340" width="11.5703125" style="57" customWidth="1"/>
    <col min="3341" max="3342" width="10.42578125" style="57" customWidth="1"/>
    <col min="3343" max="3343" width="6.5703125" style="57" customWidth="1"/>
    <col min="3344" max="3344" width="11.42578125" style="57" customWidth="1"/>
    <col min="3345" max="3345" width="4.140625" style="57" customWidth="1"/>
    <col min="3346" max="3346" width="18.5703125" style="57" customWidth="1"/>
    <col min="3347" max="3347" width="2.140625" style="57" customWidth="1"/>
    <col min="3348" max="3348" width="10.42578125" style="57" customWidth="1"/>
    <col min="3349" max="3590" width="9.140625" style="57"/>
    <col min="3591" max="3591" width="10" style="57" customWidth="1"/>
    <col min="3592" max="3592" width="40" style="57" customWidth="1"/>
    <col min="3593" max="3593" width="12.5703125" style="57" customWidth="1"/>
    <col min="3594" max="3595" width="10.42578125" style="57" customWidth="1"/>
    <col min="3596" max="3596" width="11.5703125" style="57" customWidth="1"/>
    <col min="3597" max="3598" width="10.42578125" style="57" customWidth="1"/>
    <col min="3599" max="3599" width="6.5703125" style="57" customWidth="1"/>
    <col min="3600" max="3600" width="11.42578125" style="57" customWidth="1"/>
    <col min="3601" max="3601" width="4.140625" style="57" customWidth="1"/>
    <col min="3602" max="3602" width="18.5703125" style="57" customWidth="1"/>
    <col min="3603" max="3603" width="2.140625" style="57" customWidth="1"/>
    <col min="3604" max="3604" width="10.42578125" style="57" customWidth="1"/>
    <col min="3605" max="3846" width="9.140625" style="57"/>
    <col min="3847" max="3847" width="10" style="57" customWidth="1"/>
    <col min="3848" max="3848" width="40" style="57" customWidth="1"/>
    <col min="3849" max="3849" width="12.5703125" style="57" customWidth="1"/>
    <col min="3850" max="3851" width="10.42578125" style="57" customWidth="1"/>
    <col min="3852" max="3852" width="11.5703125" style="57" customWidth="1"/>
    <col min="3853" max="3854" width="10.42578125" style="57" customWidth="1"/>
    <col min="3855" max="3855" width="6.5703125" style="57" customWidth="1"/>
    <col min="3856" max="3856" width="11.42578125" style="57" customWidth="1"/>
    <col min="3857" max="3857" width="4.140625" style="57" customWidth="1"/>
    <col min="3858" max="3858" width="18.5703125" style="57" customWidth="1"/>
    <col min="3859" max="3859" width="2.140625" style="57" customWidth="1"/>
    <col min="3860" max="3860" width="10.42578125" style="57" customWidth="1"/>
    <col min="3861" max="4102" width="9.140625" style="57"/>
    <col min="4103" max="4103" width="10" style="57" customWidth="1"/>
    <col min="4104" max="4104" width="40" style="57" customWidth="1"/>
    <col min="4105" max="4105" width="12.5703125" style="57" customWidth="1"/>
    <col min="4106" max="4107" width="10.42578125" style="57" customWidth="1"/>
    <col min="4108" max="4108" width="11.5703125" style="57" customWidth="1"/>
    <col min="4109" max="4110" width="10.42578125" style="57" customWidth="1"/>
    <col min="4111" max="4111" width="6.5703125" style="57" customWidth="1"/>
    <col min="4112" max="4112" width="11.42578125" style="57" customWidth="1"/>
    <col min="4113" max="4113" width="4.140625" style="57" customWidth="1"/>
    <col min="4114" max="4114" width="18.5703125" style="57" customWidth="1"/>
    <col min="4115" max="4115" width="2.140625" style="57" customWidth="1"/>
    <col min="4116" max="4116" width="10.42578125" style="57" customWidth="1"/>
    <col min="4117" max="4358" width="9.140625" style="57"/>
    <col min="4359" max="4359" width="10" style="57" customWidth="1"/>
    <col min="4360" max="4360" width="40" style="57" customWidth="1"/>
    <col min="4361" max="4361" width="12.5703125" style="57" customWidth="1"/>
    <col min="4362" max="4363" width="10.42578125" style="57" customWidth="1"/>
    <col min="4364" max="4364" width="11.5703125" style="57" customWidth="1"/>
    <col min="4365" max="4366" width="10.42578125" style="57" customWidth="1"/>
    <col min="4367" max="4367" width="6.5703125" style="57" customWidth="1"/>
    <col min="4368" max="4368" width="11.42578125" style="57" customWidth="1"/>
    <col min="4369" max="4369" width="4.140625" style="57" customWidth="1"/>
    <col min="4370" max="4370" width="18.5703125" style="57" customWidth="1"/>
    <col min="4371" max="4371" width="2.140625" style="57" customWidth="1"/>
    <col min="4372" max="4372" width="10.42578125" style="57" customWidth="1"/>
    <col min="4373" max="4614" width="9.140625" style="57"/>
    <col min="4615" max="4615" width="10" style="57" customWidth="1"/>
    <col min="4616" max="4616" width="40" style="57" customWidth="1"/>
    <col min="4617" max="4617" width="12.5703125" style="57" customWidth="1"/>
    <col min="4618" max="4619" width="10.42578125" style="57" customWidth="1"/>
    <col min="4620" max="4620" width="11.5703125" style="57" customWidth="1"/>
    <col min="4621" max="4622" width="10.42578125" style="57" customWidth="1"/>
    <col min="4623" max="4623" width="6.5703125" style="57" customWidth="1"/>
    <col min="4624" max="4624" width="11.42578125" style="57" customWidth="1"/>
    <col min="4625" max="4625" width="4.140625" style="57" customWidth="1"/>
    <col min="4626" max="4626" width="18.5703125" style="57" customWidth="1"/>
    <col min="4627" max="4627" width="2.140625" style="57" customWidth="1"/>
    <col min="4628" max="4628" width="10.42578125" style="57" customWidth="1"/>
    <col min="4629" max="4870" width="9.140625" style="57"/>
    <col min="4871" max="4871" width="10" style="57" customWidth="1"/>
    <col min="4872" max="4872" width="40" style="57" customWidth="1"/>
    <col min="4873" max="4873" width="12.5703125" style="57" customWidth="1"/>
    <col min="4874" max="4875" width="10.42578125" style="57" customWidth="1"/>
    <col min="4876" max="4876" width="11.5703125" style="57" customWidth="1"/>
    <col min="4877" max="4878" width="10.42578125" style="57" customWidth="1"/>
    <col min="4879" max="4879" width="6.5703125" style="57" customWidth="1"/>
    <col min="4880" max="4880" width="11.42578125" style="57" customWidth="1"/>
    <col min="4881" max="4881" width="4.140625" style="57" customWidth="1"/>
    <col min="4882" max="4882" width="18.5703125" style="57" customWidth="1"/>
    <col min="4883" max="4883" width="2.140625" style="57" customWidth="1"/>
    <col min="4884" max="4884" width="10.42578125" style="57" customWidth="1"/>
    <col min="4885" max="5126" width="9.140625" style="57"/>
    <col min="5127" max="5127" width="10" style="57" customWidth="1"/>
    <col min="5128" max="5128" width="40" style="57" customWidth="1"/>
    <col min="5129" max="5129" width="12.5703125" style="57" customWidth="1"/>
    <col min="5130" max="5131" width="10.42578125" style="57" customWidth="1"/>
    <col min="5132" max="5132" width="11.5703125" style="57" customWidth="1"/>
    <col min="5133" max="5134" width="10.42578125" style="57" customWidth="1"/>
    <col min="5135" max="5135" width="6.5703125" style="57" customWidth="1"/>
    <col min="5136" max="5136" width="11.42578125" style="57" customWidth="1"/>
    <col min="5137" max="5137" width="4.140625" style="57" customWidth="1"/>
    <col min="5138" max="5138" width="18.5703125" style="57" customWidth="1"/>
    <col min="5139" max="5139" width="2.140625" style="57" customWidth="1"/>
    <col min="5140" max="5140" width="10.42578125" style="57" customWidth="1"/>
    <col min="5141" max="5382" width="9.140625" style="57"/>
    <col min="5383" max="5383" width="10" style="57" customWidth="1"/>
    <col min="5384" max="5384" width="40" style="57" customWidth="1"/>
    <col min="5385" max="5385" width="12.5703125" style="57" customWidth="1"/>
    <col min="5386" max="5387" width="10.42578125" style="57" customWidth="1"/>
    <col min="5388" max="5388" width="11.5703125" style="57" customWidth="1"/>
    <col min="5389" max="5390" width="10.42578125" style="57" customWidth="1"/>
    <col min="5391" max="5391" width="6.5703125" style="57" customWidth="1"/>
    <col min="5392" max="5392" width="11.42578125" style="57" customWidth="1"/>
    <col min="5393" max="5393" width="4.140625" style="57" customWidth="1"/>
    <col min="5394" max="5394" width="18.5703125" style="57" customWidth="1"/>
    <col min="5395" max="5395" width="2.140625" style="57" customWidth="1"/>
    <col min="5396" max="5396" width="10.42578125" style="57" customWidth="1"/>
    <col min="5397" max="5638" width="9.140625" style="57"/>
    <col min="5639" max="5639" width="10" style="57" customWidth="1"/>
    <col min="5640" max="5640" width="40" style="57" customWidth="1"/>
    <col min="5641" max="5641" width="12.5703125" style="57" customWidth="1"/>
    <col min="5642" max="5643" width="10.42578125" style="57" customWidth="1"/>
    <col min="5644" max="5644" width="11.5703125" style="57" customWidth="1"/>
    <col min="5645" max="5646" width="10.42578125" style="57" customWidth="1"/>
    <col min="5647" max="5647" width="6.5703125" style="57" customWidth="1"/>
    <col min="5648" max="5648" width="11.42578125" style="57" customWidth="1"/>
    <col min="5649" max="5649" width="4.140625" style="57" customWidth="1"/>
    <col min="5650" max="5650" width="18.5703125" style="57" customWidth="1"/>
    <col min="5651" max="5651" width="2.140625" style="57" customWidth="1"/>
    <col min="5652" max="5652" width="10.42578125" style="57" customWidth="1"/>
    <col min="5653" max="5894" width="9.140625" style="57"/>
    <col min="5895" max="5895" width="10" style="57" customWidth="1"/>
    <col min="5896" max="5896" width="40" style="57" customWidth="1"/>
    <col min="5897" max="5897" width="12.5703125" style="57" customWidth="1"/>
    <col min="5898" max="5899" width="10.42578125" style="57" customWidth="1"/>
    <col min="5900" max="5900" width="11.5703125" style="57" customWidth="1"/>
    <col min="5901" max="5902" width="10.42578125" style="57" customWidth="1"/>
    <col min="5903" max="5903" width="6.5703125" style="57" customWidth="1"/>
    <col min="5904" max="5904" width="11.42578125" style="57" customWidth="1"/>
    <col min="5905" max="5905" width="4.140625" style="57" customWidth="1"/>
    <col min="5906" max="5906" width="18.5703125" style="57" customWidth="1"/>
    <col min="5907" max="5907" width="2.140625" style="57" customWidth="1"/>
    <col min="5908" max="5908" width="10.42578125" style="57" customWidth="1"/>
    <col min="5909" max="6150" width="9.140625" style="57"/>
    <col min="6151" max="6151" width="10" style="57" customWidth="1"/>
    <col min="6152" max="6152" width="40" style="57" customWidth="1"/>
    <col min="6153" max="6153" width="12.5703125" style="57" customWidth="1"/>
    <col min="6154" max="6155" width="10.42578125" style="57" customWidth="1"/>
    <col min="6156" max="6156" width="11.5703125" style="57" customWidth="1"/>
    <col min="6157" max="6158" width="10.42578125" style="57" customWidth="1"/>
    <col min="6159" max="6159" width="6.5703125" style="57" customWidth="1"/>
    <col min="6160" max="6160" width="11.42578125" style="57" customWidth="1"/>
    <col min="6161" max="6161" width="4.140625" style="57" customWidth="1"/>
    <col min="6162" max="6162" width="18.5703125" style="57" customWidth="1"/>
    <col min="6163" max="6163" width="2.140625" style="57" customWidth="1"/>
    <col min="6164" max="6164" width="10.42578125" style="57" customWidth="1"/>
    <col min="6165" max="6406" width="9.140625" style="57"/>
    <col min="6407" max="6407" width="10" style="57" customWidth="1"/>
    <col min="6408" max="6408" width="40" style="57" customWidth="1"/>
    <col min="6409" max="6409" width="12.5703125" style="57" customWidth="1"/>
    <col min="6410" max="6411" width="10.42578125" style="57" customWidth="1"/>
    <col min="6412" max="6412" width="11.5703125" style="57" customWidth="1"/>
    <col min="6413" max="6414" width="10.42578125" style="57" customWidth="1"/>
    <col min="6415" max="6415" width="6.5703125" style="57" customWidth="1"/>
    <col min="6416" max="6416" width="11.42578125" style="57" customWidth="1"/>
    <col min="6417" max="6417" width="4.140625" style="57" customWidth="1"/>
    <col min="6418" max="6418" width="18.5703125" style="57" customWidth="1"/>
    <col min="6419" max="6419" width="2.140625" style="57" customWidth="1"/>
    <col min="6420" max="6420" width="10.42578125" style="57" customWidth="1"/>
    <col min="6421" max="6662" width="9.140625" style="57"/>
    <col min="6663" max="6663" width="10" style="57" customWidth="1"/>
    <col min="6664" max="6664" width="40" style="57" customWidth="1"/>
    <col min="6665" max="6665" width="12.5703125" style="57" customWidth="1"/>
    <col min="6666" max="6667" width="10.42578125" style="57" customWidth="1"/>
    <col min="6668" max="6668" width="11.5703125" style="57" customWidth="1"/>
    <col min="6669" max="6670" width="10.42578125" style="57" customWidth="1"/>
    <col min="6671" max="6671" width="6.5703125" style="57" customWidth="1"/>
    <col min="6672" max="6672" width="11.42578125" style="57" customWidth="1"/>
    <col min="6673" max="6673" width="4.140625" style="57" customWidth="1"/>
    <col min="6674" max="6674" width="18.5703125" style="57" customWidth="1"/>
    <col min="6675" max="6675" width="2.140625" style="57" customWidth="1"/>
    <col min="6676" max="6676" width="10.42578125" style="57" customWidth="1"/>
    <col min="6677" max="6918" width="9.140625" style="57"/>
    <col min="6919" max="6919" width="10" style="57" customWidth="1"/>
    <col min="6920" max="6920" width="40" style="57" customWidth="1"/>
    <col min="6921" max="6921" width="12.5703125" style="57" customWidth="1"/>
    <col min="6922" max="6923" width="10.42578125" style="57" customWidth="1"/>
    <col min="6924" max="6924" width="11.5703125" style="57" customWidth="1"/>
    <col min="6925" max="6926" width="10.42578125" style="57" customWidth="1"/>
    <col min="6927" max="6927" width="6.5703125" style="57" customWidth="1"/>
    <col min="6928" max="6928" width="11.42578125" style="57" customWidth="1"/>
    <col min="6929" max="6929" width="4.140625" style="57" customWidth="1"/>
    <col min="6930" max="6930" width="18.5703125" style="57" customWidth="1"/>
    <col min="6931" max="6931" width="2.140625" style="57" customWidth="1"/>
    <col min="6932" max="6932" width="10.42578125" style="57" customWidth="1"/>
    <col min="6933" max="7174" width="9.140625" style="57"/>
    <col min="7175" max="7175" width="10" style="57" customWidth="1"/>
    <col min="7176" max="7176" width="40" style="57" customWidth="1"/>
    <col min="7177" max="7177" width="12.5703125" style="57" customWidth="1"/>
    <col min="7178" max="7179" width="10.42578125" style="57" customWidth="1"/>
    <col min="7180" max="7180" width="11.5703125" style="57" customWidth="1"/>
    <col min="7181" max="7182" width="10.42578125" style="57" customWidth="1"/>
    <col min="7183" max="7183" width="6.5703125" style="57" customWidth="1"/>
    <col min="7184" max="7184" width="11.42578125" style="57" customWidth="1"/>
    <col min="7185" max="7185" width="4.140625" style="57" customWidth="1"/>
    <col min="7186" max="7186" width="18.5703125" style="57" customWidth="1"/>
    <col min="7187" max="7187" width="2.140625" style="57" customWidth="1"/>
    <col min="7188" max="7188" width="10.42578125" style="57" customWidth="1"/>
    <col min="7189" max="7430" width="9.140625" style="57"/>
    <col min="7431" max="7431" width="10" style="57" customWidth="1"/>
    <col min="7432" max="7432" width="40" style="57" customWidth="1"/>
    <col min="7433" max="7433" width="12.5703125" style="57" customWidth="1"/>
    <col min="7434" max="7435" width="10.42578125" style="57" customWidth="1"/>
    <col min="7436" max="7436" width="11.5703125" style="57" customWidth="1"/>
    <col min="7437" max="7438" width="10.42578125" style="57" customWidth="1"/>
    <col min="7439" max="7439" width="6.5703125" style="57" customWidth="1"/>
    <col min="7440" max="7440" width="11.42578125" style="57" customWidth="1"/>
    <col min="7441" max="7441" width="4.140625" style="57" customWidth="1"/>
    <col min="7442" max="7442" width="18.5703125" style="57" customWidth="1"/>
    <col min="7443" max="7443" width="2.140625" style="57" customWidth="1"/>
    <col min="7444" max="7444" width="10.42578125" style="57" customWidth="1"/>
    <col min="7445" max="7686" width="9.140625" style="57"/>
    <col min="7687" max="7687" width="10" style="57" customWidth="1"/>
    <col min="7688" max="7688" width="40" style="57" customWidth="1"/>
    <col min="7689" max="7689" width="12.5703125" style="57" customWidth="1"/>
    <col min="7690" max="7691" width="10.42578125" style="57" customWidth="1"/>
    <col min="7692" max="7692" width="11.5703125" style="57" customWidth="1"/>
    <col min="7693" max="7694" width="10.42578125" style="57" customWidth="1"/>
    <col min="7695" max="7695" width="6.5703125" style="57" customWidth="1"/>
    <col min="7696" max="7696" width="11.42578125" style="57" customWidth="1"/>
    <col min="7697" max="7697" width="4.140625" style="57" customWidth="1"/>
    <col min="7698" max="7698" width="18.5703125" style="57" customWidth="1"/>
    <col min="7699" max="7699" width="2.140625" style="57" customWidth="1"/>
    <col min="7700" max="7700" width="10.42578125" style="57" customWidth="1"/>
    <col min="7701" max="7942" width="9.140625" style="57"/>
    <col min="7943" max="7943" width="10" style="57" customWidth="1"/>
    <col min="7944" max="7944" width="40" style="57" customWidth="1"/>
    <col min="7945" max="7945" width="12.5703125" style="57" customWidth="1"/>
    <col min="7946" max="7947" width="10.42578125" style="57" customWidth="1"/>
    <col min="7948" max="7948" width="11.5703125" style="57" customWidth="1"/>
    <col min="7949" max="7950" width="10.42578125" style="57" customWidth="1"/>
    <col min="7951" max="7951" width="6.5703125" style="57" customWidth="1"/>
    <col min="7952" max="7952" width="11.42578125" style="57" customWidth="1"/>
    <col min="7953" max="7953" width="4.140625" style="57" customWidth="1"/>
    <col min="7954" max="7954" width="18.5703125" style="57" customWidth="1"/>
    <col min="7955" max="7955" width="2.140625" style="57" customWidth="1"/>
    <col min="7956" max="7956" width="10.42578125" style="57" customWidth="1"/>
    <col min="7957" max="8198" width="9.140625" style="57"/>
    <col min="8199" max="8199" width="10" style="57" customWidth="1"/>
    <col min="8200" max="8200" width="40" style="57" customWidth="1"/>
    <col min="8201" max="8201" width="12.5703125" style="57" customWidth="1"/>
    <col min="8202" max="8203" width="10.42578125" style="57" customWidth="1"/>
    <col min="8204" max="8204" width="11.5703125" style="57" customWidth="1"/>
    <col min="8205" max="8206" width="10.42578125" style="57" customWidth="1"/>
    <col min="8207" max="8207" width="6.5703125" style="57" customWidth="1"/>
    <col min="8208" max="8208" width="11.42578125" style="57" customWidth="1"/>
    <col min="8209" max="8209" width="4.140625" style="57" customWidth="1"/>
    <col min="8210" max="8210" width="18.5703125" style="57" customWidth="1"/>
    <col min="8211" max="8211" width="2.140625" style="57" customWidth="1"/>
    <col min="8212" max="8212" width="10.42578125" style="57" customWidth="1"/>
    <col min="8213" max="8454" width="9.140625" style="57"/>
    <col min="8455" max="8455" width="10" style="57" customWidth="1"/>
    <col min="8456" max="8456" width="40" style="57" customWidth="1"/>
    <col min="8457" max="8457" width="12.5703125" style="57" customWidth="1"/>
    <col min="8458" max="8459" width="10.42578125" style="57" customWidth="1"/>
    <col min="8460" max="8460" width="11.5703125" style="57" customWidth="1"/>
    <col min="8461" max="8462" width="10.42578125" style="57" customWidth="1"/>
    <col min="8463" max="8463" width="6.5703125" style="57" customWidth="1"/>
    <col min="8464" max="8464" width="11.42578125" style="57" customWidth="1"/>
    <col min="8465" max="8465" width="4.140625" style="57" customWidth="1"/>
    <col min="8466" max="8466" width="18.5703125" style="57" customWidth="1"/>
    <col min="8467" max="8467" width="2.140625" style="57" customWidth="1"/>
    <col min="8468" max="8468" width="10.42578125" style="57" customWidth="1"/>
    <col min="8469" max="8710" width="9.140625" style="57"/>
    <col min="8711" max="8711" width="10" style="57" customWidth="1"/>
    <col min="8712" max="8712" width="40" style="57" customWidth="1"/>
    <col min="8713" max="8713" width="12.5703125" style="57" customWidth="1"/>
    <col min="8714" max="8715" width="10.42578125" style="57" customWidth="1"/>
    <col min="8716" max="8716" width="11.5703125" style="57" customWidth="1"/>
    <col min="8717" max="8718" width="10.42578125" style="57" customWidth="1"/>
    <col min="8719" max="8719" width="6.5703125" style="57" customWidth="1"/>
    <col min="8720" max="8720" width="11.42578125" style="57" customWidth="1"/>
    <col min="8721" max="8721" width="4.140625" style="57" customWidth="1"/>
    <col min="8722" max="8722" width="18.5703125" style="57" customWidth="1"/>
    <col min="8723" max="8723" width="2.140625" style="57" customWidth="1"/>
    <col min="8724" max="8724" width="10.42578125" style="57" customWidth="1"/>
    <col min="8725" max="8966" width="9.140625" style="57"/>
    <col min="8967" max="8967" width="10" style="57" customWidth="1"/>
    <col min="8968" max="8968" width="40" style="57" customWidth="1"/>
    <col min="8969" max="8969" width="12.5703125" style="57" customWidth="1"/>
    <col min="8970" max="8971" width="10.42578125" style="57" customWidth="1"/>
    <col min="8972" max="8972" width="11.5703125" style="57" customWidth="1"/>
    <col min="8973" max="8974" width="10.42578125" style="57" customWidth="1"/>
    <col min="8975" max="8975" width="6.5703125" style="57" customWidth="1"/>
    <col min="8976" max="8976" width="11.42578125" style="57" customWidth="1"/>
    <col min="8977" max="8977" width="4.140625" style="57" customWidth="1"/>
    <col min="8978" max="8978" width="18.5703125" style="57" customWidth="1"/>
    <col min="8979" max="8979" width="2.140625" style="57" customWidth="1"/>
    <col min="8980" max="8980" width="10.42578125" style="57" customWidth="1"/>
    <col min="8981" max="9222" width="9.140625" style="57"/>
    <col min="9223" max="9223" width="10" style="57" customWidth="1"/>
    <col min="9224" max="9224" width="40" style="57" customWidth="1"/>
    <col min="9225" max="9225" width="12.5703125" style="57" customWidth="1"/>
    <col min="9226" max="9227" width="10.42578125" style="57" customWidth="1"/>
    <col min="9228" max="9228" width="11.5703125" style="57" customWidth="1"/>
    <col min="9229" max="9230" width="10.42578125" style="57" customWidth="1"/>
    <col min="9231" max="9231" width="6.5703125" style="57" customWidth="1"/>
    <col min="9232" max="9232" width="11.42578125" style="57" customWidth="1"/>
    <col min="9233" max="9233" width="4.140625" style="57" customWidth="1"/>
    <col min="9234" max="9234" width="18.5703125" style="57" customWidth="1"/>
    <col min="9235" max="9235" width="2.140625" style="57" customWidth="1"/>
    <col min="9236" max="9236" width="10.42578125" style="57" customWidth="1"/>
    <col min="9237" max="9478" width="9.140625" style="57"/>
    <col min="9479" max="9479" width="10" style="57" customWidth="1"/>
    <col min="9480" max="9480" width="40" style="57" customWidth="1"/>
    <col min="9481" max="9481" width="12.5703125" style="57" customWidth="1"/>
    <col min="9482" max="9483" width="10.42578125" style="57" customWidth="1"/>
    <col min="9484" max="9484" width="11.5703125" style="57" customWidth="1"/>
    <col min="9485" max="9486" width="10.42578125" style="57" customWidth="1"/>
    <col min="9487" max="9487" width="6.5703125" style="57" customWidth="1"/>
    <col min="9488" max="9488" width="11.42578125" style="57" customWidth="1"/>
    <col min="9489" max="9489" width="4.140625" style="57" customWidth="1"/>
    <col min="9490" max="9490" width="18.5703125" style="57" customWidth="1"/>
    <col min="9491" max="9491" width="2.140625" style="57" customWidth="1"/>
    <col min="9492" max="9492" width="10.42578125" style="57" customWidth="1"/>
    <col min="9493" max="9734" width="9.140625" style="57"/>
    <col min="9735" max="9735" width="10" style="57" customWidth="1"/>
    <col min="9736" max="9736" width="40" style="57" customWidth="1"/>
    <col min="9737" max="9737" width="12.5703125" style="57" customWidth="1"/>
    <col min="9738" max="9739" width="10.42578125" style="57" customWidth="1"/>
    <col min="9740" max="9740" width="11.5703125" style="57" customWidth="1"/>
    <col min="9741" max="9742" width="10.42578125" style="57" customWidth="1"/>
    <col min="9743" max="9743" width="6.5703125" style="57" customWidth="1"/>
    <col min="9744" max="9744" width="11.42578125" style="57" customWidth="1"/>
    <col min="9745" max="9745" width="4.140625" style="57" customWidth="1"/>
    <col min="9746" max="9746" width="18.5703125" style="57" customWidth="1"/>
    <col min="9747" max="9747" width="2.140625" style="57" customWidth="1"/>
    <col min="9748" max="9748" width="10.42578125" style="57" customWidth="1"/>
    <col min="9749" max="9990" width="9.140625" style="57"/>
    <col min="9991" max="9991" width="10" style="57" customWidth="1"/>
    <col min="9992" max="9992" width="40" style="57" customWidth="1"/>
    <col min="9993" max="9993" width="12.5703125" style="57" customWidth="1"/>
    <col min="9994" max="9995" width="10.42578125" style="57" customWidth="1"/>
    <col min="9996" max="9996" width="11.5703125" style="57" customWidth="1"/>
    <col min="9997" max="9998" width="10.42578125" style="57" customWidth="1"/>
    <col min="9999" max="9999" width="6.5703125" style="57" customWidth="1"/>
    <col min="10000" max="10000" width="11.42578125" style="57" customWidth="1"/>
    <col min="10001" max="10001" width="4.140625" style="57" customWidth="1"/>
    <col min="10002" max="10002" width="18.5703125" style="57" customWidth="1"/>
    <col min="10003" max="10003" width="2.140625" style="57" customWidth="1"/>
    <col min="10004" max="10004" width="10.42578125" style="57" customWidth="1"/>
    <col min="10005" max="10246" width="9.140625" style="57"/>
    <col min="10247" max="10247" width="10" style="57" customWidth="1"/>
    <col min="10248" max="10248" width="40" style="57" customWidth="1"/>
    <col min="10249" max="10249" width="12.5703125" style="57" customWidth="1"/>
    <col min="10250" max="10251" width="10.42578125" style="57" customWidth="1"/>
    <col min="10252" max="10252" width="11.5703125" style="57" customWidth="1"/>
    <col min="10253" max="10254" width="10.42578125" style="57" customWidth="1"/>
    <col min="10255" max="10255" width="6.5703125" style="57" customWidth="1"/>
    <col min="10256" max="10256" width="11.42578125" style="57" customWidth="1"/>
    <col min="10257" max="10257" width="4.140625" style="57" customWidth="1"/>
    <col min="10258" max="10258" width="18.5703125" style="57" customWidth="1"/>
    <col min="10259" max="10259" width="2.140625" style="57" customWidth="1"/>
    <col min="10260" max="10260" width="10.42578125" style="57" customWidth="1"/>
    <col min="10261" max="10502" width="9.140625" style="57"/>
    <col min="10503" max="10503" width="10" style="57" customWidth="1"/>
    <col min="10504" max="10504" width="40" style="57" customWidth="1"/>
    <col min="10505" max="10505" width="12.5703125" style="57" customWidth="1"/>
    <col min="10506" max="10507" width="10.42578125" style="57" customWidth="1"/>
    <col min="10508" max="10508" width="11.5703125" style="57" customWidth="1"/>
    <col min="10509" max="10510" width="10.42578125" style="57" customWidth="1"/>
    <col min="10511" max="10511" width="6.5703125" style="57" customWidth="1"/>
    <col min="10512" max="10512" width="11.42578125" style="57" customWidth="1"/>
    <col min="10513" max="10513" width="4.140625" style="57" customWidth="1"/>
    <col min="10514" max="10514" width="18.5703125" style="57" customWidth="1"/>
    <col min="10515" max="10515" width="2.140625" style="57" customWidth="1"/>
    <col min="10516" max="10516" width="10.42578125" style="57" customWidth="1"/>
    <col min="10517" max="10758" width="9.140625" style="57"/>
    <col min="10759" max="10759" width="10" style="57" customWidth="1"/>
    <col min="10760" max="10760" width="40" style="57" customWidth="1"/>
    <col min="10761" max="10761" width="12.5703125" style="57" customWidth="1"/>
    <col min="10762" max="10763" width="10.42578125" style="57" customWidth="1"/>
    <col min="10764" max="10764" width="11.5703125" style="57" customWidth="1"/>
    <col min="10765" max="10766" width="10.42578125" style="57" customWidth="1"/>
    <col min="10767" max="10767" width="6.5703125" style="57" customWidth="1"/>
    <col min="10768" max="10768" width="11.42578125" style="57" customWidth="1"/>
    <col min="10769" max="10769" width="4.140625" style="57" customWidth="1"/>
    <col min="10770" max="10770" width="18.5703125" style="57" customWidth="1"/>
    <col min="10771" max="10771" width="2.140625" style="57" customWidth="1"/>
    <col min="10772" max="10772" width="10.42578125" style="57" customWidth="1"/>
    <col min="10773" max="11014" width="9.140625" style="57"/>
    <col min="11015" max="11015" width="10" style="57" customWidth="1"/>
    <col min="11016" max="11016" width="40" style="57" customWidth="1"/>
    <col min="11017" max="11017" width="12.5703125" style="57" customWidth="1"/>
    <col min="11018" max="11019" width="10.42578125" style="57" customWidth="1"/>
    <col min="11020" max="11020" width="11.5703125" style="57" customWidth="1"/>
    <col min="11021" max="11022" width="10.42578125" style="57" customWidth="1"/>
    <col min="11023" max="11023" width="6.5703125" style="57" customWidth="1"/>
    <col min="11024" max="11024" width="11.42578125" style="57" customWidth="1"/>
    <col min="11025" max="11025" width="4.140625" style="57" customWidth="1"/>
    <col min="11026" max="11026" width="18.5703125" style="57" customWidth="1"/>
    <col min="11027" max="11027" width="2.140625" style="57" customWidth="1"/>
    <col min="11028" max="11028" width="10.42578125" style="57" customWidth="1"/>
    <col min="11029" max="11270" width="9.140625" style="57"/>
    <col min="11271" max="11271" width="10" style="57" customWidth="1"/>
    <col min="11272" max="11272" width="40" style="57" customWidth="1"/>
    <col min="11273" max="11273" width="12.5703125" style="57" customWidth="1"/>
    <col min="11274" max="11275" width="10.42578125" style="57" customWidth="1"/>
    <col min="11276" max="11276" width="11.5703125" style="57" customWidth="1"/>
    <col min="11277" max="11278" width="10.42578125" style="57" customWidth="1"/>
    <col min="11279" max="11279" width="6.5703125" style="57" customWidth="1"/>
    <col min="11280" max="11280" width="11.42578125" style="57" customWidth="1"/>
    <col min="11281" max="11281" width="4.140625" style="57" customWidth="1"/>
    <col min="11282" max="11282" width="18.5703125" style="57" customWidth="1"/>
    <col min="11283" max="11283" width="2.140625" style="57" customWidth="1"/>
    <col min="11284" max="11284" width="10.42578125" style="57" customWidth="1"/>
    <col min="11285" max="11526" width="9.140625" style="57"/>
    <col min="11527" max="11527" width="10" style="57" customWidth="1"/>
    <col min="11528" max="11528" width="40" style="57" customWidth="1"/>
    <col min="11529" max="11529" width="12.5703125" style="57" customWidth="1"/>
    <col min="11530" max="11531" width="10.42578125" style="57" customWidth="1"/>
    <col min="11532" max="11532" width="11.5703125" style="57" customWidth="1"/>
    <col min="11533" max="11534" width="10.42578125" style="57" customWidth="1"/>
    <col min="11535" max="11535" width="6.5703125" style="57" customWidth="1"/>
    <col min="11536" max="11536" width="11.42578125" style="57" customWidth="1"/>
    <col min="11537" max="11537" width="4.140625" style="57" customWidth="1"/>
    <col min="11538" max="11538" width="18.5703125" style="57" customWidth="1"/>
    <col min="11539" max="11539" width="2.140625" style="57" customWidth="1"/>
    <col min="11540" max="11540" width="10.42578125" style="57" customWidth="1"/>
    <col min="11541" max="11782" width="9.140625" style="57"/>
    <col min="11783" max="11783" width="10" style="57" customWidth="1"/>
    <col min="11784" max="11784" width="40" style="57" customWidth="1"/>
    <col min="11785" max="11785" width="12.5703125" style="57" customWidth="1"/>
    <col min="11786" max="11787" width="10.42578125" style="57" customWidth="1"/>
    <col min="11788" max="11788" width="11.5703125" style="57" customWidth="1"/>
    <col min="11789" max="11790" width="10.42578125" style="57" customWidth="1"/>
    <col min="11791" max="11791" width="6.5703125" style="57" customWidth="1"/>
    <col min="11792" max="11792" width="11.42578125" style="57" customWidth="1"/>
    <col min="11793" max="11793" width="4.140625" style="57" customWidth="1"/>
    <col min="11794" max="11794" width="18.5703125" style="57" customWidth="1"/>
    <col min="11795" max="11795" width="2.140625" style="57" customWidth="1"/>
    <col min="11796" max="11796" width="10.42578125" style="57" customWidth="1"/>
    <col min="11797" max="12038" width="9.140625" style="57"/>
    <col min="12039" max="12039" width="10" style="57" customWidth="1"/>
    <col min="12040" max="12040" width="40" style="57" customWidth="1"/>
    <col min="12041" max="12041" width="12.5703125" style="57" customWidth="1"/>
    <col min="12042" max="12043" width="10.42578125" style="57" customWidth="1"/>
    <col min="12044" max="12044" width="11.5703125" style="57" customWidth="1"/>
    <col min="12045" max="12046" width="10.42578125" style="57" customWidth="1"/>
    <col min="12047" max="12047" width="6.5703125" style="57" customWidth="1"/>
    <col min="12048" max="12048" width="11.42578125" style="57" customWidth="1"/>
    <col min="12049" max="12049" width="4.140625" style="57" customWidth="1"/>
    <col min="12050" max="12050" width="18.5703125" style="57" customWidth="1"/>
    <col min="12051" max="12051" width="2.140625" style="57" customWidth="1"/>
    <col min="12052" max="12052" width="10.42578125" style="57" customWidth="1"/>
    <col min="12053" max="12294" width="9.140625" style="57"/>
    <col min="12295" max="12295" width="10" style="57" customWidth="1"/>
    <col min="12296" max="12296" width="40" style="57" customWidth="1"/>
    <col min="12297" max="12297" width="12.5703125" style="57" customWidth="1"/>
    <col min="12298" max="12299" width="10.42578125" style="57" customWidth="1"/>
    <col min="12300" max="12300" width="11.5703125" style="57" customWidth="1"/>
    <col min="12301" max="12302" width="10.42578125" style="57" customWidth="1"/>
    <col min="12303" max="12303" width="6.5703125" style="57" customWidth="1"/>
    <col min="12304" max="12304" width="11.42578125" style="57" customWidth="1"/>
    <col min="12305" max="12305" width="4.140625" style="57" customWidth="1"/>
    <col min="12306" max="12306" width="18.5703125" style="57" customWidth="1"/>
    <col min="12307" max="12307" width="2.140625" style="57" customWidth="1"/>
    <col min="12308" max="12308" width="10.42578125" style="57" customWidth="1"/>
    <col min="12309" max="12550" width="9.140625" style="57"/>
    <col min="12551" max="12551" width="10" style="57" customWidth="1"/>
    <col min="12552" max="12552" width="40" style="57" customWidth="1"/>
    <col min="12553" max="12553" width="12.5703125" style="57" customWidth="1"/>
    <col min="12554" max="12555" width="10.42578125" style="57" customWidth="1"/>
    <col min="12556" max="12556" width="11.5703125" style="57" customWidth="1"/>
    <col min="12557" max="12558" width="10.42578125" style="57" customWidth="1"/>
    <col min="12559" max="12559" width="6.5703125" style="57" customWidth="1"/>
    <col min="12560" max="12560" width="11.42578125" style="57" customWidth="1"/>
    <col min="12561" max="12561" width="4.140625" style="57" customWidth="1"/>
    <col min="12562" max="12562" width="18.5703125" style="57" customWidth="1"/>
    <col min="12563" max="12563" width="2.140625" style="57" customWidth="1"/>
    <col min="12564" max="12564" width="10.42578125" style="57" customWidth="1"/>
    <col min="12565" max="12806" width="9.140625" style="57"/>
    <col min="12807" max="12807" width="10" style="57" customWidth="1"/>
    <col min="12808" max="12808" width="40" style="57" customWidth="1"/>
    <col min="12809" max="12809" width="12.5703125" style="57" customWidth="1"/>
    <col min="12810" max="12811" width="10.42578125" style="57" customWidth="1"/>
    <col min="12812" max="12812" width="11.5703125" style="57" customWidth="1"/>
    <col min="12813" max="12814" width="10.42578125" style="57" customWidth="1"/>
    <col min="12815" max="12815" width="6.5703125" style="57" customWidth="1"/>
    <col min="12816" max="12816" width="11.42578125" style="57" customWidth="1"/>
    <col min="12817" max="12817" width="4.140625" style="57" customWidth="1"/>
    <col min="12818" max="12818" width="18.5703125" style="57" customWidth="1"/>
    <col min="12819" max="12819" width="2.140625" style="57" customWidth="1"/>
    <col min="12820" max="12820" width="10.42578125" style="57" customWidth="1"/>
    <col min="12821" max="13062" width="9.140625" style="57"/>
    <col min="13063" max="13063" width="10" style="57" customWidth="1"/>
    <col min="13064" max="13064" width="40" style="57" customWidth="1"/>
    <col min="13065" max="13065" width="12.5703125" style="57" customWidth="1"/>
    <col min="13066" max="13067" width="10.42578125" style="57" customWidth="1"/>
    <col min="13068" max="13068" width="11.5703125" style="57" customWidth="1"/>
    <col min="13069" max="13070" width="10.42578125" style="57" customWidth="1"/>
    <col min="13071" max="13071" width="6.5703125" style="57" customWidth="1"/>
    <col min="13072" max="13072" width="11.42578125" style="57" customWidth="1"/>
    <col min="13073" max="13073" width="4.140625" style="57" customWidth="1"/>
    <col min="13074" max="13074" width="18.5703125" style="57" customWidth="1"/>
    <col min="13075" max="13075" width="2.140625" style="57" customWidth="1"/>
    <col min="13076" max="13076" width="10.42578125" style="57" customWidth="1"/>
    <col min="13077" max="13318" width="9.140625" style="57"/>
    <col min="13319" max="13319" width="10" style="57" customWidth="1"/>
    <col min="13320" max="13320" width="40" style="57" customWidth="1"/>
    <col min="13321" max="13321" width="12.5703125" style="57" customWidth="1"/>
    <col min="13322" max="13323" width="10.42578125" style="57" customWidth="1"/>
    <col min="13324" max="13324" width="11.5703125" style="57" customWidth="1"/>
    <col min="13325" max="13326" width="10.42578125" style="57" customWidth="1"/>
    <col min="13327" max="13327" width="6.5703125" style="57" customWidth="1"/>
    <col min="13328" max="13328" width="11.42578125" style="57" customWidth="1"/>
    <col min="13329" max="13329" width="4.140625" style="57" customWidth="1"/>
    <col min="13330" max="13330" width="18.5703125" style="57" customWidth="1"/>
    <col min="13331" max="13331" width="2.140625" style="57" customWidth="1"/>
    <col min="13332" max="13332" width="10.42578125" style="57" customWidth="1"/>
    <col min="13333" max="13574" width="9.140625" style="57"/>
    <col min="13575" max="13575" width="10" style="57" customWidth="1"/>
    <col min="13576" max="13576" width="40" style="57" customWidth="1"/>
    <col min="13577" max="13577" width="12.5703125" style="57" customWidth="1"/>
    <col min="13578" max="13579" width="10.42578125" style="57" customWidth="1"/>
    <col min="13580" max="13580" width="11.5703125" style="57" customWidth="1"/>
    <col min="13581" max="13582" width="10.42578125" style="57" customWidth="1"/>
    <col min="13583" max="13583" width="6.5703125" style="57" customWidth="1"/>
    <col min="13584" max="13584" width="11.42578125" style="57" customWidth="1"/>
    <col min="13585" max="13585" width="4.140625" style="57" customWidth="1"/>
    <col min="13586" max="13586" width="18.5703125" style="57" customWidth="1"/>
    <col min="13587" max="13587" width="2.140625" style="57" customWidth="1"/>
    <col min="13588" max="13588" width="10.42578125" style="57" customWidth="1"/>
    <col min="13589" max="13830" width="9.140625" style="57"/>
    <col min="13831" max="13831" width="10" style="57" customWidth="1"/>
    <col min="13832" max="13832" width="40" style="57" customWidth="1"/>
    <col min="13833" max="13833" width="12.5703125" style="57" customWidth="1"/>
    <col min="13834" max="13835" width="10.42578125" style="57" customWidth="1"/>
    <col min="13836" max="13836" width="11.5703125" style="57" customWidth="1"/>
    <col min="13837" max="13838" width="10.42578125" style="57" customWidth="1"/>
    <col min="13839" max="13839" width="6.5703125" style="57" customWidth="1"/>
    <col min="13840" max="13840" width="11.42578125" style="57" customWidth="1"/>
    <col min="13841" max="13841" width="4.140625" style="57" customWidth="1"/>
    <col min="13842" max="13842" width="18.5703125" style="57" customWidth="1"/>
    <col min="13843" max="13843" width="2.140625" style="57" customWidth="1"/>
    <col min="13844" max="13844" width="10.42578125" style="57" customWidth="1"/>
    <col min="13845" max="14086" width="9.140625" style="57"/>
    <col min="14087" max="14087" width="10" style="57" customWidth="1"/>
    <col min="14088" max="14088" width="40" style="57" customWidth="1"/>
    <col min="14089" max="14089" width="12.5703125" style="57" customWidth="1"/>
    <col min="14090" max="14091" width="10.42578125" style="57" customWidth="1"/>
    <col min="14092" max="14092" width="11.5703125" style="57" customWidth="1"/>
    <col min="14093" max="14094" width="10.42578125" style="57" customWidth="1"/>
    <col min="14095" max="14095" width="6.5703125" style="57" customWidth="1"/>
    <col min="14096" max="14096" width="11.42578125" style="57" customWidth="1"/>
    <col min="14097" max="14097" width="4.140625" style="57" customWidth="1"/>
    <col min="14098" max="14098" width="18.5703125" style="57" customWidth="1"/>
    <col min="14099" max="14099" width="2.140625" style="57" customWidth="1"/>
    <col min="14100" max="14100" width="10.42578125" style="57" customWidth="1"/>
    <col min="14101" max="14342" width="9.140625" style="57"/>
    <col min="14343" max="14343" width="10" style="57" customWidth="1"/>
    <col min="14344" max="14344" width="40" style="57" customWidth="1"/>
    <col min="14345" max="14345" width="12.5703125" style="57" customWidth="1"/>
    <col min="14346" max="14347" width="10.42578125" style="57" customWidth="1"/>
    <col min="14348" max="14348" width="11.5703125" style="57" customWidth="1"/>
    <col min="14349" max="14350" width="10.42578125" style="57" customWidth="1"/>
    <col min="14351" max="14351" width="6.5703125" style="57" customWidth="1"/>
    <col min="14352" max="14352" width="11.42578125" style="57" customWidth="1"/>
    <col min="14353" max="14353" width="4.140625" style="57" customWidth="1"/>
    <col min="14354" max="14354" width="18.5703125" style="57" customWidth="1"/>
    <col min="14355" max="14355" width="2.140625" style="57" customWidth="1"/>
    <col min="14356" max="14356" width="10.42578125" style="57" customWidth="1"/>
    <col min="14357" max="14598" width="9.140625" style="57"/>
    <col min="14599" max="14599" width="10" style="57" customWidth="1"/>
    <col min="14600" max="14600" width="40" style="57" customWidth="1"/>
    <col min="14601" max="14601" width="12.5703125" style="57" customWidth="1"/>
    <col min="14602" max="14603" width="10.42578125" style="57" customWidth="1"/>
    <col min="14604" max="14604" width="11.5703125" style="57" customWidth="1"/>
    <col min="14605" max="14606" width="10.42578125" style="57" customWidth="1"/>
    <col min="14607" max="14607" width="6.5703125" style="57" customWidth="1"/>
    <col min="14608" max="14608" width="11.42578125" style="57" customWidth="1"/>
    <col min="14609" max="14609" width="4.140625" style="57" customWidth="1"/>
    <col min="14610" max="14610" width="18.5703125" style="57" customWidth="1"/>
    <col min="14611" max="14611" width="2.140625" style="57" customWidth="1"/>
    <col min="14612" max="14612" width="10.42578125" style="57" customWidth="1"/>
    <col min="14613" max="14854" width="9.140625" style="57"/>
    <col min="14855" max="14855" width="10" style="57" customWidth="1"/>
    <col min="14856" max="14856" width="40" style="57" customWidth="1"/>
    <col min="14857" max="14857" width="12.5703125" style="57" customWidth="1"/>
    <col min="14858" max="14859" width="10.42578125" style="57" customWidth="1"/>
    <col min="14860" max="14860" width="11.5703125" style="57" customWidth="1"/>
    <col min="14861" max="14862" width="10.42578125" style="57" customWidth="1"/>
    <col min="14863" max="14863" width="6.5703125" style="57" customWidth="1"/>
    <col min="14864" max="14864" width="11.42578125" style="57" customWidth="1"/>
    <col min="14865" max="14865" width="4.140625" style="57" customWidth="1"/>
    <col min="14866" max="14866" width="18.5703125" style="57" customWidth="1"/>
    <col min="14867" max="14867" width="2.140625" style="57" customWidth="1"/>
    <col min="14868" max="14868" width="10.42578125" style="57" customWidth="1"/>
    <col min="14869" max="15110" width="9.140625" style="57"/>
    <col min="15111" max="15111" width="10" style="57" customWidth="1"/>
    <col min="15112" max="15112" width="40" style="57" customWidth="1"/>
    <col min="15113" max="15113" width="12.5703125" style="57" customWidth="1"/>
    <col min="15114" max="15115" width="10.42578125" style="57" customWidth="1"/>
    <col min="15116" max="15116" width="11.5703125" style="57" customWidth="1"/>
    <col min="15117" max="15118" width="10.42578125" style="57" customWidth="1"/>
    <col min="15119" max="15119" width="6.5703125" style="57" customWidth="1"/>
    <col min="15120" max="15120" width="11.42578125" style="57" customWidth="1"/>
    <col min="15121" max="15121" width="4.140625" style="57" customWidth="1"/>
    <col min="15122" max="15122" width="18.5703125" style="57" customWidth="1"/>
    <col min="15123" max="15123" width="2.140625" style="57" customWidth="1"/>
    <col min="15124" max="15124" width="10.42578125" style="57" customWidth="1"/>
    <col min="15125" max="15366" width="9.140625" style="57"/>
    <col min="15367" max="15367" width="10" style="57" customWidth="1"/>
    <col min="15368" max="15368" width="40" style="57" customWidth="1"/>
    <col min="15369" max="15369" width="12.5703125" style="57" customWidth="1"/>
    <col min="15370" max="15371" width="10.42578125" style="57" customWidth="1"/>
    <col min="15372" max="15372" width="11.5703125" style="57" customWidth="1"/>
    <col min="15373" max="15374" width="10.42578125" style="57" customWidth="1"/>
    <col min="15375" max="15375" width="6.5703125" style="57" customWidth="1"/>
    <col min="15376" max="15376" width="11.42578125" style="57" customWidth="1"/>
    <col min="15377" max="15377" width="4.140625" style="57" customWidth="1"/>
    <col min="15378" max="15378" width="18.5703125" style="57" customWidth="1"/>
    <col min="15379" max="15379" width="2.140625" style="57" customWidth="1"/>
    <col min="15380" max="15380" width="10.42578125" style="57" customWidth="1"/>
    <col min="15381" max="15622" width="9.140625" style="57"/>
    <col min="15623" max="15623" width="10" style="57" customWidth="1"/>
    <col min="15624" max="15624" width="40" style="57" customWidth="1"/>
    <col min="15625" max="15625" width="12.5703125" style="57" customWidth="1"/>
    <col min="15626" max="15627" width="10.42578125" style="57" customWidth="1"/>
    <col min="15628" max="15628" width="11.5703125" style="57" customWidth="1"/>
    <col min="15629" max="15630" width="10.42578125" style="57" customWidth="1"/>
    <col min="15631" max="15631" width="6.5703125" style="57" customWidth="1"/>
    <col min="15632" max="15632" width="11.42578125" style="57" customWidth="1"/>
    <col min="15633" max="15633" width="4.140625" style="57" customWidth="1"/>
    <col min="15634" max="15634" width="18.5703125" style="57" customWidth="1"/>
    <col min="15635" max="15635" width="2.140625" style="57" customWidth="1"/>
    <col min="15636" max="15636" width="10.42578125" style="57" customWidth="1"/>
    <col min="15637" max="15878" width="9.140625" style="57"/>
    <col min="15879" max="15879" width="10" style="57" customWidth="1"/>
    <col min="15880" max="15880" width="40" style="57" customWidth="1"/>
    <col min="15881" max="15881" width="12.5703125" style="57" customWidth="1"/>
    <col min="15882" max="15883" width="10.42578125" style="57" customWidth="1"/>
    <col min="15884" max="15884" width="11.5703125" style="57" customWidth="1"/>
    <col min="15885" max="15886" width="10.42578125" style="57" customWidth="1"/>
    <col min="15887" max="15887" width="6.5703125" style="57" customWidth="1"/>
    <col min="15888" max="15888" width="11.42578125" style="57" customWidth="1"/>
    <col min="15889" max="15889" width="4.140625" style="57" customWidth="1"/>
    <col min="15890" max="15890" width="18.5703125" style="57" customWidth="1"/>
    <col min="15891" max="15891" width="2.140625" style="57" customWidth="1"/>
    <col min="15892" max="15892" width="10.42578125" style="57" customWidth="1"/>
    <col min="15893" max="16134" width="9.140625" style="57"/>
    <col min="16135" max="16135" width="10" style="57" customWidth="1"/>
    <col min="16136" max="16136" width="40" style="57" customWidth="1"/>
    <col min="16137" max="16137" width="12.5703125" style="57" customWidth="1"/>
    <col min="16138" max="16139" width="10.42578125" style="57" customWidth="1"/>
    <col min="16140" max="16140" width="11.5703125" style="57" customWidth="1"/>
    <col min="16141" max="16142" width="10.42578125" style="57" customWidth="1"/>
    <col min="16143" max="16143" width="6.5703125" style="57" customWidth="1"/>
    <col min="16144" max="16144" width="11.42578125" style="57" customWidth="1"/>
    <col min="16145" max="16145" width="4.140625" style="57" customWidth="1"/>
    <col min="16146" max="16146" width="18.5703125" style="57" customWidth="1"/>
    <col min="16147" max="16147" width="2.140625" style="57" customWidth="1"/>
    <col min="16148" max="16148" width="10.42578125" style="57" customWidth="1"/>
    <col min="16149" max="16384" width="9.140625" style="57"/>
  </cols>
  <sheetData>
    <row r="1" spans="2:21" ht="13.5" customHeight="1" x14ac:dyDescent="0.25">
      <c r="H1" s="782" t="s">
        <v>38</v>
      </c>
      <c r="I1" s="782"/>
      <c r="J1" s="782"/>
      <c r="K1" s="782"/>
      <c r="L1" s="782"/>
      <c r="M1" s="782" t="s">
        <v>39</v>
      </c>
      <c r="N1" s="782"/>
      <c r="O1" s="782" t="s">
        <v>40</v>
      </c>
      <c r="P1" s="782"/>
      <c r="Q1" s="782"/>
    </row>
    <row r="2" spans="2:21" s="59" customFormat="1" ht="15" customHeight="1" x14ac:dyDescent="0.25">
      <c r="B2" s="60" t="s">
        <v>41</v>
      </c>
      <c r="C2" s="61" t="s">
        <v>42</v>
      </c>
      <c r="D2" s="61" t="s">
        <v>43</v>
      </c>
      <c r="E2" s="61" t="s">
        <v>44</v>
      </c>
      <c r="F2" s="61" t="s">
        <v>45</v>
      </c>
      <c r="G2" s="61" t="s">
        <v>46</v>
      </c>
      <c r="H2" s="61" t="s">
        <v>47</v>
      </c>
      <c r="I2" s="61" t="s">
        <v>48</v>
      </c>
      <c r="J2" s="61" t="s">
        <v>47</v>
      </c>
      <c r="K2" s="61" t="s">
        <v>48</v>
      </c>
      <c r="L2" s="65" t="s">
        <v>49</v>
      </c>
      <c r="M2" s="65" t="s">
        <v>39</v>
      </c>
      <c r="N2" s="65" t="s">
        <v>49</v>
      </c>
      <c r="O2" s="65" t="s">
        <v>47</v>
      </c>
      <c r="P2" s="65" t="s">
        <v>48</v>
      </c>
      <c r="Q2" s="65" t="s">
        <v>49</v>
      </c>
      <c r="R2" s="63" t="s">
        <v>50</v>
      </c>
      <c r="T2" s="81" t="s">
        <v>53</v>
      </c>
      <c r="U2" s="82">
        <f>'Abril 25'!U5</f>
        <v>6</v>
      </c>
    </row>
    <row r="3" spans="2:21" ht="15" customHeight="1" x14ac:dyDescent="0.25">
      <c r="B3" s="67">
        <v>2</v>
      </c>
      <c r="C3" s="116" t="s">
        <v>51</v>
      </c>
      <c r="D3" s="110" t="s">
        <v>60</v>
      </c>
      <c r="E3" s="118">
        <v>44599</v>
      </c>
      <c r="F3" s="118"/>
      <c r="G3" s="116"/>
      <c r="H3" s="121"/>
      <c r="I3" s="121"/>
      <c r="J3" s="121"/>
      <c r="K3" s="121"/>
      <c r="L3" s="131">
        <v>0</v>
      </c>
      <c r="M3" s="140"/>
      <c r="N3" s="141">
        <v>0</v>
      </c>
      <c r="O3" s="127"/>
      <c r="P3" s="127"/>
      <c r="Q3" s="78">
        <v>0</v>
      </c>
      <c r="R3" s="142"/>
      <c r="T3" s="83" t="s">
        <v>44</v>
      </c>
      <c r="U3" s="84">
        <v>0</v>
      </c>
    </row>
    <row r="4" spans="2:21" ht="15" customHeight="1" x14ac:dyDescent="0.25">
      <c r="B4" s="67">
        <v>11</v>
      </c>
      <c r="C4" s="116" t="s">
        <v>122</v>
      </c>
      <c r="D4" s="110" t="s">
        <v>60</v>
      </c>
      <c r="E4" s="118">
        <v>45770</v>
      </c>
      <c r="F4" s="118"/>
      <c r="G4" s="116"/>
      <c r="H4" s="121">
        <v>45804</v>
      </c>
      <c r="I4" s="121">
        <v>45805</v>
      </c>
      <c r="J4" s="121"/>
      <c r="K4" s="121"/>
      <c r="L4" s="131">
        <v>2</v>
      </c>
      <c r="M4" s="145"/>
      <c r="N4" s="141">
        <v>0</v>
      </c>
      <c r="O4" s="127"/>
      <c r="P4" s="127"/>
      <c r="Q4" s="155">
        <v>0</v>
      </c>
      <c r="R4" s="142"/>
      <c r="T4" s="83" t="s">
        <v>45</v>
      </c>
      <c r="U4" s="84">
        <v>0</v>
      </c>
    </row>
    <row r="5" spans="2:21" ht="15" customHeight="1" x14ac:dyDescent="0.25">
      <c r="B5" s="167">
        <v>7</v>
      </c>
      <c r="C5" s="168" t="s">
        <v>119</v>
      </c>
      <c r="D5" s="169" t="s">
        <v>60</v>
      </c>
      <c r="E5" s="170">
        <v>45693</v>
      </c>
      <c r="F5" s="118"/>
      <c r="G5" s="116"/>
      <c r="H5" s="121">
        <v>45782</v>
      </c>
      <c r="I5" s="121">
        <v>45784</v>
      </c>
      <c r="J5" s="121"/>
      <c r="K5" s="121"/>
      <c r="L5" s="131">
        <v>3</v>
      </c>
      <c r="M5" s="145"/>
      <c r="N5" s="141">
        <v>0</v>
      </c>
      <c r="O5" s="127"/>
      <c r="P5" s="127"/>
      <c r="Q5" s="155">
        <v>0</v>
      </c>
      <c r="R5" s="142"/>
      <c r="T5" s="100" t="s">
        <v>56</v>
      </c>
      <c r="U5" s="101">
        <f>U2+U3-U4</f>
        <v>6</v>
      </c>
    </row>
    <row r="6" spans="2:21" ht="15" customHeight="1" x14ac:dyDescent="0.25">
      <c r="B6" s="202">
        <v>8</v>
      </c>
      <c r="C6" s="203" t="s">
        <v>98</v>
      </c>
      <c r="D6" s="204" t="s">
        <v>60</v>
      </c>
      <c r="E6" s="205">
        <v>45702</v>
      </c>
      <c r="F6" s="166"/>
      <c r="G6" s="116"/>
      <c r="H6" s="121"/>
      <c r="I6" s="121"/>
      <c r="J6" s="121"/>
      <c r="K6" s="121"/>
      <c r="L6" s="164">
        <v>0</v>
      </c>
      <c r="M6" s="145"/>
      <c r="N6" s="141">
        <v>0</v>
      </c>
      <c r="O6" s="127"/>
      <c r="P6" s="127"/>
      <c r="Q6" s="155">
        <v>0</v>
      </c>
      <c r="R6" s="142"/>
    </row>
    <row r="7" spans="2:21" ht="15" customHeight="1" x14ac:dyDescent="0.25">
      <c r="B7" s="67">
        <v>10</v>
      </c>
      <c r="C7" s="206" t="s">
        <v>99</v>
      </c>
      <c r="D7" s="207" t="s">
        <v>60</v>
      </c>
      <c r="E7" s="208">
        <v>45736</v>
      </c>
      <c r="F7" s="69"/>
      <c r="G7" s="68"/>
      <c r="H7" s="72"/>
      <c r="I7" s="72"/>
      <c r="J7" s="72"/>
      <c r="K7" s="72"/>
      <c r="L7" s="164">
        <v>0</v>
      </c>
      <c r="M7" s="132"/>
      <c r="N7" s="141">
        <v>0</v>
      </c>
      <c r="O7" s="109"/>
      <c r="P7" s="109"/>
      <c r="Q7" s="155">
        <v>0</v>
      </c>
      <c r="R7" s="134"/>
      <c r="T7" s="81" t="s">
        <v>57</v>
      </c>
      <c r="U7" s="82">
        <v>2</v>
      </c>
    </row>
    <row r="8" spans="2:21" ht="15" customHeight="1" x14ac:dyDescent="0.25">
      <c r="B8" s="85">
        <v>9</v>
      </c>
      <c r="C8" s="273" t="s">
        <v>121</v>
      </c>
      <c r="D8" s="274" t="s">
        <v>60</v>
      </c>
      <c r="E8" s="275">
        <v>45734</v>
      </c>
      <c r="F8" s="87"/>
      <c r="G8" s="86"/>
      <c r="H8" s="90"/>
      <c r="I8" s="90"/>
      <c r="J8" s="90"/>
      <c r="K8" s="90"/>
      <c r="L8" s="135">
        <v>0</v>
      </c>
      <c r="M8" s="136"/>
      <c r="N8" s="137">
        <v>0</v>
      </c>
      <c r="O8" s="96"/>
      <c r="P8" s="96"/>
      <c r="Q8" s="138">
        <v>0</v>
      </c>
      <c r="R8" s="139"/>
      <c r="T8" s="100" t="s">
        <v>13</v>
      </c>
      <c r="U8" s="101">
        <f>U5+U7</f>
        <v>8</v>
      </c>
    </row>
    <row r="9" spans="2:21" ht="15" customHeight="1" x14ac:dyDescent="0.25">
      <c r="L9" s="99">
        <f>SUM(L3:L6)</f>
        <v>5</v>
      </c>
      <c r="N9" s="99">
        <f>SUM(N3:N6)</f>
        <v>0</v>
      </c>
      <c r="O9" s="99"/>
      <c r="P9" s="99"/>
      <c r="Q9" s="99">
        <f>SUM(Q3:Q6)</f>
        <v>0</v>
      </c>
    </row>
    <row r="10" spans="2:21" ht="15" customHeight="1" x14ac:dyDescent="0.25">
      <c r="T10" s="784" t="s">
        <v>58</v>
      </c>
      <c r="U10" s="784"/>
    </row>
    <row r="11" spans="2:21" ht="15" customHeight="1" x14ac:dyDescent="0.25">
      <c r="T11" s="83" t="s">
        <v>38</v>
      </c>
      <c r="U11" s="102">
        <v>5</v>
      </c>
    </row>
    <row r="12" spans="2:21" ht="15" customHeight="1" x14ac:dyDescent="0.25">
      <c r="T12" s="103" t="s">
        <v>39</v>
      </c>
      <c r="U12" s="104">
        <f>N9</f>
        <v>0</v>
      </c>
    </row>
    <row r="13" spans="2:21" ht="15" customHeight="1" x14ac:dyDescent="0.25"/>
    <row r="14" spans="2:21" ht="15" customHeight="1" x14ac:dyDescent="0.25">
      <c r="T14" s="81" t="s">
        <v>40</v>
      </c>
      <c r="U14" s="105">
        <f>Q9</f>
        <v>0</v>
      </c>
    </row>
    <row r="15" spans="2:21" ht="15" customHeight="1" x14ac:dyDescent="0.25">
      <c r="T15" s="103" t="s">
        <v>59</v>
      </c>
      <c r="U15" s="104">
        <v>0</v>
      </c>
    </row>
    <row r="16" spans="2:21" ht="15" customHeight="1" x14ac:dyDescent="0.25"/>
    <row r="17" spans="20:21" ht="15" customHeight="1" x14ac:dyDescent="0.25">
      <c r="T17" s="106" t="s">
        <v>22</v>
      </c>
      <c r="U17" s="107">
        <v>20</v>
      </c>
    </row>
    <row r="18" spans="20:21" ht="15" customHeight="1" x14ac:dyDescent="0.25"/>
    <row r="19" spans="20:21" ht="15" customHeight="1" x14ac:dyDescent="0.25"/>
    <row r="20" spans="20:21" ht="15" customHeight="1" x14ac:dyDescent="0.25"/>
    <row r="21" spans="20:21" ht="15" customHeight="1" x14ac:dyDescent="0.25"/>
    <row r="22" spans="20:21" ht="15" customHeight="1" x14ac:dyDescent="0.25"/>
    <row r="23" spans="20:21" ht="15" customHeight="1" x14ac:dyDescent="0.25"/>
    <row r="24" spans="20:21" ht="15" customHeight="1" x14ac:dyDescent="0.25"/>
    <row r="25" spans="20:21" ht="15" customHeight="1" x14ac:dyDescent="0.25"/>
    <row r="26" spans="20:21" ht="15" customHeight="1" x14ac:dyDescent="0.25"/>
    <row r="27" spans="20:21" ht="15" customHeight="1" x14ac:dyDescent="0.25"/>
    <row r="28" spans="20:21" ht="15" customHeight="1" x14ac:dyDescent="0.25"/>
    <row r="29" spans="20:21" ht="15" customHeight="1" x14ac:dyDescent="0.25"/>
    <row r="30" spans="20:21" ht="15" customHeight="1" x14ac:dyDescent="0.25"/>
    <row r="31" spans="20:21" ht="15" customHeight="1" x14ac:dyDescent="0.25"/>
    <row r="32" spans="20:21" ht="15" customHeight="1" x14ac:dyDescent="0.25"/>
    <row r="33" ht="15" customHeight="1" x14ac:dyDescent="0.25"/>
    <row r="34" ht="15" customHeight="1" x14ac:dyDescent="0.25"/>
    <row r="35" ht="15" customHeight="1" x14ac:dyDescent="0.25"/>
  </sheetData>
  <mergeCells count="4">
    <mergeCell ref="H1:L1"/>
    <mergeCell ref="M1:N1"/>
    <mergeCell ref="O1:Q1"/>
    <mergeCell ref="T10:U10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U35"/>
  <sheetViews>
    <sheetView showGridLines="0" zoomScaleNormal="100" workbookViewId="0">
      <selection activeCell="E4" sqref="E4"/>
    </sheetView>
  </sheetViews>
  <sheetFormatPr defaultColWidth="9.140625" defaultRowHeight="12.75" x14ac:dyDescent="0.25"/>
  <cols>
    <col min="1" max="1" width="9.140625" style="57"/>
    <col min="2" max="2" width="10" style="57" customWidth="1"/>
    <col min="3" max="3" width="40" style="57" customWidth="1"/>
    <col min="4" max="4" width="12.5703125" style="57" customWidth="1"/>
    <col min="5" max="6" width="10.42578125" style="57" customWidth="1"/>
    <col min="7" max="7" width="11.5703125" style="57" customWidth="1"/>
    <col min="8" max="11" width="10.42578125" style="57" customWidth="1"/>
    <col min="12" max="12" width="4.140625" style="57" customWidth="1"/>
    <col min="13" max="13" width="11.42578125" style="58" customWidth="1"/>
    <col min="14" max="14" width="4.140625" style="57" customWidth="1"/>
    <col min="15" max="16" width="10.42578125" style="57" customWidth="1"/>
    <col min="17" max="17" width="4.140625" style="57" customWidth="1"/>
    <col min="18" max="18" width="27.140625" style="57" customWidth="1"/>
    <col min="19" max="19" width="2.140625" style="57" customWidth="1"/>
    <col min="20" max="20" width="13.140625" style="57" customWidth="1"/>
    <col min="21" max="21" width="5.140625" style="57" customWidth="1"/>
    <col min="22" max="262" width="9.140625" style="57"/>
    <col min="263" max="263" width="10" style="57" customWidth="1"/>
    <col min="264" max="264" width="40" style="57" customWidth="1"/>
    <col min="265" max="265" width="12.5703125" style="57" customWidth="1"/>
    <col min="266" max="267" width="10.42578125" style="57" customWidth="1"/>
    <col min="268" max="268" width="11.5703125" style="57" customWidth="1"/>
    <col min="269" max="270" width="10.42578125" style="57" customWidth="1"/>
    <col min="271" max="271" width="6.5703125" style="57" customWidth="1"/>
    <col min="272" max="272" width="11.42578125" style="57" customWidth="1"/>
    <col min="273" max="273" width="4.140625" style="57" customWidth="1"/>
    <col min="274" max="274" width="18.5703125" style="57" customWidth="1"/>
    <col min="275" max="275" width="2.140625" style="57" customWidth="1"/>
    <col min="276" max="276" width="10.42578125" style="57" customWidth="1"/>
    <col min="277" max="518" width="9.140625" style="57"/>
    <col min="519" max="519" width="10" style="57" customWidth="1"/>
    <col min="520" max="520" width="40" style="57" customWidth="1"/>
    <col min="521" max="521" width="12.5703125" style="57" customWidth="1"/>
    <col min="522" max="523" width="10.42578125" style="57" customWidth="1"/>
    <col min="524" max="524" width="11.5703125" style="57" customWidth="1"/>
    <col min="525" max="526" width="10.42578125" style="57" customWidth="1"/>
    <col min="527" max="527" width="6.5703125" style="57" customWidth="1"/>
    <col min="528" max="528" width="11.42578125" style="57" customWidth="1"/>
    <col min="529" max="529" width="4.140625" style="57" customWidth="1"/>
    <col min="530" max="530" width="18.5703125" style="57" customWidth="1"/>
    <col min="531" max="531" width="2.140625" style="57" customWidth="1"/>
    <col min="532" max="532" width="10.42578125" style="57" customWidth="1"/>
    <col min="533" max="774" width="9.140625" style="57"/>
    <col min="775" max="775" width="10" style="57" customWidth="1"/>
    <col min="776" max="776" width="40" style="57" customWidth="1"/>
    <col min="777" max="777" width="12.5703125" style="57" customWidth="1"/>
    <col min="778" max="779" width="10.42578125" style="57" customWidth="1"/>
    <col min="780" max="780" width="11.5703125" style="57" customWidth="1"/>
    <col min="781" max="782" width="10.42578125" style="57" customWidth="1"/>
    <col min="783" max="783" width="6.5703125" style="57" customWidth="1"/>
    <col min="784" max="784" width="11.42578125" style="57" customWidth="1"/>
    <col min="785" max="785" width="4.140625" style="57" customWidth="1"/>
    <col min="786" max="786" width="18.5703125" style="57" customWidth="1"/>
    <col min="787" max="787" width="2.140625" style="57" customWidth="1"/>
    <col min="788" max="788" width="10.42578125" style="57" customWidth="1"/>
    <col min="789" max="1030" width="9.140625" style="57"/>
    <col min="1031" max="1031" width="10" style="57" customWidth="1"/>
    <col min="1032" max="1032" width="40" style="57" customWidth="1"/>
    <col min="1033" max="1033" width="12.5703125" style="57" customWidth="1"/>
    <col min="1034" max="1035" width="10.42578125" style="57" customWidth="1"/>
    <col min="1036" max="1036" width="11.5703125" style="57" customWidth="1"/>
    <col min="1037" max="1038" width="10.42578125" style="57" customWidth="1"/>
    <col min="1039" max="1039" width="6.5703125" style="57" customWidth="1"/>
    <col min="1040" max="1040" width="11.42578125" style="57" customWidth="1"/>
    <col min="1041" max="1041" width="4.140625" style="57" customWidth="1"/>
    <col min="1042" max="1042" width="18.5703125" style="57" customWidth="1"/>
    <col min="1043" max="1043" width="2.140625" style="57" customWidth="1"/>
    <col min="1044" max="1044" width="10.42578125" style="57" customWidth="1"/>
    <col min="1045" max="1286" width="9.140625" style="57"/>
    <col min="1287" max="1287" width="10" style="57" customWidth="1"/>
    <col min="1288" max="1288" width="40" style="57" customWidth="1"/>
    <col min="1289" max="1289" width="12.5703125" style="57" customWidth="1"/>
    <col min="1290" max="1291" width="10.42578125" style="57" customWidth="1"/>
    <col min="1292" max="1292" width="11.5703125" style="57" customWidth="1"/>
    <col min="1293" max="1294" width="10.42578125" style="57" customWidth="1"/>
    <col min="1295" max="1295" width="6.5703125" style="57" customWidth="1"/>
    <col min="1296" max="1296" width="11.42578125" style="57" customWidth="1"/>
    <col min="1297" max="1297" width="4.140625" style="57" customWidth="1"/>
    <col min="1298" max="1298" width="18.5703125" style="57" customWidth="1"/>
    <col min="1299" max="1299" width="2.140625" style="57" customWidth="1"/>
    <col min="1300" max="1300" width="10.42578125" style="57" customWidth="1"/>
    <col min="1301" max="1542" width="9.140625" style="57"/>
    <col min="1543" max="1543" width="10" style="57" customWidth="1"/>
    <col min="1544" max="1544" width="40" style="57" customWidth="1"/>
    <col min="1545" max="1545" width="12.5703125" style="57" customWidth="1"/>
    <col min="1546" max="1547" width="10.42578125" style="57" customWidth="1"/>
    <col min="1548" max="1548" width="11.5703125" style="57" customWidth="1"/>
    <col min="1549" max="1550" width="10.42578125" style="57" customWidth="1"/>
    <col min="1551" max="1551" width="6.5703125" style="57" customWidth="1"/>
    <col min="1552" max="1552" width="11.42578125" style="57" customWidth="1"/>
    <col min="1553" max="1553" width="4.140625" style="57" customWidth="1"/>
    <col min="1554" max="1554" width="18.5703125" style="57" customWidth="1"/>
    <col min="1555" max="1555" width="2.140625" style="57" customWidth="1"/>
    <col min="1556" max="1556" width="10.42578125" style="57" customWidth="1"/>
    <col min="1557" max="1798" width="9.140625" style="57"/>
    <col min="1799" max="1799" width="10" style="57" customWidth="1"/>
    <col min="1800" max="1800" width="40" style="57" customWidth="1"/>
    <col min="1801" max="1801" width="12.5703125" style="57" customWidth="1"/>
    <col min="1802" max="1803" width="10.42578125" style="57" customWidth="1"/>
    <col min="1804" max="1804" width="11.5703125" style="57" customWidth="1"/>
    <col min="1805" max="1806" width="10.42578125" style="57" customWidth="1"/>
    <col min="1807" max="1807" width="6.5703125" style="57" customWidth="1"/>
    <col min="1808" max="1808" width="11.42578125" style="57" customWidth="1"/>
    <col min="1809" max="1809" width="4.140625" style="57" customWidth="1"/>
    <col min="1810" max="1810" width="18.5703125" style="57" customWidth="1"/>
    <col min="1811" max="1811" width="2.140625" style="57" customWidth="1"/>
    <col min="1812" max="1812" width="10.42578125" style="57" customWidth="1"/>
    <col min="1813" max="2054" width="9.140625" style="57"/>
    <col min="2055" max="2055" width="10" style="57" customWidth="1"/>
    <col min="2056" max="2056" width="40" style="57" customWidth="1"/>
    <col min="2057" max="2057" width="12.5703125" style="57" customWidth="1"/>
    <col min="2058" max="2059" width="10.42578125" style="57" customWidth="1"/>
    <col min="2060" max="2060" width="11.5703125" style="57" customWidth="1"/>
    <col min="2061" max="2062" width="10.42578125" style="57" customWidth="1"/>
    <col min="2063" max="2063" width="6.5703125" style="57" customWidth="1"/>
    <col min="2064" max="2064" width="11.42578125" style="57" customWidth="1"/>
    <col min="2065" max="2065" width="4.140625" style="57" customWidth="1"/>
    <col min="2066" max="2066" width="18.5703125" style="57" customWidth="1"/>
    <col min="2067" max="2067" width="2.140625" style="57" customWidth="1"/>
    <col min="2068" max="2068" width="10.42578125" style="57" customWidth="1"/>
    <col min="2069" max="2310" width="9.140625" style="57"/>
    <col min="2311" max="2311" width="10" style="57" customWidth="1"/>
    <col min="2312" max="2312" width="40" style="57" customWidth="1"/>
    <col min="2313" max="2313" width="12.5703125" style="57" customWidth="1"/>
    <col min="2314" max="2315" width="10.42578125" style="57" customWidth="1"/>
    <col min="2316" max="2316" width="11.5703125" style="57" customWidth="1"/>
    <col min="2317" max="2318" width="10.42578125" style="57" customWidth="1"/>
    <col min="2319" max="2319" width="6.5703125" style="57" customWidth="1"/>
    <col min="2320" max="2320" width="11.42578125" style="57" customWidth="1"/>
    <col min="2321" max="2321" width="4.140625" style="57" customWidth="1"/>
    <col min="2322" max="2322" width="18.5703125" style="57" customWidth="1"/>
    <col min="2323" max="2323" width="2.140625" style="57" customWidth="1"/>
    <col min="2324" max="2324" width="10.42578125" style="57" customWidth="1"/>
    <col min="2325" max="2566" width="9.140625" style="57"/>
    <col min="2567" max="2567" width="10" style="57" customWidth="1"/>
    <col min="2568" max="2568" width="40" style="57" customWidth="1"/>
    <col min="2569" max="2569" width="12.5703125" style="57" customWidth="1"/>
    <col min="2570" max="2571" width="10.42578125" style="57" customWidth="1"/>
    <col min="2572" max="2572" width="11.5703125" style="57" customWidth="1"/>
    <col min="2573" max="2574" width="10.42578125" style="57" customWidth="1"/>
    <col min="2575" max="2575" width="6.5703125" style="57" customWidth="1"/>
    <col min="2576" max="2576" width="11.42578125" style="57" customWidth="1"/>
    <col min="2577" max="2577" width="4.140625" style="57" customWidth="1"/>
    <col min="2578" max="2578" width="18.5703125" style="57" customWidth="1"/>
    <col min="2579" max="2579" width="2.140625" style="57" customWidth="1"/>
    <col min="2580" max="2580" width="10.42578125" style="57" customWidth="1"/>
    <col min="2581" max="2822" width="9.140625" style="57"/>
    <col min="2823" max="2823" width="10" style="57" customWidth="1"/>
    <col min="2824" max="2824" width="40" style="57" customWidth="1"/>
    <col min="2825" max="2825" width="12.5703125" style="57" customWidth="1"/>
    <col min="2826" max="2827" width="10.42578125" style="57" customWidth="1"/>
    <col min="2828" max="2828" width="11.5703125" style="57" customWidth="1"/>
    <col min="2829" max="2830" width="10.42578125" style="57" customWidth="1"/>
    <col min="2831" max="2831" width="6.5703125" style="57" customWidth="1"/>
    <col min="2832" max="2832" width="11.42578125" style="57" customWidth="1"/>
    <col min="2833" max="2833" width="4.140625" style="57" customWidth="1"/>
    <col min="2834" max="2834" width="18.5703125" style="57" customWidth="1"/>
    <col min="2835" max="2835" width="2.140625" style="57" customWidth="1"/>
    <col min="2836" max="2836" width="10.42578125" style="57" customWidth="1"/>
    <col min="2837" max="3078" width="9.140625" style="57"/>
    <col min="3079" max="3079" width="10" style="57" customWidth="1"/>
    <col min="3080" max="3080" width="40" style="57" customWidth="1"/>
    <col min="3081" max="3081" width="12.5703125" style="57" customWidth="1"/>
    <col min="3082" max="3083" width="10.42578125" style="57" customWidth="1"/>
    <col min="3084" max="3084" width="11.5703125" style="57" customWidth="1"/>
    <col min="3085" max="3086" width="10.42578125" style="57" customWidth="1"/>
    <col min="3087" max="3087" width="6.5703125" style="57" customWidth="1"/>
    <col min="3088" max="3088" width="11.42578125" style="57" customWidth="1"/>
    <col min="3089" max="3089" width="4.140625" style="57" customWidth="1"/>
    <col min="3090" max="3090" width="18.5703125" style="57" customWidth="1"/>
    <col min="3091" max="3091" width="2.140625" style="57" customWidth="1"/>
    <col min="3092" max="3092" width="10.42578125" style="57" customWidth="1"/>
    <col min="3093" max="3334" width="9.140625" style="57"/>
    <col min="3335" max="3335" width="10" style="57" customWidth="1"/>
    <col min="3336" max="3336" width="40" style="57" customWidth="1"/>
    <col min="3337" max="3337" width="12.5703125" style="57" customWidth="1"/>
    <col min="3338" max="3339" width="10.42578125" style="57" customWidth="1"/>
    <col min="3340" max="3340" width="11.5703125" style="57" customWidth="1"/>
    <col min="3341" max="3342" width="10.42578125" style="57" customWidth="1"/>
    <col min="3343" max="3343" width="6.5703125" style="57" customWidth="1"/>
    <col min="3344" max="3344" width="11.42578125" style="57" customWidth="1"/>
    <col min="3345" max="3345" width="4.140625" style="57" customWidth="1"/>
    <col min="3346" max="3346" width="18.5703125" style="57" customWidth="1"/>
    <col min="3347" max="3347" width="2.140625" style="57" customWidth="1"/>
    <col min="3348" max="3348" width="10.42578125" style="57" customWidth="1"/>
    <col min="3349" max="3590" width="9.140625" style="57"/>
    <col min="3591" max="3591" width="10" style="57" customWidth="1"/>
    <col min="3592" max="3592" width="40" style="57" customWidth="1"/>
    <col min="3593" max="3593" width="12.5703125" style="57" customWidth="1"/>
    <col min="3594" max="3595" width="10.42578125" style="57" customWidth="1"/>
    <col min="3596" max="3596" width="11.5703125" style="57" customWidth="1"/>
    <col min="3597" max="3598" width="10.42578125" style="57" customWidth="1"/>
    <col min="3599" max="3599" width="6.5703125" style="57" customWidth="1"/>
    <col min="3600" max="3600" width="11.42578125" style="57" customWidth="1"/>
    <col min="3601" max="3601" width="4.140625" style="57" customWidth="1"/>
    <col min="3602" max="3602" width="18.5703125" style="57" customWidth="1"/>
    <col min="3603" max="3603" width="2.140625" style="57" customWidth="1"/>
    <col min="3604" max="3604" width="10.42578125" style="57" customWidth="1"/>
    <col min="3605" max="3846" width="9.140625" style="57"/>
    <col min="3847" max="3847" width="10" style="57" customWidth="1"/>
    <col min="3848" max="3848" width="40" style="57" customWidth="1"/>
    <col min="3849" max="3849" width="12.5703125" style="57" customWidth="1"/>
    <col min="3850" max="3851" width="10.42578125" style="57" customWidth="1"/>
    <col min="3852" max="3852" width="11.5703125" style="57" customWidth="1"/>
    <col min="3853" max="3854" width="10.42578125" style="57" customWidth="1"/>
    <col min="3855" max="3855" width="6.5703125" style="57" customWidth="1"/>
    <col min="3856" max="3856" width="11.42578125" style="57" customWidth="1"/>
    <col min="3857" max="3857" width="4.140625" style="57" customWidth="1"/>
    <col min="3858" max="3858" width="18.5703125" style="57" customWidth="1"/>
    <col min="3859" max="3859" width="2.140625" style="57" customWidth="1"/>
    <col min="3860" max="3860" width="10.42578125" style="57" customWidth="1"/>
    <col min="3861" max="4102" width="9.140625" style="57"/>
    <col min="4103" max="4103" width="10" style="57" customWidth="1"/>
    <col min="4104" max="4104" width="40" style="57" customWidth="1"/>
    <col min="4105" max="4105" width="12.5703125" style="57" customWidth="1"/>
    <col min="4106" max="4107" width="10.42578125" style="57" customWidth="1"/>
    <col min="4108" max="4108" width="11.5703125" style="57" customWidth="1"/>
    <col min="4109" max="4110" width="10.42578125" style="57" customWidth="1"/>
    <col min="4111" max="4111" width="6.5703125" style="57" customWidth="1"/>
    <col min="4112" max="4112" width="11.42578125" style="57" customWidth="1"/>
    <col min="4113" max="4113" width="4.140625" style="57" customWidth="1"/>
    <col min="4114" max="4114" width="18.5703125" style="57" customWidth="1"/>
    <col min="4115" max="4115" width="2.140625" style="57" customWidth="1"/>
    <col min="4116" max="4116" width="10.42578125" style="57" customWidth="1"/>
    <col min="4117" max="4358" width="9.140625" style="57"/>
    <col min="4359" max="4359" width="10" style="57" customWidth="1"/>
    <col min="4360" max="4360" width="40" style="57" customWidth="1"/>
    <col min="4361" max="4361" width="12.5703125" style="57" customWidth="1"/>
    <col min="4362" max="4363" width="10.42578125" style="57" customWidth="1"/>
    <col min="4364" max="4364" width="11.5703125" style="57" customWidth="1"/>
    <col min="4365" max="4366" width="10.42578125" style="57" customWidth="1"/>
    <col min="4367" max="4367" width="6.5703125" style="57" customWidth="1"/>
    <col min="4368" max="4368" width="11.42578125" style="57" customWidth="1"/>
    <col min="4369" max="4369" width="4.140625" style="57" customWidth="1"/>
    <col min="4370" max="4370" width="18.5703125" style="57" customWidth="1"/>
    <col min="4371" max="4371" width="2.140625" style="57" customWidth="1"/>
    <col min="4372" max="4372" width="10.42578125" style="57" customWidth="1"/>
    <col min="4373" max="4614" width="9.140625" style="57"/>
    <col min="4615" max="4615" width="10" style="57" customWidth="1"/>
    <col min="4616" max="4616" width="40" style="57" customWidth="1"/>
    <col min="4617" max="4617" width="12.5703125" style="57" customWidth="1"/>
    <col min="4618" max="4619" width="10.42578125" style="57" customWidth="1"/>
    <col min="4620" max="4620" width="11.5703125" style="57" customWidth="1"/>
    <col min="4621" max="4622" width="10.42578125" style="57" customWidth="1"/>
    <col min="4623" max="4623" width="6.5703125" style="57" customWidth="1"/>
    <col min="4624" max="4624" width="11.42578125" style="57" customWidth="1"/>
    <col min="4625" max="4625" width="4.140625" style="57" customWidth="1"/>
    <col min="4626" max="4626" width="18.5703125" style="57" customWidth="1"/>
    <col min="4627" max="4627" width="2.140625" style="57" customWidth="1"/>
    <col min="4628" max="4628" width="10.42578125" style="57" customWidth="1"/>
    <col min="4629" max="4870" width="9.140625" style="57"/>
    <col min="4871" max="4871" width="10" style="57" customWidth="1"/>
    <col min="4872" max="4872" width="40" style="57" customWidth="1"/>
    <col min="4873" max="4873" width="12.5703125" style="57" customWidth="1"/>
    <col min="4874" max="4875" width="10.42578125" style="57" customWidth="1"/>
    <col min="4876" max="4876" width="11.5703125" style="57" customWidth="1"/>
    <col min="4877" max="4878" width="10.42578125" style="57" customWidth="1"/>
    <col min="4879" max="4879" width="6.5703125" style="57" customWidth="1"/>
    <col min="4880" max="4880" width="11.42578125" style="57" customWidth="1"/>
    <col min="4881" max="4881" width="4.140625" style="57" customWidth="1"/>
    <col min="4882" max="4882" width="18.5703125" style="57" customWidth="1"/>
    <col min="4883" max="4883" width="2.140625" style="57" customWidth="1"/>
    <col min="4884" max="4884" width="10.42578125" style="57" customWidth="1"/>
    <col min="4885" max="5126" width="9.140625" style="57"/>
    <col min="5127" max="5127" width="10" style="57" customWidth="1"/>
    <col min="5128" max="5128" width="40" style="57" customWidth="1"/>
    <col min="5129" max="5129" width="12.5703125" style="57" customWidth="1"/>
    <col min="5130" max="5131" width="10.42578125" style="57" customWidth="1"/>
    <col min="5132" max="5132" width="11.5703125" style="57" customWidth="1"/>
    <col min="5133" max="5134" width="10.42578125" style="57" customWidth="1"/>
    <col min="5135" max="5135" width="6.5703125" style="57" customWidth="1"/>
    <col min="5136" max="5136" width="11.42578125" style="57" customWidth="1"/>
    <col min="5137" max="5137" width="4.140625" style="57" customWidth="1"/>
    <col min="5138" max="5138" width="18.5703125" style="57" customWidth="1"/>
    <col min="5139" max="5139" width="2.140625" style="57" customWidth="1"/>
    <col min="5140" max="5140" width="10.42578125" style="57" customWidth="1"/>
    <col min="5141" max="5382" width="9.140625" style="57"/>
    <col min="5383" max="5383" width="10" style="57" customWidth="1"/>
    <col min="5384" max="5384" width="40" style="57" customWidth="1"/>
    <col min="5385" max="5385" width="12.5703125" style="57" customWidth="1"/>
    <col min="5386" max="5387" width="10.42578125" style="57" customWidth="1"/>
    <col min="5388" max="5388" width="11.5703125" style="57" customWidth="1"/>
    <col min="5389" max="5390" width="10.42578125" style="57" customWidth="1"/>
    <col min="5391" max="5391" width="6.5703125" style="57" customWidth="1"/>
    <col min="5392" max="5392" width="11.42578125" style="57" customWidth="1"/>
    <col min="5393" max="5393" width="4.140625" style="57" customWidth="1"/>
    <col min="5394" max="5394" width="18.5703125" style="57" customWidth="1"/>
    <col min="5395" max="5395" width="2.140625" style="57" customWidth="1"/>
    <col min="5396" max="5396" width="10.42578125" style="57" customWidth="1"/>
    <col min="5397" max="5638" width="9.140625" style="57"/>
    <col min="5639" max="5639" width="10" style="57" customWidth="1"/>
    <col min="5640" max="5640" width="40" style="57" customWidth="1"/>
    <col min="5641" max="5641" width="12.5703125" style="57" customWidth="1"/>
    <col min="5642" max="5643" width="10.42578125" style="57" customWidth="1"/>
    <col min="5644" max="5644" width="11.5703125" style="57" customWidth="1"/>
    <col min="5645" max="5646" width="10.42578125" style="57" customWidth="1"/>
    <col min="5647" max="5647" width="6.5703125" style="57" customWidth="1"/>
    <col min="5648" max="5648" width="11.42578125" style="57" customWidth="1"/>
    <col min="5649" max="5649" width="4.140625" style="57" customWidth="1"/>
    <col min="5650" max="5650" width="18.5703125" style="57" customWidth="1"/>
    <col min="5651" max="5651" width="2.140625" style="57" customWidth="1"/>
    <col min="5652" max="5652" width="10.42578125" style="57" customWidth="1"/>
    <col min="5653" max="5894" width="9.140625" style="57"/>
    <col min="5895" max="5895" width="10" style="57" customWidth="1"/>
    <col min="5896" max="5896" width="40" style="57" customWidth="1"/>
    <col min="5897" max="5897" width="12.5703125" style="57" customWidth="1"/>
    <col min="5898" max="5899" width="10.42578125" style="57" customWidth="1"/>
    <col min="5900" max="5900" width="11.5703125" style="57" customWidth="1"/>
    <col min="5901" max="5902" width="10.42578125" style="57" customWidth="1"/>
    <col min="5903" max="5903" width="6.5703125" style="57" customWidth="1"/>
    <col min="5904" max="5904" width="11.42578125" style="57" customWidth="1"/>
    <col min="5905" max="5905" width="4.140625" style="57" customWidth="1"/>
    <col min="5906" max="5906" width="18.5703125" style="57" customWidth="1"/>
    <col min="5907" max="5907" width="2.140625" style="57" customWidth="1"/>
    <col min="5908" max="5908" width="10.42578125" style="57" customWidth="1"/>
    <col min="5909" max="6150" width="9.140625" style="57"/>
    <col min="6151" max="6151" width="10" style="57" customWidth="1"/>
    <col min="6152" max="6152" width="40" style="57" customWidth="1"/>
    <col min="6153" max="6153" width="12.5703125" style="57" customWidth="1"/>
    <col min="6154" max="6155" width="10.42578125" style="57" customWidth="1"/>
    <col min="6156" max="6156" width="11.5703125" style="57" customWidth="1"/>
    <col min="6157" max="6158" width="10.42578125" style="57" customWidth="1"/>
    <col min="6159" max="6159" width="6.5703125" style="57" customWidth="1"/>
    <col min="6160" max="6160" width="11.42578125" style="57" customWidth="1"/>
    <col min="6161" max="6161" width="4.140625" style="57" customWidth="1"/>
    <col min="6162" max="6162" width="18.5703125" style="57" customWidth="1"/>
    <col min="6163" max="6163" width="2.140625" style="57" customWidth="1"/>
    <col min="6164" max="6164" width="10.42578125" style="57" customWidth="1"/>
    <col min="6165" max="6406" width="9.140625" style="57"/>
    <col min="6407" max="6407" width="10" style="57" customWidth="1"/>
    <col min="6408" max="6408" width="40" style="57" customWidth="1"/>
    <col min="6409" max="6409" width="12.5703125" style="57" customWidth="1"/>
    <col min="6410" max="6411" width="10.42578125" style="57" customWidth="1"/>
    <col min="6412" max="6412" width="11.5703125" style="57" customWidth="1"/>
    <col min="6413" max="6414" width="10.42578125" style="57" customWidth="1"/>
    <col min="6415" max="6415" width="6.5703125" style="57" customWidth="1"/>
    <col min="6416" max="6416" width="11.42578125" style="57" customWidth="1"/>
    <col min="6417" max="6417" width="4.140625" style="57" customWidth="1"/>
    <col min="6418" max="6418" width="18.5703125" style="57" customWidth="1"/>
    <col min="6419" max="6419" width="2.140625" style="57" customWidth="1"/>
    <col min="6420" max="6420" width="10.42578125" style="57" customWidth="1"/>
    <col min="6421" max="6662" width="9.140625" style="57"/>
    <col min="6663" max="6663" width="10" style="57" customWidth="1"/>
    <col min="6664" max="6664" width="40" style="57" customWidth="1"/>
    <col min="6665" max="6665" width="12.5703125" style="57" customWidth="1"/>
    <col min="6666" max="6667" width="10.42578125" style="57" customWidth="1"/>
    <col min="6668" max="6668" width="11.5703125" style="57" customWidth="1"/>
    <col min="6669" max="6670" width="10.42578125" style="57" customWidth="1"/>
    <col min="6671" max="6671" width="6.5703125" style="57" customWidth="1"/>
    <col min="6672" max="6672" width="11.42578125" style="57" customWidth="1"/>
    <col min="6673" max="6673" width="4.140625" style="57" customWidth="1"/>
    <col min="6674" max="6674" width="18.5703125" style="57" customWidth="1"/>
    <col min="6675" max="6675" width="2.140625" style="57" customWidth="1"/>
    <col min="6676" max="6676" width="10.42578125" style="57" customWidth="1"/>
    <col min="6677" max="6918" width="9.140625" style="57"/>
    <col min="6919" max="6919" width="10" style="57" customWidth="1"/>
    <col min="6920" max="6920" width="40" style="57" customWidth="1"/>
    <col min="6921" max="6921" width="12.5703125" style="57" customWidth="1"/>
    <col min="6922" max="6923" width="10.42578125" style="57" customWidth="1"/>
    <col min="6924" max="6924" width="11.5703125" style="57" customWidth="1"/>
    <col min="6925" max="6926" width="10.42578125" style="57" customWidth="1"/>
    <col min="6927" max="6927" width="6.5703125" style="57" customWidth="1"/>
    <col min="6928" max="6928" width="11.42578125" style="57" customWidth="1"/>
    <col min="6929" max="6929" width="4.140625" style="57" customWidth="1"/>
    <col min="6930" max="6930" width="18.5703125" style="57" customWidth="1"/>
    <col min="6931" max="6931" width="2.140625" style="57" customWidth="1"/>
    <col min="6932" max="6932" width="10.42578125" style="57" customWidth="1"/>
    <col min="6933" max="7174" width="9.140625" style="57"/>
    <col min="7175" max="7175" width="10" style="57" customWidth="1"/>
    <col min="7176" max="7176" width="40" style="57" customWidth="1"/>
    <col min="7177" max="7177" width="12.5703125" style="57" customWidth="1"/>
    <col min="7178" max="7179" width="10.42578125" style="57" customWidth="1"/>
    <col min="7180" max="7180" width="11.5703125" style="57" customWidth="1"/>
    <col min="7181" max="7182" width="10.42578125" style="57" customWidth="1"/>
    <col min="7183" max="7183" width="6.5703125" style="57" customWidth="1"/>
    <col min="7184" max="7184" width="11.42578125" style="57" customWidth="1"/>
    <col min="7185" max="7185" width="4.140625" style="57" customWidth="1"/>
    <col min="7186" max="7186" width="18.5703125" style="57" customWidth="1"/>
    <col min="7187" max="7187" width="2.140625" style="57" customWidth="1"/>
    <col min="7188" max="7188" width="10.42578125" style="57" customWidth="1"/>
    <col min="7189" max="7430" width="9.140625" style="57"/>
    <col min="7431" max="7431" width="10" style="57" customWidth="1"/>
    <col min="7432" max="7432" width="40" style="57" customWidth="1"/>
    <col min="7433" max="7433" width="12.5703125" style="57" customWidth="1"/>
    <col min="7434" max="7435" width="10.42578125" style="57" customWidth="1"/>
    <col min="7436" max="7436" width="11.5703125" style="57" customWidth="1"/>
    <col min="7437" max="7438" width="10.42578125" style="57" customWidth="1"/>
    <col min="7439" max="7439" width="6.5703125" style="57" customWidth="1"/>
    <col min="7440" max="7440" width="11.42578125" style="57" customWidth="1"/>
    <col min="7441" max="7441" width="4.140625" style="57" customWidth="1"/>
    <col min="7442" max="7442" width="18.5703125" style="57" customWidth="1"/>
    <col min="7443" max="7443" width="2.140625" style="57" customWidth="1"/>
    <col min="7444" max="7444" width="10.42578125" style="57" customWidth="1"/>
    <col min="7445" max="7686" width="9.140625" style="57"/>
    <col min="7687" max="7687" width="10" style="57" customWidth="1"/>
    <col min="7688" max="7688" width="40" style="57" customWidth="1"/>
    <col min="7689" max="7689" width="12.5703125" style="57" customWidth="1"/>
    <col min="7690" max="7691" width="10.42578125" style="57" customWidth="1"/>
    <col min="7692" max="7692" width="11.5703125" style="57" customWidth="1"/>
    <col min="7693" max="7694" width="10.42578125" style="57" customWidth="1"/>
    <col min="7695" max="7695" width="6.5703125" style="57" customWidth="1"/>
    <col min="7696" max="7696" width="11.42578125" style="57" customWidth="1"/>
    <col min="7697" max="7697" width="4.140625" style="57" customWidth="1"/>
    <col min="7698" max="7698" width="18.5703125" style="57" customWidth="1"/>
    <col min="7699" max="7699" width="2.140625" style="57" customWidth="1"/>
    <col min="7700" max="7700" width="10.42578125" style="57" customWidth="1"/>
    <col min="7701" max="7942" width="9.140625" style="57"/>
    <col min="7943" max="7943" width="10" style="57" customWidth="1"/>
    <col min="7944" max="7944" width="40" style="57" customWidth="1"/>
    <col min="7945" max="7945" width="12.5703125" style="57" customWidth="1"/>
    <col min="7946" max="7947" width="10.42578125" style="57" customWidth="1"/>
    <col min="7948" max="7948" width="11.5703125" style="57" customWidth="1"/>
    <col min="7949" max="7950" width="10.42578125" style="57" customWidth="1"/>
    <col min="7951" max="7951" width="6.5703125" style="57" customWidth="1"/>
    <col min="7952" max="7952" width="11.42578125" style="57" customWidth="1"/>
    <col min="7953" max="7953" width="4.140625" style="57" customWidth="1"/>
    <col min="7954" max="7954" width="18.5703125" style="57" customWidth="1"/>
    <col min="7955" max="7955" width="2.140625" style="57" customWidth="1"/>
    <col min="7956" max="7956" width="10.42578125" style="57" customWidth="1"/>
    <col min="7957" max="8198" width="9.140625" style="57"/>
    <col min="8199" max="8199" width="10" style="57" customWidth="1"/>
    <col min="8200" max="8200" width="40" style="57" customWidth="1"/>
    <col min="8201" max="8201" width="12.5703125" style="57" customWidth="1"/>
    <col min="8202" max="8203" width="10.42578125" style="57" customWidth="1"/>
    <col min="8204" max="8204" width="11.5703125" style="57" customWidth="1"/>
    <col min="8205" max="8206" width="10.42578125" style="57" customWidth="1"/>
    <col min="8207" max="8207" width="6.5703125" style="57" customWidth="1"/>
    <col min="8208" max="8208" width="11.42578125" style="57" customWidth="1"/>
    <col min="8209" max="8209" width="4.140625" style="57" customWidth="1"/>
    <col min="8210" max="8210" width="18.5703125" style="57" customWidth="1"/>
    <col min="8211" max="8211" width="2.140625" style="57" customWidth="1"/>
    <col min="8212" max="8212" width="10.42578125" style="57" customWidth="1"/>
    <col min="8213" max="8454" width="9.140625" style="57"/>
    <col min="8455" max="8455" width="10" style="57" customWidth="1"/>
    <col min="8456" max="8456" width="40" style="57" customWidth="1"/>
    <col min="8457" max="8457" width="12.5703125" style="57" customWidth="1"/>
    <col min="8458" max="8459" width="10.42578125" style="57" customWidth="1"/>
    <col min="8460" max="8460" width="11.5703125" style="57" customWidth="1"/>
    <col min="8461" max="8462" width="10.42578125" style="57" customWidth="1"/>
    <col min="8463" max="8463" width="6.5703125" style="57" customWidth="1"/>
    <col min="8464" max="8464" width="11.42578125" style="57" customWidth="1"/>
    <col min="8465" max="8465" width="4.140625" style="57" customWidth="1"/>
    <col min="8466" max="8466" width="18.5703125" style="57" customWidth="1"/>
    <col min="8467" max="8467" width="2.140625" style="57" customWidth="1"/>
    <col min="8468" max="8468" width="10.42578125" style="57" customWidth="1"/>
    <col min="8469" max="8710" width="9.140625" style="57"/>
    <col min="8711" max="8711" width="10" style="57" customWidth="1"/>
    <col min="8712" max="8712" width="40" style="57" customWidth="1"/>
    <col min="8713" max="8713" width="12.5703125" style="57" customWidth="1"/>
    <col min="8714" max="8715" width="10.42578125" style="57" customWidth="1"/>
    <col min="8716" max="8716" width="11.5703125" style="57" customWidth="1"/>
    <col min="8717" max="8718" width="10.42578125" style="57" customWidth="1"/>
    <col min="8719" max="8719" width="6.5703125" style="57" customWidth="1"/>
    <col min="8720" max="8720" width="11.42578125" style="57" customWidth="1"/>
    <col min="8721" max="8721" width="4.140625" style="57" customWidth="1"/>
    <col min="8722" max="8722" width="18.5703125" style="57" customWidth="1"/>
    <col min="8723" max="8723" width="2.140625" style="57" customWidth="1"/>
    <col min="8724" max="8724" width="10.42578125" style="57" customWidth="1"/>
    <col min="8725" max="8966" width="9.140625" style="57"/>
    <col min="8967" max="8967" width="10" style="57" customWidth="1"/>
    <col min="8968" max="8968" width="40" style="57" customWidth="1"/>
    <col min="8969" max="8969" width="12.5703125" style="57" customWidth="1"/>
    <col min="8970" max="8971" width="10.42578125" style="57" customWidth="1"/>
    <col min="8972" max="8972" width="11.5703125" style="57" customWidth="1"/>
    <col min="8973" max="8974" width="10.42578125" style="57" customWidth="1"/>
    <col min="8975" max="8975" width="6.5703125" style="57" customWidth="1"/>
    <col min="8976" max="8976" width="11.42578125" style="57" customWidth="1"/>
    <col min="8977" max="8977" width="4.140625" style="57" customWidth="1"/>
    <col min="8978" max="8978" width="18.5703125" style="57" customWidth="1"/>
    <col min="8979" max="8979" width="2.140625" style="57" customWidth="1"/>
    <col min="8980" max="8980" width="10.42578125" style="57" customWidth="1"/>
    <col min="8981" max="9222" width="9.140625" style="57"/>
    <col min="9223" max="9223" width="10" style="57" customWidth="1"/>
    <col min="9224" max="9224" width="40" style="57" customWidth="1"/>
    <col min="9225" max="9225" width="12.5703125" style="57" customWidth="1"/>
    <col min="9226" max="9227" width="10.42578125" style="57" customWidth="1"/>
    <col min="9228" max="9228" width="11.5703125" style="57" customWidth="1"/>
    <col min="9229" max="9230" width="10.42578125" style="57" customWidth="1"/>
    <col min="9231" max="9231" width="6.5703125" style="57" customWidth="1"/>
    <col min="9232" max="9232" width="11.42578125" style="57" customWidth="1"/>
    <col min="9233" max="9233" width="4.140625" style="57" customWidth="1"/>
    <col min="9234" max="9234" width="18.5703125" style="57" customWidth="1"/>
    <col min="9235" max="9235" width="2.140625" style="57" customWidth="1"/>
    <col min="9236" max="9236" width="10.42578125" style="57" customWidth="1"/>
    <col min="9237" max="9478" width="9.140625" style="57"/>
    <col min="9479" max="9479" width="10" style="57" customWidth="1"/>
    <col min="9480" max="9480" width="40" style="57" customWidth="1"/>
    <col min="9481" max="9481" width="12.5703125" style="57" customWidth="1"/>
    <col min="9482" max="9483" width="10.42578125" style="57" customWidth="1"/>
    <col min="9484" max="9484" width="11.5703125" style="57" customWidth="1"/>
    <col min="9485" max="9486" width="10.42578125" style="57" customWidth="1"/>
    <col min="9487" max="9487" width="6.5703125" style="57" customWidth="1"/>
    <col min="9488" max="9488" width="11.42578125" style="57" customWidth="1"/>
    <col min="9489" max="9489" width="4.140625" style="57" customWidth="1"/>
    <col min="9490" max="9490" width="18.5703125" style="57" customWidth="1"/>
    <col min="9491" max="9491" width="2.140625" style="57" customWidth="1"/>
    <col min="9492" max="9492" width="10.42578125" style="57" customWidth="1"/>
    <col min="9493" max="9734" width="9.140625" style="57"/>
    <col min="9735" max="9735" width="10" style="57" customWidth="1"/>
    <col min="9736" max="9736" width="40" style="57" customWidth="1"/>
    <col min="9737" max="9737" width="12.5703125" style="57" customWidth="1"/>
    <col min="9738" max="9739" width="10.42578125" style="57" customWidth="1"/>
    <col min="9740" max="9740" width="11.5703125" style="57" customWidth="1"/>
    <col min="9741" max="9742" width="10.42578125" style="57" customWidth="1"/>
    <col min="9743" max="9743" width="6.5703125" style="57" customWidth="1"/>
    <col min="9744" max="9744" width="11.42578125" style="57" customWidth="1"/>
    <col min="9745" max="9745" width="4.140625" style="57" customWidth="1"/>
    <col min="9746" max="9746" width="18.5703125" style="57" customWidth="1"/>
    <col min="9747" max="9747" width="2.140625" style="57" customWidth="1"/>
    <col min="9748" max="9748" width="10.42578125" style="57" customWidth="1"/>
    <col min="9749" max="9990" width="9.140625" style="57"/>
    <col min="9991" max="9991" width="10" style="57" customWidth="1"/>
    <col min="9992" max="9992" width="40" style="57" customWidth="1"/>
    <col min="9993" max="9993" width="12.5703125" style="57" customWidth="1"/>
    <col min="9994" max="9995" width="10.42578125" style="57" customWidth="1"/>
    <col min="9996" max="9996" width="11.5703125" style="57" customWidth="1"/>
    <col min="9997" max="9998" width="10.42578125" style="57" customWidth="1"/>
    <col min="9999" max="9999" width="6.5703125" style="57" customWidth="1"/>
    <col min="10000" max="10000" width="11.42578125" style="57" customWidth="1"/>
    <col min="10001" max="10001" width="4.140625" style="57" customWidth="1"/>
    <col min="10002" max="10002" width="18.5703125" style="57" customWidth="1"/>
    <col min="10003" max="10003" width="2.140625" style="57" customWidth="1"/>
    <col min="10004" max="10004" width="10.42578125" style="57" customWidth="1"/>
    <col min="10005" max="10246" width="9.140625" style="57"/>
    <col min="10247" max="10247" width="10" style="57" customWidth="1"/>
    <col min="10248" max="10248" width="40" style="57" customWidth="1"/>
    <col min="10249" max="10249" width="12.5703125" style="57" customWidth="1"/>
    <col min="10250" max="10251" width="10.42578125" style="57" customWidth="1"/>
    <col min="10252" max="10252" width="11.5703125" style="57" customWidth="1"/>
    <col min="10253" max="10254" width="10.42578125" style="57" customWidth="1"/>
    <col min="10255" max="10255" width="6.5703125" style="57" customWidth="1"/>
    <col min="10256" max="10256" width="11.42578125" style="57" customWidth="1"/>
    <col min="10257" max="10257" width="4.140625" style="57" customWidth="1"/>
    <col min="10258" max="10258" width="18.5703125" style="57" customWidth="1"/>
    <col min="10259" max="10259" width="2.140625" style="57" customWidth="1"/>
    <col min="10260" max="10260" width="10.42578125" style="57" customWidth="1"/>
    <col min="10261" max="10502" width="9.140625" style="57"/>
    <col min="10503" max="10503" width="10" style="57" customWidth="1"/>
    <col min="10504" max="10504" width="40" style="57" customWidth="1"/>
    <col min="10505" max="10505" width="12.5703125" style="57" customWidth="1"/>
    <col min="10506" max="10507" width="10.42578125" style="57" customWidth="1"/>
    <col min="10508" max="10508" width="11.5703125" style="57" customWidth="1"/>
    <col min="10509" max="10510" width="10.42578125" style="57" customWidth="1"/>
    <col min="10511" max="10511" width="6.5703125" style="57" customWidth="1"/>
    <col min="10512" max="10512" width="11.42578125" style="57" customWidth="1"/>
    <col min="10513" max="10513" width="4.140625" style="57" customWidth="1"/>
    <col min="10514" max="10514" width="18.5703125" style="57" customWidth="1"/>
    <col min="10515" max="10515" width="2.140625" style="57" customWidth="1"/>
    <col min="10516" max="10516" width="10.42578125" style="57" customWidth="1"/>
    <col min="10517" max="10758" width="9.140625" style="57"/>
    <col min="10759" max="10759" width="10" style="57" customWidth="1"/>
    <col min="10760" max="10760" width="40" style="57" customWidth="1"/>
    <col min="10761" max="10761" width="12.5703125" style="57" customWidth="1"/>
    <col min="10762" max="10763" width="10.42578125" style="57" customWidth="1"/>
    <col min="10764" max="10764" width="11.5703125" style="57" customWidth="1"/>
    <col min="10765" max="10766" width="10.42578125" style="57" customWidth="1"/>
    <col min="10767" max="10767" width="6.5703125" style="57" customWidth="1"/>
    <col min="10768" max="10768" width="11.42578125" style="57" customWidth="1"/>
    <col min="10769" max="10769" width="4.140625" style="57" customWidth="1"/>
    <col min="10770" max="10770" width="18.5703125" style="57" customWidth="1"/>
    <col min="10771" max="10771" width="2.140625" style="57" customWidth="1"/>
    <col min="10772" max="10772" width="10.42578125" style="57" customWidth="1"/>
    <col min="10773" max="11014" width="9.140625" style="57"/>
    <col min="11015" max="11015" width="10" style="57" customWidth="1"/>
    <col min="11016" max="11016" width="40" style="57" customWidth="1"/>
    <col min="11017" max="11017" width="12.5703125" style="57" customWidth="1"/>
    <col min="11018" max="11019" width="10.42578125" style="57" customWidth="1"/>
    <col min="11020" max="11020" width="11.5703125" style="57" customWidth="1"/>
    <col min="11021" max="11022" width="10.42578125" style="57" customWidth="1"/>
    <col min="11023" max="11023" width="6.5703125" style="57" customWidth="1"/>
    <col min="11024" max="11024" width="11.42578125" style="57" customWidth="1"/>
    <col min="11025" max="11025" width="4.140625" style="57" customWidth="1"/>
    <col min="11026" max="11026" width="18.5703125" style="57" customWidth="1"/>
    <col min="11027" max="11027" width="2.140625" style="57" customWidth="1"/>
    <col min="11028" max="11028" width="10.42578125" style="57" customWidth="1"/>
    <col min="11029" max="11270" width="9.140625" style="57"/>
    <col min="11271" max="11271" width="10" style="57" customWidth="1"/>
    <col min="11272" max="11272" width="40" style="57" customWidth="1"/>
    <col min="11273" max="11273" width="12.5703125" style="57" customWidth="1"/>
    <col min="11274" max="11275" width="10.42578125" style="57" customWidth="1"/>
    <col min="11276" max="11276" width="11.5703125" style="57" customWidth="1"/>
    <col min="11277" max="11278" width="10.42578125" style="57" customWidth="1"/>
    <col min="11279" max="11279" width="6.5703125" style="57" customWidth="1"/>
    <col min="11280" max="11280" width="11.42578125" style="57" customWidth="1"/>
    <col min="11281" max="11281" width="4.140625" style="57" customWidth="1"/>
    <col min="11282" max="11282" width="18.5703125" style="57" customWidth="1"/>
    <col min="11283" max="11283" width="2.140625" style="57" customWidth="1"/>
    <col min="11284" max="11284" width="10.42578125" style="57" customWidth="1"/>
    <col min="11285" max="11526" width="9.140625" style="57"/>
    <col min="11527" max="11527" width="10" style="57" customWidth="1"/>
    <col min="11528" max="11528" width="40" style="57" customWidth="1"/>
    <col min="11529" max="11529" width="12.5703125" style="57" customWidth="1"/>
    <col min="11530" max="11531" width="10.42578125" style="57" customWidth="1"/>
    <col min="11532" max="11532" width="11.5703125" style="57" customWidth="1"/>
    <col min="11533" max="11534" width="10.42578125" style="57" customWidth="1"/>
    <col min="11535" max="11535" width="6.5703125" style="57" customWidth="1"/>
    <col min="11536" max="11536" width="11.42578125" style="57" customWidth="1"/>
    <col min="11537" max="11537" width="4.140625" style="57" customWidth="1"/>
    <col min="11538" max="11538" width="18.5703125" style="57" customWidth="1"/>
    <col min="11539" max="11539" width="2.140625" style="57" customWidth="1"/>
    <col min="11540" max="11540" width="10.42578125" style="57" customWidth="1"/>
    <col min="11541" max="11782" width="9.140625" style="57"/>
    <col min="11783" max="11783" width="10" style="57" customWidth="1"/>
    <col min="11784" max="11784" width="40" style="57" customWidth="1"/>
    <col min="11785" max="11785" width="12.5703125" style="57" customWidth="1"/>
    <col min="11786" max="11787" width="10.42578125" style="57" customWidth="1"/>
    <col min="11788" max="11788" width="11.5703125" style="57" customWidth="1"/>
    <col min="11789" max="11790" width="10.42578125" style="57" customWidth="1"/>
    <col min="11791" max="11791" width="6.5703125" style="57" customWidth="1"/>
    <col min="11792" max="11792" width="11.42578125" style="57" customWidth="1"/>
    <col min="11793" max="11793" width="4.140625" style="57" customWidth="1"/>
    <col min="11794" max="11794" width="18.5703125" style="57" customWidth="1"/>
    <col min="11795" max="11795" width="2.140625" style="57" customWidth="1"/>
    <col min="11796" max="11796" width="10.42578125" style="57" customWidth="1"/>
    <col min="11797" max="12038" width="9.140625" style="57"/>
    <col min="12039" max="12039" width="10" style="57" customWidth="1"/>
    <col min="12040" max="12040" width="40" style="57" customWidth="1"/>
    <col min="12041" max="12041" width="12.5703125" style="57" customWidth="1"/>
    <col min="12042" max="12043" width="10.42578125" style="57" customWidth="1"/>
    <col min="12044" max="12044" width="11.5703125" style="57" customWidth="1"/>
    <col min="12045" max="12046" width="10.42578125" style="57" customWidth="1"/>
    <col min="12047" max="12047" width="6.5703125" style="57" customWidth="1"/>
    <col min="12048" max="12048" width="11.42578125" style="57" customWidth="1"/>
    <col min="12049" max="12049" width="4.140625" style="57" customWidth="1"/>
    <col min="12050" max="12050" width="18.5703125" style="57" customWidth="1"/>
    <col min="12051" max="12051" width="2.140625" style="57" customWidth="1"/>
    <col min="12052" max="12052" width="10.42578125" style="57" customWidth="1"/>
    <col min="12053" max="12294" width="9.140625" style="57"/>
    <col min="12295" max="12295" width="10" style="57" customWidth="1"/>
    <col min="12296" max="12296" width="40" style="57" customWidth="1"/>
    <col min="12297" max="12297" width="12.5703125" style="57" customWidth="1"/>
    <col min="12298" max="12299" width="10.42578125" style="57" customWidth="1"/>
    <col min="12300" max="12300" width="11.5703125" style="57" customWidth="1"/>
    <col min="12301" max="12302" width="10.42578125" style="57" customWidth="1"/>
    <col min="12303" max="12303" width="6.5703125" style="57" customWidth="1"/>
    <col min="12304" max="12304" width="11.42578125" style="57" customWidth="1"/>
    <col min="12305" max="12305" width="4.140625" style="57" customWidth="1"/>
    <col min="12306" max="12306" width="18.5703125" style="57" customWidth="1"/>
    <col min="12307" max="12307" width="2.140625" style="57" customWidth="1"/>
    <col min="12308" max="12308" width="10.42578125" style="57" customWidth="1"/>
    <col min="12309" max="12550" width="9.140625" style="57"/>
    <col min="12551" max="12551" width="10" style="57" customWidth="1"/>
    <col min="12552" max="12552" width="40" style="57" customWidth="1"/>
    <col min="12553" max="12553" width="12.5703125" style="57" customWidth="1"/>
    <col min="12554" max="12555" width="10.42578125" style="57" customWidth="1"/>
    <col min="12556" max="12556" width="11.5703125" style="57" customWidth="1"/>
    <col min="12557" max="12558" width="10.42578125" style="57" customWidth="1"/>
    <col min="12559" max="12559" width="6.5703125" style="57" customWidth="1"/>
    <col min="12560" max="12560" width="11.42578125" style="57" customWidth="1"/>
    <col min="12561" max="12561" width="4.140625" style="57" customWidth="1"/>
    <col min="12562" max="12562" width="18.5703125" style="57" customWidth="1"/>
    <col min="12563" max="12563" width="2.140625" style="57" customWidth="1"/>
    <col min="12564" max="12564" width="10.42578125" style="57" customWidth="1"/>
    <col min="12565" max="12806" width="9.140625" style="57"/>
    <col min="12807" max="12807" width="10" style="57" customWidth="1"/>
    <col min="12808" max="12808" width="40" style="57" customWidth="1"/>
    <col min="12809" max="12809" width="12.5703125" style="57" customWidth="1"/>
    <col min="12810" max="12811" width="10.42578125" style="57" customWidth="1"/>
    <col min="12812" max="12812" width="11.5703125" style="57" customWidth="1"/>
    <col min="12813" max="12814" width="10.42578125" style="57" customWidth="1"/>
    <col min="12815" max="12815" width="6.5703125" style="57" customWidth="1"/>
    <col min="12816" max="12816" width="11.42578125" style="57" customWidth="1"/>
    <col min="12817" max="12817" width="4.140625" style="57" customWidth="1"/>
    <col min="12818" max="12818" width="18.5703125" style="57" customWidth="1"/>
    <col min="12819" max="12819" width="2.140625" style="57" customWidth="1"/>
    <col min="12820" max="12820" width="10.42578125" style="57" customWidth="1"/>
    <col min="12821" max="13062" width="9.140625" style="57"/>
    <col min="13063" max="13063" width="10" style="57" customWidth="1"/>
    <col min="13064" max="13064" width="40" style="57" customWidth="1"/>
    <col min="13065" max="13065" width="12.5703125" style="57" customWidth="1"/>
    <col min="13066" max="13067" width="10.42578125" style="57" customWidth="1"/>
    <col min="13068" max="13068" width="11.5703125" style="57" customWidth="1"/>
    <col min="13069" max="13070" width="10.42578125" style="57" customWidth="1"/>
    <col min="13071" max="13071" width="6.5703125" style="57" customWidth="1"/>
    <col min="13072" max="13072" width="11.42578125" style="57" customWidth="1"/>
    <col min="13073" max="13073" width="4.140625" style="57" customWidth="1"/>
    <col min="13074" max="13074" width="18.5703125" style="57" customWidth="1"/>
    <col min="13075" max="13075" width="2.140625" style="57" customWidth="1"/>
    <col min="13076" max="13076" width="10.42578125" style="57" customWidth="1"/>
    <col min="13077" max="13318" width="9.140625" style="57"/>
    <col min="13319" max="13319" width="10" style="57" customWidth="1"/>
    <col min="13320" max="13320" width="40" style="57" customWidth="1"/>
    <col min="13321" max="13321" width="12.5703125" style="57" customWidth="1"/>
    <col min="13322" max="13323" width="10.42578125" style="57" customWidth="1"/>
    <col min="13324" max="13324" width="11.5703125" style="57" customWidth="1"/>
    <col min="13325" max="13326" width="10.42578125" style="57" customWidth="1"/>
    <col min="13327" max="13327" width="6.5703125" style="57" customWidth="1"/>
    <col min="13328" max="13328" width="11.42578125" style="57" customWidth="1"/>
    <col min="13329" max="13329" width="4.140625" style="57" customWidth="1"/>
    <col min="13330" max="13330" width="18.5703125" style="57" customWidth="1"/>
    <col min="13331" max="13331" width="2.140625" style="57" customWidth="1"/>
    <col min="13332" max="13332" width="10.42578125" style="57" customWidth="1"/>
    <col min="13333" max="13574" width="9.140625" style="57"/>
    <col min="13575" max="13575" width="10" style="57" customWidth="1"/>
    <col min="13576" max="13576" width="40" style="57" customWidth="1"/>
    <col min="13577" max="13577" width="12.5703125" style="57" customWidth="1"/>
    <col min="13578" max="13579" width="10.42578125" style="57" customWidth="1"/>
    <col min="13580" max="13580" width="11.5703125" style="57" customWidth="1"/>
    <col min="13581" max="13582" width="10.42578125" style="57" customWidth="1"/>
    <col min="13583" max="13583" width="6.5703125" style="57" customWidth="1"/>
    <col min="13584" max="13584" width="11.42578125" style="57" customWidth="1"/>
    <col min="13585" max="13585" width="4.140625" style="57" customWidth="1"/>
    <col min="13586" max="13586" width="18.5703125" style="57" customWidth="1"/>
    <col min="13587" max="13587" width="2.140625" style="57" customWidth="1"/>
    <col min="13588" max="13588" width="10.42578125" style="57" customWidth="1"/>
    <col min="13589" max="13830" width="9.140625" style="57"/>
    <col min="13831" max="13831" width="10" style="57" customWidth="1"/>
    <col min="13832" max="13832" width="40" style="57" customWidth="1"/>
    <col min="13833" max="13833" width="12.5703125" style="57" customWidth="1"/>
    <col min="13834" max="13835" width="10.42578125" style="57" customWidth="1"/>
    <col min="13836" max="13836" width="11.5703125" style="57" customWidth="1"/>
    <col min="13837" max="13838" width="10.42578125" style="57" customWidth="1"/>
    <col min="13839" max="13839" width="6.5703125" style="57" customWidth="1"/>
    <col min="13840" max="13840" width="11.42578125" style="57" customWidth="1"/>
    <col min="13841" max="13841" width="4.140625" style="57" customWidth="1"/>
    <col min="13842" max="13842" width="18.5703125" style="57" customWidth="1"/>
    <col min="13843" max="13843" width="2.140625" style="57" customWidth="1"/>
    <col min="13844" max="13844" width="10.42578125" style="57" customWidth="1"/>
    <col min="13845" max="14086" width="9.140625" style="57"/>
    <col min="14087" max="14087" width="10" style="57" customWidth="1"/>
    <col min="14088" max="14088" width="40" style="57" customWidth="1"/>
    <col min="14089" max="14089" width="12.5703125" style="57" customWidth="1"/>
    <col min="14090" max="14091" width="10.42578125" style="57" customWidth="1"/>
    <col min="14092" max="14092" width="11.5703125" style="57" customWidth="1"/>
    <col min="14093" max="14094" width="10.42578125" style="57" customWidth="1"/>
    <col min="14095" max="14095" width="6.5703125" style="57" customWidth="1"/>
    <col min="14096" max="14096" width="11.42578125" style="57" customWidth="1"/>
    <col min="14097" max="14097" width="4.140625" style="57" customWidth="1"/>
    <col min="14098" max="14098" width="18.5703125" style="57" customWidth="1"/>
    <col min="14099" max="14099" width="2.140625" style="57" customWidth="1"/>
    <col min="14100" max="14100" width="10.42578125" style="57" customWidth="1"/>
    <col min="14101" max="14342" width="9.140625" style="57"/>
    <col min="14343" max="14343" width="10" style="57" customWidth="1"/>
    <col min="14344" max="14344" width="40" style="57" customWidth="1"/>
    <col min="14345" max="14345" width="12.5703125" style="57" customWidth="1"/>
    <col min="14346" max="14347" width="10.42578125" style="57" customWidth="1"/>
    <col min="14348" max="14348" width="11.5703125" style="57" customWidth="1"/>
    <col min="14349" max="14350" width="10.42578125" style="57" customWidth="1"/>
    <col min="14351" max="14351" width="6.5703125" style="57" customWidth="1"/>
    <col min="14352" max="14352" width="11.42578125" style="57" customWidth="1"/>
    <col min="14353" max="14353" width="4.140625" style="57" customWidth="1"/>
    <col min="14354" max="14354" width="18.5703125" style="57" customWidth="1"/>
    <col min="14355" max="14355" width="2.140625" style="57" customWidth="1"/>
    <col min="14356" max="14356" width="10.42578125" style="57" customWidth="1"/>
    <col min="14357" max="14598" width="9.140625" style="57"/>
    <col min="14599" max="14599" width="10" style="57" customWidth="1"/>
    <col min="14600" max="14600" width="40" style="57" customWidth="1"/>
    <col min="14601" max="14601" width="12.5703125" style="57" customWidth="1"/>
    <col min="14602" max="14603" width="10.42578125" style="57" customWidth="1"/>
    <col min="14604" max="14604" width="11.5703125" style="57" customWidth="1"/>
    <col min="14605" max="14606" width="10.42578125" style="57" customWidth="1"/>
    <col min="14607" max="14607" width="6.5703125" style="57" customWidth="1"/>
    <col min="14608" max="14608" width="11.42578125" style="57" customWidth="1"/>
    <col min="14609" max="14609" width="4.140625" style="57" customWidth="1"/>
    <col min="14610" max="14610" width="18.5703125" style="57" customWidth="1"/>
    <col min="14611" max="14611" width="2.140625" style="57" customWidth="1"/>
    <col min="14612" max="14612" width="10.42578125" style="57" customWidth="1"/>
    <col min="14613" max="14854" width="9.140625" style="57"/>
    <col min="14855" max="14855" width="10" style="57" customWidth="1"/>
    <col min="14856" max="14856" width="40" style="57" customWidth="1"/>
    <col min="14857" max="14857" width="12.5703125" style="57" customWidth="1"/>
    <col min="14858" max="14859" width="10.42578125" style="57" customWidth="1"/>
    <col min="14860" max="14860" width="11.5703125" style="57" customWidth="1"/>
    <col min="14861" max="14862" width="10.42578125" style="57" customWidth="1"/>
    <col min="14863" max="14863" width="6.5703125" style="57" customWidth="1"/>
    <col min="14864" max="14864" width="11.42578125" style="57" customWidth="1"/>
    <col min="14865" max="14865" width="4.140625" style="57" customWidth="1"/>
    <col min="14866" max="14866" width="18.5703125" style="57" customWidth="1"/>
    <col min="14867" max="14867" width="2.140625" style="57" customWidth="1"/>
    <col min="14868" max="14868" width="10.42578125" style="57" customWidth="1"/>
    <col min="14869" max="15110" width="9.140625" style="57"/>
    <col min="15111" max="15111" width="10" style="57" customWidth="1"/>
    <col min="15112" max="15112" width="40" style="57" customWidth="1"/>
    <col min="15113" max="15113" width="12.5703125" style="57" customWidth="1"/>
    <col min="15114" max="15115" width="10.42578125" style="57" customWidth="1"/>
    <col min="15116" max="15116" width="11.5703125" style="57" customWidth="1"/>
    <col min="15117" max="15118" width="10.42578125" style="57" customWidth="1"/>
    <col min="15119" max="15119" width="6.5703125" style="57" customWidth="1"/>
    <col min="15120" max="15120" width="11.42578125" style="57" customWidth="1"/>
    <col min="15121" max="15121" width="4.140625" style="57" customWidth="1"/>
    <col min="15122" max="15122" width="18.5703125" style="57" customWidth="1"/>
    <col min="15123" max="15123" width="2.140625" style="57" customWidth="1"/>
    <col min="15124" max="15124" width="10.42578125" style="57" customWidth="1"/>
    <col min="15125" max="15366" width="9.140625" style="57"/>
    <col min="15367" max="15367" width="10" style="57" customWidth="1"/>
    <col min="15368" max="15368" width="40" style="57" customWidth="1"/>
    <col min="15369" max="15369" width="12.5703125" style="57" customWidth="1"/>
    <col min="15370" max="15371" width="10.42578125" style="57" customWidth="1"/>
    <col min="15372" max="15372" width="11.5703125" style="57" customWidth="1"/>
    <col min="15373" max="15374" width="10.42578125" style="57" customWidth="1"/>
    <col min="15375" max="15375" width="6.5703125" style="57" customWidth="1"/>
    <col min="15376" max="15376" width="11.42578125" style="57" customWidth="1"/>
    <col min="15377" max="15377" width="4.140625" style="57" customWidth="1"/>
    <col min="15378" max="15378" width="18.5703125" style="57" customWidth="1"/>
    <col min="15379" max="15379" width="2.140625" style="57" customWidth="1"/>
    <col min="15380" max="15380" width="10.42578125" style="57" customWidth="1"/>
    <col min="15381" max="15622" width="9.140625" style="57"/>
    <col min="15623" max="15623" width="10" style="57" customWidth="1"/>
    <col min="15624" max="15624" width="40" style="57" customWidth="1"/>
    <col min="15625" max="15625" width="12.5703125" style="57" customWidth="1"/>
    <col min="15626" max="15627" width="10.42578125" style="57" customWidth="1"/>
    <col min="15628" max="15628" width="11.5703125" style="57" customWidth="1"/>
    <col min="15629" max="15630" width="10.42578125" style="57" customWidth="1"/>
    <col min="15631" max="15631" width="6.5703125" style="57" customWidth="1"/>
    <col min="15632" max="15632" width="11.42578125" style="57" customWidth="1"/>
    <col min="15633" max="15633" width="4.140625" style="57" customWidth="1"/>
    <col min="15634" max="15634" width="18.5703125" style="57" customWidth="1"/>
    <col min="15635" max="15635" width="2.140625" style="57" customWidth="1"/>
    <col min="15636" max="15636" width="10.42578125" style="57" customWidth="1"/>
    <col min="15637" max="15878" width="9.140625" style="57"/>
    <col min="15879" max="15879" width="10" style="57" customWidth="1"/>
    <col min="15880" max="15880" width="40" style="57" customWidth="1"/>
    <col min="15881" max="15881" width="12.5703125" style="57" customWidth="1"/>
    <col min="15882" max="15883" width="10.42578125" style="57" customWidth="1"/>
    <col min="15884" max="15884" width="11.5703125" style="57" customWidth="1"/>
    <col min="15885" max="15886" width="10.42578125" style="57" customWidth="1"/>
    <col min="15887" max="15887" width="6.5703125" style="57" customWidth="1"/>
    <col min="15888" max="15888" width="11.42578125" style="57" customWidth="1"/>
    <col min="15889" max="15889" width="4.140625" style="57" customWidth="1"/>
    <col min="15890" max="15890" width="18.5703125" style="57" customWidth="1"/>
    <col min="15891" max="15891" width="2.140625" style="57" customWidth="1"/>
    <col min="15892" max="15892" width="10.42578125" style="57" customWidth="1"/>
    <col min="15893" max="16134" width="9.140625" style="57"/>
    <col min="16135" max="16135" width="10" style="57" customWidth="1"/>
    <col min="16136" max="16136" width="40" style="57" customWidth="1"/>
    <col min="16137" max="16137" width="12.5703125" style="57" customWidth="1"/>
    <col min="16138" max="16139" width="10.42578125" style="57" customWidth="1"/>
    <col min="16140" max="16140" width="11.5703125" style="57" customWidth="1"/>
    <col min="16141" max="16142" width="10.42578125" style="57" customWidth="1"/>
    <col min="16143" max="16143" width="6.5703125" style="57" customWidth="1"/>
    <col min="16144" max="16144" width="11.42578125" style="57" customWidth="1"/>
    <col min="16145" max="16145" width="4.140625" style="57" customWidth="1"/>
    <col min="16146" max="16146" width="18.5703125" style="57" customWidth="1"/>
    <col min="16147" max="16147" width="2.140625" style="57" customWidth="1"/>
    <col min="16148" max="16148" width="10.42578125" style="57" customWidth="1"/>
    <col min="16149" max="16384" width="9.140625" style="57"/>
  </cols>
  <sheetData>
    <row r="1" spans="2:21" ht="13.5" customHeight="1" x14ac:dyDescent="0.25">
      <c r="H1" s="782" t="s">
        <v>38</v>
      </c>
      <c r="I1" s="782"/>
      <c r="J1" s="782"/>
      <c r="K1" s="782"/>
      <c r="L1" s="782"/>
      <c r="M1" s="782" t="s">
        <v>39</v>
      </c>
      <c r="N1" s="782"/>
      <c r="O1" s="782" t="s">
        <v>40</v>
      </c>
      <c r="P1" s="782"/>
      <c r="Q1" s="782"/>
    </row>
    <row r="2" spans="2:21" s="59" customFormat="1" ht="15" customHeight="1" x14ac:dyDescent="0.25">
      <c r="B2" s="60" t="s">
        <v>41</v>
      </c>
      <c r="C2" s="61" t="s">
        <v>42</v>
      </c>
      <c r="D2" s="61" t="s">
        <v>43</v>
      </c>
      <c r="E2" s="61" t="s">
        <v>44</v>
      </c>
      <c r="F2" s="61" t="s">
        <v>45</v>
      </c>
      <c r="G2" s="61" t="s">
        <v>46</v>
      </c>
      <c r="H2" s="61" t="s">
        <v>47</v>
      </c>
      <c r="I2" s="61" t="s">
        <v>48</v>
      </c>
      <c r="J2" s="61" t="s">
        <v>47</v>
      </c>
      <c r="K2" s="61" t="s">
        <v>48</v>
      </c>
      <c r="L2" s="65" t="s">
        <v>49</v>
      </c>
      <c r="M2" s="65" t="s">
        <v>39</v>
      </c>
      <c r="N2" s="65" t="s">
        <v>49</v>
      </c>
      <c r="O2" s="65" t="s">
        <v>47</v>
      </c>
      <c r="P2" s="65" t="s">
        <v>48</v>
      </c>
      <c r="Q2" s="65" t="s">
        <v>49</v>
      </c>
      <c r="R2" s="63" t="s">
        <v>50</v>
      </c>
      <c r="T2" s="81" t="s">
        <v>53</v>
      </c>
      <c r="U2" s="82">
        <f>'Maio 25'!U5</f>
        <v>6</v>
      </c>
    </row>
    <row r="3" spans="2:21" ht="15" customHeight="1" x14ac:dyDescent="0.25">
      <c r="B3" s="67">
        <v>2</v>
      </c>
      <c r="C3" s="116" t="s">
        <v>51</v>
      </c>
      <c r="D3" s="110" t="s">
        <v>60</v>
      </c>
      <c r="E3" s="118">
        <v>44599</v>
      </c>
      <c r="F3" s="118"/>
      <c r="G3" s="116"/>
      <c r="H3" s="121"/>
      <c r="I3" s="121"/>
      <c r="J3" s="121"/>
      <c r="K3" s="121"/>
      <c r="L3" s="131">
        <v>0</v>
      </c>
      <c r="M3" s="140"/>
      <c r="N3" s="141">
        <v>0</v>
      </c>
      <c r="O3" s="127"/>
      <c r="P3" s="127"/>
      <c r="Q3" s="78">
        <v>0</v>
      </c>
      <c r="R3" s="142"/>
      <c r="T3" s="83" t="s">
        <v>44</v>
      </c>
      <c r="U3" s="84">
        <v>0</v>
      </c>
    </row>
    <row r="4" spans="2:21" ht="15" customHeight="1" x14ac:dyDescent="0.25">
      <c r="B4" s="265">
        <v>11</v>
      </c>
      <c r="C4" s="271" t="s">
        <v>122</v>
      </c>
      <c r="D4" s="267" t="s">
        <v>60</v>
      </c>
      <c r="E4" s="269">
        <v>45770</v>
      </c>
      <c r="F4" s="269">
        <v>45814</v>
      </c>
      <c r="G4" s="116"/>
      <c r="H4" s="121"/>
      <c r="I4" s="121"/>
      <c r="J4" s="121"/>
      <c r="K4" s="121"/>
      <c r="L4" s="131">
        <v>0</v>
      </c>
      <c r="M4" s="145"/>
      <c r="N4" s="141">
        <v>0</v>
      </c>
      <c r="O4" s="127"/>
      <c r="P4" s="127"/>
      <c r="Q4" s="155">
        <v>0</v>
      </c>
      <c r="R4" s="142"/>
      <c r="T4" s="83" t="s">
        <v>45</v>
      </c>
      <c r="U4" s="84">
        <v>2</v>
      </c>
    </row>
    <row r="5" spans="2:21" ht="15" customHeight="1" x14ac:dyDescent="0.25">
      <c r="B5" s="261">
        <v>7</v>
      </c>
      <c r="C5" s="209" t="s">
        <v>119</v>
      </c>
      <c r="D5" s="210" t="s">
        <v>60</v>
      </c>
      <c r="E5" s="211">
        <v>45693</v>
      </c>
      <c r="F5" s="166">
        <v>45819</v>
      </c>
      <c r="G5" s="116"/>
      <c r="H5" s="121"/>
      <c r="I5" s="121"/>
      <c r="J5" s="121"/>
      <c r="K5" s="121"/>
      <c r="L5" s="131">
        <v>0</v>
      </c>
      <c r="M5" s="145"/>
      <c r="N5" s="141">
        <v>0</v>
      </c>
      <c r="O5" s="127"/>
      <c r="P5" s="127"/>
      <c r="Q5" s="155">
        <v>0</v>
      </c>
      <c r="R5" s="142"/>
      <c r="T5" s="100" t="s">
        <v>56</v>
      </c>
      <c r="U5" s="101">
        <f>U2+U3-U4</f>
        <v>4</v>
      </c>
    </row>
    <row r="6" spans="2:21" ht="15" customHeight="1" x14ac:dyDescent="0.25">
      <c r="B6" s="202">
        <v>9</v>
      </c>
      <c r="C6" s="203" t="s">
        <v>98</v>
      </c>
      <c r="D6" s="204" t="s">
        <v>60</v>
      </c>
      <c r="E6" s="205">
        <v>45702</v>
      </c>
      <c r="F6" s="166"/>
      <c r="G6" s="116"/>
      <c r="H6" s="121"/>
      <c r="I6" s="121"/>
      <c r="J6" s="121"/>
      <c r="K6" s="121"/>
      <c r="L6" s="164">
        <v>0</v>
      </c>
      <c r="M6" s="145"/>
      <c r="N6" s="141">
        <v>0</v>
      </c>
      <c r="O6" s="127"/>
      <c r="P6" s="127"/>
      <c r="Q6" s="155">
        <v>0</v>
      </c>
      <c r="R6" s="142"/>
    </row>
    <row r="7" spans="2:21" ht="15" customHeight="1" x14ac:dyDescent="0.25">
      <c r="B7" s="67">
        <v>11</v>
      </c>
      <c r="C7" s="206" t="s">
        <v>99</v>
      </c>
      <c r="D7" s="207" t="s">
        <v>60</v>
      </c>
      <c r="E7" s="208">
        <v>45736</v>
      </c>
      <c r="F7" s="69"/>
      <c r="G7" s="68"/>
      <c r="H7" s="72"/>
      <c r="I7" s="72"/>
      <c r="J7" s="72"/>
      <c r="K7" s="72"/>
      <c r="L7" s="164">
        <v>0</v>
      </c>
      <c r="M7" s="132"/>
      <c r="N7" s="141">
        <v>0</v>
      </c>
      <c r="O7" s="109"/>
      <c r="P7" s="109"/>
      <c r="Q7" s="155">
        <v>0</v>
      </c>
      <c r="R7" s="134"/>
      <c r="T7" s="81" t="s">
        <v>57</v>
      </c>
      <c r="U7" s="82">
        <v>2</v>
      </c>
    </row>
    <row r="8" spans="2:21" ht="15" customHeight="1" x14ac:dyDescent="0.25">
      <c r="B8" s="85">
        <v>10</v>
      </c>
      <c r="C8" s="273" t="s">
        <v>121</v>
      </c>
      <c r="D8" s="274" t="s">
        <v>60</v>
      </c>
      <c r="E8" s="275">
        <v>45734</v>
      </c>
      <c r="F8" s="87"/>
      <c r="G8" s="86"/>
      <c r="H8" s="90"/>
      <c r="I8" s="90"/>
      <c r="J8" s="90"/>
      <c r="K8" s="90"/>
      <c r="L8" s="135">
        <v>0</v>
      </c>
      <c r="M8" s="136"/>
      <c r="N8" s="137">
        <v>0</v>
      </c>
      <c r="O8" s="96"/>
      <c r="P8" s="96"/>
      <c r="Q8" s="138">
        <v>0</v>
      </c>
      <c r="R8" s="139"/>
      <c r="T8" s="100" t="s">
        <v>13</v>
      </c>
      <c r="U8" s="101">
        <f>U5+U7</f>
        <v>6</v>
      </c>
    </row>
    <row r="9" spans="2:21" ht="15" customHeight="1" x14ac:dyDescent="0.25">
      <c r="L9" s="99">
        <f>SUM(L3:L6)</f>
        <v>0</v>
      </c>
      <c r="N9" s="99">
        <f>SUM(N3:N6)</f>
        <v>0</v>
      </c>
      <c r="O9" s="99"/>
      <c r="P9" s="99"/>
      <c r="Q9" s="99">
        <f>SUM(Q3:Q6)</f>
        <v>0</v>
      </c>
    </row>
    <row r="10" spans="2:21" ht="15" customHeight="1" x14ac:dyDescent="0.25">
      <c r="T10" s="784" t="s">
        <v>58</v>
      </c>
      <c r="U10" s="784"/>
    </row>
    <row r="11" spans="2:21" ht="15" customHeight="1" x14ac:dyDescent="0.25">
      <c r="T11" s="83" t="s">
        <v>38</v>
      </c>
      <c r="U11" s="102">
        <v>0</v>
      </c>
    </row>
    <row r="12" spans="2:21" ht="15" customHeight="1" x14ac:dyDescent="0.25">
      <c r="T12" s="103" t="s">
        <v>39</v>
      </c>
      <c r="U12" s="104">
        <f>N9</f>
        <v>0</v>
      </c>
    </row>
    <row r="13" spans="2:21" ht="15" customHeight="1" x14ac:dyDescent="0.25"/>
    <row r="14" spans="2:21" ht="15" customHeight="1" x14ac:dyDescent="0.25">
      <c r="T14" s="81" t="s">
        <v>40</v>
      </c>
      <c r="U14" s="105">
        <f>Q9</f>
        <v>0</v>
      </c>
    </row>
    <row r="15" spans="2:21" ht="15" customHeight="1" x14ac:dyDescent="0.25">
      <c r="T15" s="103" t="s">
        <v>59</v>
      </c>
      <c r="U15" s="104">
        <v>0</v>
      </c>
    </row>
    <row r="16" spans="2:21" ht="15" customHeight="1" x14ac:dyDescent="0.25"/>
    <row r="17" spans="20:21" ht="15" customHeight="1" x14ac:dyDescent="0.25">
      <c r="T17" s="106" t="s">
        <v>22</v>
      </c>
      <c r="U17" s="107">
        <v>20</v>
      </c>
    </row>
    <row r="18" spans="20:21" ht="15" customHeight="1" x14ac:dyDescent="0.25"/>
    <row r="19" spans="20:21" ht="15" customHeight="1" x14ac:dyDescent="0.25"/>
    <row r="20" spans="20:21" ht="15" customHeight="1" x14ac:dyDescent="0.25"/>
    <row r="21" spans="20:21" ht="15" customHeight="1" x14ac:dyDescent="0.25"/>
    <row r="22" spans="20:21" ht="15" customHeight="1" x14ac:dyDescent="0.25"/>
    <row r="23" spans="20:21" ht="15" customHeight="1" x14ac:dyDescent="0.25"/>
    <row r="24" spans="20:21" ht="15" customHeight="1" x14ac:dyDescent="0.25"/>
    <row r="25" spans="20:21" ht="15" customHeight="1" x14ac:dyDescent="0.25"/>
    <row r="26" spans="20:21" ht="15" customHeight="1" x14ac:dyDescent="0.25"/>
    <row r="27" spans="20:21" ht="15" customHeight="1" x14ac:dyDescent="0.25"/>
    <row r="28" spans="20:21" ht="15" customHeight="1" x14ac:dyDescent="0.25"/>
    <row r="29" spans="20:21" ht="15" customHeight="1" x14ac:dyDescent="0.25"/>
    <row r="30" spans="20:21" ht="15" customHeight="1" x14ac:dyDescent="0.25"/>
    <row r="31" spans="20:21" ht="15" customHeight="1" x14ac:dyDescent="0.25"/>
    <row r="32" spans="20:21" ht="15" customHeight="1" x14ac:dyDescent="0.25"/>
    <row r="33" ht="15" customHeight="1" x14ac:dyDescent="0.25"/>
    <row r="34" ht="15" customHeight="1" x14ac:dyDescent="0.25"/>
    <row r="35" ht="15" customHeight="1" x14ac:dyDescent="0.25"/>
  </sheetData>
  <mergeCells count="4">
    <mergeCell ref="H1:L1"/>
    <mergeCell ref="M1:N1"/>
    <mergeCell ref="O1:Q1"/>
    <mergeCell ref="T10:U10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U35"/>
  <sheetViews>
    <sheetView showGridLines="0" zoomScaleNormal="100" workbookViewId="0">
      <selection activeCell="E4" sqref="E4"/>
    </sheetView>
  </sheetViews>
  <sheetFormatPr defaultColWidth="9.140625" defaultRowHeight="12.75" x14ac:dyDescent="0.25"/>
  <cols>
    <col min="1" max="1" width="9.140625" style="57"/>
    <col min="2" max="2" width="10" style="57" customWidth="1"/>
    <col min="3" max="3" width="40" style="57" customWidth="1"/>
    <col min="4" max="4" width="12.5703125" style="57" customWidth="1"/>
    <col min="5" max="5" width="10.7109375" style="57" customWidth="1"/>
    <col min="6" max="6" width="10.42578125" style="57" customWidth="1"/>
    <col min="7" max="7" width="11.5703125" style="57" customWidth="1"/>
    <col min="8" max="11" width="10.42578125" style="57" customWidth="1"/>
    <col min="12" max="12" width="4.140625" style="57" customWidth="1"/>
    <col min="13" max="13" width="11.42578125" style="58" customWidth="1"/>
    <col min="14" max="14" width="4.140625" style="57" customWidth="1"/>
    <col min="15" max="16" width="10.42578125" style="57" customWidth="1"/>
    <col min="17" max="17" width="4.140625" style="57" customWidth="1"/>
    <col min="18" max="18" width="27.140625" style="57" customWidth="1"/>
    <col min="19" max="19" width="2.140625" style="57" customWidth="1"/>
    <col min="20" max="20" width="13.140625" style="57" customWidth="1"/>
    <col min="21" max="21" width="5.140625" style="57" customWidth="1"/>
    <col min="22" max="262" width="9.140625" style="57"/>
    <col min="263" max="263" width="10" style="57" customWidth="1"/>
    <col min="264" max="264" width="40" style="57" customWidth="1"/>
    <col min="265" max="265" width="12.5703125" style="57" customWidth="1"/>
    <col min="266" max="267" width="10.42578125" style="57" customWidth="1"/>
    <col min="268" max="268" width="11.5703125" style="57" customWidth="1"/>
    <col min="269" max="270" width="10.42578125" style="57" customWidth="1"/>
    <col min="271" max="271" width="6.5703125" style="57" customWidth="1"/>
    <col min="272" max="272" width="11.42578125" style="57" customWidth="1"/>
    <col min="273" max="273" width="4.140625" style="57" customWidth="1"/>
    <col min="274" max="274" width="18.5703125" style="57" customWidth="1"/>
    <col min="275" max="275" width="2.140625" style="57" customWidth="1"/>
    <col min="276" max="276" width="10.42578125" style="57" customWidth="1"/>
    <col min="277" max="518" width="9.140625" style="57"/>
    <col min="519" max="519" width="10" style="57" customWidth="1"/>
    <col min="520" max="520" width="40" style="57" customWidth="1"/>
    <col min="521" max="521" width="12.5703125" style="57" customWidth="1"/>
    <col min="522" max="523" width="10.42578125" style="57" customWidth="1"/>
    <col min="524" max="524" width="11.5703125" style="57" customWidth="1"/>
    <col min="525" max="526" width="10.42578125" style="57" customWidth="1"/>
    <col min="527" max="527" width="6.5703125" style="57" customWidth="1"/>
    <col min="528" max="528" width="11.42578125" style="57" customWidth="1"/>
    <col min="529" max="529" width="4.140625" style="57" customWidth="1"/>
    <col min="530" max="530" width="18.5703125" style="57" customWidth="1"/>
    <col min="531" max="531" width="2.140625" style="57" customWidth="1"/>
    <col min="532" max="532" width="10.42578125" style="57" customWidth="1"/>
    <col min="533" max="774" width="9.140625" style="57"/>
    <col min="775" max="775" width="10" style="57" customWidth="1"/>
    <col min="776" max="776" width="40" style="57" customWidth="1"/>
    <col min="777" max="777" width="12.5703125" style="57" customWidth="1"/>
    <col min="778" max="779" width="10.42578125" style="57" customWidth="1"/>
    <col min="780" max="780" width="11.5703125" style="57" customWidth="1"/>
    <col min="781" max="782" width="10.42578125" style="57" customWidth="1"/>
    <col min="783" max="783" width="6.5703125" style="57" customWidth="1"/>
    <col min="784" max="784" width="11.42578125" style="57" customWidth="1"/>
    <col min="785" max="785" width="4.140625" style="57" customWidth="1"/>
    <col min="786" max="786" width="18.5703125" style="57" customWidth="1"/>
    <col min="787" max="787" width="2.140625" style="57" customWidth="1"/>
    <col min="788" max="788" width="10.42578125" style="57" customWidth="1"/>
    <col min="789" max="1030" width="9.140625" style="57"/>
    <col min="1031" max="1031" width="10" style="57" customWidth="1"/>
    <col min="1032" max="1032" width="40" style="57" customWidth="1"/>
    <col min="1033" max="1033" width="12.5703125" style="57" customWidth="1"/>
    <col min="1034" max="1035" width="10.42578125" style="57" customWidth="1"/>
    <col min="1036" max="1036" width="11.5703125" style="57" customWidth="1"/>
    <col min="1037" max="1038" width="10.42578125" style="57" customWidth="1"/>
    <col min="1039" max="1039" width="6.5703125" style="57" customWidth="1"/>
    <col min="1040" max="1040" width="11.42578125" style="57" customWidth="1"/>
    <col min="1041" max="1041" width="4.140625" style="57" customWidth="1"/>
    <col min="1042" max="1042" width="18.5703125" style="57" customWidth="1"/>
    <col min="1043" max="1043" width="2.140625" style="57" customWidth="1"/>
    <col min="1044" max="1044" width="10.42578125" style="57" customWidth="1"/>
    <col min="1045" max="1286" width="9.140625" style="57"/>
    <col min="1287" max="1287" width="10" style="57" customWidth="1"/>
    <col min="1288" max="1288" width="40" style="57" customWidth="1"/>
    <col min="1289" max="1289" width="12.5703125" style="57" customWidth="1"/>
    <col min="1290" max="1291" width="10.42578125" style="57" customWidth="1"/>
    <col min="1292" max="1292" width="11.5703125" style="57" customWidth="1"/>
    <col min="1293" max="1294" width="10.42578125" style="57" customWidth="1"/>
    <col min="1295" max="1295" width="6.5703125" style="57" customWidth="1"/>
    <col min="1296" max="1296" width="11.42578125" style="57" customWidth="1"/>
    <col min="1297" max="1297" width="4.140625" style="57" customWidth="1"/>
    <col min="1298" max="1298" width="18.5703125" style="57" customWidth="1"/>
    <col min="1299" max="1299" width="2.140625" style="57" customWidth="1"/>
    <col min="1300" max="1300" width="10.42578125" style="57" customWidth="1"/>
    <col min="1301" max="1542" width="9.140625" style="57"/>
    <col min="1543" max="1543" width="10" style="57" customWidth="1"/>
    <col min="1544" max="1544" width="40" style="57" customWidth="1"/>
    <col min="1545" max="1545" width="12.5703125" style="57" customWidth="1"/>
    <col min="1546" max="1547" width="10.42578125" style="57" customWidth="1"/>
    <col min="1548" max="1548" width="11.5703125" style="57" customWidth="1"/>
    <col min="1549" max="1550" width="10.42578125" style="57" customWidth="1"/>
    <col min="1551" max="1551" width="6.5703125" style="57" customWidth="1"/>
    <col min="1552" max="1552" width="11.42578125" style="57" customWidth="1"/>
    <col min="1553" max="1553" width="4.140625" style="57" customWidth="1"/>
    <col min="1554" max="1554" width="18.5703125" style="57" customWidth="1"/>
    <col min="1555" max="1555" width="2.140625" style="57" customWidth="1"/>
    <col min="1556" max="1556" width="10.42578125" style="57" customWidth="1"/>
    <col min="1557" max="1798" width="9.140625" style="57"/>
    <col min="1799" max="1799" width="10" style="57" customWidth="1"/>
    <col min="1800" max="1800" width="40" style="57" customWidth="1"/>
    <col min="1801" max="1801" width="12.5703125" style="57" customWidth="1"/>
    <col min="1802" max="1803" width="10.42578125" style="57" customWidth="1"/>
    <col min="1804" max="1804" width="11.5703125" style="57" customWidth="1"/>
    <col min="1805" max="1806" width="10.42578125" style="57" customWidth="1"/>
    <col min="1807" max="1807" width="6.5703125" style="57" customWidth="1"/>
    <col min="1808" max="1808" width="11.42578125" style="57" customWidth="1"/>
    <col min="1809" max="1809" width="4.140625" style="57" customWidth="1"/>
    <col min="1810" max="1810" width="18.5703125" style="57" customWidth="1"/>
    <col min="1811" max="1811" width="2.140625" style="57" customWidth="1"/>
    <col min="1812" max="1812" width="10.42578125" style="57" customWidth="1"/>
    <col min="1813" max="2054" width="9.140625" style="57"/>
    <col min="2055" max="2055" width="10" style="57" customWidth="1"/>
    <col min="2056" max="2056" width="40" style="57" customWidth="1"/>
    <col min="2057" max="2057" width="12.5703125" style="57" customWidth="1"/>
    <col min="2058" max="2059" width="10.42578125" style="57" customWidth="1"/>
    <col min="2060" max="2060" width="11.5703125" style="57" customWidth="1"/>
    <col min="2061" max="2062" width="10.42578125" style="57" customWidth="1"/>
    <col min="2063" max="2063" width="6.5703125" style="57" customWidth="1"/>
    <col min="2064" max="2064" width="11.42578125" style="57" customWidth="1"/>
    <col min="2065" max="2065" width="4.140625" style="57" customWidth="1"/>
    <col min="2066" max="2066" width="18.5703125" style="57" customWidth="1"/>
    <col min="2067" max="2067" width="2.140625" style="57" customWidth="1"/>
    <col min="2068" max="2068" width="10.42578125" style="57" customWidth="1"/>
    <col min="2069" max="2310" width="9.140625" style="57"/>
    <col min="2311" max="2311" width="10" style="57" customWidth="1"/>
    <col min="2312" max="2312" width="40" style="57" customWidth="1"/>
    <col min="2313" max="2313" width="12.5703125" style="57" customWidth="1"/>
    <col min="2314" max="2315" width="10.42578125" style="57" customWidth="1"/>
    <col min="2316" max="2316" width="11.5703125" style="57" customWidth="1"/>
    <col min="2317" max="2318" width="10.42578125" style="57" customWidth="1"/>
    <col min="2319" max="2319" width="6.5703125" style="57" customWidth="1"/>
    <col min="2320" max="2320" width="11.42578125" style="57" customWidth="1"/>
    <col min="2321" max="2321" width="4.140625" style="57" customWidth="1"/>
    <col min="2322" max="2322" width="18.5703125" style="57" customWidth="1"/>
    <col min="2323" max="2323" width="2.140625" style="57" customWidth="1"/>
    <col min="2324" max="2324" width="10.42578125" style="57" customWidth="1"/>
    <col min="2325" max="2566" width="9.140625" style="57"/>
    <col min="2567" max="2567" width="10" style="57" customWidth="1"/>
    <col min="2568" max="2568" width="40" style="57" customWidth="1"/>
    <col min="2569" max="2569" width="12.5703125" style="57" customWidth="1"/>
    <col min="2570" max="2571" width="10.42578125" style="57" customWidth="1"/>
    <col min="2572" max="2572" width="11.5703125" style="57" customWidth="1"/>
    <col min="2573" max="2574" width="10.42578125" style="57" customWidth="1"/>
    <col min="2575" max="2575" width="6.5703125" style="57" customWidth="1"/>
    <col min="2576" max="2576" width="11.42578125" style="57" customWidth="1"/>
    <col min="2577" max="2577" width="4.140625" style="57" customWidth="1"/>
    <col min="2578" max="2578" width="18.5703125" style="57" customWidth="1"/>
    <col min="2579" max="2579" width="2.140625" style="57" customWidth="1"/>
    <col min="2580" max="2580" width="10.42578125" style="57" customWidth="1"/>
    <col min="2581" max="2822" width="9.140625" style="57"/>
    <col min="2823" max="2823" width="10" style="57" customWidth="1"/>
    <col min="2824" max="2824" width="40" style="57" customWidth="1"/>
    <col min="2825" max="2825" width="12.5703125" style="57" customWidth="1"/>
    <col min="2826" max="2827" width="10.42578125" style="57" customWidth="1"/>
    <col min="2828" max="2828" width="11.5703125" style="57" customWidth="1"/>
    <col min="2829" max="2830" width="10.42578125" style="57" customWidth="1"/>
    <col min="2831" max="2831" width="6.5703125" style="57" customWidth="1"/>
    <col min="2832" max="2832" width="11.42578125" style="57" customWidth="1"/>
    <col min="2833" max="2833" width="4.140625" style="57" customWidth="1"/>
    <col min="2834" max="2834" width="18.5703125" style="57" customWidth="1"/>
    <col min="2835" max="2835" width="2.140625" style="57" customWidth="1"/>
    <col min="2836" max="2836" width="10.42578125" style="57" customWidth="1"/>
    <col min="2837" max="3078" width="9.140625" style="57"/>
    <col min="3079" max="3079" width="10" style="57" customWidth="1"/>
    <col min="3080" max="3080" width="40" style="57" customWidth="1"/>
    <col min="3081" max="3081" width="12.5703125" style="57" customWidth="1"/>
    <col min="3082" max="3083" width="10.42578125" style="57" customWidth="1"/>
    <col min="3084" max="3084" width="11.5703125" style="57" customWidth="1"/>
    <col min="3085" max="3086" width="10.42578125" style="57" customWidth="1"/>
    <col min="3087" max="3087" width="6.5703125" style="57" customWidth="1"/>
    <col min="3088" max="3088" width="11.42578125" style="57" customWidth="1"/>
    <col min="3089" max="3089" width="4.140625" style="57" customWidth="1"/>
    <col min="3090" max="3090" width="18.5703125" style="57" customWidth="1"/>
    <col min="3091" max="3091" width="2.140625" style="57" customWidth="1"/>
    <col min="3092" max="3092" width="10.42578125" style="57" customWidth="1"/>
    <col min="3093" max="3334" width="9.140625" style="57"/>
    <col min="3335" max="3335" width="10" style="57" customWidth="1"/>
    <col min="3336" max="3336" width="40" style="57" customWidth="1"/>
    <col min="3337" max="3337" width="12.5703125" style="57" customWidth="1"/>
    <col min="3338" max="3339" width="10.42578125" style="57" customWidth="1"/>
    <col min="3340" max="3340" width="11.5703125" style="57" customWidth="1"/>
    <col min="3341" max="3342" width="10.42578125" style="57" customWidth="1"/>
    <col min="3343" max="3343" width="6.5703125" style="57" customWidth="1"/>
    <col min="3344" max="3344" width="11.42578125" style="57" customWidth="1"/>
    <col min="3345" max="3345" width="4.140625" style="57" customWidth="1"/>
    <col min="3346" max="3346" width="18.5703125" style="57" customWidth="1"/>
    <col min="3347" max="3347" width="2.140625" style="57" customWidth="1"/>
    <col min="3348" max="3348" width="10.42578125" style="57" customWidth="1"/>
    <col min="3349" max="3590" width="9.140625" style="57"/>
    <col min="3591" max="3591" width="10" style="57" customWidth="1"/>
    <col min="3592" max="3592" width="40" style="57" customWidth="1"/>
    <col min="3593" max="3593" width="12.5703125" style="57" customWidth="1"/>
    <col min="3594" max="3595" width="10.42578125" style="57" customWidth="1"/>
    <col min="3596" max="3596" width="11.5703125" style="57" customWidth="1"/>
    <col min="3597" max="3598" width="10.42578125" style="57" customWidth="1"/>
    <col min="3599" max="3599" width="6.5703125" style="57" customWidth="1"/>
    <col min="3600" max="3600" width="11.42578125" style="57" customWidth="1"/>
    <col min="3601" max="3601" width="4.140625" style="57" customWidth="1"/>
    <col min="3602" max="3602" width="18.5703125" style="57" customWidth="1"/>
    <col min="3603" max="3603" width="2.140625" style="57" customWidth="1"/>
    <col min="3604" max="3604" width="10.42578125" style="57" customWidth="1"/>
    <col min="3605" max="3846" width="9.140625" style="57"/>
    <col min="3847" max="3847" width="10" style="57" customWidth="1"/>
    <col min="3848" max="3848" width="40" style="57" customWidth="1"/>
    <col min="3849" max="3849" width="12.5703125" style="57" customWidth="1"/>
    <col min="3850" max="3851" width="10.42578125" style="57" customWidth="1"/>
    <col min="3852" max="3852" width="11.5703125" style="57" customWidth="1"/>
    <col min="3853" max="3854" width="10.42578125" style="57" customWidth="1"/>
    <col min="3855" max="3855" width="6.5703125" style="57" customWidth="1"/>
    <col min="3856" max="3856" width="11.42578125" style="57" customWidth="1"/>
    <col min="3857" max="3857" width="4.140625" style="57" customWidth="1"/>
    <col min="3858" max="3858" width="18.5703125" style="57" customWidth="1"/>
    <col min="3859" max="3859" width="2.140625" style="57" customWidth="1"/>
    <col min="3860" max="3860" width="10.42578125" style="57" customWidth="1"/>
    <col min="3861" max="4102" width="9.140625" style="57"/>
    <col min="4103" max="4103" width="10" style="57" customWidth="1"/>
    <col min="4104" max="4104" width="40" style="57" customWidth="1"/>
    <col min="4105" max="4105" width="12.5703125" style="57" customWidth="1"/>
    <col min="4106" max="4107" width="10.42578125" style="57" customWidth="1"/>
    <col min="4108" max="4108" width="11.5703125" style="57" customWidth="1"/>
    <col min="4109" max="4110" width="10.42578125" style="57" customWidth="1"/>
    <col min="4111" max="4111" width="6.5703125" style="57" customWidth="1"/>
    <col min="4112" max="4112" width="11.42578125" style="57" customWidth="1"/>
    <col min="4113" max="4113" width="4.140625" style="57" customWidth="1"/>
    <col min="4114" max="4114" width="18.5703125" style="57" customWidth="1"/>
    <col min="4115" max="4115" width="2.140625" style="57" customWidth="1"/>
    <col min="4116" max="4116" width="10.42578125" style="57" customWidth="1"/>
    <col min="4117" max="4358" width="9.140625" style="57"/>
    <col min="4359" max="4359" width="10" style="57" customWidth="1"/>
    <col min="4360" max="4360" width="40" style="57" customWidth="1"/>
    <col min="4361" max="4361" width="12.5703125" style="57" customWidth="1"/>
    <col min="4362" max="4363" width="10.42578125" style="57" customWidth="1"/>
    <col min="4364" max="4364" width="11.5703125" style="57" customWidth="1"/>
    <col min="4365" max="4366" width="10.42578125" style="57" customWidth="1"/>
    <col min="4367" max="4367" width="6.5703125" style="57" customWidth="1"/>
    <col min="4368" max="4368" width="11.42578125" style="57" customWidth="1"/>
    <col min="4369" max="4369" width="4.140625" style="57" customWidth="1"/>
    <col min="4370" max="4370" width="18.5703125" style="57" customWidth="1"/>
    <col min="4371" max="4371" width="2.140625" style="57" customWidth="1"/>
    <col min="4372" max="4372" width="10.42578125" style="57" customWidth="1"/>
    <col min="4373" max="4614" width="9.140625" style="57"/>
    <col min="4615" max="4615" width="10" style="57" customWidth="1"/>
    <col min="4616" max="4616" width="40" style="57" customWidth="1"/>
    <col min="4617" max="4617" width="12.5703125" style="57" customWidth="1"/>
    <col min="4618" max="4619" width="10.42578125" style="57" customWidth="1"/>
    <col min="4620" max="4620" width="11.5703125" style="57" customWidth="1"/>
    <col min="4621" max="4622" width="10.42578125" style="57" customWidth="1"/>
    <col min="4623" max="4623" width="6.5703125" style="57" customWidth="1"/>
    <col min="4624" max="4624" width="11.42578125" style="57" customWidth="1"/>
    <col min="4625" max="4625" width="4.140625" style="57" customWidth="1"/>
    <col min="4626" max="4626" width="18.5703125" style="57" customWidth="1"/>
    <col min="4627" max="4627" width="2.140625" style="57" customWidth="1"/>
    <col min="4628" max="4628" width="10.42578125" style="57" customWidth="1"/>
    <col min="4629" max="4870" width="9.140625" style="57"/>
    <col min="4871" max="4871" width="10" style="57" customWidth="1"/>
    <col min="4872" max="4872" width="40" style="57" customWidth="1"/>
    <col min="4873" max="4873" width="12.5703125" style="57" customWidth="1"/>
    <col min="4874" max="4875" width="10.42578125" style="57" customWidth="1"/>
    <col min="4876" max="4876" width="11.5703125" style="57" customWidth="1"/>
    <col min="4877" max="4878" width="10.42578125" style="57" customWidth="1"/>
    <col min="4879" max="4879" width="6.5703125" style="57" customWidth="1"/>
    <col min="4880" max="4880" width="11.42578125" style="57" customWidth="1"/>
    <col min="4881" max="4881" width="4.140625" style="57" customWidth="1"/>
    <col min="4882" max="4882" width="18.5703125" style="57" customWidth="1"/>
    <col min="4883" max="4883" width="2.140625" style="57" customWidth="1"/>
    <col min="4884" max="4884" width="10.42578125" style="57" customWidth="1"/>
    <col min="4885" max="5126" width="9.140625" style="57"/>
    <col min="5127" max="5127" width="10" style="57" customWidth="1"/>
    <col min="5128" max="5128" width="40" style="57" customWidth="1"/>
    <col min="5129" max="5129" width="12.5703125" style="57" customWidth="1"/>
    <col min="5130" max="5131" width="10.42578125" style="57" customWidth="1"/>
    <col min="5132" max="5132" width="11.5703125" style="57" customWidth="1"/>
    <col min="5133" max="5134" width="10.42578125" style="57" customWidth="1"/>
    <col min="5135" max="5135" width="6.5703125" style="57" customWidth="1"/>
    <col min="5136" max="5136" width="11.42578125" style="57" customWidth="1"/>
    <col min="5137" max="5137" width="4.140625" style="57" customWidth="1"/>
    <col min="5138" max="5138" width="18.5703125" style="57" customWidth="1"/>
    <col min="5139" max="5139" width="2.140625" style="57" customWidth="1"/>
    <col min="5140" max="5140" width="10.42578125" style="57" customWidth="1"/>
    <col min="5141" max="5382" width="9.140625" style="57"/>
    <col min="5383" max="5383" width="10" style="57" customWidth="1"/>
    <col min="5384" max="5384" width="40" style="57" customWidth="1"/>
    <col min="5385" max="5385" width="12.5703125" style="57" customWidth="1"/>
    <col min="5386" max="5387" width="10.42578125" style="57" customWidth="1"/>
    <col min="5388" max="5388" width="11.5703125" style="57" customWidth="1"/>
    <col min="5389" max="5390" width="10.42578125" style="57" customWidth="1"/>
    <col min="5391" max="5391" width="6.5703125" style="57" customWidth="1"/>
    <col min="5392" max="5392" width="11.42578125" style="57" customWidth="1"/>
    <col min="5393" max="5393" width="4.140625" style="57" customWidth="1"/>
    <col min="5394" max="5394" width="18.5703125" style="57" customWidth="1"/>
    <col min="5395" max="5395" width="2.140625" style="57" customWidth="1"/>
    <col min="5396" max="5396" width="10.42578125" style="57" customWidth="1"/>
    <col min="5397" max="5638" width="9.140625" style="57"/>
    <col min="5639" max="5639" width="10" style="57" customWidth="1"/>
    <col min="5640" max="5640" width="40" style="57" customWidth="1"/>
    <col min="5641" max="5641" width="12.5703125" style="57" customWidth="1"/>
    <col min="5642" max="5643" width="10.42578125" style="57" customWidth="1"/>
    <col min="5644" max="5644" width="11.5703125" style="57" customWidth="1"/>
    <col min="5645" max="5646" width="10.42578125" style="57" customWidth="1"/>
    <col min="5647" max="5647" width="6.5703125" style="57" customWidth="1"/>
    <col min="5648" max="5648" width="11.42578125" style="57" customWidth="1"/>
    <col min="5649" max="5649" width="4.140625" style="57" customWidth="1"/>
    <col min="5650" max="5650" width="18.5703125" style="57" customWidth="1"/>
    <col min="5651" max="5651" width="2.140625" style="57" customWidth="1"/>
    <col min="5652" max="5652" width="10.42578125" style="57" customWidth="1"/>
    <col min="5653" max="5894" width="9.140625" style="57"/>
    <col min="5895" max="5895" width="10" style="57" customWidth="1"/>
    <col min="5896" max="5896" width="40" style="57" customWidth="1"/>
    <col min="5897" max="5897" width="12.5703125" style="57" customWidth="1"/>
    <col min="5898" max="5899" width="10.42578125" style="57" customWidth="1"/>
    <col min="5900" max="5900" width="11.5703125" style="57" customWidth="1"/>
    <col min="5901" max="5902" width="10.42578125" style="57" customWidth="1"/>
    <col min="5903" max="5903" width="6.5703125" style="57" customWidth="1"/>
    <col min="5904" max="5904" width="11.42578125" style="57" customWidth="1"/>
    <col min="5905" max="5905" width="4.140625" style="57" customWidth="1"/>
    <col min="5906" max="5906" width="18.5703125" style="57" customWidth="1"/>
    <col min="5907" max="5907" width="2.140625" style="57" customWidth="1"/>
    <col min="5908" max="5908" width="10.42578125" style="57" customWidth="1"/>
    <col min="5909" max="6150" width="9.140625" style="57"/>
    <col min="6151" max="6151" width="10" style="57" customWidth="1"/>
    <col min="6152" max="6152" width="40" style="57" customWidth="1"/>
    <col min="6153" max="6153" width="12.5703125" style="57" customWidth="1"/>
    <col min="6154" max="6155" width="10.42578125" style="57" customWidth="1"/>
    <col min="6156" max="6156" width="11.5703125" style="57" customWidth="1"/>
    <col min="6157" max="6158" width="10.42578125" style="57" customWidth="1"/>
    <col min="6159" max="6159" width="6.5703125" style="57" customWidth="1"/>
    <col min="6160" max="6160" width="11.42578125" style="57" customWidth="1"/>
    <col min="6161" max="6161" width="4.140625" style="57" customWidth="1"/>
    <col min="6162" max="6162" width="18.5703125" style="57" customWidth="1"/>
    <col min="6163" max="6163" width="2.140625" style="57" customWidth="1"/>
    <col min="6164" max="6164" width="10.42578125" style="57" customWidth="1"/>
    <col min="6165" max="6406" width="9.140625" style="57"/>
    <col min="6407" max="6407" width="10" style="57" customWidth="1"/>
    <col min="6408" max="6408" width="40" style="57" customWidth="1"/>
    <col min="6409" max="6409" width="12.5703125" style="57" customWidth="1"/>
    <col min="6410" max="6411" width="10.42578125" style="57" customWidth="1"/>
    <col min="6412" max="6412" width="11.5703125" style="57" customWidth="1"/>
    <col min="6413" max="6414" width="10.42578125" style="57" customWidth="1"/>
    <col min="6415" max="6415" width="6.5703125" style="57" customWidth="1"/>
    <col min="6416" max="6416" width="11.42578125" style="57" customWidth="1"/>
    <col min="6417" max="6417" width="4.140625" style="57" customWidth="1"/>
    <col min="6418" max="6418" width="18.5703125" style="57" customWidth="1"/>
    <col min="6419" max="6419" width="2.140625" style="57" customWidth="1"/>
    <col min="6420" max="6420" width="10.42578125" style="57" customWidth="1"/>
    <col min="6421" max="6662" width="9.140625" style="57"/>
    <col min="6663" max="6663" width="10" style="57" customWidth="1"/>
    <col min="6664" max="6664" width="40" style="57" customWidth="1"/>
    <col min="6665" max="6665" width="12.5703125" style="57" customWidth="1"/>
    <col min="6666" max="6667" width="10.42578125" style="57" customWidth="1"/>
    <col min="6668" max="6668" width="11.5703125" style="57" customWidth="1"/>
    <col min="6669" max="6670" width="10.42578125" style="57" customWidth="1"/>
    <col min="6671" max="6671" width="6.5703125" style="57" customWidth="1"/>
    <col min="6672" max="6672" width="11.42578125" style="57" customWidth="1"/>
    <col min="6673" max="6673" width="4.140625" style="57" customWidth="1"/>
    <col min="6674" max="6674" width="18.5703125" style="57" customWidth="1"/>
    <col min="6675" max="6675" width="2.140625" style="57" customWidth="1"/>
    <col min="6676" max="6676" width="10.42578125" style="57" customWidth="1"/>
    <col min="6677" max="6918" width="9.140625" style="57"/>
    <col min="6919" max="6919" width="10" style="57" customWidth="1"/>
    <col min="6920" max="6920" width="40" style="57" customWidth="1"/>
    <col min="6921" max="6921" width="12.5703125" style="57" customWidth="1"/>
    <col min="6922" max="6923" width="10.42578125" style="57" customWidth="1"/>
    <col min="6924" max="6924" width="11.5703125" style="57" customWidth="1"/>
    <col min="6925" max="6926" width="10.42578125" style="57" customWidth="1"/>
    <col min="6927" max="6927" width="6.5703125" style="57" customWidth="1"/>
    <col min="6928" max="6928" width="11.42578125" style="57" customWidth="1"/>
    <col min="6929" max="6929" width="4.140625" style="57" customWidth="1"/>
    <col min="6930" max="6930" width="18.5703125" style="57" customWidth="1"/>
    <col min="6931" max="6931" width="2.140625" style="57" customWidth="1"/>
    <col min="6932" max="6932" width="10.42578125" style="57" customWidth="1"/>
    <col min="6933" max="7174" width="9.140625" style="57"/>
    <col min="7175" max="7175" width="10" style="57" customWidth="1"/>
    <col min="7176" max="7176" width="40" style="57" customWidth="1"/>
    <col min="7177" max="7177" width="12.5703125" style="57" customWidth="1"/>
    <col min="7178" max="7179" width="10.42578125" style="57" customWidth="1"/>
    <col min="7180" max="7180" width="11.5703125" style="57" customWidth="1"/>
    <col min="7181" max="7182" width="10.42578125" style="57" customWidth="1"/>
    <col min="7183" max="7183" width="6.5703125" style="57" customWidth="1"/>
    <col min="7184" max="7184" width="11.42578125" style="57" customWidth="1"/>
    <col min="7185" max="7185" width="4.140625" style="57" customWidth="1"/>
    <col min="7186" max="7186" width="18.5703125" style="57" customWidth="1"/>
    <col min="7187" max="7187" width="2.140625" style="57" customWidth="1"/>
    <col min="7188" max="7188" width="10.42578125" style="57" customWidth="1"/>
    <col min="7189" max="7430" width="9.140625" style="57"/>
    <col min="7431" max="7431" width="10" style="57" customWidth="1"/>
    <col min="7432" max="7432" width="40" style="57" customWidth="1"/>
    <col min="7433" max="7433" width="12.5703125" style="57" customWidth="1"/>
    <col min="7434" max="7435" width="10.42578125" style="57" customWidth="1"/>
    <col min="7436" max="7436" width="11.5703125" style="57" customWidth="1"/>
    <col min="7437" max="7438" width="10.42578125" style="57" customWidth="1"/>
    <col min="7439" max="7439" width="6.5703125" style="57" customWidth="1"/>
    <col min="7440" max="7440" width="11.42578125" style="57" customWidth="1"/>
    <col min="7441" max="7441" width="4.140625" style="57" customWidth="1"/>
    <col min="7442" max="7442" width="18.5703125" style="57" customWidth="1"/>
    <col min="7443" max="7443" width="2.140625" style="57" customWidth="1"/>
    <col min="7444" max="7444" width="10.42578125" style="57" customWidth="1"/>
    <col min="7445" max="7686" width="9.140625" style="57"/>
    <col min="7687" max="7687" width="10" style="57" customWidth="1"/>
    <col min="7688" max="7688" width="40" style="57" customWidth="1"/>
    <col min="7689" max="7689" width="12.5703125" style="57" customWidth="1"/>
    <col min="7690" max="7691" width="10.42578125" style="57" customWidth="1"/>
    <col min="7692" max="7692" width="11.5703125" style="57" customWidth="1"/>
    <col min="7693" max="7694" width="10.42578125" style="57" customWidth="1"/>
    <col min="7695" max="7695" width="6.5703125" style="57" customWidth="1"/>
    <col min="7696" max="7696" width="11.42578125" style="57" customWidth="1"/>
    <col min="7697" max="7697" width="4.140625" style="57" customWidth="1"/>
    <col min="7698" max="7698" width="18.5703125" style="57" customWidth="1"/>
    <col min="7699" max="7699" width="2.140625" style="57" customWidth="1"/>
    <col min="7700" max="7700" width="10.42578125" style="57" customWidth="1"/>
    <col min="7701" max="7942" width="9.140625" style="57"/>
    <col min="7943" max="7943" width="10" style="57" customWidth="1"/>
    <col min="7944" max="7944" width="40" style="57" customWidth="1"/>
    <col min="7945" max="7945" width="12.5703125" style="57" customWidth="1"/>
    <col min="7946" max="7947" width="10.42578125" style="57" customWidth="1"/>
    <col min="7948" max="7948" width="11.5703125" style="57" customWidth="1"/>
    <col min="7949" max="7950" width="10.42578125" style="57" customWidth="1"/>
    <col min="7951" max="7951" width="6.5703125" style="57" customWidth="1"/>
    <col min="7952" max="7952" width="11.42578125" style="57" customWidth="1"/>
    <col min="7953" max="7953" width="4.140625" style="57" customWidth="1"/>
    <col min="7954" max="7954" width="18.5703125" style="57" customWidth="1"/>
    <col min="7955" max="7955" width="2.140625" style="57" customWidth="1"/>
    <col min="7956" max="7956" width="10.42578125" style="57" customWidth="1"/>
    <col min="7957" max="8198" width="9.140625" style="57"/>
    <col min="8199" max="8199" width="10" style="57" customWidth="1"/>
    <col min="8200" max="8200" width="40" style="57" customWidth="1"/>
    <col min="8201" max="8201" width="12.5703125" style="57" customWidth="1"/>
    <col min="8202" max="8203" width="10.42578125" style="57" customWidth="1"/>
    <col min="8204" max="8204" width="11.5703125" style="57" customWidth="1"/>
    <col min="8205" max="8206" width="10.42578125" style="57" customWidth="1"/>
    <col min="8207" max="8207" width="6.5703125" style="57" customWidth="1"/>
    <col min="8208" max="8208" width="11.42578125" style="57" customWidth="1"/>
    <col min="8209" max="8209" width="4.140625" style="57" customWidth="1"/>
    <col min="8210" max="8210" width="18.5703125" style="57" customWidth="1"/>
    <col min="8211" max="8211" width="2.140625" style="57" customWidth="1"/>
    <col min="8212" max="8212" width="10.42578125" style="57" customWidth="1"/>
    <col min="8213" max="8454" width="9.140625" style="57"/>
    <col min="8455" max="8455" width="10" style="57" customWidth="1"/>
    <col min="8456" max="8456" width="40" style="57" customWidth="1"/>
    <col min="8457" max="8457" width="12.5703125" style="57" customWidth="1"/>
    <col min="8458" max="8459" width="10.42578125" style="57" customWidth="1"/>
    <col min="8460" max="8460" width="11.5703125" style="57" customWidth="1"/>
    <col min="8461" max="8462" width="10.42578125" style="57" customWidth="1"/>
    <col min="8463" max="8463" width="6.5703125" style="57" customWidth="1"/>
    <col min="8464" max="8464" width="11.42578125" style="57" customWidth="1"/>
    <col min="8465" max="8465" width="4.140625" style="57" customWidth="1"/>
    <col min="8466" max="8466" width="18.5703125" style="57" customWidth="1"/>
    <col min="8467" max="8467" width="2.140625" style="57" customWidth="1"/>
    <col min="8468" max="8468" width="10.42578125" style="57" customWidth="1"/>
    <col min="8469" max="8710" width="9.140625" style="57"/>
    <col min="8711" max="8711" width="10" style="57" customWidth="1"/>
    <col min="8712" max="8712" width="40" style="57" customWidth="1"/>
    <col min="8713" max="8713" width="12.5703125" style="57" customWidth="1"/>
    <col min="8714" max="8715" width="10.42578125" style="57" customWidth="1"/>
    <col min="8716" max="8716" width="11.5703125" style="57" customWidth="1"/>
    <col min="8717" max="8718" width="10.42578125" style="57" customWidth="1"/>
    <col min="8719" max="8719" width="6.5703125" style="57" customWidth="1"/>
    <col min="8720" max="8720" width="11.42578125" style="57" customWidth="1"/>
    <col min="8721" max="8721" width="4.140625" style="57" customWidth="1"/>
    <col min="8722" max="8722" width="18.5703125" style="57" customWidth="1"/>
    <col min="8723" max="8723" width="2.140625" style="57" customWidth="1"/>
    <col min="8724" max="8724" width="10.42578125" style="57" customWidth="1"/>
    <col min="8725" max="8966" width="9.140625" style="57"/>
    <col min="8967" max="8967" width="10" style="57" customWidth="1"/>
    <col min="8968" max="8968" width="40" style="57" customWidth="1"/>
    <col min="8969" max="8969" width="12.5703125" style="57" customWidth="1"/>
    <col min="8970" max="8971" width="10.42578125" style="57" customWidth="1"/>
    <col min="8972" max="8972" width="11.5703125" style="57" customWidth="1"/>
    <col min="8973" max="8974" width="10.42578125" style="57" customWidth="1"/>
    <col min="8975" max="8975" width="6.5703125" style="57" customWidth="1"/>
    <col min="8976" max="8976" width="11.42578125" style="57" customWidth="1"/>
    <col min="8977" max="8977" width="4.140625" style="57" customWidth="1"/>
    <col min="8978" max="8978" width="18.5703125" style="57" customWidth="1"/>
    <col min="8979" max="8979" width="2.140625" style="57" customWidth="1"/>
    <col min="8980" max="8980" width="10.42578125" style="57" customWidth="1"/>
    <col min="8981" max="9222" width="9.140625" style="57"/>
    <col min="9223" max="9223" width="10" style="57" customWidth="1"/>
    <col min="9224" max="9224" width="40" style="57" customWidth="1"/>
    <col min="9225" max="9225" width="12.5703125" style="57" customWidth="1"/>
    <col min="9226" max="9227" width="10.42578125" style="57" customWidth="1"/>
    <col min="9228" max="9228" width="11.5703125" style="57" customWidth="1"/>
    <col min="9229" max="9230" width="10.42578125" style="57" customWidth="1"/>
    <col min="9231" max="9231" width="6.5703125" style="57" customWidth="1"/>
    <col min="9232" max="9232" width="11.42578125" style="57" customWidth="1"/>
    <col min="9233" max="9233" width="4.140625" style="57" customWidth="1"/>
    <col min="9234" max="9234" width="18.5703125" style="57" customWidth="1"/>
    <col min="9235" max="9235" width="2.140625" style="57" customWidth="1"/>
    <col min="9236" max="9236" width="10.42578125" style="57" customWidth="1"/>
    <col min="9237" max="9478" width="9.140625" style="57"/>
    <col min="9479" max="9479" width="10" style="57" customWidth="1"/>
    <col min="9480" max="9480" width="40" style="57" customWidth="1"/>
    <col min="9481" max="9481" width="12.5703125" style="57" customWidth="1"/>
    <col min="9482" max="9483" width="10.42578125" style="57" customWidth="1"/>
    <col min="9484" max="9484" width="11.5703125" style="57" customWidth="1"/>
    <col min="9485" max="9486" width="10.42578125" style="57" customWidth="1"/>
    <col min="9487" max="9487" width="6.5703125" style="57" customWidth="1"/>
    <col min="9488" max="9488" width="11.42578125" style="57" customWidth="1"/>
    <col min="9489" max="9489" width="4.140625" style="57" customWidth="1"/>
    <col min="9490" max="9490" width="18.5703125" style="57" customWidth="1"/>
    <col min="9491" max="9491" width="2.140625" style="57" customWidth="1"/>
    <col min="9492" max="9492" width="10.42578125" style="57" customWidth="1"/>
    <col min="9493" max="9734" width="9.140625" style="57"/>
    <col min="9735" max="9735" width="10" style="57" customWidth="1"/>
    <col min="9736" max="9736" width="40" style="57" customWidth="1"/>
    <col min="9737" max="9737" width="12.5703125" style="57" customWidth="1"/>
    <col min="9738" max="9739" width="10.42578125" style="57" customWidth="1"/>
    <col min="9740" max="9740" width="11.5703125" style="57" customWidth="1"/>
    <col min="9741" max="9742" width="10.42578125" style="57" customWidth="1"/>
    <col min="9743" max="9743" width="6.5703125" style="57" customWidth="1"/>
    <col min="9744" max="9744" width="11.42578125" style="57" customWidth="1"/>
    <col min="9745" max="9745" width="4.140625" style="57" customWidth="1"/>
    <col min="9746" max="9746" width="18.5703125" style="57" customWidth="1"/>
    <col min="9747" max="9747" width="2.140625" style="57" customWidth="1"/>
    <col min="9748" max="9748" width="10.42578125" style="57" customWidth="1"/>
    <col min="9749" max="9990" width="9.140625" style="57"/>
    <col min="9991" max="9991" width="10" style="57" customWidth="1"/>
    <col min="9992" max="9992" width="40" style="57" customWidth="1"/>
    <col min="9993" max="9993" width="12.5703125" style="57" customWidth="1"/>
    <col min="9994" max="9995" width="10.42578125" style="57" customWidth="1"/>
    <col min="9996" max="9996" width="11.5703125" style="57" customWidth="1"/>
    <col min="9997" max="9998" width="10.42578125" style="57" customWidth="1"/>
    <col min="9999" max="9999" width="6.5703125" style="57" customWidth="1"/>
    <col min="10000" max="10000" width="11.42578125" style="57" customWidth="1"/>
    <col min="10001" max="10001" width="4.140625" style="57" customWidth="1"/>
    <col min="10002" max="10002" width="18.5703125" style="57" customWidth="1"/>
    <col min="10003" max="10003" width="2.140625" style="57" customWidth="1"/>
    <col min="10004" max="10004" width="10.42578125" style="57" customWidth="1"/>
    <col min="10005" max="10246" width="9.140625" style="57"/>
    <col min="10247" max="10247" width="10" style="57" customWidth="1"/>
    <col min="10248" max="10248" width="40" style="57" customWidth="1"/>
    <col min="10249" max="10249" width="12.5703125" style="57" customWidth="1"/>
    <col min="10250" max="10251" width="10.42578125" style="57" customWidth="1"/>
    <col min="10252" max="10252" width="11.5703125" style="57" customWidth="1"/>
    <col min="10253" max="10254" width="10.42578125" style="57" customWidth="1"/>
    <col min="10255" max="10255" width="6.5703125" style="57" customWidth="1"/>
    <col min="10256" max="10256" width="11.42578125" style="57" customWidth="1"/>
    <col min="10257" max="10257" width="4.140625" style="57" customWidth="1"/>
    <col min="10258" max="10258" width="18.5703125" style="57" customWidth="1"/>
    <col min="10259" max="10259" width="2.140625" style="57" customWidth="1"/>
    <col min="10260" max="10260" width="10.42578125" style="57" customWidth="1"/>
    <col min="10261" max="10502" width="9.140625" style="57"/>
    <col min="10503" max="10503" width="10" style="57" customWidth="1"/>
    <col min="10504" max="10504" width="40" style="57" customWidth="1"/>
    <col min="10505" max="10505" width="12.5703125" style="57" customWidth="1"/>
    <col min="10506" max="10507" width="10.42578125" style="57" customWidth="1"/>
    <col min="10508" max="10508" width="11.5703125" style="57" customWidth="1"/>
    <col min="10509" max="10510" width="10.42578125" style="57" customWidth="1"/>
    <col min="10511" max="10511" width="6.5703125" style="57" customWidth="1"/>
    <col min="10512" max="10512" width="11.42578125" style="57" customWidth="1"/>
    <col min="10513" max="10513" width="4.140625" style="57" customWidth="1"/>
    <col min="10514" max="10514" width="18.5703125" style="57" customWidth="1"/>
    <col min="10515" max="10515" width="2.140625" style="57" customWidth="1"/>
    <col min="10516" max="10516" width="10.42578125" style="57" customWidth="1"/>
    <col min="10517" max="10758" width="9.140625" style="57"/>
    <col min="10759" max="10759" width="10" style="57" customWidth="1"/>
    <col min="10760" max="10760" width="40" style="57" customWidth="1"/>
    <col min="10761" max="10761" width="12.5703125" style="57" customWidth="1"/>
    <col min="10762" max="10763" width="10.42578125" style="57" customWidth="1"/>
    <col min="10764" max="10764" width="11.5703125" style="57" customWidth="1"/>
    <col min="10765" max="10766" width="10.42578125" style="57" customWidth="1"/>
    <col min="10767" max="10767" width="6.5703125" style="57" customWidth="1"/>
    <col min="10768" max="10768" width="11.42578125" style="57" customWidth="1"/>
    <col min="10769" max="10769" width="4.140625" style="57" customWidth="1"/>
    <col min="10770" max="10770" width="18.5703125" style="57" customWidth="1"/>
    <col min="10771" max="10771" width="2.140625" style="57" customWidth="1"/>
    <col min="10772" max="10772" width="10.42578125" style="57" customWidth="1"/>
    <col min="10773" max="11014" width="9.140625" style="57"/>
    <col min="11015" max="11015" width="10" style="57" customWidth="1"/>
    <col min="11016" max="11016" width="40" style="57" customWidth="1"/>
    <col min="11017" max="11017" width="12.5703125" style="57" customWidth="1"/>
    <col min="11018" max="11019" width="10.42578125" style="57" customWidth="1"/>
    <col min="11020" max="11020" width="11.5703125" style="57" customWidth="1"/>
    <col min="11021" max="11022" width="10.42578125" style="57" customWidth="1"/>
    <col min="11023" max="11023" width="6.5703125" style="57" customWidth="1"/>
    <col min="11024" max="11024" width="11.42578125" style="57" customWidth="1"/>
    <col min="11025" max="11025" width="4.140625" style="57" customWidth="1"/>
    <col min="11026" max="11026" width="18.5703125" style="57" customWidth="1"/>
    <col min="11027" max="11027" width="2.140625" style="57" customWidth="1"/>
    <col min="11028" max="11028" width="10.42578125" style="57" customWidth="1"/>
    <col min="11029" max="11270" width="9.140625" style="57"/>
    <col min="11271" max="11271" width="10" style="57" customWidth="1"/>
    <col min="11272" max="11272" width="40" style="57" customWidth="1"/>
    <col min="11273" max="11273" width="12.5703125" style="57" customWidth="1"/>
    <col min="11274" max="11275" width="10.42578125" style="57" customWidth="1"/>
    <col min="11276" max="11276" width="11.5703125" style="57" customWidth="1"/>
    <col min="11277" max="11278" width="10.42578125" style="57" customWidth="1"/>
    <col min="11279" max="11279" width="6.5703125" style="57" customWidth="1"/>
    <col min="11280" max="11280" width="11.42578125" style="57" customWidth="1"/>
    <col min="11281" max="11281" width="4.140625" style="57" customWidth="1"/>
    <col min="11282" max="11282" width="18.5703125" style="57" customWidth="1"/>
    <col min="11283" max="11283" width="2.140625" style="57" customWidth="1"/>
    <col min="11284" max="11284" width="10.42578125" style="57" customWidth="1"/>
    <col min="11285" max="11526" width="9.140625" style="57"/>
    <col min="11527" max="11527" width="10" style="57" customWidth="1"/>
    <col min="11528" max="11528" width="40" style="57" customWidth="1"/>
    <col min="11529" max="11529" width="12.5703125" style="57" customWidth="1"/>
    <col min="11530" max="11531" width="10.42578125" style="57" customWidth="1"/>
    <col min="11532" max="11532" width="11.5703125" style="57" customWidth="1"/>
    <col min="11533" max="11534" width="10.42578125" style="57" customWidth="1"/>
    <col min="11535" max="11535" width="6.5703125" style="57" customWidth="1"/>
    <col min="11536" max="11536" width="11.42578125" style="57" customWidth="1"/>
    <col min="11537" max="11537" width="4.140625" style="57" customWidth="1"/>
    <col min="11538" max="11538" width="18.5703125" style="57" customWidth="1"/>
    <col min="11539" max="11539" width="2.140625" style="57" customWidth="1"/>
    <col min="11540" max="11540" width="10.42578125" style="57" customWidth="1"/>
    <col min="11541" max="11782" width="9.140625" style="57"/>
    <col min="11783" max="11783" width="10" style="57" customWidth="1"/>
    <col min="11784" max="11784" width="40" style="57" customWidth="1"/>
    <col min="11785" max="11785" width="12.5703125" style="57" customWidth="1"/>
    <col min="11786" max="11787" width="10.42578125" style="57" customWidth="1"/>
    <col min="11788" max="11788" width="11.5703125" style="57" customWidth="1"/>
    <col min="11789" max="11790" width="10.42578125" style="57" customWidth="1"/>
    <col min="11791" max="11791" width="6.5703125" style="57" customWidth="1"/>
    <col min="11792" max="11792" width="11.42578125" style="57" customWidth="1"/>
    <col min="11793" max="11793" width="4.140625" style="57" customWidth="1"/>
    <col min="11794" max="11794" width="18.5703125" style="57" customWidth="1"/>
    <col min="11795" max="11795" width="2.140625" style="57" customWidth="1"/>
    <col min="11796" max="11796" width="10.42578125" style="57" customWidth="1"/>
    <col min="11797" max="12038" width="9.140625" style="57"/>
    <col min="12039" max="12039" width="10" style="57" customWidth="1"/>
    <col min="12040" max="12040" width="40" style="57" customWidth="1"/>
    <col min="12041" max="12041" width="12.5703125" style="57" customWidth="1"/>
    <col min="12042" max="12043" width="10.42578125" style="57" customWidth="1"/>
    <col min="12044" max="12044" width="11.5703125" style="57" customWidth="1"/>
    <col min="12045" max="12046" width="10.42578125" style="57" customWidth="1"/>
    <col min="12047" max="12047" width="6.5703125" style="57" customWidth="1"/>
    <col min="12048" max="12048" width="11.42578125" style="57" customWidth="1"/>
    <col min="12049" max="12049" width="4.140625" style="57" customWidth="1"/>
    <col min="12050" max="12050" width="18.5703125" style="57" customWidth="1"/>
    <col min="12051" max="12051" width="2.140625" style="57" customWidth="1"/>
    <col min="12052" max="12052" width="10.42578125" style="57" customWidth="1"/>
    <col min="12053" max="12294" width="9.140625" style="57"/>
    <col min="12295" max="12295" width="10" style="57" customWidth="1"/>
    <col min="12296" max="12296" width="40" style="57" customWidth="1"/>
    <col min="12297" max="12297" width="12.5703125" style="57" customWidth="1"/>
    <col min="12298" max="12299" width="10.42578125" style="57" customWidth="1"/>
    <col min="12300" max="12300" width="11.5703125" style="57" customWidth="1"/>
    <col min="12301" max="12302" width="10.42578125" style="57" customWidth="1"/>
    <col min="12303" max="12303" width="6.5703125" style="57" customWidth="1"/>
    <col min="12304" max="12304" width="11.42578125" style="57" customWidth="1"/>
    <col min="12305" max="12305" width="4.140625" style="57" customWidth="1"/>
    <col min="12306" max="12306" width="18.5703125" style="57" customWidth="1"/>
    <col min="12307" max="12307" width="2.140625" style="57" customWidth="1"/>
    <col min="12308" max="12308" width="10.42578125" style="57" customWidth="1"/>
    <col min="12309" max="12550" width="9.140625" style="57"/>
    <col min="12551" max="12551" width="10" style="57" customWidth="1"/>
    <col min="12552" max="12552" width="40" style="57" customWidth="1"/>
    <col min="12553" max="12553" width="12.5703125" style="57" customWidth="1"/>
    <col min="12554" max="12555" width="10.42578125" style="57" customWidth="1"/>
    <col min="12556" max="12556" width="11.5703125" style="57" customWidth="1"/>
    <col min="12557" max="12558" width="10.42578125" style="57" customWidth="1"/>
    <col min="12559" max="12559" width="6.5703125" style="57" customWidth="1"/>
    <col min="12560" max="12560" width="11.42578125" style="57" customWidth="1"/>
    <col min="12561" max="12561" width="4.140625" style="57" customWidth="1"/>
    <col min="12562" max="12562" width="18.5703125" style="57" customWidth="1"/>
    <col min="12563" max="12563" width="2.140625" style="57" customWidth="1"/>
    <col min="12564" max="12564" width="10.42578125" style="57" customWidth="1"/>
    <col min="12565" max="12806" width="9.140625" style="57"/>
    <col min="12807" max="12807" width="10" style="57" customWidth="1"/>
    <col min="12808" max="12808" width="40" style="57" customWidth="1"/>
    <col min="12809" max="12809" width="12.5703125" style="57" customWidth="1"/>
    <col min="12810" max="12811" width="10.42578125" style="57" customWidth="1"/>
    <col min="12812" max="12812" width="11.5703125" style="57" customWidth="1"/>
    <col min="12813" max="12814" width="10.42578125" style="57" customWidth="1"/>
    <col min="12815" max="12815" width="6.5703125" style="57" customWidth="1"/>
    <col min="12816" max="12816" width="11.42578125" style="57" customWidth="1"/>
    <col min="12817" max="12817" width="4.140625" style="57" customWidth="1"/>
    <col min="12818" max="12818" width="18.5703125" style="57" customWidth="1"/>
    <col min="12819" max="12819" width="2.140625" style="57" customWidth="1"/>
    <col min="12820" max="12820" width="10.42578125" style="57" customWidth="1"/>
    <col min="12821" max="13062" width="9.140625" style="57"/>
    <col min="13063" max="13063" width="10" style="57" customWidth="1"/>
    <col min="13064" max="13064" width="40" style="57" customWidth="1"/>
    <col min="13065" max="13065" width="12.5703125" style="57" customWidth="1"/>
    <col min="13066" max="13067" width="10.42578125" style="57" customWidth="1"/>
    <col min="13068" max="13068" width="11.5703125" style="57" customWidth="1"/>
    <col min="13069" max="13070" width="10.42578125" style="57" customWidth="1"/>
    <col min="13071" max="13071" width="6.5703125" style="57" customWidth="1"/>
    <col min="13072" max="13072" width="11.42578125" style="57" customWidth="1"/>
    <col min="13073" max="13073" width="4.140625" style="57" customWidth="1"/>
    <col min="13074" max="13074" width="18.5703125" style="57" customWidth="1"/>
    <col min="13075" max="13075" width="2.140625" style="57" customWidth="1"/>
    <col min="13076" max="13076" width="10.42578125" style="57" customWidth="1"/>
    <col min="13077" max="13318" width="9.140625" style="57"/>
    <col min="13319" max="13319" width="10" style="57" customWidth="1"/>
    <col min="13320" max="13320" width="40" style="57" customWidth="1"/>
    <col min="13321" max="13321" width="12.5703125" style="57" customWidth="1"/>
    <col min="13322" max="13323" width="10.42578125" style="57" customWidth="1"/>
    <col min="13324" max="13324" width="11.5703125" style="57" customWidth="1"/>
    <col min="13325" max="13326" width="10.42578125" style="57" customWidth="1"/>
    <col min="13327" max="13327" width="6.5703125" style="57" customWidth="1"/>
    <col min="13328" max="13328" width="11.42578125" style="57" customWidth="1"/>
    <col min="13329" max="13329" width="4.140625" style="57" customWidth="1"/>
    <col min="13330" max="13330" width="18.5703125" style="57" customWidth="1"/>
    <col min="13331" max="13331" width="2.140625" style="57" customWidth="1"/>
    <col min="13332" max="13332" width="10.42578125" style="57" customWidth="1"/>
    <col min="13333" max="13574" width="9.140625" style="57"/>
    <col min="13575" max="13575" width="10" style="57" customWidth="1"/>
    <col min="13576" max="13576" width="40" style="57" customWidth="1"/>
    <col min="13577" max="13577" width="12.5703125" style="57" customWidth="1"/>
    <col min="13578" max="13579" width="10.42578125" style="57" customWidth="1"/>
    <col min="13580" max="13580" width="11.5703125" style="57" customWidth="1"/>
    <col min="13581" max="13582" width="10.42578125" style="57" customWidth="1"/>
    <col min="13583" max="13583" width="6.5703125" style="57" customWidth="1"/>
    <col min="13584" max="13584" width="11.42578125" style="57" customWidth="1"/>
    <col min="13585" max="13585" width="4.140625" style="57" customWidth="1"/>
    <col min="13586" max="13586" width="18.5703125" style="57" customWidth="1"/>
    <col min="13587" max="13587" width="2.140625" style="57" customWidth="1"/>
    <col min="13588" max="13588" width="10.42578125" style="57" customWidth="1"/>
    <col min="13589" max="13830" width="9.140625" style="57"/>
    <col min="13831" max="13831" width="10" style="57" customWidth="1"/>
    <col min="13832" max="13832" width="40" style="57" customWidth="1"/>
    <col min="13833" max="13833" width="12.5703125" style="57" customWidth="1"/>
    <col min="13834" max="13835" width="10.42578125" style="57" customWidth="1"/>
    <col min="13836" max="13836" width="11.5703125" style="57" customWidth="1"/>
    <col min="13837" max="13838" width="10.42578125" style="57" customWidth="1"/>
    <col min="13839" max="13839" width="6.5703125" style="57" customWidth="1"/>
    <col min="13840" max="13840" width="11.42578125" style="57" customWidth="1"/>
    <col min="13841" max="13841" width="4.140625" style="57" customWidth="1"/>
    <col min="13842" max="13842" width="18.5703125" style="57" customWidth="1"/>
    <col min="13843" max="13843" width="2.140625" style="57" customWidth="1"/>
    <col min="13844" max="13844" width="10.42578125" style="57" customWidth="1"/>
    <col min="13845" max="14086" width="9.140625" style="57"/>
    <col min="14087" max="14087" width="10" style="57" customWidth="1"/>
    <col min="14088" max="14088" width="40" style="57" customWidth="1"/>
    <col min="14089" max="14089" width="12.5703125" style="57" customWidth="1"/>
    <col min="14090" max="14091" width="10.42578125" style="57" customWidth="1"/>
    <col min="14092" max="14092" width="11.5703125" style="57" customWidth="1"/>
    <col min="14093" max="14094" width="10.42578125" style="57" customWidth="1"/>
    <col min="14095" max="14095" width="6.5703125" style="57" customWidth="1"/>
    <col min="14096" max="14096" width="11.42578125" style="57" customWidth="1"/>
    <col min="14097" max="14097" width="4.140625" style="57" customWidth="1"/>
    <col min="14098" max="14098" width="18.5703125" style="57" customWidth="1"/>
    <col min="14099" max="14099" width="2.140625" style="57" customWidth="1"/>
    <col min="14100" max="14100" width="10.42578125" style="57" customWidth="1"/>
    <col min="14101" max="14342" width="9.140625" style="57"/>
    <col min="14343" max="14343" width="10" style="57" customWidth="1"/>
    <col min="14344" max="14344" width="40" style="57" customWidth="1"/>
    <col min="14345" max="14345" width="12.5703125" style="57" customWidth="1"/>
    <col min="14346" max="14347" width="10.42578125" style="57" customWidth="1"/>
    <col min="14348" max="14348" width="11.5703125" style="57" customWidth="1"/>
    <col min="14349" max="14350" width="10.42578125" style="57" customWidth="1"/>
    <col min="14351" max="14351" width="6.5703125" style="57" customWidth="1"/>
    <col min="14352" max="14352" width="11.42578125" style="57" customWidth="1"/>
    <col min="14353" max="14353" width="4.140625" style="57" customWidth="1"/>
    <col min="14354" max="14354" width="18.5703125" style="57" customWidth="1"/>
    <col min="14355" max="14355" width="2.140625" style="57" customWidth="1"/>
    <col min="14356" max="14356" width="10.42578125" style="57" customWidth="1"/>
    <col min="14357" max="14598" width="9.140625" style="57"/>
    <col min="14599" max="14599" width="10" style="57" customWidth="1"/>
    <col min="14600" max="14600" width="40" style="57" customWidth="1"/>
    <col min="14601" max="14601" width="12.5703125" style="57" customWidth="1"/>
    <col min="14602" max="14603" width="10.42578125" style="57" customWidth="1"/>
    <col min="14604" max="14604" width="11.5703125" style="57" customWidth="1"/>
    <col min="14605" max="14606" width="10.42578125" style="57" customWidth="1"/>
    <col min="14607" max="14607" width="6.5703125" style="57" customWidth="1"/>
    <col min="14608" max="14608" width="11.42578125" style="57" customWidth="1"/>
    <col min="14609" max="14609" width="4.140625" style="57" customWidth="1"/>
    <col min="14610" max="14610" width="18.5703125" style="57" customWidth="1"/>
    <col min="14611" max="14611" width="2.140625" style="57" customWidth="1"/>
    <col min="14612" max="14612" width="10.42578125" style="57" customWidth="1"/>
    <col min="14613" max="14854" width="9.140625" style="57"/>
    <col min="14855" max="14855" width="10" style="57" customWidth="1"/>
    <col min="14856" max="14856" width="40" style="57" customWidth="1"/>
    <col min="14857" max="14857" width="12.5703125" style="57" customWidth="1"/>
    <col min="14858" max="14859" width="10.42578125" style="57" customWidth="1"/>
    <col min="14860" max="14860" width="11.5703125" style="57" customWidth="1"/>
    <col min="14861" max="14862" width="10.42578125" style="57" customWidth="1"/>
    <col min="14863" max="14863" width="6.5703125" style="57" customWidth="1"/>
    <col min="14864" max="14864" width="11.42578125" style="57" customWidth="1"/>
    <col min="14865" max="14865" width="4.140625" style="57" customWidth="1"/>
    <col min="14866" max="14866" width="18.5703125" style="57" customWidth="1"/>
    <col min="14867" max="14867" width="2.140625" style="57" customWidth="1"/>
    <col min="14868" max="14868" width="10.42578125" style="57" customWidth="1"/>
    <col min="14869" max="15110" width="9.140625" style="57"/>
    <col min="15111" max="15111" width="10" style="57" customWidth="1"/>
    <col min="15112" max="15112" width="40" style="57" customWidth="1"/>
    <col min="15113" max="15113" width="12.5703125" style="57" customWidth="1"/>
    <col min="15114" max="15115" width="10.42578125" style="57" customWidth="1"/>
    <col min="15116" max="15116" width="11.5703125" style="57" customWidth="1"/>
    <col min="15117" max="15118" width="10.42578125" style="57" customWidth="1"/>
    <col min="15119" max="15119" width="6.5703125" style="57" customWidth="1"/>
    <col min="15120" max="15120" width="11.42578125" style="57" customWidth="1"/>
    <col min="15121" max="15121" width="4.140625" style="57" customWidth="1"/>
    <col min="15122" max="15122" width="18.5703125" style="57" customWidth="1"/>
    <col min="15123" max="15123" width="2.140625" style="57" customWidth="1"/>
    <col min="15124" max="15124" width="10.42578125" style="57" customWidth="1"/>
    <col min="15125" max="15366" width="9.140625" style="57"/>
    <col min="15367" max="15367" width="10" style="57" customWidth="1"/>
    <col min="15368" max="15368" width="40" style="57" customWidth="1"/>
    <col min="15369" max="15369" width="12.5703125" style="57" customWidth="1"/>
    <col min="15370" max="15371" width="10.42578125" style="57" customWidth="1"/>
    <col min="15372" max="15372" width="11.5703125" style="57" customWidth="1"/>
    <col min="15373" max="15374" width="10.42578125" style="57" customWidth="1"/>
    <col min="15375" max="15375" width="6.5703125" style="57" customWidth="1"/>
    <col min="15376" max="15376" width="11.42578125" style="57" customWidth="1"/>
    <col min="15377" max="15377" width="4.140625" style="57" customWidth="1"/>
    <col min="15378" max="15378" width="18.5703125" style="57" customWidth="1"/>
    <col min="15379" max="15379" width="2.140625" style="57" customWidth="1"/>
    <col min="15380" max="15380" width="10.42578125" style="57" customWidth="1"/>
    <col min="15381" max="15622" width="9.140625" style="57"/>
    <col min="15623" max="15623" width="10" style="57" customWidth="1"/>
    <col min="15624" max="15624" width="40" style="57" customWidth="1"/>
    <col min="15625" max="15625" width="12.5703125" style="57" customWidth="1"/>
    <col min="15626" max="15627" width="10.42578125" style="57" customWidth="1"/>
    <col min="15628" max="15628" width="11.5703125" style="57" customWidth="1"/>
    <col min="15629" max="15630" width="10.42578125" style="57" customWidth="1"/>
    <col min="15631" max="15631" width="6.5703125" style="57" customWidth="1"/>
    <col min="15632" max="15632" width="11.42578125" style="57" customWidth="1"/>
    <col min="15633" max="15633" width="4.140625" style="57" customWidth="1"/>
    <col min="15634" max="15634" width="18.5703125" style="57" customWidth="1"/>
    <col min="15635" max="15635" width="2.140625" style="57" customWidth="1"/>
    <col min="15636" max="15636" width="10.42578125" style="57" customWidth="1"/>
    <col min="15637" max="15878" width="9.140625" style="57"/>
    <col min="15879" max="15879" width="10" style="57" customWidth="1"/>
    <col min="15880" max="15880" width="40" style="57" customWidth="1"/>
    <col min="15881" max="15881" width="12.5703125" style="57" customWidth="1"/>
    <col min="15882" max="15883" width="10.42578125" style="57" customWidth="1"/>
    <col min="15884" max="15884" width="11.5703125" style="57" customWidth="1"/>
    <col min="15885" max="15886" width="10.42578125" style="57" customWidth="1"/>
    <col min="15887" max="15887" width="6.5703125" style="57" customWidth="1"/>
    <col min="15888" max="15888" width="11.42578125" style="57" customWidth="1"/>
    <col min="15889" max="15889" width="4.140625" style="57" customWidth="1"/>
    <col min="15890" max="15890" width="18.5703125" style="57" customWidth="1"/>
    <col min="15891" max="15891" width="2.140625" style="57" customWidth="1"/>
    <col min="15892" max="15892" width="10.42578125" style="57" customWidth="1"/>
    <col min="15893" max="16134" width="9.140625" style="57"/>
    <col min="16135" max="16135" width="10" style="57" customWidth="1"/>
    <col min="16136" max="16136" width="40" style="57" customWidth="1"/>
    <col min="16137" max="16137" width="12.5703125" style="57" customWidth="1"/>
    <col min="16138" max="16139" width="10.42578125" style="57" customWidth="1"/>
    <col min="16140" max="16140" width="11.5703125" style="57" customWidth="1"/>
    <col min="16141" max="16142" width="10.42578125" style="57" customWidth="1"/>
    <col min="16143" max="16143" width="6.5703125" style="57" customWidth="1"/>
    <col min="16144" max="16144" width="11.42578125" style="57" customWidth="1"/>
    <col min="16145" max="16145" width="4.140625" style="57" customWidth="1"/>
    <col min="16146" max="16146" width="18.5703125" style="57" customWidth="1"/>
    <col min="16147" max="16147" width="2.140625" style="57" customWidth="1"/>
    <col min="16148" max="16148" width="10.42578125" style="57" customWidth="1"/>
    <col min="16149" max="16384" width="9.140625" style="57"/>
  </cols>
  <sheetData>
    <row r="1" spans="2:21" ht="13.5" customHeight="1" x14ac:dyDescent="0.25">
      <c r="H1" s="782" t="s">
        <v>38</v>
      </c>
      <c r="I1" s="782"/>
      <c r="J1" s="782"/>
      <c r="K1" s="782"/>
      <c r="L1" s="782"/>
      <c r="M1" s="782" t="s">
        <v>39</v>
      </c>
      <c r="N1" s="782"/>
      <c r="O1" s="782" t="s">
        <v>40</v>
      </c>
      <c r="P1" s="782"/>
      <c r="Q1" s="782"/>
    </row>
    <row r="2" spans="2:21" s="59" customFormat="1" ht="15" customHeight="1" x14ac:dyDescent="0.25">
      <c r="B2" s="60" t="s">
        <v>41</v>
      </c>
      <c r="C2" s="61" t="s">
        <v>42</v>
      </c>
      <c r="D2" s="61" t="s">
        <v>43</v>
      </c>
      <c r="E2" s="61" t="s">
        <v>44</v>
      </c>
      <c r="F2" s="61" t="s">
        <v>45</v>
      </c>
      <c r="G2" s="61" t="s">
        <v>46</v>
      </c>
      <c r="H2" s="61" t="s">
        <v>47</v>
      </c>
      <c r="I2" s="61" t="s">
        <v>48</v>
      </c>
      <c r="J2" s="61" t="s">
        <v>47</v>
      </c>
      <c r="K2" s="61" t="s">
        <v>48</v>
      </c>
      <c r="L2" s="65" t="s">
        <v>49</v>
      </c>
      <c r="M2" s="65" t="s">
        <v>39</v>
      </c>
      <c r="N2" s="65" t="s">
        <v>49</v>
      </c>
      <c r="O2" s="65" t="s">
        <v>47</v>
      </c>
      <c r="P2" s="65" t="s">
        <v>48</v>
      </c>
      <c r="Q2" s="65" t="s">
        <v>49</v>
      </c>
      <c r="R2" s="63" t="s">
        <v>50</v>
      </c>
      <c r="T2" s="81" t="s">
        <v>53</v>
      </c>
      <c r="U2" s="82">
        <v>4</v>
      </c>
    </row>
    <row r="3" spans="2:21" ht="15" customHeight="1" x14ac:dyDescent="0.25">
      <c r="B3" s="276">
        <v>12</v>
      </c>
      <c r="C3" s="277" t="s">
        <v>123</v>
      </c>
      <c r="D3" s="278" t="s">
        <v>60</v>
      </c>
      <c r="E3" s="279">
        <v>45861</v>
      </c>
      <c r="F3" s="280"/>
      <c r="G3" s="280"/>
      <c r="H3" s="121"/>
      <c r="I3" s="121"/>
      <c r="J3" s="121"/>
      <c r="K3" s="121"/>
      <c r="L3" s="131">
        <v>0</v>
      </c>
      <c r="M3" s="140"/>
      <c r="N3" s="141">
        <v>0</v>
      </c>
      <c r="O3" s="127"/>
      <c r="P3" s="127"/>
      <c r="Q3" s="78">
        <v>0</v>
      </c>
      <c r="R3" s="281"/>
      <c r="T3" s="83" t="s">
        <v>44</v>
      </c>
      <c r="U3" s="84">
        <v>1</v>
      </c>
    </row>
    <row r="4" spans="2:21" ht="15" customHeight="1" x14ac:dyDescent="0.25">
      <c r="B4" s="67">
        <v>2</v>
      </c>
      <c r="C4" s="116" t="s">
        <v>51</v>
      </c>
      <c r="D4" s="110" t="s">
        <v>60</v>
      </c>
      <c r="E4" s="118">
        <v>44599</v>
      </c>
      <c r="F4" s="118"/>
      <c r="G4" s="116"/>
      <c r="H4" s="121"/>
      <c r="I4" s="121"/>
      <c r="J4" s="121"/>
      <c r="K4" s="121"/>
      <c r="L4" s="131">
        <v>0</v>
      </c>
      <c r="M4" s="140"/>
      <c r="N4" s="141">
        <v>0</v>
      </c>
      <c r="O4" s="127"/>
      <c r="P4" s="127"/>
      <c r="Q4" s="78">
        <v>0</v>
      </c>
      <c r="R4" s="142"/>
      <c r="T4" s="83" t="s">
        <v>45</v>
      </c>
      <c r="U4" s="84">
        <v>0</v>
      </c>
    </row>
    <row r="5" spans="2:21" ht="15" customHeight="1" x14ac:dyDescent="0.25">
      <c r="B5" s="202">
        <v>9</v>
      </c>
      <c r="C5" s="203" t="s">
        <v>98</v>
      </c>
      <c r="D5" s="204" t="s">
        <v>60</v>
      </c>
      <c r="E5" s="205">
        <v>45702</v>
      </c>
      <c r="F5" s="166"/>
      <c r="G5" s="116"/>
      <c r="H5" s="121"/>
      <c r="I5" s="121"/>
      <c r="J5" s="121"/>
      <c r="K5" s="121"/>
      <c r="L5" s="164">
        <v>0</v>
      </c>
      <c r="M5" s="145"/>
      <c r="N5" s="141">
        <v>0</v>
      </c>
      <c r="O5" s="127"/>
      <c r="P5" s="127"/>
      <c r="Q5" s="155">
        <v>0</v>
      </c>
      <c r="R5" s="142"/>
      <c r="T5" s="100" t="s">
        <v>56</v>
      </c>
      <c r="U5" s="101">
        <f>U2+U3-U4</f>
        <v>5</v>
      </c>
    </row>
    <row r="6" spans="2:21" ht="15" customHeight="1" x14ac:dyDescent="0.25">
      <c r="B6" s="67">
        <v>11</v>
      </c>
      <c r="C6" s="206" t="s">
        <v>99</v>
      </c>
      <c r="D6" s="207" t="s">
        <v>60</v>
      </c>
      <c r="E6" s="208">
        <v>45736</v>
      </c>
      <c r="F6" s="69"/>
      <c r="G6" s="68"/>
      <c r="H6" s="72"/>
      <c r="I6" s="72"/>
      <c r="J6" s="72"/>
      <c r="K6" s="72"/>
      <c r="L6" s="164">
        <v>0</v>
      </c>
      <c r="M6" s="132"/>
      <c r="N6" s="141">
        <v>0</v>
      </c>
      <c r="O6" s="109"/>
      <c r="P6" s="109"/>
      <c r="Q6" s="155">
        <v>0</v>
      </c>
      <c r="R6" s="134"/>
    </row>
    <row r="7" spans="2:21" ht="15" customHeight="1" x14ac:dyDescent="0.25">
      <c r="B7" s="85">
        <v>10</v>
      </c>
      <c r="C7" s="273" t="s">
        <v>121</v>
      </c>
      <c r="D7" s="274" t="s">
        <v>60</v>
      </c>
      <c r="E7" s="275">
        <v>45734</v>
      </c>
      <c r="F7" s="87"/>
      <c r="G7" s="86"/>
      <c r="H7" s="90"/>
      <c r="I7" s="90"/>
      <c r="J7" s="90"/>
      <c r="K7" s="90"/>
      <c r="L7" s="135">
        <v>0</v>
      </c>
      <c r="M7" s="136"/>
      <c r="N7" s="137">
        <v>0</v>
      </c>
      <c r="O7" s="96"/>
      <c r="P7" s="96"/>
      <c r="Q7" s="138">
        <v>0</v>
      </c>
      <c r="R7" s="139"/>
      <c r="T7" s="81" t="s">
        <v>57</v>
      </c>
      <c r="U7" s="82">
        <v>2</v>
      </c>
    </row>
    <row r="8" spans="2:21" ht="15" customHeight="1" x14ac:dyDescent="0.25">
      <c r="L8" s="99">
        <f>SUM(L4:L5)</f>
        <v>0</v>
      </c>
      <c r="N8" s="99">
        <f>SUM(N4:N5)</f>
        <v>0</v>
      </c>
      <c r="O8" s="99"/>
      <c r="P8" s="99"/>
      <c r="Q8" s="99">
        <f>SUM(Q4:Q5)</f>
        <v>0</v>
      </c>
      <c r="T8" s="100" t="s">
        <v>13</v>
      </c>
      <c r="U8" s="101">
        <f>U5+U7</f>
        <v>7</v>
      </c>
    </row>
    <row r="9" spans="2:21" ht="15" customHeight="1" x14ac:dyDescent="0.25"/>
    <row r="10" spans="2:21" ht="15" customHeight="1" x14ac:dyDescent="0.25">
      <c r="T10" s="784" t="s">
        <v>58</v>
      </c>
      <c r="U10" s="784"/>
    </row>
    <row r="11" spans="2:21" ht="15" customHeight="1" x14ac:dyDescent="0.25">
      <c r="T11" s="83" t="s">
        <v>38</v>
      </c>
      <c r="U11" s="102">
        <v>0</v>
      </c>
    </row>
    <row r="12" spans="2:21" ht="15" customHeight="1" x14ac:dyDescent="0.25">
      <c r="T12" s="103" t="s">
        <v>39</v>
      </c>
      <c r="U12" s="104">
        <f>N8</f>
        <v>0</v>
      </c>
    </row>
    <row r="13" spans="2:21" ht="15" customHeight="1" x14ac:dyDescent="0.25"/>
    <row r="14" spans="2:21" ht="15" customHeight="1" x14ac:dyDescent="0.25">
      <c r="T14" s="81" t="s">
        <v>40</v>
      </c>
      <c r="U14" s="105">
        <f>Q8</f>
        <v>0</v>
      </c>
    </row>
    <row r="15" spans="2:21" ht="15" customHeight="1" x14ac:dyDescent="0.25">
      <c r="T15" s="103" t="s">
        <v>59</v>
      </c>
      <c r="U15" s="104">
        <v>0</v>
      </c>
    </row>
    <row r="16" spans="2:21" ht="15" customHeight="1" x14ac:dyDescent="0.25"/>
    <row r="17" spans="20:21" ht="15" customHeight="1" x14ac:dyDescent="0.25">
      <c r="T17" s="106" t="s">
        <v>22</v>
      </c>
      <c r="U17" s="107">
        <v>23</v>
      </c>
    </row>
    <row r="18" spans="20:21" ht="15" customHeight="1" x14ac:dyDescent="0.25"/>
    <row r="19" spans="20:21" ht="15" customHeight="1" x14ac:dyDescent="0.25"/>
    <row r="20" spans="20:21" ht="15" customHeight="1" x14ac:dyDescent="0.25"/>
    <row r="21" spans="20:21" ht="15" customHeight="1" x14ac:dyDescent="0.25"/>
    <row r="22" spans="20:21" ht="15" customHeight="1" x14ac:dyDescent="0.25"/>
    <row r="23" spans="20:21" ht="15" customHeight="1" x14ac:dyDescent="0.25"/>
    <row r="24" spans="20:21" ht="15" customHeight="1" x14ac:dyDescent="0.25"/>
    <row r="25" spans="20:21" ht="15" customHeight="1" x14ac:dyDescent="0.25"/>
    <row r="26" spans="20:21" ht="15" customHeight="1" x14ac:dyDescent="0.25"/>
    <row r="27" spans="20:21" ht="15" customHeight="1" x14ac:dyDescent="0.25"/>
    <row r="28" spans="20:21" ht="15" customHeight="1" x14ac:dyDescent="0.25"/>
    <row r="29" spans="20:21" ht="15" customHeight="1" x14ac:dyDescent="0.25"/>
    <row r="30" spans="20:21" ht="15" customHeight="1" x14ac:dyDescent="0.25"/>
    <row r="31" spans="20:21" ht="15" customHeight="1" x14ac:dyDescent="0.25"/>
    <row r="32" spans="20:21" ht="15" customHeight="1" x14ac:dyDescent="0.25"/>
    <row r="33" ht="15" customHeight="1" x14ac:dyDescent="0.25"/>
    <row r="34" ht="15" customHeight="1" x14ac:dyDescent="0.25"/>
    <row r="35" ht="15" customHeight="1" x14ac:dyDescent="0.25"/>
  </sheetData>
  <mergeCells count="4">
    <mergeCell ref="H1:L1"/>
    <mergeCell ref="M1:N1"/>
    <mergeCell ref="O1:Q1"/>
    <mergeCell ref="T10:U10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U36"/>
  <sheetViews>
    <sheetView showGridLines="0" zoomScaleNormal="100" workbookViewId="0"/>
  </sheetViews>
  <sheetFormatPr defaultColWidth="9.140625" defaultRowHeight="12.75" x14ac:dyDescent="0.25"/>
  <cols>
    <col min="1" max="1" width="9.140625" style="57"/>
    <col min="2" max="2" width="10" style="57" customWidth="1"/>
    <col min="3" max="3" width="40" style="57" customWidth="1"/>
    <col min="4" max="4" width="12.5703125" style="57" customWidth="1"/>
    <col min="5" max="6" width="10.7109375" style="57" customWidth="1"/>
    <col min="7" max="7" width="11.5703125" style="57" customWidth="1"/>
    <col min="8" max="11" width="10.42578125" style="57" customWidth="1"/>
    <col min="12" max="12" width="4.140625" style="57" customWidth="1"/>
    <col min="13" max="13" width="11.42578125" style="58" customWidth="1"/>
    <col min="14" max="14" width="4.140625" style="57" customWidth="1"/>
    <col min="15" max="16" width="10.42578125" style="57" customWidth="1"/>
    <col min="17" max="17" width="4.140625" style="57" customWidth="1"/>
    <col min="18" max="18" width="27.140625" style="57" customWidth="1"/>
    <col min="19" max="19" width="2.140625" style="57" customWidth="1"/>
    <col min="20" max="20" width="13.140625" style="57" customWidth="1"/>
    <col min="21" max="21" width="5.140625" style="57" customWidth="1"/>
    <col min="22" max="262" width="9.140625" style="57"/>
    <col min="263" max="263" width="10" style="57" customWidth="1"/>
    <col min="264" max="264" width="40" style="57" customWidth="1"/>
    <col min="265" max="265" width="12.5703125" style="57" customWidth="1"/>
    <col min="266" max="267" width="10.42578125" style="57" customWidth="1"/>
    <col min="268" max="268" width="11.5703125" style="57" customWidth="1"/>
    <col min="269" max="270" width="10.42578125" style="57" customWidth="1"/>
    <col min="271" max="271" width="6.5703125" style="57" customWidth="1"/>
    <col min="272" max="272" width="11.42578125" style="57" customWidth="1"/>
    <col min="273" max="273" width="4.140625" style="57" customWidth="1"/>
    <col min="274" max="274" width="18.5703125" style="57" customWidth="1"/>
    <col min="275" max="275" width="2.140625" style="57" customWidth="1"/>
    <col min="276" max="276" width="10.42578125" style="57" customWidth="1"/>
    <col min="277" max="518" width="9.140625" style="57"/>
    <col min="519" max="519" width="10" style="57" customWidth="1"/>
    <col min="520" max="520" width="40" style="57" customWidth="1"/>
    <col min="521" max="521" width="12.5703125" style="57" customWidth="1"/>
    <col min="522" max="523" width="10.42578125" style="57" customWidth="1"/>
    <col min="524" max="524" width="11.5703125" style="57" customWidth="1"/>
    <col min="525" max="526" width="10.42578125" style="57" customWidth="1"/>
    <col min="527" max="527" width="6.5703125" style="57" customWidth="1"/>
    <col min="528" max="528" width="11.42578125" style="57" customWidth="1"/>
    <col min="529" max="529" width="4.140625" style="57" customWidth="1"/>
    <col min="530" max="530" width="18.5703125" style="57" customWidth="1"/>
    <col min="531" max="531" width="2.140625" style="57" customWidth="1"/>
    <col min="532" max="532" width="10.42578125" style="57" customWidth="1"/>
    <col min="533" max="774" width="9.140625" style="57"/>
    <col min="775" max="775" width="10" style="57" customWidth="1"/>
    <col min="776" max="776" width="40" style="57" customWidth="1"/>
    <col min="777" max="777" width="12.5703125" style="57" customWidth="1"/>
    <col min="778" max="779" width="10.42578125" style="57" customWidth="1"/>
    <col min="780" max="780" width="11.5703125" style="57" customWidth="1"/>
    <col min="781" max="782" width="10.42578125" style="57" customWidth="1"/>
    <col min="783" max="783" width="6.5703125" style="57" customWidth="1"/>
    <col min="784" max="784" width="11.42578125" style="57" customWidth="1"/>
    <col min="785" max="785" width="4.140625" style="57" customWidth="1"/>
    <col min="786" max="786" width="18.5703125" style="57" customWidth="1"/>
    <col min="787" max="787" width="2.140625" style="57" customWidth="1"/>
    <col min="788" max="788" width="10.42578125" style="57" customWidth="1"/>
    <col min="789" max="1030" width="9.140625" style="57"/>
    <col min="1031" max="1031" width="10" style="57" customWidth="1"/>
    <col min="1032" max="1032" width="40" style="57" customWidth="1"/>
    <col min="1033" max="1033" width="12.5703125" style="57" customWidth="1"/>
    <col min="1034" max="1035" width="10.42578125" style="57" customWidth="1"/>
    <col min="1036" max="1036" width="11.5703125" style="57" customWidth="1"/>
    <col min="1037" max="1038" width="10.42578125" style="57" customWidth="1"/>
    <col min="1039" max="1039" width="6.5703125" style="57" customWidth="1"/>
    <col min="1040" max="1040" width="11.42578125" style="57" customWidth="1"/>
    <col min="1041" max="1041" width="4.140625" style="57" customWidth="1"/>
    <col min="1042" max="1042" width="18.5703125" style="57" customWidth="1"/>
    <col min="1043" max="1043" width="2.140625" style="57" customWidth="1"/>
    <col min="1044" max="1044" width="10.42578125" style="57" customWidth="1"/>
    <col min="1045" max="1286" width="9.140625" style="57"/>
    <col min="1287" max="1287" width="10" style="57" customWidth="1"/>
    <col min="1288" max="1288" width="40" style="57" customWidth="1"/>
    <col min="1289" max="1289" width="12.5703125" style="57" customWidth="1"/>
    <col min="1290" max="1291" width="10.42578125" style="57" customWidth="1"/>
    <col min="1292" max="1292" width="11.5703125" style="57" customWidth="1"/>
    <col min="1293" max="1294" width="10.42578125" style="57" customWidth="1"/>
    <col min="1295" max="1295" width="6.5703125" style="57" customWidth="1"/>
    <col min="1296" max="1296" width="11.42578125" style="57" customWidth="1"/>
    <col min="1297" max="1297" width="4.140625" style="57" customWidth="1"/>
    <col min="1298" max="1298" width="18.5703125" style="57" customWidth="1"/>
    <col min="1299" max="1299" width="2.140625" style="57" customWidth="1"/>
    <col min="1300" max="1300" width="10.42578125" style="57" customWidth="1"/>
    <col min="1301" max="1542" width="9.140625" style="57"/>
    <col min="1543" max="1543" width="10" style="57" customWidth="1"/>
    <col min="1544" max="1544" width="40" style="57" customWidth="1"/>
    <col min="1545" max="1545" width="12.5703125" style="57" customWidth="1"/>
    <col min="1546" max="1547" width="10.42578125" style="57" customWidth="1"/>
    <col min="1548" max="1548" width="11.5703125" style="57" customWidth="1"/>
    <col min="1549" max="1550" width="10.42578125" style="57" customWidth="1"/>
    <col min="1551" max="1551" width="6.5703125" style="57" customWidth="1"/>
    <col min="1552" max="1552" width="11.42578125" style="57" customWidth="1"/>
    <col min="1553" max="1553" width="4.140625" style="57" customWidth="1"/>
    <col min="1554" max="1554" width="18.5703125" style="57" customWidth="1"/>
    <col min="1555" max="1555" width="2.140625" style="57" customWidth="1"/>
    <col min="1556" max="1556" width="10.42578125" style="57" customWidth="1"/>
    <col min="1557" max="1798" width="9.140625" style="57"/>
    <col min="1799" max="1799" width="10" style="57" customWidth="1"/>
    <col min="1800" max="1800" width="40" style="57" customWidth="1"/>
    <col min="1801" max="1801" width="12.5703125" style="57" customWidth="1"/>
    <col min="1802" max="1803" width="10.42578125" style="57" customWidth="1"/>
    <col min="1804" max="1804" width="11.5703125" style="57" customWidth="1"/>
    <col min="1805" max="1806" width="10.42578125" style="57" customWidth="1"/>
    <col min="1807" max="1807" width="6.5703125" style="57" customWidth="1"/>
    <col min="1808" max="1808" width="11.42578125" style="57" customWidth="1"/>
    <col min="1809" max="1809" width="4.140625" style="57" customWidth="1"/>
    <col min="1810" max="1810" width="18.5703125" style="57" customWidth="1"/>
    <col min="1811" max="1811" width="2.140625" style="57" customWidth="1"/>
    <col min="1812" max="1812" width="10.42578125" style="57" customWidth="1"/>
    <col min="1813" max="2054" width="9.140625" style="57"/>
    <col min="2055" max="2055" width="10" style="57" customWidth="1"/>
    <col min="2056" max="2056" width="40" style="57" customWidth="1"/>
    <col min="2057" max="2057" width="12.5703125" style="57" customWidth="1"/>
    <col min="2058" max="2059" width="10.42578125" style="57" customWidth="1"/>
    <col min="2060" max="2060" width="11.5703125" style="57" customWidth="1"/>
    <col min="2061" max="2062" width="10.42578125" style="57" customWidth="1"/>
    <col min="2063" max="2063" width="6.5703125" style="57" customWidth="1"/>
    <col min="2064" max="2064" width="11.42578125" style="57" customWidth="1"/>
    <col min="2065" max="2065" width="4.140625" style="57" customWidth="1"/>
    <col min="2066" max="2066" width="18.5703125" style="57" customWidth="1"/>
    <col min="2067" max="2067" width="2.140625" style="57" customWidth="1"/>
    <col min="2068" max="2068" width="10.42578125" style="57" customWidth="1"/>
    <col min="2069" max="2310" width="9.140625" style="57"/>
    <col min="2311" max="2311" width="10" style="57" customWidth="1"/>
    <col min="2312" max="2312" width="40" style="57" customWidth="1"/>
    <col min="2313" max="2313" width="12.5703125" style="57" customWidth="1"/>
    <col min="2314" max="2315" width="10.42578125" style="57" customWidth="1"/>
    <col min="2316" max="2316" width="11.5703125" style="57" customWidth="1"/>
    <col min="2317" max="2318" width="10.42578125" style="57" customWidth="1"/>
    <col min="2319" max="2319" width="6.5703125" style="57" customWidth="1"/>
    <col min="2320" max="2320" width="11.42578125" style="57" customWidth="1"/>
    <col min="2321" max="2321" width="4.140625" style="57" customWidth="1"/>
    <col min="2322" max="2322" width="18.5703125" style="57" customWidth="1"/>
    <col min="2323" max="2323" width="2.140625" style="57" customWidth="1"/>
    <col min="2324" max="2324" width="10.42578125" style="57" customWidth="1"/>
    <col min="2325" max="2566" width="9.140625" style="57"/>
    <col min="2567" max="2567" width="10" style="57" customWidth="1"/>
    <col min="2568" max="2568" width="40" style="57" customWidth="1"/>
    <col min="2569" max="2569" width="12.5703125" style="57" customWidth="1"/>
    <col min="2570" max="2571" width="10.42578125" style="57" customWidth="1"/>
    <col min="2572" max="2572" width="11.5703125" style="57" customWidth="1"/>
    <col min="2573" max="2574" width="10.42578125" style="57" customWidth="1"/>
    <col min="2575" max="2575" width="6.5703125" style="57" customWidth="1"/>
    <col min="2576" max="2576" width="11.42578125" style="57" customWidth="1"/>
    <col min="2577" max="2577" width="4.140625" style="57" customWidth="1"/>
    <col min="2578" max="2578" width="18.5703125" style="57" customWidth="1"/>
    <col min="2579" max="2579" width="2.140625" style="57" customWidth="1"/>
    <col min="2580" max="2580" width="10.42578125" style="57" customWidth="1"/>
    <col min="2581" max="2822" width="9.140625" style="57"/>
    <col min="2823" max="2823" width="10" style="57" customWidth="1"/>
    <col min="2824" max="2824" width="40" style="57" customWidth="1"/>
    <col min="2825" max="2825" width="12.5703125" style="57" customWidth="1"/>
    <col min="2826" max="2827" width="10.42578125" style="57" customWidth="1"/>
    <col min="2828" max="2828" width="11.5703125" style="57" customWidth="1"/>
    <col min="2829" max="2830" width="10.42578125" style="57" customWidth="1"/>
    <col min="2831" max="2831" width="6.5703125" style="57" customWidth="1"/>
    <col min="2832" max="2832" width="11.42578125" style="57" customWidth="1"/>
    <col min="2833" max="2833" width="4.140625" style="57" customWidth="1"/>
    <col min="2834" max="2834" width="18.5703125" style="57" customWidth="1"/>
    <col min="2835" max="2835" width="2.140625" style="57" customWidth="1"/>
    <col min="2836" max="2836" width="10.42578125" style="57" customWidth="1"/>
    <col min="2837" max="3078" width="9.140625" style="57"/>
    <col min="3079" max="3079" width="10" style="57" customWidth="1"/>
    <col min="3080" max="3080" width="40" style="57" customWidth="1"/>
    <col min="3081" max="3081" width="12.5703125" style="57" customWidth="1"/>
    <col min="3082" max="3083" width="10.42578125" style="57" customWidth="1"/>
    <col min="3084" max="3084" width="11.5703125" style="57" customWidth="1"/>
    <col min="3085" max="3086" width="10.42578125" style="57" customWidth="1"/>
    <col min="3087" max="3087" width="6.5703125" style="57" customWidth="1"/>
    <col min="3088" max="3088" width="11.42578125" style="57" customWidth="1"/>
    <col min="3089" max="3089" width="4.140625" style="57" customWidth="1"/>
    <col min="3090" max="3090" width="18.5703125" style="57" customWidth="1"/>
    <col min="3091" max="3091" width="2.140625" style="57" customWidth="1"/>
    <col min="3092" max="3092" width="10.42578125" style="57" customWidth="1"/>
    <col min="3093" max="3334" width="9.140625" style="57"/>
    <col min="3335" max="3335" width="10" style="57" customWidth="1"/>
    <col min="3336" max="3336" width="40" style="57" customWidth="1"/>
    <col min="3337" max="3337" width="12.5703125" style="57" customWidth="1"/>
    <col min="3338" max="3339" width="10.42578125" style="57" customWidth="1"/>
    <col min="3340" max="3340" width="11.5703125" style="57" customWidth="1"/>
    <col min="3341" max="3342" width="10.42578125" style="57" customWidth="1"/>
    <col min="3343" max="3343" width="6.5703125" style="57" customWidth="1"/>
    <col min="3344" max="3344" width="11.42578125" style="57" customWidth="1"/>
    <col min="3345" max="3345" width="4.140625" style="57" customWidth="1"/>
    <col min="3346" max="3346" width="18.5703125" style="57" customWidth="1"/>
    <col min="3347" max="3347" width="2.140625" style="57" customWidth="1"/>
    <col min="3348" max="3348" width="10.42578125" style="57" customWidth="1"/>
    <col min="3349" max="3590" width="9.140625" style="57"/>
    <col min="3591" max="3591" width="10" style="57" customWidth="1"/>
    <col min="3592" max="3592" width="40" style="57" customWidth="1"/>
    <col min="3593" max="3593" width="12.5703125" style="57" customWidth="1"/>
    <col min="3594" max="3595" width="10.42578125" style="57" customWidth="1"/>
    <col min="3596" max="3596" width="11.5703125" style="57" customWidth="1"/>
    <col min="3597" max="3598" width="10.42578125" style="57" customWidth="1"/>
    <col min="3599" max="3599" width="6.5703125" style="57" customWidth="1"/>
    <col min="3600" max="3600" width="11.42578125" style="57" customWidth="1"/>
    <col min="3601" max="3601" width="4.140625" style="57" customWidth="1"/>
    <col min="3602" max="3602" width="18.5703125" style="57" customWidth="1"/>
    <col min="3603" max="3603" width="2.140625" style="57" customWidth="1"/>
    <col min="3604" max="3604" width="10.42578125" style="57" customWidth="1"/>
    <col min="3605" max="3846" width="9.140625" style="57"/>
    <col min="3847" max="3847" width="10" style="57" customWidth="1"/>
    <col min="3848" max="3848" width="40" style="57" customWidth="1"/>
    <col min="3849" max="3849" width="12.5703125" style="57" customWidth="1"/>
    <col min="3850" max="3851" width="10.42578125" style="57" customWidth="1"/>
    <col min="3852" max="3852" width="11.5703125" style="57" customWidth="1"/>
    <col min="3853" max="3854" width="10.42578125" style="57" customWidth="1"/>
    <col min="3855" max="3855" width="6.5703125" style="57" customWidth="1"/>
    <col min="3856" max="3856" width="11.42578125" style="57" customWidth="1"/>
    <col min="3857" max="3857" width="4.140625" style="57" customWidth="1"/>
    <col min="3858" max="3858" width="18.5703125" style="57" customWidth="1"/>
    <col min="3859" max="3859" width="2.140625" style="57" customWidth="1"/>
    <col min="3860" max="3860" width="10.42578125" style="57" customWidth="1"/>
    <col min="3861" max="4102" width="9.140625" style="57"/>
    <col min="4103" max="4103" width="10" style="57" customWidth="1"/>
    <col min="4104" max="4104" width="40" style="57" customWidth="1"/>
    <col min="4105" max="4105" width="12.5703125" style="57" customWidth="1"/>
    <col min="4106" max="4107" width="10.42578125" style="57" customWidth="1"/>
    <col min="4108" max="4108" width="11.5703125" style="57" customWidth="1"/>
    <col min="4109" max="4110" width="10.42578125" style="57" customWidth="1"/>
    <col min="4111" max="4111" width="6.5703125" style="57" customWidth="1"/>
    <col min="4112" max="4112" width="11.42578125" style="57" customWidth="1"/>
    <col min="4113" max="4113" width="4.140625" style="57" customWidth="1"/>
    <col min="4114" max="4114" width="18.5703125" style="57" customWidth="1"/>
    <col min="4115" max="4115" width="2.140625" style="57" customWidth="1"/>
    <col min="4116" max="4116" width="10.42578125" style="57" customWidth="1"/>
    <col min="4117" max="4358" width="9.140625" style="57"/>
    <col min="4359" max="4359" width="10" style="57" customWidth="1"/>
    <col min="4360" max="4360" width="40" style="57" customWidth="1"/>
    <col min="4361" max="4361" width="12.5703125" style="57" customWidth="1"/>
    <col min="4362" max="4363" width="10.42578125" style="57" customWidth="1"/>
    <col min="4364" max="4364" width="11.5703125" style="57" customWidth="1"/>
    <col min="4365" max="4366" width="10.42578125" style="57" customWidth="1"/>
    <col min="4367" max="4367" width="6.5703125" style="57" customWidth="1"/>
    <col min="4368" max="4368" width="11.42578125" style="57" customWidth="1"/>
    <col min="4369" max="4369" width="4.140625" style="57" customWidth="1"/>
    <col min="4370" max="4370" width="18.5703125" style="57" customWidth="1"/>
    <col min="4371" max="4371" width="2.140625" style="57" customWidth="1"/>
    <col min="4372" max="4372" width="10.42578125" style="57" customWidth="1"/>
    <col min="4373" max="4614" width="9.140625" style="57"/>
    <col min="4615" max="4615" width="10" style="57" customWidth="1"/>
    <col min="4616" max="4616" width="40" style="57" customWidth="1"/>
    <col min="4617" max="4617" width="12.5703125" style="57" customWidth="1"/>
    <col min="4618" max="4619" width="10.42578125" style="57" customWidth="1"/>
    <col min="4620" max="4620" width="11.5703125" style="57" customWidth="1"/>
    <col min="4621" max="4622" width="10.42578125" style="57" customWidth="1"/>
    <col min="4623" max="4623" width="6.5703125" style="57" customWidth="1"/>
    <col min="4624" max="4624" width="11.42578125" style="57" customWidth="1"/>
    <col min="4625" max="4625" width="4.140625" style="57" customWidth="1"/>
    <col min="4626" max="4626" width="18.5703125" style="57" customWidth="1"/>
    <col min="4627" max="4627" width="2.140625" style="57" customWidth="1"/>
    <col min="4628" max="4628" width="10.42578125" style="57" customWidth="1"/>
    <col min="4629" max="4870" width="9.140625" style="57"/>
    <col min="4871" max="4871" width="10" style="57" customWidth="1"/>
    <col min="4872" max="4872" width="40" style="57" customWidth="1"/>
    <col min="4873" max="4873" width="12.5703125" style="57" customWidth="1"/>
    <col min="4874" max="4875" width="10.42578125" style="57" customWidth="1"/>
    <col min="4876" max="4876" width="11.5703125" style="57" customWidth="1"/>
    <col min="4877" max="4878" width="10.42578125" style="57" customWidth="1"/>
    <col min="4879" max="4879" width="6.5703125" style="57" customWidth="1"/>
    <col min="4880" max="4880" width="11.42578125" style="57" customWidth="1"/>
    <col min="4881" max="4881" width="4.140625" style="57" customWidth="1"/>
    <col min="4882" max="4882" width="18.5703125" style="57" customWidth="1"/>
    <col min="4883" max="4883" width="2.140625" style="57" customWidth="1"/>
    <col min="4884" max="4884" width="10.42578125" style="57" customWidth="1"/>
    <col min="4885" max="5126" width="9.140625" style="57"/>
    <col min="5127" max="5127" width="10" style="57" customWidth="1"/>
    <col min="5128" max="5128" width="40" style="57" customWidth="1"/>
    <col min="5129" max="5129" width="12.5703125" style="57" customWidth="1"/>
    <col min="5130" max="5131" width="10.42578125" style="57" customWidth="1"/>
    <col min="5132" max="5132" width="11.5703125" style="57" customWidth="1"/>
    <col min="5133" max="5134" width="10.42578125" style="57" customWidth="1"/>
    <col min="5135" max="5135" width="6.5703125" style="57" customWidth="1"/>
    <col min="5136" max="5136" width="11.42578125" style="57" customWidth="1"/>
    <col min="5137" max="5137" width="4.140625" style="57" customWidth="1"/>
    <col min="5138" max="5138" width="18.5703125" style="57" customWidth="1"/>
    <col min="5139" max="5139" width="2.140625" style="57" customWidth="1"/>
    <col min="5140" max="5140" width="10.42578125" style="57" customWidth="1"/>
    <col min="5141" max="5382" width="9.140625" style="57"/>
    <col min="5383" max="5383" width="10" style="57" customWidth="1"/>
    <col min="5384" max="5384" width="40" style="57" customWidth="1"/>
    <col min="5385" max="5385" width="12.5703125" style="57" customWidth="1"/>
    <col min="5386" max="5387" width="10.42578125" style="57" customWidth="1"/>
    <col min="5388" max="5388" width="11.5703125" style="57" customWidth="1"/>
    <col min="5389" max="5390" width="10.42578125" style="57" customWidth="1"/>
    <col min="5391" max="5391" width="6.5703125" style="57" customWidth="1"/>
    <col min="5392" max="5392" width="11.42578125" style="57" customWidth="1"/>
    <col min="5393" max="5393" width="4.140625" style="57" customWidth="1"/>
    <col min="5394" max="5394" width="18.5703125" style="57" customWidth="1"/>
    <col min="5395" max="5395" width="2.140625" style="57" customWidth="1"/>
    <col min="5396" max="5396" width="10.42578125" style="57" customWidth="1"/>
    <col min="5397" max="5638" width="9.140625" style="57"/>
    <col min="5639" max="5639" width="10" style="57" customWidth="1"/>
    <col min="5640" max="5640" width="40" style="57" customWidth="1"/>
    <col min="5641" max="5641" width="12.5703125" style="57" customWidth="1"/>
    <col min="5642" max="5643" width="10.42578125" style="57" customWidth="1"/>
    <col min="5644" max="5644" width="11.5703125" style="57" customWidth="1"/>
    <col min="5645" max="5646" width="10.42578125" style="57" customWidth="1"/>
    <col min="5647" max="5647" width="6.5703125" style="57" customWidth="1"/>
    <col min="5648" max="5648" width="11.42578125" style="57" customWidth="1"/>
    <col min="5649" max="5649" width="4.140625" style="57" customWidth="1"/>
    <col min="5650" max="5650" width="18.5703125" style="57" customWidth="1"/>
    <col min="5651" max="5651" width="2.140625" style="57" customWidth="1"/>
    <col min="5652" max="5652" width="10.42578125" style="57" customWidth="1"/>
    <col min="5653" max="5894" width="9.140625" style="57"/>
    <col min="5895" max="5895" width="10" style="57" customWidth="1"/>
    <col min="5896" max="5896" width="40" style="57" customWidth="1"/>
    <col min="5897" max="5897" width="12.5703125" style="57" customWidth="1"/>
    <col min="5898" max="5899" width="10.42578125" style="57" customWidth="1"/>
    <col min="5900" max="5900" width="11.5703125" style="57" customWidth="1"/>
    <col min="5901" max="5902" width="10.42578125" style="57" customWidth="1"/>
    <col min="5903" max="5903" width="6.5703125" style="57" customWidth="1"/>
    <col min="5904" max="5904" width="11.42578125" style="57" customWidth="1"/>
    <col min="5905" max="5905" width="4.140625" style="57" customWidth="1"/>
    <col min="5906" max="5906" width="18.5703125" style="57" customWidth="1"/>
    <col min="5907" max="5907" width="2.140625" style="57" customWidth="1"/>
    <col min="5908" max="5908" width="10.42578125" style="57" customWidth="1"/>
    <col min="5909" max="6150" width="9.140625" style="57"/>
    <col min="6151" max="6151" width="10" style="57" customWidth="1"/>
    <col min="6152" max="6152" width="40" style="57" customWidth="1"/>
    <col min="6153" max="6153" width="12.5703125" style="57" customWidth="1"/>
    <col min="6154" max="6155" width="10.42578125" style="57" customWidth="1"/>
    <col min="6156" max="6156" width="11.5703125" style="57" customWidth="1"/>
    <col min="6157" max="6158" width="10.42578125" style="57" customWidth="1"/>
    <col min="6159" max="6159" width="6.5703125" style="57" customWidth="1"/>
    <col min="6160" max="6160" width="11.42578125" style="57" customWidth="1"/>
    <col min="6161" max="6161" width="4.140625" style="57" customWidth="1"/>
    <col min="6162" max="6162" width="18.5703125" style="57" customWidth="1"/>
    <col min="6163" max="6163" width="2.140625" style="57" customWidth="1"/>
    <col min="6164" max="6164" width="10.42578125" style="57" customWidth="1"/>
    <col min="6165" max="6406" width="9.140625" style="57"/>
    <col min="6407" max="6407" width="10" style="57" customWidth="1"/>
    <col min="6408" max="6408" width="40" style="57" customWidth="1"/>
    <col min="6409" max="6409" width="12.5703125" style="57" customWidth="1"/>
    <col min="6410" max="6411" width="10.42578125" style="57" customWidth="1"/>
    <col min="6412" max="6412" width="11.5703125" style="57" customWidth="1"/>
    <col min="6413" max="6414" width="10.42578125" style="57" customWidth="1"/>
    <col min="6415" max="6415" width="6.5703125" style="57" customWidth="1"/>
    <col min="6416" max="6416" width="11.42578125" style="57" customWidth="1"/>
    <col min="6417" max="6417" width="4.140625" style="57" customWidth="1"/>
    <col min="6418" max="6418" width="18.5703125" style="57" customWidth="1"/>
    <col min="6419" max="6419" width="2.140625" style="57" customWidth="1"/>
    <col min="6420" max="6420" width="10.42578125" style="57" customWidth="1"/>
    <col min="6421" max="6662" width="9.140625" style="57"/>
    <col min="6663" max="6663" width="10" style="57" customWidth="1"/>
    <col min="6664" max="6664" width="40" style="57" customWidth="1"/>
    <col min="6665" max="6665" width="12.5703125" style="57" customWidth="1"/>
    <col min="6666" max="6667" width="10.42578125" style="57" customWidth="1"/>
    <col min="6668" max="6668" width="11.5703125" style="57" customWidth="1"/>
    <col min="6669" max="6670" width="10.42578125" style="57" customWidth="1"/>
    <col min="6671" max="6671" width="6.5703125" style="57" customWidth="1"/>
    <col min="6672" max="6672" width="11.42578125" style="57" customWidth="1"/>
    <col min="6673" max="6673" width="4.140625" style="57" customWidth="1"/>
    <col min="6674" max="6674" width="18.5703125" style="57" customWidth="1"/>
    <col min="6675" max="6675" width="2.140625" style="57" customWidth="1"/>
    <col min="6676" max="6676" width="10.42578125" style="57" customWidth="1"/>
    <col min="6677" max="6918" width="9.140625" style="57"/>
    <col min="6919" max="6919" width="10" style="57" customWidth="1"/>
    <col min="6920" max="6920" width="40" style="57" customWidth="1"/>
    <col min="6921" max="6921" width="12.5703125" style="57" customWidth="1"/>
    <col min="6922" max="6923" width="10.42578125" style="57" customWidth="1"/>
    <col min="6924" max="6924" width="11.5703125" style="57" customWidth="1"/>
    <col min="6925" max="6926" width="10.42578125" style="57" customWidth="1"/>
    <col min="6927" max="6927" width="6.5703125" style="57" customWidth="1"/>
    <col min="6928" max="6928" width="11.42578125" style="57" customWidth="1"/>
    <col min="6929" max="6929" width="4.140625" style="57" customWidth="1"/>
    <col min="6930" max="6930" width="18.5703125" style="57" customWidth="1"/>
    <col min="6931" max="6931" width="2.140625" style="57" customWidth="1"/>
    <col min="6932" max="6932" width="10.42578125" style="57" customWidth="1"/>
    <col min="6933" max="7174" width="9.140625" style="57"/>
    <col min="7175" max="7175" width="10" style="57" customWidth="1"/>
    <col min="7176" max="7176" width="40" style="57" customWidth="1"/>
    <col min="7177" max="7177" width="12.5703125" style="57" customWidth="1"/>
    <col min="7178" max="7179" width="10.42578125" style="57" customWidth="1"/>
    <col min="7180" max="7180" width="11.5703125" style="57" customWidth="1"/>
    <col min="7181" max="7182" width="10.42578125" style="57" customWidth="1"/>
    <col min="7183" max="7183" width="6.5703125" style="57" customWidth="1"/>
    <col min="7184" max="7184" width="11.42578125" style="57" customWidth="1"/>
    <col min="7185" max="7185" width="4.140625" style="57" customWidth="1"/>
    <col min="7186" max="7186" width="18.5703125" style="57" customWidth="1"/>
    <col min="7187" max="7187" width="2.140625" style="57" customWidth="1"/>
    <col min="7188" max="7188" width="10.42578125" style="57" customWidth="1"/>
    <col min="7189" max="7430" width="9.140625" style="57"/>
    <col min="7431" max="7431" width="10" style="57" customWidth="1"/>
    <col min="7432" max="7432" width="40" style="57" customWidth="1"/>
    <col min="7433" max="7433" width="12.5703125" style="57" customWidth="1"/>
    <col min="7434" max="7435" width="10.42578125" style="57" customWidth="1"/>
    <col min="7436" max="7436" width="11.5703125" style="57" customWidth="1"/>
    <col min="7437" max="7438" width="10.42578125" style="57" customWidth="1"/>
    <col min="7439" max="7439" width="6.5703125" style="57" customWidth="1"/>
    <col min="7440" max="7440" width="11.42578125" style="57" customWidth="1"/>
    <col min="7441" max="7441" width="4.140625" style="57" customWidth="1"/>
    <col min="7442" max="7442" width="18.5703125" style="57" customWidth="1"/>
    <col min="7443" max="7443" width="2.140625" style="57" customWidth="1"/>
    <col min="7444" max="7444" width="10.42578125" style="57" customWidth="1"/>
    <col min="7445" max="7686" width="9.140625" style="57"/>
    <col min="7687" max="7687" width="10" style="57" customWidth="1"/>
    <col min="7688" max="7688" width="40" style="57" customWidth="1"/>
    <col min="7689" max="7689" width="12.5703125" style="57" customWidth="1"/>
    <col min="7690" max="7691" width="10.42578125" style="57" customWidth="1"/>
    <col min="7692" max="7692" width="11.5703125" style="57" customWidth="1"/>
    <col min="7693" max="7694" width="10.42578125" style="57" customWidth="1"/>
    <col min="7695" max="7695" width="6.5703125" style="57" customWidth="1"/>
    <col min="7696" max="7696" width="11.42578125" style="57" customWidth="1"/>
    <col min="7697" max="7697" width="4.140625" style="57" customWidth="1"/>
    <col min="7698" max="7698" width="18.5703125" style="57" customWidth="1"/>
    <col min="7699" max="7699" width="2.140625" style="57" customWidth="1"/>
    <col min="7700" max="7700" width="10.42578125" style="57" customWidth="1"/>
    <col min="7701" max="7942" width="9.140625" style="57"/>
    <col min="7943" max="7943" width="10" style="57" customWidth="1"/>
    <col min="7944" max="7944" width="40" style="57" customWidth="1"/>
    <col min="7945" max="7945" width="12.5703125" style="57" customWidth="1"/>
    <col min="7946" max="7947" width="10.42578125" style="57" customWidth="1"/>
    <col min="7948" max="7948" width="11.5703125" style="57" customWidth="1"/>
    <col min="7949" max="7950" width="10.42578125" style="57" customWidth="1"/>
    <col min="7951" max="7951" width="6.5703125" style="57" customWidth="1"/>
    <col min="7952" max="7952" width="11.42578125" style="57" customWidth="1"/>
    <col min="7953" max="7953" width="4.140625" style="57" customWidth="1"/>
    <col min="7954" max="7954" width="18.5703125" style="57" customWidth="1"/>
    <col min="7955" max="7955" width="2.140625" style="57" customWidth="1"/>
    <col min="7956" max="7956" width="10.42578125" style="57" customWidth="1"/>
    <col min="7957" max="8198" width="9.140625" style="57"/>
    <col min="8199" max="8199" width="10" style="57" customWidth="1"/>
    <col min="8200" max="8200" width="40" style="57" customWidth="1"/>
    <col min="8201" max="8201" width="12.5703125" style="57" customWidth="1"/>
    <col min="8202" max="8203" width="10.42578125" style="57" customWidth="1"/>
    <col min="8204" max="8204" width="11.5703125" style="57" customWidth="1"/>
    <col min="8205" max="8206" width="10.42578125" style="57" customWidth="1"/>
    <col min="8207" max="8207" width="6.5703125" style="57" customWidth="1"/>
    <col min="8208" max="8208" width="11.42578125" style="57" customWidth="1"/>
    <col min="8209" max="8209" width="4.140625" style="57" customWidth="1"/>
    <col min="8210" max="8210" width="18.5703125" style="57" customWidth="1"/>
    <col min="8211" max="8211" width="2.140625" style="57" customWidth="1"/>
    <col min="8212" max="8212" width="10.42578125" style="57" customWidth="1"/>
    <col min="8213" max="8454" width="9.140625" style="57"/>
    <col min="8455" max="8455" width="10" style="57" customWidth="1"/>
    <col min="8456" max="8456" width="40" style="57" customWidth="1"/>
    <col min="8457" max="8457" width="12.5703125" style="57" customWidth="1"/>
    <col min="8458" max="8459" width="10.42578125" style="57" customWidth="1"/>
    <col min="8460" max="8460" width="11.5703125" style="57" customWidth="1"/>
    <col min="8461" max="8462" width="10.42578125" style="57" customWidth="1"/>
    <col min="8463" max="8463" width="6.5703125" style="57" customWidth="1"/>
    <col min="8464" max="8464" width="11.42578125" style="57" customWidth="1"/>
    <col min="8465" max="8465" width="4.140625" style="57" customWidth="1"/>
    <col min="8466" max="8466" width="18.5703125" style="57" customWidth="1"/>
    <col min="8467" max="8467" width="2.140625" style="57" customWidth="1"/>
    <col min="8468" max="8468" width="10.42578125" style="57" customWidth="1"/>
    <col min="8469" max="8710" width="9.140625" style="57"/>
    <col min="8711" max="8711" width="10" style="57" customWidth="1"/>
    <col min="8712" max="8712" width="40" style="57" customWidth="1"/>
    <col min="8713" max="8713" width="12.5703125" style="57" customWidth="1"/>
    <col min="8714" max="8715" width="10.42578125" style="57" customWidth="1"/>
    <col min="8716" max="8716" width="11.5703125" style="57" customWidth="1"/>
    <col min="8717" max="8718" width="10.42578125" style="57" customWidth="1"/>
    <col min="8719" max="8719" width="6.5703125" style="57" customWidth="1"/>
    <col min="8720" max="8720" width="11.42578125" style="57" customWidth="1"/>
    <col min="8721" max="8721" width="4.140625" style="57" customWidth="1"/>
    <col min="8722" max="8722" width="18.5703125" style="57" customWidth="1"/>
    <col min="8723" max="8723" width="2.140625" style="57" customWidth="1"/>
    <col min="8724" max="8724" width="10.42578125" style="57" customWidth="1"/>
    <col min="8725" max="8966" width="9.140625" style="57"/>
    <col min="8967" max="8967" width="10" style="57" customWidth="1"/>
    <col min="8968" max="8968" width="40" style="57" customWidth="1"/>
    <col min="8969" max="8969" width="12.5703125" style="57" customWidth="1"/>
    <col min="8970" max="8971" width="10.42578125" style="57" customWidth="1"/>
    <col min="8972" max="8972" width="11.5703125" style="57" customWidth="1"/>
    <col min="8973" max="8974" width="10.42578125" style="57" customWidth="1"/>
    <col min="8975" max="8975" width="6.5703125" style="57" customWidth="1"/>
    <col min="8976" max="8976" width="11.42578125" style="57" customWidth="1"/>
    <col min="8977" max="8977" width="4.140625" style="57" customWidth="1"/>
    <col min="8978" max="8978" width="18.5703125" style="57" customWidth="1"/>
    <col min="8979" max="8979" width="2.140625" style="57" customWidth="1"/>
    <col min="8980" max="8980" width="10.42578125" style="57" customWidth="1"/>
    <col min="8981" max="9222" width="9.140625" style="57"/>
    <col min="9223" max="9223" width="10" style="57" customWidth="1"/>
    <col min="9224" max="9224" width="40" style="57" customWidth="1"/>
    <col min="9225" max="9225" width="12.5703125" style="57" customWidth="1"/>
    <col min="9226" max="9227" width="10.42578125" style="57" customWidth="1"/>
    <col min="9228" max="9228" width="11.5703125" style="57" customWidth="1"/>
    <col min="9229" max="9230" width="10.42578125" style="57" customWidth="1"/>
    <col min="9231" max="9231" width="6.5703125" style="57" customWidth="1"/>
    <col min="9232" max="9232" width="11.42578125" style="57" customWidth="1"/>
    <col min="9233" max="9233" width="4.140625" style="57" customWidth="1"/>
    <col min="9234" max="9234" width="18.5703125" style="57" customWidth="1"/>
    <col min="9235" max="9235" width="2.140625" style="57" customWidth="1"/>
    <col min="9236" max="9236" width="10.42578125" style="57" customWidth="1"/>
    <col min="9237" max="9478" width="9.140625" style="57"/>
    <col min="9479" max="9479" width="10" style="57" customWidth="1"/>
    <col min="9480" max="9480" width="40" style="57" customWidth="1"/>
    <col min="9481" max="9481" width="12.5703125" style="57" customWidth="1"/>
    <col min="9482" max="9483" width="10.42578125" style="57" customWidth="1"/>
    <col min="9484" max="9484" width="11.5703125" style="57" customWidth="1"/>
    <col min="9485" max="9486" width="10.42578125" style="57" customWidth="1"/>
    <col min="9487" max="9487" width="6.5703125" style="57" customWidth="1"/>
    <col min="9488" max="9488" width="11.42578125" style="57" customWidth="1"/>
    <col min="9489" max="9489" width="4.140625" style="57" customWidth="1"/>
    <col min="9490" max="9490" width="18.5703125" style="57" customWidth="1"/>
    <col min="9491" max="9491" width="2.140625" style="57" customWidth="1"/>
    <col min="9492" max="9492" width="10.42578125" style="57" customWidth="1"/>
    <col min="9493" max="9734" width="9.140625" style="57"/>
    <col min="9735" max="9735" width="10" style="57" customWidth="1"/>
    <col min="9736" max="9736" width="40" style="57" customWidth="1"/>
    <col min="9737" max="9737" width="12.5703125" style="57" customWidth="1"/>
    <col min="9738" max="9739" width="10.42578125" style="57" customWidth="1"/>
    <col min="9740" max="9740" width="11.5703125" style="57" customWidth="1"/>
    <col min="9741" max="9742" width="10.42578125" style="57" customWidth="1"/>
    <col min="9743" max="9743" width="6.5703125" style="57" customWidth="1"/>
    <col min="9744" max="9744" width="11.42578125" style="57" customWidth="1"/>
    <col min="9745" max="9745" width="4.140625" style="57" customWidth="1"/>
    <col min="9746" max="9746" width="18.5703125" style="57" customWidth="1"/>
    <col min="9747" max="9747" width="2.140625" style="57" customWidth="1"/>
    <col min="9748" max="9748" width="10.42578125" style="57" customWidth="1"/>
    <col min="9749" max="9990" width="9.140625" style="57"/>
    <col min="9991" max="9991" width="10" style="57" customWidth="1"/>
    <col min="9992" max="9992" width="40" style="57" customWidth="1"/>
    <col min="9993" max="9993" width="12.5703125" style="57" customWidth="1"/>
    <col min="9994" max="9995" width="10.42578125" style="57" customWidth="1"/>
    <col min="9996" max="9996" width="11.5703125" style="57" customWidth="1"/>
    <col min="9997" max="9998" width="10.42578125" style="57" customWidth="1"/>
    <col min="9999" max="9999" width="6.5703125" style="57" customWidth="1"/>
    <col min="10000" max="10000" width="11.42578125" style="57" customWidth="1"/>
    <col min="10001" max="10001" width="4.140625" style="57" customWidth="1"/>
    <col min="10002" max="10002" width="18.5703125" style="57" customWidth="1"/>
    <col min="10003" max="10003" width="2.140625" style="57" customWidth="1"/>
    <col min="10004" max="10004" width="10.42578125" style="57" customWidth="1"/>
    <col min="10005" max="10246" width="9.140625" style="57"/>
    <col min="10247" max="10247" width="10" style="57" customWidth="1"/>
    <col min="10248" max="10248" width="40" style="57" customWidth="1"/>
    <col min="10249" max="10249" width="12.5703125" style="57" customWidth="1"/>
    <col min="10250" max="10251" width="10.42578125" style="57" customWidth="1"/>
    <col min="10252" max="10252" width="11.5703125" style="57" customWidth="1"/>
    <col min="10253" max="10254" width="10.42578125" style="57" customWidth="1"/>
    <col min="10255" max="10255" width="6.5703125" style="57" customWidth="1"/>
    <col min="10256" max="10256" width="11.42578125" style="57" customWidth="1"/>
    <col min="10257" max="10257" width="4.140625" style="57" customWidth="1"/>
    <col min="10258" max="10258" width="18.5703125" style="57" customWidth="1"/>
    <col min="10259" max="10259" width="2.140625" style="57" customWidth="1"/>
    <col min="10260" max="10260" width="10.42578125" style="57" customWidth="1"/>
    <col min="10261" max="10502" width="9.140625" style="57"/>
    <col min="10503" max="10503" width="10" style="57" customWidth="1"/>
    <col min="10504" max="10504" width="40" style="57" customWidth="1"/>
    <col min="10505" max="10505" width="12.5703125" style="57" customWidth="1"/>
    <col min="10506" max="10507" width="10.42578125" style="57" customWidth="1"/>
    <col min="10508" max="10508" width="11.5703125" style="57" customWidth="1"/>
    <col min="10509" max="10510" width="10.42578125" style="57" customWidth="1"/>
    <col min="10511" max="10511" width="6.5703125" style="57" customWidth="1"/>
    <col min="10512" max="10512" width="11.42578125" style="57" customWidth="1"/>
    <col min="10513" max="10513" width="4.140625" style="57" customWidth="1"/>
    <col min="10514" max="10514" width="18.5703125" style="57" customWidth="1"/>
    <col min="10515" max="10515" width="2.140625" style="57" customWidth="1"/>
    <col min="10516" max="10516" width="10.42578125" style="57" customWidth="1"/>
    <col min="10517" max="10758" width="9.140625" style="57"/>
    <col min="10759" max="10759" width="10" style="57" customWidth="1"/>
    <col min="10760" max="10760" width="40" style="57" customWidth="1"/>
    <col min="10761" max="10761" width="12.5703125" style="57" customWidth="1"/>
    <col min="10762" max="10763" width="10.42578125" style="57" customWidth="1"/>
    <col min="10764" max="10764" width="11.5703125" style="57" customWidth="1"/>
    <col min="10765" max="10766" width="10.42578125" style="57" customWidth="1"/>
    <col min="10767" max="10767" width="6.5703125" style="57" customWidth="1"/>
    <col min="10768" max="10768" width="11.42578125" style="57" customWidth="1"/>
    <col min="10769" max="10769" width="4.140625" style="57" customWidth="1"/>
    <col min="10770" max="10770" width="18.5703125" style="57" customWidth="1"/>
    <col min="10771" max="10771" width="2.140625" style="57" customWidth="1"/>
    <col min="10772" max="10772" width="10.42578125" style="57" customWidth="1"/>
    <col min="10773" max="11014" width="9.140625" style="57"/>
    <col min="11015" max="11015" width="10" style="57" customWidth="1"/>
    <col min="11016" max="11016" width="40" style="57" customWidth="1"/>
    <col min="11017" max="11017" width="12.5703125" style="57" customWidth="1"/>
    <col min="11018" max="11019" width="10.42578125" style="57" customWidth="1"/>
    <col min="11020" max="11020" width="11.5703125" style="57" customWidth="1"/>
    <col min="11021" max="11022" width="10.42578125" style="57" customWidth="1"/>
    <col min="11023" max="11023" width="6.5703125" style="57" customWidth="1"/>
    <col min="11024" max="11024" width="11.42578125" style="57" customWidth="1"/>
    <col min="11025" max="11025" width="4.140625" style="57" customWidth="1"/>
    <col min="11026" max="11026" width="18.5703125" style="57" customWidth="1"/>
    <col min="11027" max="11027" width="2.140625" style="57" customWidth="1"/>
    <col min="11028" max="11028" width="10.42578125" style="57" customWidth="1"/>
    <col min="11029" max="11270" width="9.140625" style="57"/>
    <col min="11271" max="11271" width="10" style="57" customWidth="1"/>
    <col min="11272" max="11272" width="40" style="57" customWidth="1"/>
    <col min="11273" max="11273" width="12.5703125" style="57" customWidth="1"/>
    <col min="11274" max="11275" width="10.42578125" style="57" customWidth="1"/>
    <col min="11276" max="11276" width="11.5703125" style="57" customWidth="1"/>
    <col min="11277" max="11278" width="10.42578125" style="57" customWidth="1"/>
    <col min="11279" max="11279" width="6.5703125" style="57" customWidth="1"/>
    <col min="11280" max="11280" width="11.42578125" style="57" customWidth="1"/>
    <col min="11281" max="11281" width="4.140625" style="57" customWidth="1"/>
    <col min="11282" max="11282" width="18.5703125" style="57" customWidth="1"/>
    <col min="11283" max="11283" width="2.140625" style="57" customWidth="1"/>
    <col min="11284" max="11284" width="10.42578125" style="57" customWidth="1"/>
    <col min="11285" max="11526" width="9.140625" style="57"/>
    <col min="11527" max="11527" width="10" style="57" customWidth="1"/>
    <col min="11528" max="11528" width="40" style="57" customWidth="1"/>
    <col min="11529" max="11529" width="12.5703125" style="57" customWidth="1"/>
    <col min="11530" max="11531" width="10.42578125" style="57" customWidth="1"/>
    <col min="11532" max="11532" width="11.5703125" style="57" customWidth="1"/>
    <col min="11533" max="11534" width="10.42578125" style="57" customWidth="1"/>
    <col min="11535" max="11535" width="6.5703125" style="57" customWidth="1"/>
    <col min="11536" max="11536" width="11.42578125" style="57" customWidth="1"/>
    <col min="11537" max="11537" width="4.140625" style="57" customWidth="1"/>
    <col min="11538" max="11538" width="18.5703125" style="57" customWidth="1"/>
    <col min="11539" max="11539" width="2.140625" style="57" customWidth="1"/>
    <col min="11540" max="11540" width="10.42578125" style="57" customWidth="1"/>
    <col min="11541" max="11782" width="9.140625" style="57"/>
    <col min="11783" max="11783" width="10" style="57" customWidth="1"/>
    <col min="11784" max="11784" width="40" style="57" customWidth="1"/>
    <col min="11785" max="11785" width="12.5703125" style="57" customWidth="1"/>
    <col min="11786" max="11787" width="10.42578125" style="57" customWidth="1"/>
    <col min="11788" max="11788" width="11.5703125" style="57" customWidth="1"/>
    <col min="11789" max="11790" width="10.42578125" style="57" customWidth="1"/>
    <col min="11791" max="11791" width="6.5703125" style="57" customWidth="1"/>
    <col min="11792" max="11792" width="11.42578125" style="57" customWidth="1"/>
    <col min="11793" max="11793" width="4.140625" style="57" customWidth="1"/>
    <col min="11794" max="11794" width="18.5703125" style="57" customWidth="1"/>
    <col min="11795" max="11795" width="2.140625" style="57" customWidth="1"/>
    <col min="11796" max="11796" width="10.42578125" style="57" customWidth="1"/>
    <col min="11797" max="12038" width="9.140625" style="57"/>
    <col min="12039" max="12039" width="10" style="57" customWidth="1"/>
    <col min="12040" max="12040" width="40" style="57" customWidth="1"/>
    <col min="12041" max="12041" width="12.5703125" style="57" customWidth="1"/>
    <col min="12042" max="12043" width="10.42578125" style="57" customWidth="1"/>
    <col min="12044" max="12044" width="11.5703125" style="57" customWidth="1"/>
    <col min="12045" max="12046" width="10.42578125" style="57" customWidth="1"/>
    <col min="12047" max="12047" width="6.5703125" style="57" customWidth="1"/>
    <col min="12048" max="12048" width="11.42578125" style="57" customWidth="1"/>
    <col min="12049" max="12049" width="4.140625" style="57" customWidth="1"/>
    <col min="12050" max="12050" width="18.5703125" style="57" customWidth="1"/>
    <col min="12051" max="12051" width="2.140625" style="57" customWidth="1"/>
    <col min="12052" max="12052" width="10.42578125" style="57" customWidth="1"/>
    <col min="12053" max="12294" width="9.140625" style="57"/>
    <col min="12295" max="12295" width="10" style="57" customWidth="1"/>
    <col min="12296" max="12296" width="40" style="57" customWidth="1"/>
    <col min="12297" max="12297" width="12.5703125" style="57" customWidth="1"/>
    <col min="12298" max="12299" width="10.42578125" style="57" customWidth="1"/>
    <col min="12300" max="12300" width="11.5703125" style="57" customWidth="1"/>
    <col min="12301" max="12302" width="10.42578125" style="57" customWidth="1"/>
    <col min="12303" max="12303" width="6.5703125" style="57" customWidth="1"/>
    <col min="12304" max="12304" width="11.42578125" style="57" customWidth="1"/>
    <col min="12305" max="12305" width="4.140625" style="57" customWidth="1"/>
    <col min="12306" max="12306" width="18.5703125" style="57" customWidth="1"/>
    <col min="12307" max="12307" width="2.140625" style="57" customWidth="1"/>
    <col min="12308" max="12308" width="10.42578125" style="57" customWidth="1"/>
    <col min="12309" max="12550" width="9.140625" style="57"/>
    <col min="12551" max="12551" width="10" style="57" customWidth="1"/>
    <col min="12552" max="12552" width="40" style="57" customWidth="1"/>
    <col min="12553" max="12553" width="12.5703125" style="57" customWidth="1"/>
    <col min="12554" max="12555" width="10.42578125" style="57" customWidth="1"/>
    <col min="12556" max="12556" width="11.5703125" style="57" customWidth="1"/>
    <col min="12557" max="12558" width="10.42578125" style="57" customWidth="1"/>
    <col min="12559" max="12559" width="6.5703125" style="57" customWidth="1"/>
    <col min="12560" max="12560" width="11.42578125" style="57" customWidth="1"/>
    <col min="12561" max="12561" width="4.140625" style="57" customWidth="1"/>
    <col min="12562" max="12562" width="18.5703125" style="57" customWidth="1"/>
    <col min="12563" max="12563" width="2.140625" style="57" customWidth="1"/>
    <col min="12564" max="12564" width="10.42578125" style="57" customWidth="1"/>
    <col min="12565" max="12806" width="9.140625" style="57"/>
    <col min="12807" max="12807" width="10" style="57" customWidth="1"/>
    <col min="12808" max="12808" width="40" style="57" customWidth="1"/>
    <col min="12809" max="12809" width="12.5703125" style="57" customWidth="1"/>
    <col min="12810" max="12811" width="10.42578125" style="57" customWidth="1"/>
    <col min="12812" max="12812" width="11.5703125" style="57" customWidth="1"/>
    <col min="12813" max="12814" width="10.42578125" style="57" customWidth="1"/>
    <col min="12815" max="12815" width="6.5703125" style="57" customWidth="1"/>
    <col min="12816" max="12816" width="11.42578125" style="57" customWidth="1"/>
    <col min="12817" max="12817" width="4.140625" style="57" customWidth="1"/>
    <col min="12818" max="12818" width="18.5703125" style="57" customWidth="1"/>
    <col min="12819" max="12819" width="2.140625" style="57" customWidth="1"/>
    <col min="12820" max="12820" width="10.42578125" style="57" customWidth="1"/>
    <col min="12821" max="13062" width="9.140625" style="57"/>
    <col min="13063" max="13063" width="10" style="57" customWidth="1"/>
    <col min="13064" max="13064" width="40" style="57" customWidth="1"/>
    <col min="13065" max="13065" width="12.5703125" style="57" customWidth="1"/>
    <col min="13066" max="13067" width="10.42578125" style="57" customWidth="1"/>
    <col min="13068" max="13068" width="11.5703125" style="57" customWidth="1"/>
    <col min="13069" max="13070" width="10.42578125" style="57" customWidth="1"/>
    <col min="13071" max="13071" width="6.5703125" style="57" customWidth="1"/>
    <col min="13072" max="13072" width="11.42578125" style="57" customWidth="1"/>
    <col min="13073" max="13073" width="4.140625" style="57" customWidth="1"/>
    <col min="13074" max="13074" width="18.5703125" style="57" customWidth="1"/>
    <col min="13075" max="13075" width="2.140625" style="57" customWidth="1"/>
    <col min="13076" max="13076" width="10.42578125" style="57" customWidth="1"/>
    <col min="13077" max="13318" width="9.140625" style="57"/>
    <col min="13319" max="13319" width="10" style="57" customWidth="1"/>
    <col min="13320" max="13320" width="40" style="57" customWidth="1"/>
    <col min="13321" max="13321" width="12.5703125" style="57" customWidth="1"/>
    <col min="13322" max="13323" width="10.42578125" style="57" customWidth="1"/>
    <col min="13324" max="13324" width="11.5703125" style="57" customWidth="1"/>
    <col min="13325" max="13326" width="10.42578125" style="57" customWidth="1"/>
    <col min="13327" max="13327" width="6.5703125" style="57" customWidth="1"/>
    <col min="13328" max="13328" width="11.42578125" style="57" customWidth="1"/>
    <col min="13329" max="13329" width="4.140625" style="57" customWidth="1"/>
    <col min="13330" max="13330" width="18.5703125" style="57" customWidth="1"/>
    <col min="13331" max="13331" width="2.140625" style="57" customWidth="1"/>
    <col min="13332" max="13332" width="10.42578125" style="57" customWidth="1"/>
    <col min="13333" max="13574" width="9.140625" style="57"/>
    <col min="13575" max="13575" width="10" style="57" customWidth="1"/>
    <col min="13576" max="13576" width="40" style="57" customWidth="1"/>
    <col min="13577" max="13577" width="12.5703125" style="57" customWidth="1"/>
    <col min="13578" max="13579" width="10.42578125" style="57" customWidth="1"/>
    <col min="13580" max="13580" width="11.5703125" style="57" customWidth="1"/>
    <col min="13581" max="13582" width="10.42578125" style="57" customWidth="1"/>
    <col min="13583" max="13583" width="6.5703125" style="57" customWidth="1"/>
    <col min="13584" max="13584" width="11.42578125" style="57" customWidth="1"/>
    <col min="13585" max="13585" width="4.140625" style="57" customWidth="1"/>
    <col min="13586" max="13586" width="18.5703125" style="57" customWidth="1"/>
    <col min="13587" max="13587" width="2.140625" style="57" customWidth="1"/>
    <col min="13588" max="13588" width="10.42578125" style="57" customWidth="1"/>
    <col min="13589" max="13830" width="9.140625" style="57"/>
    <col min="13831" max="13831" width="10" style="57" customWidth="1"/>
    <col min="13832" max="13832" width="40" style="57" customWidth="1"/>
    <col min="13833" max="13833" width="12.5703125" style="57" customWidth="1"/>
    <col min="13834" max="13835" width="10.42578125" style="57" customWidth="1"/>
    <col min="13836" max="13836" width="11.5703125" style="57" customWidth="1"/>
    <col min="13837" max="13838" width="10.42578125" style="57" customWidth="1"/>
    <col min="13839" max="13839" width="6.5703125" style="57" customWidth="1"/>
    <col min="13840" max="13840" width="11.42578125" style="57" customWidth="1"/>
    <col min="13841" max="13841" width="4.140625" style="57" customWidth="1"/>
    <col min="13842" max="13842" width="18.5703125" style="57" customWidth="1"/>
    <col min="13843" max="13843" width="2.140625" style="57" customWidth="1"/>
    <col min="13844" max="13844" width="10.42578125" style="57" customWidth="1"/>
    <col min="13845" max="14086" width="9.140625" style="57"/>
    <col min="14087" max="14087" width="10" style="57" customWidth="1"/>
    <col min="14088" max="14088" width="40" style="57" customWidth="1"/>
    <col min="14089" max="14089" width="12.5703125" style="57" customWidth="1"/>
    <col min="14090" max="14091" width="10.42578125" style="57" customWidth="1"/>
    <col min="14092" max="14092" width="11.5703125" style="57" customWidth="1"/>
    <col min="14093" max="14094" width="10.42578125" style="57" customWidth="1"/>
    <col min="14095" max="14095" width="6.5703125" style="57" customWidth="1"/>
    <col min="14096" max="14096" width="11.42578125" style="57" customWidth="1"/>
    <col min="14097" max="14097" width="4.140625" style="57" customWidth="1"/>
    <col min="14098" max="14098" width="18.5703125" style="57" customWidth="1"/>
    <col min="14099" max="14099" width="2.140625" style="57" customWidth="1"/>
    <col min="14100" max="14100" width="10.42578125" style="57" customWidth="1"/>
    <col min="14101" max="14342" width="9.140625" style="57"/>
    <col min="14343" max="14343" width="10" style="57" customWidth="1"/>
    <col min="14344" max="14344" width="40" style="57" customWidth="1"/>
    <col min="14345" max="14345" width="12.5703125" style="57" customWidth="1"/>
    <col min="14346" max="14347" width="10.42578125" style="57" customWidth="1"/>
    <col min="14348" max="14348" width="11.5703125" style="57" customWidth="1"/>
    <col min="14349" max="14350" width="10.42578125" style="57" customWidth="1"/>
    <col min="14351" max="14351" width="6.5703125" style="57" customWidth="1"/>
    <col min="14352" max="14352" width="11.42578125" style="57" customWidth="1"/>
    <col min="14353" max="14353" width="4.140625" style="57" customWidth="1"/>
    <col min="14354" max="14354" width="18.5703125" style="57" customWidth="1"/>
    <col min="14355" max="14355" width="2.140625" style="57" customWidth="1"/>
    <col min="14356" max="14356" width="10.42578125" style="57" customWidth="1"/>
    <col min="14357" max="14598" width="9.140625" style="57"/>
    <col min="14599" max="14599" width="10" style="57" customWidth="1"/>
    <col min="14600" max="14600" width="40" style="57" customWidth="1"/>
    <col min="14601" max="14601" width="12.5703125" style="57" customWidth="1"/>
    <col min="14602" max="14603" width="10.42578125" style="57" customWidth="1"/>
    <col min="14604" max="14604" width="11.5703125" style="57" customWidth="1"/>
    <col min="14605" max="14606" width="10.42578125" style="57" customWidth="1"/>
    <col min="14607" max="14607" width="6.5703125" style="57" customWidth="1"/>
    <col min="14608" max="14608" width="11.42578125" style="57" customWidth="1"/>
    <col min="14609" max="14609" width="4.140625" style="57" customWidth="1"/>
    <col min="14610" max="14610" width="18.5703125" style="57" customWidth="1"/>
    <col min="14611" max="14611" width="2.140625" style="57" customWidth="1"/>
    <col min="14612" max="14612" width="10.42578125" style="57" customWidth="1"/>
    <col min="14613" max="14854" width="9.140625" style="57"/>
    <col min="14855" max="14855" width="10" style="57" customWidth="1"/>
    <col min="14856" max="14856" width="40" style="57" customWidth="1"/>
    <col min="14857" max="14857" width="12.5703125" style="57" customWidth="1"/>
    <col min="14858" max="14859" width="10.42578125" style="57" customWidth="1"/>
    <col min="14860" max="14860" width="11.5703125" style="57" customWidth="1"/>
    <col min="14861" max="14862" width="10.42578125" style="57" customWidth="1"/>
    <col min="14863" max="14863" width="6.5703125" style="57" customWidth="1"/>
    <col min="14864" max="14864" width="11.42578125" style="57" customWidth="1"/>
    <col min="14865" max="14865" width="4.140625" style="57" customWidth="1"/>
    <col min="14866" max="14866" width="18.5703125" style="57" customWidth="1"/>
    <col min="14867" max="14867" width="2.140625" style="57" customWidth="1"/>
    <col min="14868" max="14868" width="10.42578125" style="57" customWidth="1"/>
    <col min="14869" max="15110" width="9.140625" style="57"/>
    <col min="15111" max="15111" width="10" style="57" customWidth="1"/>
    <col min="15112" max="15112" width="40" style="57" customWidth="1"/>
    <col min="15113" max="15113" width="12.5703125" style="57" customWidth="1"/>
    <col min="15114" max="15115" width="10.42578125" style="57" customWidth="1"/>
    <col min="15116" max="15116" width="11.5703125" style="57" customWidth="1"/>
    <col min="15117" max="15118" width="10.42578125" style="57" customWidth="1"/>
    <col min="15119" max="15119" width="6.5703125" style="57" customWidth="1"/>
    <col min="15120" max="15120" width="11.42578125" style="57" customWidth="1"/>
    <col min="15121" max="15121" width="4.140625" style="57" customWidth="1"/>
    <col min="15122" max="15122" width="18.5703125" style="57" customWidth="1"/>
    <col min="15123" max="15123" width="2.140625" style="57" customWidth="1"/>
    <col min="15124" max="15124" width="10.42578125" style="57" customWidth="1"/>
    <col min="15125" max="15366" width="9.140625" style="57"/>
    <col min="15367" max="15367" width="10" style="57" customWidth="1"/>
    <col min="15368" max="15368" width="40" style="57" customWidth="1"/>
    <col min="15369" max="15369" width="12.5703125" style="57" customWidth="1"/>
    <col min="15370" max="15371" width="10.42578125" style="57" customWidth="1"/>
    <col min="15372" max="15372" width="11.5703125" style="57" customWidth="1"/>
    <col min="15373" max="15374" width="10.42578125" style="57" customWidth="1"/>
    <col min="15375" max="15375" width="6.5703125" style="57" customWidth="1"/>
    <col min="15376" max="15376" width="11.42578125" style="57" customWidth="1"/>
    <col min="15377" max="15377" width="4.140625" style="57" customWidth="1"/>
    <col min="15378" max="15378" width="18.5703125" style="57" customWidth="1"/>
    <col min="15379" max="15379" width="2.140625" style="57" customWidth="1"/>
    <col min="15380" max="15380" width="10.42578125" style="57" customWidth="1"/>
    <col min="15381" max="15622" width="9.140625" style="57"/>
    <col min="15623" max="15623" width="10" style="57" customWidth="1"/>
    <col min="15624" max="15624" width="40" style="57" customWidth="1"/>
    <col min="15625" max="15625" width="12.5703125" style="57" customWidth="1"/>
    <col min="15626" max="15627" width="10.42578125" style="57" customWidth="1"/>
    <col min="15628" max="15628" width="11.5703125" style="57" customWidth="1"/>
    <col min="15629" max="15630" width="10.42578125" style="57" customWidth="1"/>
    <col min="15631" max="15631" width="6.5703125" style="57" customWidth="1"/>
    <col min="15632" max="15632" width="11.42578125" style="57" customWidth="1"/>
    <col min="15633" max="15633" width="4.140625" style="57" customWidth="1"/>
    <col min="15634" max="15634" width="18.5703125" style="57" customWidth="1"/>
    <col min="15635" max="15635" width="2.140625" style="57" customWidth="1"/>
    <col min="15636" max="15636" width="10.42578125" style="57" customWidth="1"/>
    <col min="15637" max="15878" width="9.140625" style="57"/>
    <col min="15879" max="15879" width="10" style="57" customWidth="1"/>
    <col min="15880" max="15880" width="40" style="57" customWidth="1"/>
    <col min="15881" max="15881" width="12.5703125" style="57" customWidth="1"/>
    <col min="15882" max="15883" width="10.42578125" style="57" customWidth="1"/>
    <col min="15884" max="15884" width="11.5703125" style="57" customWidth="1"/>
    <col min="15885" max="15886" width="10.42578125" style="57" customWidth="1"/>
    <col min="15887" max="15887" width="6.5703125" style="57" customWidth="1"/>
    <col min="15888" max="15888" width="11.42578125" style="57" customWidth="1"/>
    <col min="15889" max="15889" width="4.140625" style="57" customWidth="1"/>
    <col min="15890" max="15890" width="18.5703125" style="57" customWidth="1"/>
    <col min="15891" max="15891" width="2.140625" style="57" customWidth="1"/>
    <col min="15892" max="15892" width="10.42578125" style="57" customWidth="1"/>
    <col min="15893" max="16134" width="9.140625" style="57"/>
    <col min="16135" max="16135" width="10" style="57" customWidth="1"/>
    <col min="16136" max="16136" width="40" style="57" customWidth="1"/>
    <col min="16137" max="16137" width="12.5703125" style="57" customWidth="1"/>
    <col min="16138" max="16139" width="10.42578125" style="57" customWidth="1"/>
    <col min="16140" max="16140" width="11.5703125" style="57" customWidth="1"/>
    <col min="16141" max="16142" width="10.42578125" style="57" customWidth="1"/>
    <col min="16143" max="16143" width="6.5703125" style="57" customWidth="1"/>
    <col min="16144" max="16144" width="11.42578125" style="57" customWidth="1"/>
    <col min="16145" max="16145" width="4.140625" style="57" customWidth="1"/>
    <col min="16146" max="16146" width="18.5703125" style="57" customWidth="1"/>
    <col min="16147" max="16147" width="2.140625" style="57" customWidth="1"/>
    <col min="16148" max="16148" width="10.42578125" style="57" customWidth="1"/>
    <col min="16149" max="16384" width="9.140625" style="57"/>
  </cols>
  <sheetData>
    <row r="1" spans="2:21" ht="13.5" customHeight="1" x14ac:dyDescent="0.25">
      <c r="H1" s="782" t="s">
        <v>38</v>
      </c>
      <c r="I1" s="782"/>
      <c r="J1" s="782"/>
      <c r="K1" s="782"/>
      <c r="L1" s="782"/>
      <c r="M1" s="782" t="s">
        <v>39</v>
      </c>
      <c r="N1" s="782"/>
      <c r="O1" s="782" t="s">
        <v>40</v>
      </c>
      <c r="P1" s="782"/>
      <c r="Q1" s="782"/>
    </row>
    <row r="2" spans="2:21" s="59" customFormat="1" ht="15" customHeight="1" x14ac:dyDescent="0.25">
      <c r="B2" s="60" t="s">
        <v>41</v>
      </c>
      <c r="C2" s="61" t="s">
        <v>42</v>
      </c>
      <c r="D2" s="61" t="s">
        <v>43</v>
      </c>
      <c r="E2" s="61" t="s">
        <v>44</v>
      </c>
      <c r="F2" s="61" t="s">
        <v>45</v>
      </c>
      <c r="G2" s="61" t="s">
        <v>46</v>
      </c>
      <c r="H2" s="61" t="s">
        <v>47</v>
      </c>
      <c r="I2" s="61" t="s">
        <v>48</v>
      </c>
      <c r="J2" s="61" t="s">
        <v>47</v>
      </c>
      <c r="K2" s="61" t="s">
        <v>48</v>
      </c>
      <c r="L2" s="65" t="s">
        <v>49</v>
      </c>
      <c r="M2" s="65" t="s">
        <v>39</v>
      </c>
      <c r="N2" s="65" t="s">
        <v>49</v>
      </c>
      <c r="O2" s="65" t="s">
        <v>47</v>
      </c>
      <c r="P2" s="65" t="s">
        <v>48</v>
      </c>
      <c r="Q2" s="65" t="s">
        <v>49</v>
      </c>
      <c r="R2" s="63" t="s">
        <v>50</v>
      </c>
      <c r="T2" s="81" t="s">
        <v>53</v>
      </c>
      <c r="U2" s="82">
        <v>4</v>
      </c>
    </row>
    <row r="3" spans="2:21" ht="15" customHeight="1" x14ac:dyDescent="0.25">
      <c r="B3" s="67">
        <v>2</v>
      </c>
      <c r="C3" s="116" t="s">
        <v>51</v>
      </c>
      <c r="D3" s="110" t="s">
        <v>60</v>
      </c>
      <c r="E3" s="118">
        <v>44599</v>
      </c>
      <c r="F3" s="118"/>
      <c r="G3" s="116"/>
      <c r="H3" s="121"/>
      <c r="I3" s="121"/>
      <c r="J3" s="121"/>
      <c r="K3" s="121"/>
      <c r="L3" s="131">
        <v>0</v>
      </c>
      <c r="M3" s="140"/>
      <c r="N3" s="141">
        <v>0</v>
      </c>
      <c r="O3" s="127"/>
      <c r="P3" s="127"/>
      <c r="Q3" s="78">
        <v>0</v>
      </c>
      <c r="R3" s="142"/>
      <c r="T3" s="83" t="s">
        <v>44</v>
      </c>
      <c r="U3" s="84">
        <v>1</v>
      </c>
    </row>
    <row r="4" spans="2:21" ht="15" customHeight="1" x14ac:dyDescent="0.25">
      <c r="B4" s="202">
        <v>9</v>
      </c>
      <c r="C4" s="203" t="s">
        <v>98</v>
      </c>
      <c r="D4" s="204" t="s">
        <v>60</v>
      </c>
      <c r="E4" s="205">
        <v>45702</v>
      </c>
      <c r="F4" s="166"/>
      <c r="G4" s="116"/>
      <c r="H4" s="121"/>
      <c r="I4" s="121"/>
      <c r="J4" s="121"/>
      <c r="K4" s="121"/>
      <c r="L4" s="164">
        <v>0</v>
      </c>
      <c r="M4" s="145"/>
      <c r="N4" s="141">
        <v>0</v>
      </c>
      <c r="O4" s="127"/>
      <c r="P4" s="127"/>
      <c r="Q4" s="155">
        <v>0</v>
      </c>
      <c r="R4" s="142"/>
      <c r="T4" s="83" t="s">
        <v>45</v>
      </c>
      <c r="U4" s="84">
        <v>1</v>
      </c>
    </row>
    <row r="5" spans="2:21" ht="15" customHeight="1" x14ac:dyDescent="0.25">
      <c r="B5" s="67">
        <v>11</v>
      </c>
      <c r="C5" s="206" t="s">
        <v>99</v>
      </c>
      <c r="D5" s="207" t="s">
        <v>60</v>
      </c>
      <c r="E5" s="208">
        <v>45736</v>
      </c>
      <c r="F5" s="69"/>
      <c r="G5" s="68"/>
      <c r="H5" s="72"/>
      <c r="I5" s="72"/>
      <c r="J5" s="72"/>
      <c r="K5" s="72"/>
      <c r="L5" s="164">
        <v>0</v>
      </c>
      <c r="M5" s="132"/>
      <c r="N5" s="141">
        <v>0</v>
      </c>
      <c r="O5" s="109"/>
      <c r="P5" s="109"/>
      <c r="Q5" s="155">
        <v>0</v>
      </c>
      <c r="R5" s="134"/>
      <c r="T5" s="100" t="s">
        <v>56</v>
      </c>
      <c r="U5" s="101">
        <f>U2+U3-U4</f>
        <v>4</v>
      </c>
    </row>
    <row r="6" spans="2:21" ht="15" customHeight="1" x14ac:dyDescent="0.25">
      <c r="B6" s="115">
        <v>11</v>
      </c>
      <c r="C6" s="152" t="s">
        <v>124</v>
      </c>
      <c r="D6" s="163" t="s">
        <v>60</v>
      </c>
      <c r="E6" s="154">
        <v>45964</v>
      </c>
      <c r="F6" s="118"/>
      <c r="G6" s="116"/>
      <c r="H6" s="121"/>
      <c r="I6" s="121"/>
      <c r="J6" s="121"/>
      <c r="K6" s="121"/>
      <c r="L6" s="164">
        <v>0</v>
      </c>
      <c r="M6" s="140"/>
      <c r="N6" s="141">
        <v>0</v>
      </c>
      <c r="O6" s="127"/>
      <c r="P6" s="127"/>
      <c r="Q6" s="155">
        <v>0</v>
      </c>
      <c r="R6" s="142"/>
      <c r="T6" s="212"/>
      <c r="U6" s="213"/>
    </row>
    <row r="7" spans="2:21" ht="15" customHeight="1" x14ac:dyDescent="0.25">
      <c r="B7" s="85">
        <v>10</v>
      </c>
      <c r="C7" s="282" t="s">
        <v>121</v>
      </c>
      <c r="D7" s="283" t="s">
        <v>60</v>
      </c>
      <c r="E7" s="284">
        <v>45734</v>
      </c>
      <c r="F7" s="149">
        <v>45975</v>
      </c>
      <c r="G7" s="86"/>
      <c r="H7" s="90"/>
      <c r="I7" s="90"/>
      <c r="J7" s="90"/>
      <c r="K7" s="90"/>
      <c r="L7" s="135">
        <v>0</v>
      </c>
      <c r="M7" s="136"/>
      <c r="N7" s="137">
        <v>0</v>
      </c>
      <c r="O7" s="96"/>
      <c r="P7" s="96"/>
      <c r="Q7" s="138">
        <v>0</v>
      </c>
      <c r="R7" s="139"/>
    </row>
    <row r="8" spans="2:21" ht="15" customHeight="1" x14ac:dyDescent="0.25">
      <c r="L8" s="99">
        <f>SUM(L3:L4)</f>
        <v>0</v>
      </c>
      <c r="N8" s="99">
        <f>SUM(N3:N4)</f>
        <v>0</v>
      </c>
      <c r="O8" s="99"/>
      <c r="P8" s="99"/>
      <c r="Q8" s="99">
        <f>SUM(Q3:Q4)</f>
        <v>0</v>
      </c>
      <c r="T8" s="81" t="s">
        <v>57</v>
      </c>
      <c r="U8" s="82">
        <v>2</v>
      </c>
    </row>
    <row r="9" spans="2:21" ht="15" customHeight="1" x14ac:dyDescent="0.25">
      <c r="T9" s="100" t="s">
        <v>13</v>
      </c>
      <c r="U9" s="101">
        <f>U5+U8</f>
        <v>6</v>
      </c>
    </row>
    <row r="10" spans="2:21" ht="15" customHeight="1" x14ac:dyDescent="0.25"/>
    <row r="11" spans="2:21" ht="15" customHeight="1" x14ac:dyDescent="0.25">
      <c r="T11" s="784" t="s">
        <v>58</v>
      </c>
      <c r="U11" s="784"/>
    </row>
    <row r="12" spans="2:21" ht="15" customHeight="1" x14ac:dyDescent="0.25">
      <c r="T12" s="83" t="s">
        <v>38</v>
      </c>
      <c r="U12" s="102">
        <v>0</v>
      </c>
    </row>
    <row r="13" spans="2:21" ht="15" customHeight="1" x14ac:dyDescent="0.25">
      <c r="T13" s="103" t="s">
        <v>39</v>
      </c>
      <c r="U13" s="104">
        <f>N8</f>
        <v>0</v>
      </c>
    </row>
    <row r="14" spans="2:21" ht="15" customHeight="1" x14ac:dyDescent="0.25"/>
    <row r="15" spans="2:21" ht="15" customHeight="1" x14ac:dyDescent="0.25">
      <c r="T15" s="81" t="s">
        <v>40</v>
      </c>
      <c r="U15" s="105">
        <f>Q8</f>
        <v>0</v>
      </c>
    </row>
    <row r="16" spans="2:21" ht="15" customHeight="1" x14ac:dyDescent="0.25">
      <c r="T16" s="103" t="s">
        <v>59</v>
      </c>
      <c r="U16" s="104">
        <v>11</v>
      </c>
    </row>
    <row r="17" spans="20:21" ht="15" customHeight="1" x14ac:dyDescent="0.25"/>
    <row r="18" spans="20:21" ht="15" customHeight="1" x14ac:dyDescent="0.25">
      <c r="T18" s="106" t="s">
        <v>22</v>
      </c>
      <c r="U18" s="107">
        <v>21</v>
      </c>
    </row>
    <row r="19" spans="20:21" ht="15" customHeight="1" x14ac:dyDescent="0.25"/>
    <row r="20" spans="20:21" ht="15" customHeight="1" x14ac:dyDescent="0.25"/>
    <row r="21" spans="20:21" ht="15" customHeight="1" x14ac:dyDescent="0.25"/>
    <row r="22" spans="20:21" ht="15" customHeight="1" x14ac:dyDescent="0.25"/>
    <row r="23" spans="20:21" ht="15" customHeight="1" x14ac:dyDescent="0.25"/>
    <row r="24" spans="20:21" ht="15" customHeight="1" x14ac:dyDescent="0.25"/>
    <row r="25" spans="20:21" ht="15" customHeight="1" x14ac:dyDescent="0.25"/>
    <row r="26" spans="20:21" ht="15" customHeight="1" x14ac:dyDescent="0.25"/>
    <row r="27" spans="20:21" ht="15" customHeight="1" x14ac:dyDescent="0.25"/>
    <row r="28" spans="20:21" ht="15" customHeight="1" x14ac:dyDescent="0.25"/>
    <row r="29" spans="20:21" ht="15" customHeight="1" x14ac:dyDescent="0.25"/>
    <row r="30" spans="20:21" ht="15" customHeight="1" x14ac:dyDescent="0.25"/>
    <row r="31" spans="20:21" ht="15" customHeight="1" x14ac:dyDescent="0.25"/>
    <row r="32" spans="20:21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</sheetData>
  <mergeCells count="4">
    <mergeCell ref="H1:L1"/>
    <mergeCell ref="M1:N1"/>
    <mergeCell ref="O1:Q1"/>
    <mergeCell ref="T11:U1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U36"/>
  <sheetViews>
    <sheetView showGridLines="0" zoomScaleNormal="100" workbookViewId="0">
      <selection activeCell="E30" sqref="E30"/>
    </sheetView>
  </sheetViews>
  <sheetFormatPr defaultColWidth="9.140625" defaultRowHeight="12.75" x14ac:dyDescent="0.25"/>
  <cols>
    <col min="1" max="1" width="9.140625" style="57"/>
    <col min="2" max="2" width="10" style="57" customWidth="1"/>
    <col min="3" max="3" width="40" style="57" customWidth="1"/>
    <col min="4" max="4" width="12.5703125" style="57" customWidth="1"/>
    <col min="5" max="6" width="10.7109375" style="57" customWidth="1"/>
    <col min="7" max="7" width="11.5703125" style="57" customWidth="1"/>
    <col min="8" max="11" width="10.42578125" style="57" customWidth="1"/>
    <col min="12" max="12" width="4.140625" style="57" customWidth="1"/>
    <col min="13" max="13" width="11.42578125" style="58" customWidth="1"/>
    <col min="14" max="14" width="4.140625" style="57" customWidth="1"/>
    <col min="15" max="16" width="10.42578125" style="57" customWidth="1"/>
    <col min="17" max="17" width="4.140625" style="57" customWidth="1"/>
    <col min="18" max="18" width="27.140625" style="57" customWidth="1"/>
    <col min="19" max="19" width="2.140625" style="57" customWidth="1"/>
    <col min="20" max="20" width="13.140625" style="57" customWidth="1"/>
    <col min="21" max="21" width="5.140625" style="57" customWidth="1"/>
    <col min="22" max="262" width="9.140625" style="57"/>
    <col min="263" max="263" width="10" style="57" customWidth="1"/>
    <col min="264" max="264" width="40" style="57" customWidth="1"/>
    <col min="265" max="265" width="12.5703125" style="57" customWidth="1"/>
    <col min="266" max="267" width="10.42578125" style="57" customWidth="1"/>
    <col min="268" max="268" width="11.5703125" style="57" customWidth="1"/>
    <col min="269" max="270" width="10.42578125" style="57" customWidth="1"/>
    <col min="271" max="271" width="6.5703125" style="57" customWidth="1"/>
    <col min="272" max="272" width="11.42578125" style="57" customWidth="1"/>
    <col min="273" max="273" width="4.140625" style="57" customWidth="1"/>
    <col min="274" max="274" width="18.5703125" style="57" customWidth="1"/>
    <col min="275" max="275" width="2.140625" style="57" customWidth="1"/>
    <col min="276" max="276" width="10.42578125" style="57" customWidth="1"/>
    <col min="277" max="518" width="9.140625" style="57"/>
    <col min="519" max="519" width="10" style="57" customWidth="1"/>
    <col min="520" max="520" width="40" style="57" customWidth="1"/>
    <col min="521" max="521" width="12.5703125" style="57" customWidth="1"/>
    <col min="522" max="523" width="10.42578125" style="57" customWidth="1"/>
    <col min="524" max="524" width="11.5703125" style="57" customWidth="1"/>
    <col min="525" max="526" width="10.42578125" style="57" customWidth="1"/>
    <col min="527" max="527" width="6.5703125" style="57" customWidth="1"/>
    <col min="528" max="528" width="11.42578125" style="57" customWidth="1"/>
    <col min="529" max="529" width="4.140625" style="57" customWidth="1"/>
    <col min="530" max="530" width="18.5703125" style="57" customWidth="1"/>
    <col min="531" max="531" width="2.140625" style="57" customWidth="1"/>
    <col min="532" max="532" width="10.42578125" style="57" customWidth="1"/>
    <col min="533" max="774" width="9.140625" style="57"/>
    <col min="775" max="775" width="10" style="57" customWidth="1"/>
    <col min="776" max="776" width="40" style="57" customWidth="1"/>
    <col min="777" max="777" width="12.5703125" style="57" customWidth="1"/>
    <col min="778" max="779" width="10.42578125" style="57" customWidth="1"/>
    <col min="780" max="780" width="11.5703125" style="57" customWidth="1"/>
    <col min="781" max="782" width="10.42578125" style="57" customWidth="1"/>
    <col min="783" max="783" width="6.5703125" style="57" customWidth="1"/>
    <col min="784" max="784" width="11.42578125" style="57" customWidth="1"/>
    <col min="785" max="785" width="4.140625" style="57" customWidth="1"/>
    <col min="786" max="786" width="18.5703125" style="57" customWidth="1"/>
    <col min="787" max="787" width="2.140625" style="57" customWidth="1"/>
    <col min="788" max="788" width="10.42578125" style="57" customWidth="1"/>
    <col min="789" max="1030" width="9.140625" style="57"/>
    <col min="1031" max="1031" width="10" style="57" customWidth="1"/>
    <col min="1032" max="1032" width="40" style="57" customWidth="1"/>
    <col min="1033" max="1033" width="12.5703125" style="57" customWidth="1"/>
    <col min="1034" max="1035" width="10.42578125" style="57" customWidth="1"/>
    <col min="1036" max="1036" width="11.5703125" style="57" customWidth="1"/>
    <col min="1037" max="1038" width="10.42578125" style="57" customWidth="1"/>
    <col min="1039" max="1039" width="6.5703125" style="57" customWidth="1"/>
    <col min="1040" max="1040" width="11.42578125" style="57" customWidth="1"/>
    <col min="1041" max="1041" width="4.140625" style="57" customWidth="1"/>
    <col min="1042" max="1042" width="18.5703125" style="57" customWidth="1"/>
    <col min="1043" max="1043" width="2.140625" style="57" customWidth="1"/>
    <col min="1044" max="1044" width="10.42578125" style="57" customWidth="1"/>
    <col min="1045" max="1286" width="9.140625" style="57"/>
    <col min="1287" max="1287" width="10" style="57" customWidth="1"/>
    <col min="1288" max="1288" width="40" style="57" customWidth="1"/>
    <col min="1289" max="1289" width="12.5703125" style="57" customWidth="1"/>
    <col min="1290" max="1291" width="10.42578125" style="57" customWidth="1"/>
    <col min="1292" max="1292" width="11.5703125" style="57" customWidth="1"/>
    <col min="1293" max="1294" width="10.42578125" style="57" customWidth="1"/>
    <col min="1295" max="1295" width="6.5703125" style="57" customWidth="1"/>
    <col min="1296" max="1296" width="11.42578125" style="57" customWidth="1"/>
    <col min="1297" max="1297" width="4.140625" style="57" customWidth="1"/>
    <col min="1298" max="1298" width="18.5703125" style="57" customWidth="1"/>
    <col min="1299" max="1299" width="2.140625" style="57" customWidth="1"/>
    <col min="1300" max="1300" width="10.42578125" style="57" customWidth="1"/>
    <col min="1301" max="1542" width="9.140625" style="57"/>
    <col min="1543" max="1543" width="10" style="57" customWidth="1"/>
    <col min="1544" max="1544" width="40" style="57" customWidth="1"/>
    <col min="1545" max="1545" width="12.5703125" style="57" customWidth="1"/>
    <col min="1546" max="1547" width="10.42578125" style="57" customWidth="1"/>
    <col min="1548" max="1548" width="11.5703125" style="57" customWidth="1"/>
    <col min="1549" max="1550" width="10.42578125" style="57" customWidth="1"/>
    <col min="1551" max="1551" width="6.5703125" style="57" customWidth="1"/>
    <col min="1552" max="1552" width="11.42578125" style="57" customWidth="1"/>
    <col min="1553" max="1553" width="4.140625" style="57" customWidth="1"/>
    <col min="1554" max="1554" width="18.5703125" style="57" customWidth="1"/>
    <col min="1555" max="1555" width="2.140625" style="57" customWidth="1"/>
    <col min="1556" max="1556" width="10.42578125" style="57" customWidth="1"/>
    <col min="1557" max="1798" width="9.140625" style="57"/>
    <col min="1799" max="1799" width="10" style="57" customWidth="1"/>
    <col min="1800" max="1800" width="40" style="57" customWidth="1"/>
    <col min="1801" max="1801" width="12.5703125" style="57" customWidth="1"/>
    <col min="1802" max="1803" width="10.42578125" style="57" customWidth="1"/>
    <col min="1804" max="1804" width="11.5703125" style="57" customWidth="1"/>
    <col min="1805" max="1806" width="10.42578125" style="57" customWidth="1"/>
    <col min="1807" max="1807" width="6.5703125" style="57" customWidth="1"/>
    <col min="1808" max="1808" width="11.42578125" style="57" customWidth="1"/>
    <col min="1809" max="1809" width="4.140625" style="57" customWidth="1"/>
    <col min="1810" max="1810" width="18.5703125" style="57" customWidth="1"/>
    <col min="1811" max="1811" width="2.140625" style="57" customWidth="1"/>
    <col min="1812" max="1812" width="10.42578125" style="57" customWidth="1"/>
    <col min="1813" max="2054" width="9.140625" style="57"/>
    <col min="2055" max="2055" width="10" style="57" customWidth="1"/>
    <col min="2056" max="2056" width="40" style="57" customWidth="1"/>
    <col min="2057" max="2057" width="12.5703125" style="57" customWidth="1"/>
    <col min="2058" max="2059" width="10.42578125" style="57" customWidth="1"/>
    <col min="2060" max="2060" width="11.5703125" style="57" customWidth="1"/>
    <col min="2061" max="2062" width="10.42578125" style="57" customWidth="1"/>
    <col min="2063" max="2063" width="6.5703125" style="57" customWidth="1"/>
    <col min="2064" max="2064" width="11.42578125" style="57" customWidth="1"/>
    <col min="2065" max="2065" width="4.140625" style="57" customWidth="1"/>
    <col min="2066" max="2066" width="18.5703125" style="57" customWidth="1"/>
    <col min="2067" max="2067" width="2.140625" style="57" customWidth="1"/>
    <col min="2068" max="2068" width="10.42578125" style="57" customWidth="1"/>
    <col min="2069" max="2310" width="9.140625" style="57"/>
    <col min="2311" max="2311" width="10" style="57" customWidth="1"/>
    <col min="2312" max="2312" width="40" style="57" customWidth="1"/>
    <col min="2313" max="2313" width="12.5703125" style="57" customWidth="1"/>
    <col min="2314" max="2315" width="10.42578125" style="57" customWidth="1"/>
    <col min="2316" max="2316" width="11.5703125" style="57" customWidth="1"/>
    <col min="2317" max="2318" width="10.42578125" style="57" customWidth="1"/>
    <col min="2319" max="2319" width="6.5703125" style="57" customWidth="1"/>
    <col min="2320" max="2320" width="11.42578125" style="57" customWidth="1"/>
    <col min="2321" max="2321" width="4.140625" style="57" customWidth="1"/>
    <col min="2322" max="2322" width="18.5703125" style="57" customWidth="1"/>
    <col min="2323" max="2323" width="2.140625" style="57" customWidth="1"/>
    <col min="2324" max="2324" width="10.42578125" style="57" customWidth="1"/>
    <col min="2325" max="2566" width="9.140625" style="57"/>
    <col min="2567" max="2567" width="10" style="57" customWidth="1"/>
    <col min="2568" max="2568" width="40" style="57" customWidth="1"/>
    <col min="2569" max="2569" width="12.5703125" style="57" customWidth="1"/>
    <col min="2570" max="2571" width="10.42578125" style="57" customWidth="1"/>
    <col min="2572" max="2572" width="11.5703125" style="57" customWidth="1"/>
    <col min="2573" max="2574" width="10.42578125" style="57" customWidth="1"/>
    <col min="2575" max="2575" width="6.5703125" style="57" customWidth="1"/>
    <col min="2576" max="2576" width="11.42578125" style="57" customWidth="1"/>
    <col min="2577" max="2577" width="4.140625" style="57" customWidth="1"/>
    <col min="2578" max="2578" width="18.5703125" style="57" customWidth="1"/>
    <col min="2579" max="2579" width="2.140625" style="57" customWidth="1"/>
    <col min="2580" max="2580" width="10.42578125" style="57" customWidth="1"/>
    <col min="2581" max="2822" width="9.140625" style="57"/>
    <col min="2823" max="2823" width="10" style="57" customWidth="1"/>
    <col min="2824" max="2824" width="40" style="57" customWidth="1"/>
    <col min="2825" max="2825" width="12.5703125" style="57" customWidth="1"/>
    <col min="2826" max="2827" width="10.42578125" style="57" customWidth="1"/>
    <col min="2828" max="2828" width="11.5703125" style="57" customWidth="1"/>
    <col min="2829" max="2830" width="10.42578125" style="57" customWidth="1"/>
    <col min="2831" max="2831" width="6.5703125" style="57" customWidth="1"/>
    <col min="2832" max="2832" width="11.42578125" style="57" customWidth="1"/>
    <col min="2833" max="2833" width="4.140625" style="57" customWidth="1"/>
    <col min="2834" max="2834" width="18.5703125" style="57" customWidth="1"/>
    <col min="2835" max="2835" width="2.140625" style="57" customWidth="1"/>
    <col min="2836" max="2836" width="10.42578125" style="57" customWidth="1"/>
    <col min="2837" max="3078" width="9.140625" style="57"/>
    <col min="3079" max="3079" width="10" style="57" customWidth="1"/>
    <col min="3080" max="3080" width="40" style="57" customWidth="1"/>
    <col min="3081" max="3081" width="12.5703125" style="57" customWidth="1"/>
    <col min="3082" max="3083" width="10.42578125" style="57" customWidth="1"/>
    <col min="3084" max="3084" width="11.5703125" style="57" customWidth="1"/>
    <col min="3085" max="3086" width="10.42578125" style="57" customWidth="1"/>
    <col min="3087" max="3087" width="6.5703125" style="57" customWidth="1"/>
    <col min="3088" max="3088" width="11.42578125" style="57" customWidth="1"/>
    <col min="3089" max="3089" width="4.140625" style="57" customWidth="1"/>
    <col min="3090" max="3090" width="18.5703125" style="57" customWidth="1"/>
    <col min="3091" max="3091" width="2.140625" style="57" customWidth="1"/>
    <col min="3092" max="3092" width="10.42578125" style="57" customWidth="1"/>
    <col min="3093" max="3334" width="9.140625" style="57"/>
    <col min="3335" max="3335" width="10" style="57" customWidth="1"/>
    <col min="3336" max="3336" width="40" style="57" customWidth="1"/>
    <col min="3337" max="3337" width="12.5703125" style="57" customWidth="1"/>
    <col min="3338" max="3339" width="10.42578125" style="57" customWidth="1"/>
    <col min="3340" max="3340" width="11.5703125" style="57" customWidth="1"/>
    <col min="3341" max="3342" width="10.42578125" style="57" customWidth="1"/>
    <col min="3343" max="3343" width="6.5703125" style="57" customWidth="1"/>
    <col min="3344" max="3344" width="11.42578125" style="57" customWidth="1"/>
    <col min="3345" max="3345" width="4.140625" style="57" customWidth="1"/>
    <col min="3346" max="3346" width="18.5703125" style="57" customWidth="1"/>
    <col min="3347" max="3347" width="2.140625" style="57" customWidth="1"/>
    <col min="3348" max="3348" width="10.42578125" style="57" customWidth="1"/>
    <col min="3349" max="3590" width="9.140625" style="57"/>
    <col min="3591" max="3591" width="10" style="57" customWidth="1"/>
    <col min="3592" max="3592" width="40" style="57" customWidth="1"/>
    <col min="3593" max="3593" width="12.5703125" style="57" customWidth="1"/>
    <col min="3594" max="3595" width="10.42578125" style="57" customWidth="1"/>
    <col min="3596" max="3596" width="11.5703125" style="57" customWidth="1"/>
    <col min="3597" max="3598" width="10.42578125" style="57" customWidth="1"/>
    <col min="3599" max="3599" width="6.5703125" style="57" customWidth="1"/>
    <col min="3600" max="3600" width="11.42578125" style="57" customWidth="1"/>
    <col min="3601" max="3601" width="4.140625" style="57" customWidth="1"/>
    <col min="3602" max="3602" width="18.5703125" style="57" customWidth="1"/>
    <col min="3603" max="3603" width="2.140625" style="57" customWidth="1"/>
    <col min="3604" max="3604" width="10.42578125" style="57" customWidth="1"/>
    <col min="3605" max="3846" width="9.140625" style="57"/>
    <col min="3847" max="3847" width="10" style="57" customWidth="1"/>
    <col min="3848" max="3848" width="40" style="57" customWidth="1"/>
    <col min="3849" max="3849" width="12.5703125" style="57" customWidth="1"/>
    <col min="3850" max="3851" width="10.42578125" style="57" customWidth="1"/>
    <col min="3852" max="3852" width="11.5703125" style="57" customWidth="1"/>
    <col min="3853" max="3854" width="10.42578125" style="57" customWidth="1"/>
    <col min="3855" max="3855" width="6.5703125" style="57" customWidth="1"/>
    <col min="3856" max="3856" width="11.42578125" style="57" customWidth="1"/>
    <col min="3857" max="3857" width="4.140625" style="57" customWidth="1"/>
    <col min="3858" max="3858" width="18.5703125" style="57" customWidth="1"/>
    <col min="3859" max="3859" width="2.140625" style="57" customWidth="1"/>
    <col min="3860" max="3860" width="10.42578125" style="57" customWidth="1"/>
    <col min="3861" max="4102" width="9.140625" style="57"/>
    <col min="4103" max="4103" width="10" style="57" customWidth="1"/>
    <col min="4104" max="4104" width="40" style="57" customWidth="1"/>
    <col min="4105" max="4105" width="12.5703125" style="57" customWidth="1"/>
    <col min="4106" max="4107" width="10.42578125" style="57" customWidth="1"/>
    <col min="4108" max="4108" width="11.5703125" style="57" customWidth="1"/>
    <col min="4109" max="4110" width="10.42578125" style="57" customWidth="1"/>
    <col min="4111" max="4111" width="6.5703125" style="57" customWidth="1"/>
    <col min="4112" max="4112" width="11.42578125" style="57" customWidth="1"/>
    <col min="4113" max="4113" width="4.140625" style="57" customWidth="1"/>
    <col min="4114" max="4114" width="18.5703125" style="57" customWidth="1"/>
    <col min="4115" max="4115" width="2.140625" style="57" customWidth="1"/>
    <col min="4116" max="4116" width="10.42578125" style="57" customWidth="1"/>
    <col min="4117" max="4358" width="9.140625" style="57"/>
    <col min="4359" max="4359" width="10" style="57" customWidth="1"/>
    <col min="4360" max="4360" width="40" style="57" customWidth="1"/>
    <col min="4361" max="4361" width="12.5703125" style="57" customWidth="1"/>
    <col min="4362" max="4363" width="10.42578125" style="57" customWidth="1"/>
    <col min="4364" max="4364" width="11.5703125" style="57" customWidth="1"/>
    <col min="4365" max="4366" width="10.42578125" style="57" customWidth="1"/>
    <col min="4367" max="4367" width="6.5703125" style="57" customWidth="1"/>
    <col min="4368" max="4368" width="11.42578125" style="57" customWidth="1"/>
    <col min="4369" max="4369" width="4.140625" style="57" customWidth="1"/>
    <col min="4370" max="4370" width="18.5703125" style="57" customWidth="1"/>
    <col min="4371" max="4371" width="2.140625" style="57" customWidth="1"/>
    <col min="4372" max="4372" width="10.42578125" style="57" customWidth="1"/>
    <col min="4373" max="4614" width="9.140625" style="57"/>
    <col min="4615" max="4615" width="10" style="57" customWidth="1"/>
    <col min="4616" max="4616" width="40" style="57" customWidth="1"/>
    <col min="4617" max="4617" width="12.5703125" style="57" customWidth="1"/>
    <col min="4618" max="4619" width="10.42578125" style="57" customWidth="1"/>
    <col min="4620" max="4620" width="11.5703125" style="57" customWidth="1"/>
    <col min="4621" max="4622" width="10.42578125" style="57" customWidth="1"/>
    <col min="4623" max="4623" width="6.5703125" style="57" customWidth="1"/>
    <col min="4624" max="4624" width="11.42578125" style="57" customWidth="1"/>
    <col min="4625" max="4625" width="4.140625" style="57" customWidth="1"/>
    <col min="4626" max="4626" width="18.5703125" style="57" customWidth="1"/>
    <col min="4627" max="4627" width="2.140625" style="57" customWidth="1"/>
    <col min="4628" max="4628" width="10.42578125" style="57" customWidth="1"/>
    <col min="4629" max="4870" width="9.140625" style="57"/>
    <col min="4871" max="4871" width="10" style="57" customWidth="1"/>
    <col min="4872" max="4872" width="40" style="57" customWidth="1"/>
    <col min="4873" max="4873" width="12.5703125" style="57" customWidth="1"/>
    <col min="4874" max="4875" width="10.42578125" style="57" customWidth="1"/>
    <col min="4876" max="4876" width="11.5703125" style="57" customWidth="1"/>
    <col min="4877" max="4878" width="10.42578125" style="57" customWidth="1"/>
    <col min="4879" max="4879" width="6.5703125" style="57" customWidth="1"/>
    <col min="4880" max="4880" width="11.42578125" style="57" customWidth="1"/>
    <col min="4881" max="4881" width="4.140625" style="57" customWidth="1"/>
    <col min="4882" max="4882" width="18.5703125" style="57" customWidth="1"/>
    <col min="4883" max="4883" width="2.140625" style="57" customWidth="1"/>
    <col min="4884" max="4884" width="10.42578125" style="57" customWidth="1"/>
    <col min="4885" max="5126" width="9.140625" style="57"/>
    <col min="5127" max="5127" width="10" style="57" customWidth="1"/>
    <col min="5128" max="5128" width="40" style="57" customWidth="1"/>
    <col min="5129" max="5129" width="12.5703125" style="57" customWidth="1"/>
    <col min="5130" max="5131" width="10.42578125" style="57" customWidth="1"/>
    <col min="5132" max="5132" width="11.5703125" style="57" customWidth="1"/>
    <col min="5133" max="5134" width="10.42578125" style="57" customWidth="1"/>
    <col min="5135" max="5135" width="6.5703125" style="57" customWidth="1"/>
    <col min="5136" max="5136" width="11.42578125" style="57" customWidth="1"/>
    <col min="5137" max="5137" width="4.140625" style="57" customWidth="1"/>
    <col min="5138" max="5138" width="18.5703125" style="57" customWidth="1"/>
    <col min="5139" max="5139" width="2.140625" style="57" customWidth="1"/>
    <col min="5140" max="5140" width="10.42578125" style="57" customWidth="1"/>
    <col min="5141" max="5382" width="9.140625" style="57"/>
    <col min="5383" max="5383" width="10" style="57" customWidth="1"/>
    <col min="5384" max="5384" width="40" style="57" customWidth="1"/>
    <col min="5385" max="5385" width="12.5703125" style="57" customWidth="1"/>
    <col min="5386" max="5387" width="10.42578125" style="57" customWidth="1"/>
    <col min="5388" max="5388" width="11.5703125" style="57" customWidth="1"/>
    <col min="5389" max="5390" width="10.42578125" style="57" customWidth="1"/>
    <col min="5391" max="5391" width="6.5703125" style="57" customWidth="1"/>
    <col min="5392" max="5392" width="11.42578125" style="57" customWidth="1"/>
    <col min="5393" max="5393" width="4.140625" style="57" customWidth="1"/>
    <col min="5394" max="5394" width="18.5703125" style="57" customWidth="1"/>
    <col min="5395" max="5395" width="2.140625" style="57" customWidth="1"/>
    <col min="5396" max="5396" width="10.42578125" style="57" customWidth="1"/>
    <col min="5397" max="5638" width="9.140625" style="57"/>
    <col min="5639" max="5639" width="10" style="57" customWidth="1"/>
    <col min="5640" max="5640" width="40" style="57" customWidth="1"/>
    <col min="5641" max="5641" width="12.5703125" style="57" customWidth="1"/>
    <col min="5642" max="5643" width="10.42578125" style="57" customWidth="1"/>
    <col min="5644" max="5644" width="11.5703125" style="57" customWidth="1"/>
    <col min="5645" max="5646" width="10.42578125" style="57" customWidth="1"/>
    <col min="5647" max="5647" width="6.5703125" style="57" customWidth="1"/>
    <col min="5648" max="5648" width="11.42578125" style="57" customWidth="1"/>
    <col min="5649" max="5649" width="4.140625" style="57" customWidth="1"/>
    <col min="5650" max="5650" width="18.5703125" style="57" customWidth="1"/>
    <col min="5651" max="5651" width="2.140625" style="57" customWidth="1"/>
    <col min="5652" max="5652" width="10.42578125" style="57" customWidth="1"/>
    <col min="5653" max="5894" width="9.140625" style="57"/>
    <col min="5895" max="5895" width="10" style="57" customWidth="1"/>
    <col min="5896" max="5896" width="40" style="57" customWidth="1"/>
    <col min="5897" max="5897" width="12.5703125" style="57" customWidth="1"/>
    <col min="5898" max="5899" width="10.42578125" style="57" customWidth="1"/>
    <col min="5900" max="5900" width="11.5703125" style="57" customWidth="1"/>
    <col min="5901" max="5902" width="10.42578125" style="57" customWidth="1"/>
    <col min="5903" max="5903" width="6.5703125" style="57" customWidth="1"/>
    <col min="5904" max="5904" width="11.42578125" style="57" customWidth="1"/>
    <col min="5905" max="5905" width="4.140625" style="57" customWidth="1"/>
    <col min="5906" max="5906" width="18.5703125" style="57" customWidth="1"/>
    <col min="5907" max="5907" width="2.140625" style="57" customWidth="1"/>
    <col min="5908" max="5908" width="10.42578125" style="57" customWidth="1"/>
    <col min="5909" max="6150" width="9.140625" style="57"/>
    <col min="6151" max="6151" width="10" style="57" customWidth="1"/>
    <col min="6152" max="6152" width="40" style="57" customWidth="1"/>
    <col min="6153" max="6153" width="12.5703125" style="57" customWidth="1"/>
    <col min="6154" max="6155" width="10.42578125" style="57" customWidth="1"/>
    <col min="6156" max="6156" width="11.5703125" style="57" customWidth="1"/>
    <col min="6157" max="6158" width="10.42578125" style="57" customWidth="1"/>
    <col min="6159" max="6159" width="6.5703125" style="57" customWidth="1"/>
    <col min="6160" max="6160" width="11.42578125" style="57" customWidth="1"/>
    <col min="6161" max="6161" width="4.140625" style="57" customWidth="1"/>
    <col min="6162" max="6162" width="18.5703125" style="57" customWidth="1"/>
    <col min="6163" max="6163" width="2.140625" style="57" customWidth="1"/>
    <col min="6164" max="6164" width="10.42578125" style="57" customWidth="1"/>
    <col min="6165" max="6406" width="9.140625" style="57"/>
    <col min="6407" max="6407" width="10" style="57" customWidth="1"/>
    <col min="6408" max="6408" width="40" style="57" customWidth="1"/>
    <col min="6409" max="6409" width="12.5703125" style="57" customWidth="1"/>
    <col min="6410" max="6411" width="10.42578125" style="57" customWidth="1"/>
    <col min="6412" max="6412" width="11.5703125" style="57" customWidth="1"/>
    <col min="6413" max="6414" width="10.42578125" style="57" customWidth="1"/>
    <col min="6415" max="6415" width="6.5703125" style="57" customWidth="1"/>
    <col min="6416" max="6416" width="11.42578125" style="57" customWidth="1"/>
    <col min="6417" max="6417" width="4.140625" style="57" customWidth="1"/>
    <col min="6418" max="6418" width="18.5703125" style="57" customWidth="1"/>
    <col min="6419" max="6419" width="2.140625" style="57" customWidth="1"/>
    <col min="6420" max="6420" width="10.42578125" style="57" customWidth="1"/>
    <col min="6421" max="6662" width="9.140625" style="57"/>
    <col min="6663" max="6663" width="10" style="57" customWidth="1"/>
    <col min="6664" max="6664" width="40" style="57" customWidth="1"/>
    <col min="6665" max="6665" width="12.5703125" style="57" customWidth="1"/>
    <col min="6666" max="6667" width="10.42578125" style="57" customWidth="1"/>
    <col min="6668" max="6668" width="11.5703125" style="57" customWidth="1"/>
    <col min="6669" max="6670" width="10.42578125" style="57" customWidth="1"/>
    <col min="6671" max="6671" width="6.5703125" style="57" customWidth="1"/>
    <col min="6672" max="6672" width="11.42578125" style="57" customWidth="1"/>
    <col min="6673" max="6673" width="4.140625" style="57" customWidth="1"/>
    <col min="6674" max="6674" width="18.5703125" style="57" customWidth="1"/>
    <col min="6675" max="6675" width="2.140625" style="57" customWidth="1"/>
    <col min="6676" max="6676" width="10.42578125" style="57" customWidth="1"/>
    <col min="6677" max="6918" width="9.140625" style="57"/>
    <col min="6919" max="6919" width="10" style="57" customWidth="1"/>
    <col min="6920" max="6920" width="40" style="57" customWidth="1"/>
    <col min="6921" max="6921" width="12.5703125" style="57" customWidth="1"/>
    <col min="6922" max="6923" width="10.42578125" style="57" customWidth="1"/>
    <col min="6924" max="6924" width="11.5703125" style="57" customWidth="1"/>
    <col min="6925" max="6926" width="10.42578125" style="57" customWidth="1"/>
    <col min="6927" max="6927" width="6.5703125" style="57" customWidth="1"/>
    <col min="6928" max="6928" width="11.42578125" style="57" customWidth="1"/>
    <col min="6929" max="6929" width="4.140625" style="57" customWidth="1"/>
    <col min="6930" max="6930" width="18.5703125" style="57" customWidth="1"/>
    <col min="6931" max="6931" width="2.140625" style="57" customWidth="1"/>
    <col min="6932" max="6932" width="10.42578125" style="57" customWidth="1"/>
    <col min="6933" max="7174" width="9.140625" style="57"/>
    <col min="7175" max="7175" width="10" style="57" customWidth="1"/>
    <col min="7176" max="7176" width="40" style="57" customWidth="1"/>
    <col min="7177" max="7177" width="12.5703125" style="57" customWidth="1"/>
    <col min="7178" max="7179" width="10.42578125" style="57" customWidth="1"/>
    <col min="7180" max="7180" width="11.5703125" style="57" customWidth="1"/>
    <col min="7181" max="7182" width="10.42578125" style="57" customWidth="1"/>
    <col min="7183" max="7183" width="6.5703125" style="57" customWidth="1"/>
    <col min="7184" max="7184" width="11.42578125" style="57" customWidth="1"/>
    <col min="7185" max="7185" width="4.140625" style="57" customWidth="1"/>
    <col min="7186" max="7186" width="18.5703125" style="57" customWidth="1"/>
    <col min="7187" max="7187" width="2.140625" style="57" customWidth="1"/>
    <col min="7188" max="7188" width="10.42578125" style="57" customWidth="1"/>
    <col min="7189" max="7430" width="9.140625" style="57"/>
    <col min="7431" max="7431" width="10" style="57" customWidth="1"/>
    <col min="7432" max="7432" width="40" style="57" customWidth="1"/>
    <col min="7433" max="7433" width="12.5703125" style="57" customWidth="1"/>
    <col min="7434" max="7435" width="10.42578125" style="57" customWidth="1"/>
    <col min="7436" max="7436" width="11.5703125" style="57" customWidth="1"/>
    <col min="7437" max="7438" width="10.42578125" style="57" customWidth="1"/>
    <col min="7439" max="7439" width="6.5703125" style="57" customWidth="1"/>
    <col min="7440" max="7440" width="11.42578125" style="57" customWidth="1"/>
    <col min="7441" max="7441" width="4.140625" style="57" customWidth="1"/>
    <col min="7442" max="7442" width="18.5703125" style="57" customWidth="1"/>
    <col min="7443" max="7443" width="2.140625" style="57" customWidth="1"/>
    <col min="7444" max="7444" width="10.42578125" style="57" customWidth="1"/>
    <col min="7445" max="7686" width="9.140625" style="57"/>
    <col min="7687" max="7687" width="10" style="57" customWidth="1"/>
    <col min="7688" max="7688" width="40" style="57" customWidth="1"/>
    <col min="7689" max="7689" width="12.5703125" style="57" customWidth="1"/>
    <col min="7690" max="7691" width="10.42578125" style="57" customWidth="1"/>
    <col min="7692" max="7692" width="11.5703125" style="57" customWidth="1"/>
    <col min="7693" max="7694" width="10.42578125" style="57" customWidth="1"/>
    <col min="7695" max="7695" width="6.5703125" style="57" customWidth="1"/>
    <col min="7696" max="7696" width="11.42578125" style="57" customWidth="1"/>
    <col min="7697" max="7697" width="4.140625" style="57" customWidth="1"/>
    <col min="7698" max="7698" width="18.5703125" style="57" customWidth="1"/>
    <col min="7699" max="7699" width="2.140625" style="57" customWidth="1"/>
    <col min="7700" max="7700" width="10.42578125" style="57" customWidth="1"/>
    <col min="7701" max="7942" width="9.140625" style="57"/>
    <col min="7943" max="7943" width="10" style="57" customWidth="1"/>
    <col min="7944" max="7944" width="40" style="57" customWidth="1"/>
    <col min="7945" max="7945" width="12.5703125" style="57" customWidth="1"/>
    <col min="7946" max="7947" width="10.42578125" style="57" customWidth="1"/>
    <col min="7948" max="7948" width="11.5703125" style="57" customWidth="1"/>
    <col min="7949" max="7950" width="10.42578125" style="57" customWidth="1"/>
    <col min="7951" max="7951" width="6.5703125" style="57" customWidth="1"/>
    <col min="7952" max="7952" width="11.42578125" style="57" customWidth="1"/>
    <col min="7953" max="7953" width="4.140625" style="57" customWidth="1"/>
    <col min="7954" max="7954" width="18.5703125" style="57" customWidth="1"/>
    <col min="7955" max="7955" width="2.140625" style="57" customWidth="1"/>
    <col min="7956" max="7956" width="10.42578125" style="57" customWidth="1"/>
    <col min="7957" max="8198" width="9.140625" style="57"/>
    <col min="8199" max="8199" width="10" style="57" customWidth="1"/>
    <col min="8200" max="8200" width="40" style="57" customWidth="1"/>
    <col min="8201" max="8201" width="12.5703125" style="57" customWidth="1"/>
    <col min="8202" max="8203" width="10.42578125" style="57" customWidth="1"/>
    <col min="8204" max="8204" width="11.5703125" style="57" customWidth="1"/>
    <col min="8205" max="8206" width="10.42578125" style="57" customWidth="1"/>
    <col min="8207" max="8207" width="6.5703125" style="57" customWidth="1"/>
    <col min="8208" max="8208" width="11.42578125" style="57" customWidth="1"/>
    <col min="8209" max="8209" width="4.140625" style="57" customWidth="1"/>
    <col min="8210" max="8210" width="18.5703125" style="57" customWidth="1"/>
    <col min="8211" max="8211" width="2.140625" style="57" customWidth="1"/>
    <col min="8212" max="8212" width="10.42578125" style="57" customWidth="1"/>
    <col min="8213" max="8454" width="9.140625" style="57"/>
    <col min="8455" max="8455" width="10" style="57" customWidth="1"/>
    <col min="8456" max="8456" width="40" style="57" customWidth="1"/>
    <col min="8457" max="8457" width="12.5703125" style="57" customWidth="1"/>
    <col min="8458" max="8459" width="10.42578125" style="57" customWidth="1"/>
    <col min="8460" max="8460" width="11.5703125" style="57" customWidth="1"/>
    <col min="8461" max="8462" width="10.42578125" style="57" customWidth="1"/>
    <col min="8463" max="8463" width="6.5703125" style="57" customWidth="1"/>
    <col min="8464" max="8464" width="11.42578125" style="57" customWidth="1"/>
    <col min="8465" max="8465" width="4.140625" style="57" customWidth="1"/>
    <col min="8466" max="8466" width="18.5703125" style="57" customWidth="1"/>
    <col min="8467" max="8467" width="2.140625" style="57" customWidth="1"/>
    <col min="8468" max="8468" width="10.42578125" style="57" customWidth="1"/>
    <col min="8469" max="8710" width="9.140625" style="57"/>
    <col min="8711" max="8711" width="10" style="57" customWidth="1"/>
    <col min="8712" max="8712" width="40" style="57" customWidth="1"/>
    <col min="8713" max="8713" width="12.5703125" style="57" customWidth="1"/>
    <col min="8714" max="8715" width="10.42578125" style="57" customWidth="1"/>
    <col min="8716" max="8716" width="11.5703125" style="57" customWidth="1"/>
    <col min="8717" max="8718" width="10.42578125" style="57" customWidth="1"/>
    <col min="8719" max="8719" width="6.5703125" style="57" customWidth="1"/>
    <col min="8720" max="8720" width="11.42578125" style="57" customWidth="1"/>
    <col min="8721" max="8721" width="4.140625" style="57" customWidth="1"/>
    <col min="8722" max="8722" width="18.5703125" style="57" customWidth="1"/>
    <col min="8723" max="8723" width="2.140625" style="57" customWidth="1"/>
    <col min="8724" max="8724" width="10.42578125" style="57" customWidth="1"/>
    <col min="8725" max="8966" width="9.140625" style="57"/>
    <col min="8967" max="8967" width="10" style="57" customWidth="1"/>
    <col min="8968" max="8968" width="40" style="57" customWidth="1"/>
    <col min="8969" max="8969" width="12.5703125" style="57" customWidth="1"/>
    <col min="8970" max="8971" width="10.42578125" style="57" customWidth="1"/>
    <col min="8972" max="8972" width="11.5703125" style="57" customWidth="1"/>
    <col min="8973" max="8974" width="10.42578125" style="57" customWidth="1"/>
    <col min="8975" max="8975" width="6.5703125" style="57" customWidth="1"/>
    <col min="8976" max="8976" width="11.42578125" style="57" customWidth="1"/>
    <col min="8977" max="8977" width="4.140625" style="57" customWidth="1"/>
    <col min="8978" max="8978" width="18.5703125" style="57" customWidth="1"/>
    <col min="8979" max="8979" width="2.140625" style="57" customWidth="1"/>
    <col min="8980" max="8980" width="10.42578125" style="57" customWidth="1"/>
    <col min="8981" max="9222" width="9.140625" style="57"/>
    <col min="9223" max="9223" width="10" style="57" customWidth="1"/>
    <col min="9224" max="9224" width="40" style="57" customWidth="1"/>
    <col min="9225" max="9225" width="12.5703125" style="57" customWidth="1"/>
    <col min="9226" max="9227" width="10.42578125" style="57" customWidth="1"/>
    <col min="9228" max="9228" width="11.5703125" style="57" customWidth="1"/>
    <col min="9229" max="9230" width="10.42578125" style="57" customWidth="1"/>
    <col min="9231" max="9231" width="6.5703125" style="57" customWidth="1"/>
    <col min="9232" max="9232" width="11.42578125" style="57" customWidth="1"/>
    <col min="9233" max="9233" width="4.140625" style="57" customWidth="1"/>
    <col min="9234" max="9234" width="18.5703125" style="57" customWidth="1"/>
    <col min="9235" max="9235" width="2.140625" style="57" customWidth="1"/>
    <col min="9236" max="9236" width="10.42578125" style="57" customWidth="1"/>
    <col min="9237" max="9478" width="9.140625" style="57"/>
    <col min="9479" max="9479" width="10" style="57" customWidth="1"/>
    <col min="9480" max="9480" width="40" style="57" customWidth="1"/>
    <col min="9481" max="9481" width="12.5703125" style="57" customWidth="1"/>
    <col min="9482" max="9483" width="10.42578125" style="57" customWidth="1"/>
    <col min="9484" max="9484" width="11.5703125" style="57" customWidth="1"/>
    <col min="9485" max="9486" width="10.42578125" style="57" customWidth="1"/>
    <col min="9487" max="9487" width="6.5703125" style="57" customWidth="1"/>
    <col min="9488" max="9488" width="11.42578125" style="57" customWidth="1"/>
    <col min="9489" max="9489" width="4.140625" style="57" customWidth="1"/>
    <col min="9490" max="9490" width="18.5703125" style="57" customWidth="1"/>
    <col min="9491" max="9491" width="2.140625" style="57" customWidth="1"/>
    <col min="9492" max="9492" width="10.42578125" style="57" customWidth="1"/>
    <col min="9493" max="9734" width="9.140625" style="57"/>
    <col min="9735" max="9735" width="10" style="57" customWidth="1"/>
    <col min="9736" max="9736" width="40" style="57" customWidth="1"/>
    <col min="9737" max="9737" width="12.5703125" style="57" customWidth="1"/>
    <col min="9738" max="9739" width="10.42578125" style="57" customWidth="1"/>
    <col min="9740" max="9740" width="11.5703125" style="57" customWidth="1"/>
    <col min="9741" max="9742" width="10.42578125" style="57" customWidth="1"/>
    <col min="9743" max="9743" width="6.5703125" style="57" customWidth="1"/>
    <col min="9744" max="9744" width="11.42578125" style="57" customWidth="1"/>
    <col min="9745" max="9745" width="4.140625" style="57" customWidth="1"/>
    <col min="9746" max="9746" width="18.5703125" style="57" customWidth="1"/>
    <col min="9747" max="9747" width="2.140625" style="57" customWidth="1"/>
    <col min="9748" max="9748" width="10.42578125" style="57" customWidth="1"/>
    <col min="9749" max="9990" width="9.140625" style="57"/>
    <col min="9991" max="9991" width="10" style="57" customWidth="1"/>
    <col min="9992" max="9992" width="40" style="57" customWidth="1"/>
    <col min="9993" max="9993" width="12.5703125" style="57" customWidth="1"/>
    <col min="9994" max="9995" width="10.42578125" style="57" customWidth="1"/>
    <col min="9996" max="9996" width="11.5703125" style="57" customWidth="1"/>
    <col min="9997" max="9998" width="10.42578125" style="57" customWidth="1"/>
    <col min="9999" max="9999" width="6.5703125" style="57" customWidth="1"/>
    <col min="10000" max="10000" width="11.42578125" style="57" customWidth="1"/>
    <col min="10001" max="10001" width="4.140625" style="57" customWidth="1"/>
    <col min="10002" max="10002" width="18.5703125" style="57" customWidth="1"/>
    <col min="10003" max="10003" width="2.140625" style="57" customWidth="1"/>
    <col min="10004" max="10004" width="10.42578125" style="57" customWidth="1"/>
    <col min="10005" max="10246" width="9.140625" style="57"/>
    <col min="10247" max="10247" width="10" style="57" customWidth="1"/>
    <col min="10248" max="10248" width="40" style="57" customWidth="1"/>
    <col min="10249" max="10249" width="12.5703125" style="57" customWidth="1"/>
    <col min="10250" max="10251" width="10.42578125" style="57" customWidth="1"/>
    <col min="10252" max="10252" width="11.5703125" style="57" customWidth="1"/>
    <col min="10253" max="10254" width="10.42578125" style="57" customWidth="1"/>
    <col min="10255" max="10255" width="6.5703125" style="57" customWidth="1"/>
    <col min="10256" max="10256" width="11.42578125" style="57" customWidth="1"/>
    <col min="10257" max="10257" width="4.140625" style="57" customWidth="1"/>
    <col min="10258" max="10258" width="18.5703125" style="57" customWidth="1"/>
    <col min="10259" max="10259" width="2.140625" style="57" customWidth="1"/>
    <col min="10260" max="10260" width="10.42578125" style="57" customWidth="1"/>
    <col min="10261" max="10502" width="9.140625" style="57"/>
    <col min="10503" max="10503" width="10" style="57" customWidth="1"/>
    <col min="10504" max="10504" width="40" style="57" customWidth="1"/>
    <col min="10505" max="10505" width="12.5703125" style="57" customWidth="1"/>
    <col min="10506" max="10507" width="10.42578125" style="57" customWidth="1"/>
    <col min="10508" max="10508" width="11.5703125" style="57" customWidth="1"/>
    <col min="10509" max="10510" width="10.42578125" style="57" customWidth="1"/>
    <col min="10511" max="10511" width="6.5703125" style="57" customWidth="1"/>
    <col min="10512" max="10512" width="11.42578125" style="57" customWidth="1"/>
    <col min="10513" max="10513" width="4.140625" style="57" customWidth="1"/>
    <col min="10514" max="10514" width="18.5703125" style="57" customWidth="1"/>
    <col min="10515" max="10515" width="2.140625" style="57" customWidth="1"/>
    <col min="10516" max="10516" width="10.42578125" style="57" customWidth="1"/>
    <col min="10517" max="10758" width="9.140625" style="57"/>
    <col min="10759" max="10759" width="10" style="57" customWidth="1"/>
    <col min="10760" max="10760" width="40" style="57" customWidth="1"/>
    <col min="10761" max="10761" width="12.5703125" style="57" customWidth="1"/>
    <col min="10762" max="10763" width="10.42578125" style="57" customWidth="1"/>
    <col min="10764" max="10764" width="11.5703125" style="57" customWidth="1"/>
    <col min="10765" max="10766" width="10.42578125" style="57" customWidth="1"/>
    <col min="10767" max="10767" width="6.5703125" style="57" customWidth="1"/>
    <col min="10768" max="10768" width="11.42578125" style="57" customWidth="1"/>
    <col min="10769" max="10769" width="4.140625" style="57" customWidth="1"/>
    <col min="10770" max="10770" width="18.5703125" style="57" customWidth="1"/>
    <col min="10771" max="10771" width="2.140625" style="57" customWidth="1"/>
    <col min="10772" max="10772" width="10.42578125" style="57" customWidth="1"/>
    <col min="10773" max="11014" width="9.140625" style="57"/>
    <col min="11015" max="11015" width="10" style="57" customWidth="1"/>
    <col min="11016" max="11016" width="40" style="57" customWidth="1"/>
    <col min="11017" max="11017" width="12.5703125" style="57" customWidth="1"/>
    <col min="11018" max="11019" width="10.42578125" style="57" customWidth="1"/>
    <col min="11020" max="11020" width="11.5703125" style="57" customWidth="1"/>
    <col min="11021" max="11022" width="10.42578125" style="57" customWidth="1"/>
    <col min="11023" max="11023" width="6.5703125" style="57" customWidth="1"/>
    <col min="11024" max="11024" width="11.42578125" style="57" customWidth="1"/>
    <col min="11025" max="11025" width="4.140625" style="57" customWidth="1"/>
    <col min="11026" max="11026" width="18.5703125" style="57" customWidth="1"/>
    <col min="11027" max="11027" width="2.140625" style="57" customWidth="1"/>
    <col min="11028" max="11028" width="10.42578125" style="57" customWidth="1"/>
    <col min="11029" max="11270" width="9.140625" style="57"/>
    <col min="11271" max="11271" width="10" style="57" customWidth="1"/>
    <col min="11272" max="11272" width="40" style="57" customWidth="1"/>
    <col min="11273" max="11273" width="12.5703125" style="57" customWidth="1"/>
    <col min="11274" max="11275" width="10.42578125" style="57" customWidth="1"/>
    <col min="11276" max="11276" width="11.5703125" style="57" customWidth="1"/>
    <col min="11277" max="11278" width="10.42578125" style="57" customWidth="1"/>
    <col min="11279" max="11279" width="6.5703125" style="57" customWidth="1"/>
    <col min="11280" max="11280" width="11.42578125" style="57" customWidth="1"/>
    <col min="11281" max="11281" width="4.140625" style="57" customWidth="1"/>
    <col min="11282" max="11282" width="18.5703125" style="57" customWidth="1"/>
    <col min="11283" max="11283" width="2.140625" style="57" customWidth="1"/>
    <col min="11284" max="11284" width="10.42578125" style="57" customWidth="1"/>
    <col min="11285" max="11526" width="9.140625" style="57"/>
    <col min="11527" max="11527" width="10" style="57" customWidth="1"/>
    <col min="11528" max="11528" width="40" style="57" customWidth="1"/>
    <col min="11529" max="11529" width="12.5703125" style="57" customWidth="1"/>
    <col min="11530" max="11531" width="10.42578125" style="57" customWidth="1"/>
    <col min="11532" max="11532" width="11.5703125" style="57" customWidth="1"/>
    <col min="11533" max="11534" width="10.42578125" style="57" customWidth="1"/>
    <col min="11535" max="11535" width="6.5703125" style="57" customWidth="1"/>
    <col min="11536" max="11536" width="11.42578125" style="57" customWidth="1"/>
    <col min="11537" max="11537" width="4.140625" style="57" customWidth="1"/>
    <col min="11538" max="11538" width="18.5703125" style="57" customWidth="1"/>
    <col min="11539" max="11539" width="2.140625" style="57" customWidth="1"/>
    <col min="11540" max="11540" width="10.42578125" style="57" customWidth="1"/>
    <col min="11541" max="11782" width="9.140625" style="57"/>
    <col min="11783" max="11783" width="10" style="57" customWidth="1"/>
    <col min="11784" max="11784" width="40" style="57" customWidth="1"/>
    <col min="11785" max="11785" width="12.5703125" style="57" customWidth="1"/>
    <col min="11786" max="11787" width="10.42578125" style="57" customWidth="1"/>
    <col min="11788" max="11788" width="11.5703125" style="57" customWidth="1"/>
    <col min="11789" max="11790" width="10.42578125" style="57" customWidth="1"/>
    <col min="11791" max="11791" width="6.5703125" style="57" customWidth="1"/>
    <col min="11792" max="11792" width="11.42578125" style="57" customWidth="1"/>
    <col min="11793" max="11793" width="4.140625" style="57" customWidth="1"/>
    <col min="11794" max="11794" width="18.5703125" style="57" customWidth="1"/>
    <col min="11795" max="11795" width="2.140625" style="57" customWidth="1"/>
    <col min="11796" max="11796" width="10.42578125" style="57" customWidth="1"/>
    <col min="11797" max="12038" width="9.140625" style="57"/>
    <col min="12039" max="12039" width="10" style="57" customWidth="1"/>
    <col min="12040" max="12040" width="40" style="57" customWidth="1"/>
    <col min="12041" max="12041" width="12.5703125" style="57" customWidth="1"/>
    <col min="12042" max="12043" width="10.42578125" style="57" customWidth="1"/>
    <col min="12044" max="12044" width="11.5703125" style="57" customWidth="1"/>
    <col min="12045" max="12046" width="10.42578125" style="57" customWidth="1"/>
    <col min="12047" max="12047" width="6.5703125" style="57" customWidth="1"/>
    <col min="12048" max="12048" width="11.42578125" style="57" customWidth="1"/>
    <col min="12049" max="12049" width="4.140625" style="57" customWidth="1"/>
    <col min="12050" max="12050" width="18.5703125" style="57" customWidth="1"/>
    <col min="12051" max="12051" width="2.140625" style="57" customWidth="1"/>
    <col min="12052" max="12052" width="10.42578125" style="57" customWidth="1"/>
    <col min="12053" max="12294" width="9.140625" style="57"/>
    <col min="12295" max="12295" width="10" style="57" customWidth="1"/>
    <col min="12296" max="12296" width="40" style="57" customWidth="1"/>
    <col min="12297" max="12297" width="12.5703125" style="57" customWidth="1"/>
    <col min="12298" max="12299" width="10.42578125" style="57" customWidth="1"/>
    <col min="12300" max="12300" width="11.5703125" style="57" customWidth="1"/>
    <col min="12301" max="12302" width="10.42578125" style="57" customWidth="1"/>
    <col min="12303" max="12303" width="6.5703125" style="57" customWidth="1"/>
    <col min="12304" max="12304" width="11.42578125" style="57" customWidth="1"/>
    <col min="12305" max="12305" width="4.140625" style="57" customWidth="1"/>
    <col min="12306" max="12306" width="18.5703125" style="57" customWidth="1"/>
    <col min="12307" max="12307" width="2.140625" style="57" customWidth="1"/>
    <col min="12308" max="12308" width="10.42578125" style="57" customWidth="1"/>
    <col min="12309" max="12550" width="9.140625" style="57"/>
    <col min="12551" max="12551" width="10" style="57" customWidth="1"/>
    <col min="12552" max="12552" width="40" style="57" customWidth="1"/>
    <col min="12553" max="12553" width="12.5703125" style="57" customWidth="1"/>
    <col min="12554" max="12555" width="10.42578125" style="57" customWidth="1"/>
    <col min="12556" max="12556" width="11.5703125" style="57" customWidth="1"/>
    <col min="12557" max="12558" width="10.42578125" style="57" customWidth="1"/>
    <col min="12559" max="12559" width="6.5703125" style="57" customWidth="1"/>
    <col min="12560" max="12560" width="11.42578125" style="57" customWidth="1"/>
    <col min="12561" max="12561" width="4.140625" style="57" customWidth="1"/>
    <col min="12562" max="12562" width="18.5703125" style="57" customWidth="1"/>
    <col min="12563" max="12563" width="2.140625" style="57" customWidth="1"/>
    <col min="12564" max="12564" width="10.42578125" style="57" customWidth="1"/>
    <col min="12565" max="12806" width="9.140625" style="57"/>
    <col min="12807" max="12807" width="10" style="57" customWidth="1"/>
    <col min="12808" max="12808" width="40" style="57" customWidth="1"/>
    <col min="12809" max="12809" width="12.5703125" style="57" customWidth="1"/>
    <col min="12810" max="12811" width="10.42578125" style="57" customWidth="1"/>
    <col min="12812" max="12812" width="11.5703125" style="57" customWidth="1"/>
    <col min="12813" max="12814" width="10.42578125" style="57" customWidth="1"/>
    <col min="12815" max="12815" width="6.5703125" style="57" customWidth="1"/>
    <col min="12816" max="12816" width="11.42578125" style="57" customWidth="1"/>
    <col min="12817" max="12817" width="4.140625" style="57" customWidth="1"/>
    <col min="12818" max="12818" width="18.5703125" style="57" customWidth="1"/>
    <col min="12819" max="12819" width="2.140625" style="57" customWidth="1"/>
    <col min="12820" max="12820" width="10.42578125" style="57" customWidth="1"/>
    <col min="12821" max="13062" width="9.140625" style="57"/>
    <col min="13063" max="13063" width="10" style="57" customWidth="1"/>
    <col min="13064" max="13064" width="40" style="57" customWidth="1"/>
    <col min="13065" max="13065" width="12.5703125" style="57" customWidth="1"/>
    <col min="13066" max="13067" width="10.42578125" style="57" customWidth="1"/>
    <col min="13068" max="13068" width="11.5703125" style="57" customWidth="1"/>
    <col min="13069" max="13070" width="10.42578125" style="57" customWidth="1"/>
    <col min="13071" max="13071" width="6.5703125" style="57" customWidth="1"/>
    <col min="13072" max="13072" width="11.42578125" style="57" customWidth="1"/>
    <col min="13073" max="13073" width="4.140625" style="57" customWidth="1"/>
    <col min="13074" max="13074" width="18.5703125" style="57" customWidth="1"/>
    <col min="13075" max="13075" width="2.140625" style="57" customWidth="1"/>
    <col min="13076" max="13076" width="10.42578125" style="57" customWidth="1"/>
    <col min="13077" max="13318" width="9.140625" style="57"/>
    <col min="13319" max="13319" width="10" style="57" customWidth="1"/>
    <col min="13320" max="13320" width="40" style="57" customWidth="1"/>
    <col min="13321" max="13321" width="12.5703125" style="57" customWidth="1"/>
    <col min="13322" max="13323" width="10.42578125" style="57" customWidth="1"/>
    <col min="13324" max="13324" width="11.5703125" style="57" customWidth="1"/>
    <col min="13325" max="13326" width="10.42578125" style="57" customWidth="1"/>
    <col min="13327" max="13327" width="6.5703125" style="57" customWidth="1"/>
    <col min="13328" max="13328" width="11.42578125" style="57" customWidth="1"/>
    <col min="13329" max="13329" width="4.140625" style="57" customWidth="1"/>
    <col min="13330" max="13330" width="18.5703125" style="57" customWidth="1"/>
    <col min="13331" max="13331" width="2.140625" style="57" customWidth="1"/>
    <col min="13332" max="13332" width="10.42578125" style="57" customWidth="1"/>
    <col min="13333" max="13574" width="9.140625" style="57"/>
    <col min="13575" max="13575" width="10" style="57" customWidth="1"/>
    <col min="13576" max="13576" width="40" style="57" customWidth="1"/>
    <col min="13577" max="13577" width="12.5703125" style="57" customWidth="1"/>
    <col min="13578" max="13579" width="10.42578125" style="57" customWidth="1"/>
    <col min="13580" max="13580" width="11.5703125" style="57" customWidth="1"/>
    <col min="13581" max="13582" width="10.42578125" style="57" customWidth="1"/>
    <col min="13583" max="13583" width="6.5703125" style="57" customWidth="1"/>
    <col min="13584" max="13584" width="11.42578125" style="57" customWidth="1"/>
    <col min="13585" max="13585" width="4.140625" style="57" customWidth="1"/>
    <col min="13586" max="13586" width="18.5703125" style="57" customWidth="1"/>
    <col min="13587" max="13587" width="2.140625" style="57" customWidth="1"/>
    <col min="13588" max="13588" width="10.42578125" style="57" customWidth="1"/>
    <col min="13589" max="13830" width="9.140625" style="57"/>
    <col min="13831" max="13831" width="10" style="57" customWidth="1"/>
    <col min="13832" max="13832" width="40" style="57" customWidth="1"/>
    <col min="13833" max="13833" width="12.5703125" style="57" customWidth="1"/>
    <col min="13834" max="13835" width="10.42578125" style="57" customWidth="1"/>
    <col min="13836" max="13836" width="11.5703125" style="57" customWidth="1"/>
    <col min="13837" max="13838" width="10.42578125" style="57" customWidth="1"/>
    <col min="13839" max="13839" width="6.5703125" style="57" customWidth="1"/>
    <col min="13840" max="13840" width="11.42578125" style="57" customWidth="1"/>
    <col min="13841" max="13841" width="4.140625" style="57" customWidth="1"/>
    <col min="13842" max="13842" width="18.5703125" style="57" customWidth="1"/>
    <col min="13843" max="13843" width="2.140625" style="57" customWidth="1"/>
    <col min="13844" max="13844" width="10.42578125" style="57" customWidth="1"/>
    <col min="13845" max="14086" width="9.140625" style="57"/>
    <col min="14087" max="14087" width="10" style="57" customWidth="1"/>
    <col min="14088" max="14088" width="40" style="57" customWidth="1"/>
    <col min="14089" max="14089" width="12.5703125" style="57" customWidth="1"/>
    <col min="14090" max="14091" width="10.42578125" style="57" customWidth="1"/>
    <col min="14092" max="14092" width="11.5703125" style="57" customWidth="1"/>
    <col min="14093" max="14094" width="10.42578125" style="57" customWidth="1"/>
    <col min="14095" max="14095" width="6.5703125" style="57" customWidth="1"/>
    <col min="14096" max="14096" width="11.42578125" style="57" customWidth="1"/>
    <col min="14097" max="14097" width="4.140625" style="57" customWidth="1"/>
    <col min="14098" max="14098" width="18.5703125" style="57" customWidth="1"/>
    <col min="14099" max="14099" width="2.140625" style="57" customWidth="1"/>
    <col min="14100" max="14100" width="10.42578125" style="57" customWidth="1"/>
    <col min="14101" max="14342" width="9.140625" style="57"/>
    <col min="14343" max="14343" width="10" style="57" customWidth="1"/>
    <col min="14344" max="14344" width="40" style="57" customWidth="1"/>
    <col min="14345" max="14345" width="12.5703125" style="57" customWidth="1"/>
    <col min="14346" max="14347" width="10.42578125" style="57" customWidth="1"/>
    <col min="14348" max="14348" width="11.5703125" style="57" customWidth="1"/>
    <col min="14349" max="14350" width="10.42578125" style="57" customWidth="1"/>
    <col min="14351" max="14351" width="6.5703125" style="57" customWidth="1"/>
    <col min="14352" max="14352" width="11.42578125" style="57" customWidth="1"/>
    <col min="14353" max="14353" width="4.140625" style="57" customWidth="1"/>
    <col min="14354" max="14354" width="18.5703125" style="57" customWidth="1"/>
    <col min="14355" max="14355" width="2.140625" style="57" customWidth="1"/>
    <col min="14356" max="14356" width="10.42578125" style="57" customWidth="1"/>
    <col min="14357" max="14598" width="9.140625" style="57"/>
    <col min="14599" max="14599" width="10" style="57" customWidth="1"/>
    <col min="14600" max="14600" width="40" style="57" customWidth="1"/>
    <col min="14601" max="14601" width="12.5703125" style="57" customWidth="1"/>
    <col min="14602" max="14603" width="10.42578125" style="57" customWidth="1"/>
    <col min="14604" max="14604" width="11.5703125" style="57" customWidth="1"/>
    <col min="14605" max="14606" width="10.42578125" style="57" customWidth="1"/>
    <col min="14607" max="14607" width="6.5703125" style="57" customWidth="1"/>
    <col min="14608" max="14608" width="11.42578125" style="57" customWidth="1"/>
    <col min="14609" max="14609" width="4.140625" style="57" customWidth="1"/>
    <col min="14610" max="14610" width="18.5703125" style="57" customWidth="1"/>
    <col min="14611" max="14611" width="2.140625" style="57" customWidth="1"/>
    <col min="14612" max="14612" width="10.42578125" style="57" customWidth="1"/>
    <col min="14613" max="14854" width="9.140625" style="57"/>
    <col min="14855" max="14855" width="10" style="57" customWidth="1"/>
    <col min="14856" max="14856" width="40" style="57" customWidth="1"/>
    <col min="14857" max="14857" width="12.5703125" style="57" customWidth="1"/>
    <col min="14858" max="14859" width="10.42578125" style="57" customWidth="1"/>
    <col min="14860" max="14860" width="11.5703125" style="57" customWidth="1"/>
    <col min="14861" max="14862" width="10.42578125" style="57" customWidth="1"/>
    <col min="14863" max="14863" width="6.5703125" style="57" customWidth="1"/>
    <col min="14864" max="14864" width="11.42578125" style="57" customWidth="1"/>
    <col min="14865" max="14865" width="4.140625" style="57" customWidth="1"/>
    <col min="14866" max="14866" width="18.5703125" style="57" customWidth="1"/>
    <col min="14867" max="14867" width="2.140625" style="57" customWidth="1"/>
    <col min="14868" max="14868" width="10.42578125" style="57" customWidth="1"/>
    <col min="14869" max="15110" width="9.140625" style="57"/>
    <col min="15111" max="15111" width="10" style="57" customWidth="1"/>
    <col min="15112" max="15112" width="40" style="57" customWidth="1"/>
    <col min="15113" max="15113" width="12.5703125" style="57" customWidth="1"/>
    <col min="15114" max="15115" width="10.42578125" style="57" customWidth="1"/>
    <col min="15116" max="15116" width="11.5703125" style="57" customWidth="1"/>
    <col min="15117" max="15118" width="10.42578125" style="57" customWidth="1"/>
    <col min="15119" max="15119" width="6.5703125" style="57" customWidth="1"/>
    <col min="15120" max="15120" width="11.42578125" style="57" customWidth="1"/>
    <col min="15121" max="15121" width="4.140625" style="57" customWidth="1"/>
    <col min="15122" max="15122" width="18.5703125" style="57" customWidth="1"/>
    <col min="15123" max="15123" width="2.140625" style="57" customWidth="1"/>
    <col min="15124" max="15124" width="10.42578125" style="57" customWidth="1"/>
    <col min="15125" max="15366" width="9.140625" style="57"/>
    <col min="15367" max="15367" width="10" style="57" customWidth="1"/>
    <col min="15368" max="15368" width="40" style="57" customWidth="1"/>
    <col min="15369" max="15369" width="12.5703125" style="57" customWidth="1"/>
    <col min="15370" max="15371" width="10.42578125" style="57" customWidth="1"/>
    <col min="15372" max="15372" width="11.5703125" style="57" customWidth="1"/>
    <col min="15373" max="15374" width="10.42578125" style="57" customWidth="1"/>
    <col min="15375" max="15375" width="6.5703125" style="57" customWidth="1"/>
    <col min="15376" max="15376" width="11.42578125" style="57" customWidth="1"/>
    <col min="15377" max="15377" width="4.140625" style="57" customWidth="1"/>
    <col min="15378" max="15378" width="18.5703125" style="57" customWidth="1"/>
    <col min="15379" max="15379" width="2.140625" style="57" customWidth="1"/>
    <col min="15380" max="15380" width="10.42578125" style="57" customWidth="1"/>
    <col min="15381" max="15622" width="9.140625" style="57"/>
    <col min="15623" max="15623" width="10" style="57" customWidth="1"/>
    <col min="15624" max="15624" width="40" style="57" customWidth="1"/>
    <col min="15625" max="15625" width="12.5703125" style="57" customWidth="1"/>
    <col min="15626" max="15627" width="10.42578125" style="57" customWidth="1"/>
    <col min="15628" max="15628" width="11.5703125" style="57" customWidth="1"/>
    <col min="15629" max="15630" width="10.42578125" style="57" customWidth="1"/>
    <col min="15631" max="15631" width="6.5703125" style="57" customWidth="1"/>
    <col min="15632" max="15632" width="11.42578125" style="57" customWidth="1"/>
    <col min="15633" max="15633" width="4.140625" style="57" customWidth="1"/>
    <col min="15634" max="15634" width="18.5703125" style="57" customWidth="1"/>
    <col min="15635" max="15635" width="2.140625" style="57" customWidth="1"/>
    <col min="15636" max="15636" width="10.42578125" style="57" customWidth="1"/>
    <col min="15637" max="15878" width="9.140625" style="57"/>
    <col min="15879" max="15879" width="10" style="57" customWidth="1"/>
    <col min="15880" max="15880" width="40" style="57" customWidth="1"/>
    <col min="15881" max="15881" width="12.5703125" style="57" customWidth="1"/>
    <col min="15882" max="15883" width="10.42578125" style="57" customWidth="1"/>
    <col min="15884" max="15884" width="11.5703125" style="57" customWidth="1"/>
    <col min="15885" max="15886" width="10.42578125" style="57" customWidth="1"/>
    <col min="15887" max="15887" width="6.5703125" style="57" customWidth="1"/>
    <col min="15888" max="15888" width="11.42578125" style="57" customWidth="1"/>
    <col min="15889" max="15889" width="4.140625" style="57" customWidth="1"/>
    <col min="15890" max="15890" width="18.5703125" style="57" customWidth="1"/>
    <col min="15891" max="15891" width="2.140625" style="57" customWidth="1"/>
    <col min="15892" max="15892" width="10.42578125" style="57" customWidth="1"/>
    <col min="15893" max="16134" width="9.140625" style="57"/>
    <col min="16135" max="16135" width="10" style="57" customWidth="1"/>
    <col min="16136" max="16136" width="40" style="57" customWidth="1"/>
    <col min="16137" max="16137" width="12.5703125" style="57" customWidth="1"/>
    <col min="16138" max="16139" width="10.42578125" style="57" customWidth="1"/>
    <col min="16140" max="16140" width="11.5703125" style="57" customWidth="1"/>
    <col min="16141" max="16142" width="10.42578125" style="57" customWidth="1"/>
    <col min="16143" max="16143" width="6.5703125" style="57" customWidth="1"/>
    <col min="16144" max="16144" width="11.42578125" style="57" customWidth="1"/>
    <col min="16145" max="16145" width="4.140625" style="57" customWidth="1"/>
    <col min="16146" max="16146" width="18.5703125" style="57" customWidth="1"/>
    <col min="16147" max="16147" width="2.140625" style="57" customWidth="1"/>
    <col min="16148" max="16148" width="10.42578125" style="57" customWidth="1"/>
    <col min="16149" max="16384" width="9.140625" style="57"/>
  </cols>
  <sheetData>
    <row r="1" spans="2:21" ht="13.5" customHeight="1" x14ac:dyDescent="0.25">
      <c r="H1" s="782" t="s">
        <v>38</v>
      </c>
      <c r="I1" s="782"/>
      <c r="J1" s="782"/>
      <c r="K1" s="782"/>
      <c r="L1" s="782"/>
      <c r="M1" s="782" t="s">
        <v>39</v>
      </c>
      <c r="N1" s="782"/>
      <c r="O1" s="782" t="s">
        <v>40</v>
      </c>
      <c r="P1" s="782"/>
      <c r="Q1" s="782"/>
    </row>
    <row r="2" spans="2:21" s="59" customFormat="1" ht="15" customHeight="1" x14ac:dyDescent="0.25">
      <c r="B2" s="60" t="s">
        <v>41</v>
      </c>
      <c r="C2" s="61" t="s">
        <v>42</v>
      </c>
      <c r="D2" s="61" t="s">
        <v>43</v>
      </c>
      <c r="E2" s="61" t="s">
        <v>44</v>
      </c>
      <c r="F2" s="61" t="s">
        <v>45</v>
      </c>
      <c r="G2" s="61" t="s">
        <v>46</v>
      </c>
      <c r="H2" s="61" t="s">
        <v>47</v>
      </c>
      <c r="I2" s="61" t="s">
        <v>48</v>
      </c>
      <c r="J2" s="61" t="s">
        <v>47</v>
      </c>
      <c r="K2" s="61" t="s">
        <v>48</v>
      </c>
      <c r="L2" s="65" t="s">
        <v>49</v>
      </c>
      <c r="M2" s="65" t="s">
        <v>39</v>
      </c>
      <c r="N2" s="65" t="s">
        <v>49</v>
      </c>
      <c r="O2" s="65" t="s">
        <v>47</v>
      </c>
      <c r="P2" s="65" t="s">
        <v>48</v>
      </c>
      <c r="Q2" s="65" t="s">
        <v>49</v>
      </c>
      <c r="R2" s="63" t="s">
        <v>50</v>
      </c>
      <c r="T2" s="81" t="s">
        <v>53</v>
      </c>
      <c r="U2" s="82">
        <v>4</v>
      </c>
    </row>
    <row r="3" spans="2:21" ht="15" customHeight="1" x14ac:dyDescent="0.25">
      <c r="B3" s="67">
        <v>2</v>
      </c>
      <c r="C3" s="116" t="s">
        <v>51</v>
      </c>
      <c r="D3" s="110" t="s">
        <v>60</v>
      </c>
      <c r="E3" s="118">
        <v>44599</v>
      </c>
      <c r="F3" s="118"/>
      <c r="G3" s="116"/>
      <c r="H3" s="121"/>
      <c r="I3" s="121"/>
      <c r="J3" s="121"/>
      <c r="K3" s="121"/>
      <c r="L3" s="131">
        <v>0</v>
      </c>
      <c r="M3" s="140"/>
      <c r="N3" s="141">
        <v>0</v>
      </c>
      <c r="O3" s="127"/>
      <c r="P3" s="127"/>
      <c r="Q3" s="78">
        <v>0</v>
      </c>
      <c r="R3" s="142"/>
      <c r="T3" s="83" t="s">
        <v>44</v>
      </c>
      <c r="U3" s="84">
        <v>1</v>
      </c>
    </row>
    <row r="4" spans="2:21" ht="15" customHeight="1" x14ac:dyDescent="0.25">
      <c r="B4" s="202">
        <v>9</v>
      </c>
      <c r="C4" s="203" t="s">
        <v>98</v>
      </c>
      <c r="D4" s="204" t="s">
        <v>60</v>
      </c>
      <c r="E4" s="205">
        <v>45702</v>
      </c>
      <c r="F4" s="166"/>
      <c r="G4" s="116"/>
      <c r="H4" s="121"/>
      <c r="I4" s="121"/>
      <c r="J4" s="121"/>
      <c r="K4" s="121"/>
      <c r="L4" s="164">
        <v>0</v>
      </c>
      <c r="M4" s="145"/>
      <c r="N4" s="141">
        <v>0</v>
      </c>
      <c r="O4" s="127"/>
      <c r="P4" s="127"/>
      <c r="Q4" s="155">
        <v>0</v>
      </c>
      <c r="R4" s="142"/>
      <c r="T4" s="83" t="s">
        <v>45</v>
      </c>
      <c r="U4" s="84">
        <v>2</v>
      </c>
    </row>
    <row r="5" spans="2:21" ht="15" customHeight="1" x14ac:dyDescent="0.25">
      <c r="B5" s="67">
        <v>11</v>
      </c>
      <c r="C5" s="206" t="s">
        <v>99</v>
      </c>
      <c r="D5" s="207" t="s">
        <v>60</v>
      </c>
      <c r="E5" s="208">
        <v>45736</v>
      </c>
      <c r="F5" s="69"/>
      <c r="G5" s="68"/>
      <c r="H5" s="72"/>
      <c r="I5" s="72"/>
      <c r="J5" s="72"/>
      <c r="K5" s="72"/>
      <c r="L5" s="164">
        <v>0</v>
      </c>
      <c r="M5" s="132"/>
      <c r="N5" s="141">
        <v>0</v>
      </c>
      <c r="O5" s="109"/>
      <c r="P5" s="109"/>
      <c r="Q5" s="155">
        <v>0</v>
      </c>
      <c r="R5" s="134"/>
      <c r="T5" s="100" t="s">
        <v>56</v>
      </c>
      <c r="U5" s="101">
        <f>U2+U3-U4</f>
        <v>3</v>
      </c>
    </row>
    <row r="6" spans="2:21" ht="15" customHeight="1" x14ac:dyDescent="0.25">
      <c r="B6" s="115">
        <v>11</v>
      </c>
      <c r="C6" s="209" t="s">
        <v>124</v>
      </c>
      <c r="D6" s="210" t="s">
        <v>60</v>
      </c>
      <c r="E6" s="211">
        <v>45964</v>
      </c>
      <c r="F6" s="166">
        <v>46373</v>
      </c>
      <c r="G6" s="116"/>
      <c r="H6" s="121"/>
      <c r="I6" s="121"/>
      <c r="J6" s="121"/>
      <c r="K6" s="121"/>
      <c r="L6" s="164">
        <v>0</v>
      </c>
      <c r="M6" s="140"/>
      <c r="N6" s="141">
        <v>0</v>
      </c>
      <c r="O6" s="127"/>
      <c r="P6" s="127"/>
      <c r="Q6" s="155">
        <v>0</v>
      </c>
      <c r="R6" s="142"/>
      <c r="T6" s="212"/>
      <c r="U6" s="213"/>
    </row>
    <row r="7" spans="2:21" ht="15" customHeight="1" x14ac:dyDescent="0.25">
      <c r="B7" s="85">
        <v>10</v>
      </c>
      <c r="C7" s="285" t="s">
        <v>101</v>
      </c>
      <c r="D7" s="286" t="s">
        <v>60</v>
      </c>
      <c r="E7" s="287">
        <v>46364</v>
      </c>
      <c r="F7" s="287">
        <v>46371</v>
      </c>
      <c r="G7" s="86"/>
      <c r="H7" s="90"/>
      <c r="I7" s="90"/>
      <c r="J7" s="90"/>
      <c r="K7" s="90"/>
      <c r="L7" s="135">
        <v>0</v>
      </c>
      <c r="M7" s="136"/>
      <c r="N7" s="137">
        <v>0</v>
      </c>
      <c r="O7" s="96"/>
      <c r="P7" s="96"/>
      <c r="Q7" s="138">
        <v>0</v>
      </c>
      <c r="R7" s="139"/>
    </row>
    <row r="8" spans="2:21" ht="15" customHeight="1" x14ac:dyDescent="0.25">
      <c r="L8" s="99">
        <f>SUM(L3:L4)</f>
        <v>0</v>
      </c>
      <c r="N8" s="99">
        <f>SUM(N3:N4)</f>
        <v>0</v>
      </c>
      <c r="O8" s="99"/>
      <c r="P8" s="99"/>
      <c r="Q8" s="99">
        <f>SUM(Q3:Q4)</f>
        <v>0</v>
      </c>
      <c r="T8" s="81" t="s">
        <v>57</v>
      </c>
      <c r="U8" s="82">
        <v>2</v>
      </c>
    </row>
    <row r="9" spans="2:21" ht="15" customHeight="1" x14ac:dyDescent="0.25">
      <c r="T9" s="100" t="s">
        <v>13</v>
      </c>
      <c r="U9" s="101">
        <f>U5+U8</f>
        <v>5</v>
      </c>
    </row>
    <row r="10" spans="2:21" ht="15" customHeight="1" x14ac:dyDescent="0.25"/>
    <row r="11" spans="2:21" ht="15" customHeight="1" x14ac:dyDescent="0.25">
      <c r="T11" s="784" t="s">
        <v>58</v>
      </c>
      <c r="U11" s="784"/>
    </row>
    <row r="12" spans="2:21" ht="15" customHeight="1" x14ac:dyDescent="0.25">
      <c r="T12" s="83" t="s">
        <v>38</v>
      </c>
      <c r="U12" s="102">
        <v>0</v>
      </c>
    </row>
    <row r="13" spans="2:21" ht="15" customHeight="1" x14ac:dyDescent="0.25">
      <c r="T13" s="103" t="s">
        <v>39</v>
      </c>
      <c r="U13" s="104">
        <f>N8</f>
        <v>0</v>
      </c>
    </row>
    <row r="14" spans="2:21" ht="15" customHeight="1" x14ac:dyDescent="0.25"/>
    <row r="15" spans="2:21" ht="15" customHeight="1" x14ac:dyDescent="0.25">
      <c r="T15" s="81" t="s">
        <v>40</v>
      </c>
      <c r="U15" s="105">
        <f>Q8</f>
        <v>0</v>
      </c>
    </row>
    <row r="16" spans="2:21" ht="15" customHeight="1" x14ac:dyDescent="0.25">
      <c r="T16" s="103" t="s">
        <v>59</v>
      </c>
      <c r="U16" s="104">
        <v>0</v>
      </c>
    </row>
    <row r="17" spans="20:21" ht="15" customHeight="1" x14ac:dyDescent="0.25"/>
    <row r="18" spans="20:21" ht="15" customHeight="1" x14ac:dyDescent="0.25">
      <c r="T18" s="106" t="s">
        <v>22</v>
      </c>
      <c r="U18" s="107">
        <v>22</v>
      </c>
    </row>
    <row r="19" spans="20:21" ht="15" customHeight="1" x14ac:dyDescent="0.25"/>
    <row r="20" spans="20:21" ht="15" customHeight="1" x14ac:dyDescent="0.25"/>
    <row r="21" spans="20:21" ht="15" customHeight="1" x14ac:dyDescent="0.25"/>
    <row r="22" spans="20:21" ht="15" customHeight="1" x14ac:dyDescent="0.25"/>
    <row r="23" spans="20:21" ht="15" customHeight="1" x14ac:dyDescent="0.25"/>
    <row r="24" spans="20:21" ht="15" customHeight="1" x14ac:dyDescent="0.25"/>
    <row r="25" spans="20:21" ht="15" customHeight="1" x14ac:dyDescent="0.25"/>
    <row r="26" spans="20:21" ht="15" customHeight="1" x14ac:dyDescent="0.25"/>
    <row r="27" spans="20:21" ht="15" customHeight="1" x14ac:dyDescent="0.25"/>
    <row r="28" spans="20:21" ht="15" customHeight="1" x14ac:dyDescent="0.25"/>
    <row r="29" spans="20:21" ht="15" customHeight="1" x14ac:dyDescent="0.25"/>
    <row r="30" spans="20:21" ht="15" customHeight="1" x14ac:dyDescent="0.25"/>
    <row r="31" spans="20:21" ht="15" customHeight="1" x14ac:dyDescent="0.25"/>
    <row r="32" spans="20:21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</sheetData>
  <mergeCells count="4">
    <mergeCell ref="H1:L1"/>
    <mergeCell ref="M1:N1"/>
    <mergeCell ref="O1:Q1"/>
    <mergeCell ref="T11:U1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U36"/>
  <sheetViews>
    <sheetView showGridLines="0" zoomScaleNormal="100" workbookViewId="0">
      <selection activeCell="C16" sqref="C16"/>
    </sheetView>
  </sheetViews>
  <sheetFormatPr defaultColWidth="8.85546875" defaultRowHeight="12.75" x14ac:dyDescent="0.25"/>
  <cols>
    <col min="1" max="1" width="8.85546875" style="57"/>
    <col min="2" max="2" width="10" style="57" customWidth="1"/>
    <col min="3" max="3" width="40" style="57" customWidth="1"/>
    <col min="4" max="4" width="12.5703125" style="57" customWidth="1"/>
    <col min="5" max="6" width="10.7109375" style="57" customWidth="1"/>
    <col min="7" max="7" width="11.5703125" style="57" customWidth="1"/>
    <col min="8" max="11" width="10.42578125" style="57" customWidth="1"/>
    <col min="12" max="12" width="4.140625" style="57" customWidth="1"/>
    <col min="13" max="13" width="11.42578125" style="58" customWidth="1"/>
    <col min="14" max="14" width="4.140625" style="57" customWidth="1"/>
    <col min="15" max="16" width="10.42578125" style="57" customWidth="1"/>
    <col min="17" max="17" width="4.140625" style="57" customWidth="1"/>
    <col min="18" max="18" width="27.140625" style="57" customWidth="1"/>
    <col min="19" max="19" width="2.140625" style="57" customWidth="1"/>
    <col min="20" max="20" width="13.140625" style="57" customWidth="1"/>
    <col min="21" max="21" width="5.140625" style="57" customWidth="1"/>
    <col min="22" max="262" width="8.85546875" style="57"/>
    <col min="263" max="263" width="10" style="57" customWidth="1"/>
    <col min="264" max="264" width="40" style="57" customWidth="1"/>
    <col min="265" max="265" width="12.5703125" style="57" customWidth="1"/>
    <col min="266" max="267" width="10.42578125" style="57" customWidth="1"/>
    <col min="268" max="268" width="11.5703125" style="57" customWidth="1"/>
    <col min="269" max="270" width="10.42578125" style="57" customWidth="1"/>
    <col min="271" max="271" width="6.5703125" style="57" customWidth="1"/>
    <col min="272" max="272" width="11.42578125" style="57" customWidth="1"/>
    <col min="273" max="273" width="4.140625" style="57" customWidth="1"/>
    <col min="274" max="274" width="18.5703125" style="57" customWidth="1"/>
    <col min="275" max="275" width="2.140625" style="57" customWidth="1"/>
    <col min="276" max="276" width="10.42578125" style="57" customWidth="1"/>
    <col min="277" max="518" width="8.85546875" style="57"/>
    <col min="519" max="519" width="10" style="57" customWidth="1"/>
    <col min="520" max="520" width="40" style="57" customWidth="1"/>
    <col min="521" max="521" width="12.5703125" style="57" customWidth="1"/>
    <col min="522" max="523" width="10.42578125" style="57" customWidth="1"/>
    <col min="524" max="524" width="11.5703125" style="57" customWidth="1"/>
    <col min="525" max="526" width="10.42578125" style="57" customWidth="1"/>
    <col min="527" max="527" width="6.5703125" style="57" customWidth="1"/>
    <col min="528" max="528" width="11.42578125" style="57" customWidth="1"/>
    <col min="529" max="529" width="4.140625" style="57" customWidth="1"/>
    <col min="530" max="530" width="18.5703125" style="57" customWidth="1"/>
    <col min="531" max="531" width="2.140625" style="57" customWidth="1"/>
    <col min="532" max="532" width="10.42578125" style="57" customWidth="1"/>
    <col min="533" max="774" width="8.85546875" style="57"/>
    <col min="775" max="775" width="10" style="57" customWidth="1"/>
    <col min="776" max="776" width="40" style="57" customWidth="1"/>
    <col min="777" max="777" width="12.5703125" style="57" customWidth="1"/>
    <col min="778" max="779" width="10.42578125" style="57" customWidth="1"/>
    <col min="780" max="780" width="11.5703125" style="57" customWidth="1"/>
    <col min="781" max="782" width="10.42578125" style="57" customWidth="1"/>
    <col min="783" max="783" width="6.5703125" style="57" customWidth="1"/>
    <col min="784" max="784" width="11.42578125" style="57" customWidth="1"/>
    <col min="785" max="785" width="4.140625" style="57" customWidth="1"/>
    <col min="786" max="786" width="18.5703125" style="57" customWidth="1"/>
    <col min="787" max="787" width="2.140625" style="57" customWidth="1"/>
    <col min="788" max="788" width="10.42578125" style="57" customWidth="1"/>
    <col min="789" max="1030" width="8.85546875" style="57"/>
    <col min="1031" max="1031" width="10" style="57" customWidth="1"/>
    <col min="1032" max="1032" width="40" style="57" customWidth="1"/>
    <col min="1033" max="1033" width="12.5703125" style="57" customWidth="1"/>
    <col min="1034" max="1035" width="10.42578125" style="57" customWidth="1"/>
    <col min="1036" max="1036" width="11.5703125" style="57" customWidth="1"/>
    <col min="1037" max="1038" width="10.42578125" style="57" customWidth="1"/>
    <col min="1039" max="1039" width="6.5703125" style="57" customWidth="1"/>
    <col min="1040" max="1040" width="11.42578125" style="57" customWidth="1"/>
    <col min="1041" max="1041" width="4.140625" style="57" customWidth="1"/>
    <col min="1042" max="1042" width="18.5703125" style="57" customWidth="1"/>
    <col min="1043" max="1043" width="2.140625" style="57" customWidth="1"/>
    <col min="1044" max="1044" width="10.42578125" style="57" customWidth="1"/>
    <col min="1045" max="1286" width="8.85546875" style="57"/>
    <col min="1287" max="1287" width="10" style="57" customWidth="1"/>
    <col min="1288" max="1288" width="40" style="57" customWidth="1"/>
    <col min="1289" max="1289" width="12.5703125" style="57" customWidth="1"/>
    <col min="1290" max="1291" width="10.42578125" style="57" customWidth="1"/>
    <col min="1292" max="1292" width="11.5703125" style="57" customWidth="1"/>
    <col min="1293" max="1294" width="10.42578125" style="57" customWidth="1"/>
    <col min="1295" max="1295" width="6.5703125" style="57" customWidth="1"/>
    <col min="1296" max="1296" width="11.42578125" style="57" customWidth="1"/>
    <col min="1297" max="1297" width="4.140625" style="57" customWidth="1"/>
    <col min="1298" max="1298" width="18.5703125" style="57" customWidth="1"/>
    <col min="1299" max="1299" width="2.140625" style="57" customWidth="1"/>
    <col min="1300" max="1300" width="10.42578125" style="57" customWidth="1"/>
    <col min="1301" max="1542" width="8.85546875" style="57"/>
    <col min="1543" max="1543" width="10" style="57" customWidth="1"/>
    <col min="1544" max="1544" width="40" style="57" customWidth="1"/>
    <col min="1545" max="1545" width="12.5703125" style="57" customWidth="1"/>
    <col min="1546" max="1547" width="10.42578125" style="57" customWidth="1"/>
    <col min="1548" max="1548" width="11.5703125" style="57" customWidth="1"/>
    <col min="1549" max="1550" width="10.42578125" style="57" customWidth="1"/>
    <col min="1551" max="1551" width="6.5703125" style="57" customWidth="1"/>
    <col min="1552" max="1552" width="11.42578125" style="57" customWidth="1"/>
    <col min="1553" max="1553" width="4.140625" style="57" customWidth="1"/>
    <col min="1554" max="1554" width="18.5703125" style="57" customWidth="1"/>
    <col min="1555" max="1555" width="2.140625" style="57" customWidth="1"/>
    <col min="1556" max="1556" width="10.42578125" style="57" customWidth="1"/>
    <col min="1557" max="1798" width="8.85546875" style="57"/>
    <col min="1799" max="1799" width="10" style="57" customWidth="1"/>
    <col min="1800" max="1800" width="40" style="57" customWidth="1"/>
    <col min="1801" max="1801" width="12.5703125" style="57" customWidth="1"/>
    <col min="1802" max="1803" width="10.42578125" style="57" customWidth="1"/>
    <col min="1804" max="1804" width="11.5703125" style="57" customWidth="1"/>
    <col min="1805" max="1806" width="10.42578125" style="57" customWidth="1"/>
    <col min="1807" max="1807" width="6.5703125" style="57" customWidth="1"/>
    <col min="1808" max="1808" width="11.42578125" style="57" customWidth="1"/>
    <col min="1809" max="1809" width="4.140625" style="57" customWidth="1"/>
    <col min="1810" max="1810" width="18.5703125" style="57" customWidth="1"/>
    <col min="1811" max="1811" width="2.140625" style="57" customWidth="1"/>
    <col min="1812" max="1812" width="10.42578125" style="57" customWidth="1"/>
    <col min="1813" max="2054" width="8.85546875" style="57"/>
    <col min="2055" max="2055" width="10" style="57" customWidth="1"/>
    <col min="2056" max="2056" width="40" style="57" customWidth="1"/>
    <col min="2057" max="2057" width="12.5703125" style="57" customWidth="1"/>
    <col min="2058" max="2059" width="10.42578125" style="57" customWidth="1"/>
    <col min="2060" max="2060" width="11.5703125" style="57" customWidth="1"/>
    <col min="2061" max="2062" width="10.42578125" style="57" customWidth="1"/>
    <col min="2063" max="2063" width="6.5703125" style="57" customWidth="1"/>
    <col min="2064" max="2064" width="11.42578125" style="57" customWidth="1"/>
    <col min="2065" max="2065" width="4.140625" style="57" customWidth="1"/>
    <col min="2066" max="2066" width="18.5703125" style="57" customWidth="1"/>
    <col min="2067" max="2067" width="2.140625" style="57" customWidth="1"/>
    <col min="2068" max="2068" width="10.42578125" style="57" customWidth="1"/>
    <col min="2069" max="2310" width="8.85546875" style="57"/>
    <col min="2311" max="2311" width="10" style="57" customWidth="1"/>
    <col min="2312" max="2312" width="40" style="57" customWidth="1"/>
    <col min="2313" max="2313" width="12.5703125" style="57" customWidth="1"/>
    <col min="2314" max="2315" width="10.42578125" style="57" customWidth="1"/>
    <col min="2316" max="2316" width="11.5703125" style="57" customWidth="1"/>
    <col min="2317" max="2318" width="10.42578125" style="57" customWidth="1"/>
    <col min="2319" max="2319" width="6.5703125" style="57" customWidth="1"/>
    <col min="2320" max="2320" width="11.42578125" style="57" customWidth="1"/>
    <col min="2321" max="2321" width="4.140625" style="57" customWidth="1"/>
    <col min="2322" max="2322" width="18.5703125" style="57" customWidth="1"/>
    <col min="2323" max="2323" width="2.140625" style="57" customWidth="1"/>
    <col min="2324" max="2324" width="10.42578125" style="57" customWidth="1"/>
    <col min="2325" max="2566" width="8.85546875" style="57"/>
    <col min="2567" max="2567" width="10" style="57" customWidth="1"/>
    <col min="2568" max="2568" width="40" style="57" customWidth="1"/>
    <col min="2569" max="2569" width="12.5703125" style="57" customWidth="1"/>
    <col min="2570" max="2571" width="10.42578125" style="57" customWidth="1"/>
    <col min="2572" max="2572" width="11.5703125" style="57" customWidth="1"/>
    <col min="2573" max="2574" width="10.42578125" style="57" customWidth="1"/>
    <col min="2575" max="2575" width="6.5703125" style="57" customWidth="1"/>
    <col min="2576" max="2576" width="11.42578125" style="57" customWidth="1"/>
    <col min="2577" max="2577" width="4.140625" style="57" customWidth="1"/>
    <col min="2578" max="2578" width="18.5703125" style="57" customWidth="1"/>
    <col min="2579" max="2579" width="2.140625" style="57" customWidth="1"/>
    <col min="2580" max="2580" width="10.42578125" style="57" customWidth="1"/>
    <col min="2581" max="2822" width="8.85546875" style="57"/>
    <col min="2823" max="2823" width="10" style="57" customWidth="1"/>
    <col min="2824" max="2824" width="40" style="57" customWidth="1"/>
    <col min="2825" max="2825" width="12.5703125" style="57" customWidth="1"/>
    <col min="2826" max="2827" width="10.42578125" style="57" customWidth="1"/>
    <col min="2828" max="2828" width="11.5703125" style="57" customWidth="1"/>
    <col min="2829" max="2830" width="10.42578125" style="57" customWidth="1"/>
    <col min="2831" max="2831" width="6.5703125" style="57" customWidth="1"/>
    <col min="2832" max="2832" width="11.42578125" style="57" customWidth="1"/>
    <col min="2833" max="2833" width="4.140625" style="57" customWidth="1"/>
    <col min="2834" max="2834" width="18.5703125" style="57" customWidth="1"/>
    <col min="2835" max="2835" width="2.140625" style="57" customWidth="1"/>
    <col min="2836" max="2836" width="10.42578125" style="57" customWidth="1"/>
    <col min="2837" max="3078" width="8.85546875" style="57"/>
    <col min="3079" max="3079" width="10" style="57" customWidth="1"/>
    <col min="3080" max="3080" width="40" style="57" customWidth="1"/>
    <col min="3081" max="3081" width="12.5703125" style="57" customWidth="1"/>
    <col min="3082" max="3083" width="10.42578125" style="57" customWidth="1"/>
    <col min="3084" max="3084" width="11.5703125" style="57" customWidth="1"/>
    <col min="3085" max="3086" width="10.42578125" style="57" customWidth="1"/>
    <col min="3087" max="3087" width="6.5703125" style="57" customWidth="1"/>
    <col min="3088" max="3088" width="11.42578125" style="57" customWidth="1"/>
    <col min="3089" max="3089" width="4.140625" style="57" customWidth="1"/>
    <col min="3090" max="3090" width="18.5703125" style="57" customWidth="1"/>
    <col min="3091" max="3091" width="2.140625" style="57" customWidth="1"/>
    <col min="3092" max="3092" width="10.42578125" style="57" customWidth="1"/>
    <col min="3093" max="3334" width="8.85546875" style="57"/>
    <col min="3335" max="3335" width="10" style="57" customWidth="1"/>
    <col min="3336" max="3336" width="40" style="57" customWidth="1"/>
    <col min="3337" max="3337" width="12.5703125" style="57" customWidth="1"/>
    <col min="3338" max="3339" width="10.42578125" style="57" customWidth="1"/>
    <col min="3340" max="3340" width="11.5703125" style="57" customWidth="1"/>
    <col min="3341" max="3342" width="10.42578125" style="57" customWidth="1"/>
    <col min="3343" max="3343" width="6.5703125" style="57" customWidth="1"/>
    <col min="3344" max="3344" width="11.42578125" style="57" customWidth="1"/>
    <col min="3345" max="3345" width="4.140625" style="57" customWidth="1"/>
    <col min="3346" max="3346" width="18.5703125" style="57" customWidth="1"/>
    <col min="3347" max="3347" width="2.140625" style="57" customWidth="1"/>
    <col min="3348" max="3348" width="10.42578125" style="57" customWidth="1"/>
    <col min="3349" max="3590" width="8.85546875" style="57"/>
    <col min="3591" max="3591" width="10" style="57" customWidth="1"/>
    <col min="3592" max="3592" width="40" style="57" customWidth="1"/>
    <col min="3593" max="3593" width="12.5703125" style="57" customWidth="1"/>
    <col min="3594" max="3595" width="10.42578125" style="57" customWidth="1"/>
    <col min="3596" max="3596" width="11.5703125" style="57" customWidth="1"/>
    <col min="3597" max="3598" width="10.42578125" style="57" customWidth="1"/>
    <col min="3599" max="3599" width="6.5703125" style="57" customWidth="1"/>
    <col min="3600" max="3600" width="11.42578125" style="57" customWidth="1"/>
    <col min="3601" max="3601" width="4.140625" style="57" customWidth="1"/>
    <col min="3602" max="3602" width="18.5703125" style="57" customWidth="1"/>
    <col min="3603" max="3603" width="2.140625" style="57" customWidth="1"/>
    <col min="3604" max="3604" width="10.42578125" style="57" customWidth="1"/>
    <col min="3605" max="3846" width="8.85546875" style="57"/>
    <col min="3847" max="3847" width="10" style="57" customWidth="1"/>
    <col min="3848" max="3848" width="40" style="57" customWidth="1"/>
    <col min="3849" max="3849" width="12.5703125" style="57" customWidth="1"/>
    <col min="3850" max="3851" width="10.42578125" style="57" customWidth="1"/>
    <col min="3852" max="3852" width="11.5703125" style="57" customWidth="1"/>
    <col min="3853" max="3854" width="10.42578125" style="57" customWidth="1"/>
    <col min="3855" max="3855" width="6.5703125" style="57" customWidth="1"/>
    <col min="3856" max="3856" width="11.42578125" style="57" customWidth="1"/>
    <col min="3857" max="3857" width="4.140625" style="57" customWidth="1"/>
    <col min="3858" max="3858" width="18.5703125" style="57" customWidth="1"/>
    <col min="3859" max="3859" width="2.140625" style="57" customWidth="1"/>
    <col min="3860" max="3860" width="10.42578125" style="57" customWidth="1"/>
    <col min="3861" max="4102" width="8.85546875" style="57"/>
    <col min="4103" max="4103" width="10" style="57" customWidth="1"/>
    <col min="4104" max="4104" width="40" style="57" customWidth="1"/>
    <col min="4105" max="4105" width="12.5703125" style="57" customWidth="1"/>
    <col min="4106" max="4107" width="10.42578125" style="57" customWidth="1"/>
    <col min="4108" max="4108" width="11.5703125" style="57" customWidth="1"/>
    <col min="4109" max="4110" width="10.42578125" style="57" customWidth="1"/>
    <col min="4111" max="4111" width="6.5703125" style="57" customWidth="1"/>
    <col min="4112" max="4112" width="11.42578125" style="57" customWidth="1"/>
    <col min="4113" max="4113" width="4.140625" style="57" customWidth="1"/>
    <col min="4114" max="4114" width="18.5703125" style="57" customWidth="1"/>
    <col min="4115" max="4115" width="2.140625" style="57" customWidth="1"/>
    <col min="4116" max="4116" width="10.42578125" style="57" customWidth="1"/>
    <col min="4117" max="4358" width="8.85546875" style="57"/>
    <col min="4359" max="4359" width="10" style="57" customWidth="1"/>
    <col min="4360" max="4360" width="40" style="57" customWidth="1"/>
    <col min="4361" max="4361" width="12.5703125" style="57" customWidth="1"/>
    <col min="4362" max="4363" width="10.42578125" style="57" customWidth="1"/>
    <col min="4364" max="4364" width="11.5703125" style="57" customWidth="1"/>
    <col min="4365" max="4366" width="10.42578125" style="57" customWidth="1"/>
    <col min="4367" max="4367" width="6.5703125" style="57" customWidth="1"/>
    <col min="4368" max="4368" width="11.42578125" style="57" customWidth="1"/>
    <col min="4369" max="4369" width="4.140625" style="57" customWidth="1"/>
    <col min="4370" max="4370" width="18.5703125" style="57" customWidth="1"/>
    <col min="4371" max="4371" width="2.140625" style="57" customWidth="1"/>
    <col min="4372" max="4372" width="10.42578125" style="57" customWidth="1"/>
    <col min="4373" max="4614" width="8.85546875" style="57"/>
    <col min="4615" max="4615" width="10" style="57" customWidth="1"/>
    <col min="4616" max="4616" width="40" style="57" customWidth="1"/>
    <col min="4617" max="4617" width="12.5703125" style="57" customWidth="1"/>
    <col min="4618" max="4619" width="10.42578125" style="57" customWidth="1"/>
    <col min="4620" max="4620" width="11.5703125" style="57" customWidth="1"/>
    <col min="4621" max="4622" width="10.42578125" style="57" customWidth="1"/>
    <col min="4623" max="4623" width="6.5703125" style="57" customWidth="1"/>
    <col min="4624" max="4624" width="11.42578125" style="57" customWidth="1"/>
    <col min="4625" max="4625" width="4.140625" style="57" customWidth="1"/>
    <col min="4626" max="4626" width="18.5703125" style="57" customWidth="1"/>
    <col min="4627" max="4627" width="2.140625" style="57" customWidth="1"/>
    <col min="4628" max="4628" width="10.42578125" style="57" customWidth="1"/>
    <col min="4629" max="4870" width="8.85546875" style="57"/>
    <col min="4871" max="4871" width="10" style="57" customWidth="1"/>
    <col min="4872" max="4872" width="40" style="57" customWidth="1"/>
    <col min="4873" max="4873" width="12.5703125" style="57" customWidth="1"/>
    <col min="4874" max="4875" width="10.42578125" style="57" customWidth="1"/>
    <col min="4876" max="4876" width="11.5703125" style="57" customWidth="1"/>
    <col min="4877" max="4878" width="10.42578125" style="57" customWidth="1"/>
    <col min="4879" max="4879" width="6.5703125" style="57" customWidth="1"/>
    <col min="4880" max="4880" width="11.42578125" style="57" customWidth="1"/>
    <col min="4881" max="4881" width="4.140625" style="57" customWidth="1"/>
    <col min="4882" max="4882" width="18.5703125" style="57" customWidth="1"/>
    <col min="4883" max="4883" width="2.140625" style="57" customWidth="1"/>
    <col min="4884" max="4884" width="10.42578125" style="57" customWidth="1"/>
    <col min="4885" max="5126" width="8.85546875" style="57"/>
    <col min="5127" max="5127" width="10" style="57" customWidth="1"/>
    <col min="5128" max="5128" width="40" style="57" customWidth="1"/>
    <col min="5129" max="5129" width="12.5703125" style="57" customWidth="1"/>
    <col min="5130" max="5131" width="10.42578125" style="57" customWidth="1"/>
    <col min="5132" max="5132" width="11.5703125" style="57" customWidth="1"/>
    <col min="5133" max="5134" width="10.42578125" style="57" customWidth="1"/>
    <col min="5135" max="5135" width="6.5703125" style="57" customWidth="1"/>
    <col min="5136" max="5136" width="11.42578125" style="57" customWidth="1"/>
    <col min="5137" max="5137" width="4.140625" style="57" customWidth="1"/>
    <col min="5138" max="5138" width="18.5703125" style="57" customWidth="1"/>
    <col min="5139" max="5139" width="2.140625" style="57" customWidth="1"/>
    <col min="5140" max="5140" width="10.42578125" style="57" customWidth="1"/>
    <col min="5141" max="5382" width="8.85546875" style="57"/>
    <col min="5383" max="5383" width="10" style="57" customWidth="1"/>
    <col min="5384" max="5384" width="40" style="57" customWidth="1"/>
    <col min="5385" max="5385" width="12.5703125" style="57" customWidth="1"/>
    <col min="5386" max="5387" width="10.42578125" style="57" customWidth="1"/>
    <col min="5388" max="5388" width="11.5703125" style="57" customWidth="1"/>
    <col min="5389" max="5390" width="10.42578125" style="57" customWidth="1"/>
    <col min="5391" max="5391" width="6.5703125" style="57" customWidth="1"/>
    <col min="5392" max="5392" width="11.42578125" style="57" customWidth="1"/>
    <col min="5393" max="5393" width="4.140625" style="57" customWidth="1"/>
    <col min="5394" max="5394" width="18.5703125" style="57" customWidth="1"/>
    <col min="5395" max="5395" width="2.140625" style="57" customWidth="1"/>
    <col min="5396" max="5396" width="10.42578125" style="57" customWidth="1"/>
    <col min="5397" max="5638" width="8.85546875" style="57"/>
    <col min="5639" max="5639" width="10" style="57" customWidth="1"/>
    <col min="5640" max="5640" width="40" style="57" customWidth="1"/>
    <col min="5641" max="5641" width="12.5703125" style="57" customWidth="1"/>
    <col min="5642" max="5643" width="10.42578125" style="57" customWidth="1"/>
    <col min="5644" max="5644" width="11.5703125" style="57" customWidth="1"/>
    <col min="5645" max="5646" width="10.42578125" style="57" customWidth="1"/>
    <col min="5647" max="5647" width="6.5703125" style="57" customWidth="1"/>
    <col min="5648" max="5648" width="11.42578125" style="57" customWidth="1"/>
    <col min="5649" max="5649" width="4.140625" style="57" customWidth="1"/>
    <col min="5650" max="5650" width="18.5703125" style="57" customWidth="1"/>
    <col min="5651" max="5651" width="2.140625" style="57" customWidth="1"/>
    <col min="5652" max="5652" width="10.42578125" style="57" customWidth="1"/>
    <col min="5653" max="5894" width="8.85546875" style="57"/>
    <col min="5895" max="5895" width="10" style="57" customWidth="1"/>
    <col min="5896" max="5896" width="40" style="57" customWidth="1"/>
    <col min="5897" max="5897" width="12.5703125" style="57" customWidth="1"/>
    <col min="5898" max="5899" width="10.42578125" style="57" customWidth="1"/>
    <col min="5900" max="5900" width="11.5703125" style="57" customWidth="1"/>
    <col min="5901" max="5902" width="10.42578125" style="57" customWidth="1"/>
    <col min="5903" max="5903" width="6.5703125" style="57" customWidth="1"/>
    <col min="5904" max="5904" width="11.42578125" style="57" customWidth="1"/>
    <col min="5905" max="5905" width="4.140625" style="57" customWidth="1"/>
    <col min="5906" max="5906" width="18.5703125" style="57" customWidth="1"/>
    <col min="5907" max="5907" width="2.140625" style="57" customWidth="1"/>
    <col min="5908" max="5908" width="10.42578125" style="57" customWidth="1"/>
    <col min="5909" max="6150" width="8.85546875" style="57"/>
    <col min="6151" max="6151" width="10" style="57" customWidth="1"/>
    <col min="6152" max="6152" width="40" style="57" customWidth="1"/>
    <col min="6153" max="6153" width="12.5703125" style="57" customWidth="1"/>
    <col min="6154" max="6155" width="10.42578125" style="57" customWidth="1"/>
    <col min="6156" max="6156" width="11.5703125" style="57" customWidth="1"/>
    <col min="6157" max="6158" width="10.42578125" style="57" customWidth="1"/>
    <col min="6159" max="6159" width="6.5703125" style="57" customWidth="1"/>
    <col min="6160" max="6160" width="11.42578125" style="57" customWidth="1"/>
    <col min="6161" max="6161" width="4.140625" style="57" customWidth="1"/>
    <col min="6162" max="6162" width="18.5703125" style="57" customWidth="1"/>
    <col min="6163" max="6163" width="2.140625" style="57" customWidth="1"/>
    <col min="6164" max="6164" width="10.42578125" style="57" customWidth="1"/>
    <col min="6165" max="6406" width="8.85546875" style="57"/>
    <col min="6407" max="6407" width="10" style="57" customWidth="1"/>
    <col min="6408" max="6408" width="40" style="57" customWidth="1"/>
    <col min="6409" max="6409" width="12.5703125" style="57" customWidth="1"/>
    <col min="6410" max="6411" width="10.42578125" style="57" customWidth="1"/>
    <col min="6412" max="6412" width="11.5703125" style="57" customWidth="1"/>
    <col min="6413" max="6414" width="10.42578125" style="57" customWidth="1"/>
    <col min="6415" max="6415" width="6.5703125" style="57" customWidth="1"/>
    <col min="6416" max="6416" width="11.42578125" style="57" customWidth="1"/>
    <col min="6417" max="6417" width="4.140625" style="57" customWidth="1"/>
    <col min="6418" max="6418" width="18.5703125" style="57" customWidth="1"/>
    <col min="6419" max="6419" width="2.140625" style="57" customWidth="1"/>
    <col min="6420" max="6420" width="10.42578125" style="57" customWidth="1"/>
    <col min="6421" max="6662" width="8.85546875" style="57"/>
    <col min="6663" max="6663" width="10" style="57" customWidth="1"/>
    <col min="6664" max="6664" width="40" style="57" customWidth="1"/>
    <col min="6665" max="6665" width="12.5703125" style="57" customWidth="1"/>
    <col min="6666" max="6667" width="10.42578125" style="57" customWidth="1"/>
    <col min="6668" max="6668" width="11.5703125" style="57" customWidth="1"/>
    <col min="6669" max="6670" width="10.42578125" style="57" customWidth="1"/>
    <col min="6671" max="6671" width="6.5703125" style="57" customWidth="1"/>
    <col min="6672" max="6672" width="11.42578125" style="57" customWidth="1"/>
    <col min="6673" max="6673" width="4.140625" style="57" customWidth="1"/>
    <col min="6674" max="6674" width="18.5703125" style="57" customWidth="1"/>
    <col min="6675" max="6675" width="2.140625" style="57" customWidth="1"/>
    <col min="6676" max="6676" width="10.42578125" style="57" customWidth="1"/>
    <col min="6677" max="6918" width="8.85546875" style="57"/>
    <col min="6919" max="6919" width="10" style="57" customWidth="1"/>
    <col min="6920" max="6920" width="40" style="57" customWidth="1"/>
    <col min="6921" max="6921" width="12.5703125" style="57" customWidth="1"/>
    <col min="6922" max="6923" width="10.42578125" style="57" customWidth="1"/>
    <col min="6924" max="6924" width="11.5703125" style="57" customWidth="1"/>
    <col min="6925" max="6926" width="10.42578125" style="57" customWidth="1"/>
    <col min="6927" max="6927" width="6.5703125" style="57" customWidth="1"/>
    <col min="6928" max="6928" width="11.42578125" style="57" customWidth="1"/>
    <col min="6929" max="6929" width="4.140625" style="57" customWidth="1"/>
    <col min="6930" max="6930" width="18.5703125" style="57" customWidth="1"/>
    <col min="6931" max="6931" width="2.140625" style="57" customWidth="1"/>
    <col min="6932" max="6932" width="10.42578125" style="57" customWidth="1"/>
    <col min="6933" max="7174" width="8.85546875" style="57"/>
    <col min="7175" max="7175" width="10" style="57" customWidth="1"/>
    <col min="7176" max="7176" width="40" style="57" customWidth="1"/>
    <col min="7177" max="7177" width="12.5703125" style="57" customWidth="1"/>
    <col min="7178" max="7179" width="10.42578125" style="57" customWidth="1"/>
    <col min="7180" max="7180" width="11.5703125" style="57" customWidth="1"/>
    <col min="7181" max="7182" width="10.42578125" style="57" customWidth="1"/>
    <col min="7183" max="7183" width="6.5703125" style="57" customWidth="1"/>
    <col min="7184" max="7184" width="11.42578125" style="57" customWidth="1"/>
    <col min="7185" max="7185" width="4.140625" style="57" customWidth="1"/>
    <col min="7186" max="7186" width="18.5703125" style="57" customWidth="1"/>
    <col min="7187" max="7187" width="2.140625" style="57" customWidth="1"/>
    <col min="7188" max="7188" width="10.42578125" style="57" customWidth="1"/>
    <col min="7189" max="7430" width="8.85546875" style="57"/>
    <col min="7431" max="7431" width="10" style="57" customWidth="1"/>
    <col min="7432" max="7432" width="40" style="57" customWidth="1"/>
    <col min="7433" max="7433" width="12.5703125" style="57" customWidth="1"/>
    <col min="7434" max="7435" width="10.42578125" style="57" customWidth="1"/>
    <col min="7436" max="7436" width="11.5703125" style="57" customWidth="1"/>
    <col min="7437" max="7438" width="10.42578125" style="57" customWidth="1"/>
    <col min="7439" max="7439" width="6.5703125" style="57" customWidth="1"/>
    <col min="7440" max="7440" width="11.42578125" style="57" customWidth="1"/>
    <col min="7441" max="7441" width="4.140625" style="57" customWidth="1"/>
    <col min="7442" max="7442" width="18.5703125" style="57" customWidth="1"/>
    <col min="7443" max="7443" width="2.140625" style="57" customWidth="1"/>
    <col min="7444" max="7444" width="10.42578125" style="57" customWidth="1"/>
    <col min="7445" max="7686" width="8.85546875" style="57"/>
    <col min="7687" max="7687" width="10" style="57" customWidth="1"/>
    <col min="7688" max="7688" width="40" style="57" customWidth="1"/>
    <col min="7689" max="7689" width="12.5703125" style="57" customWidth="1"/>
    <col min="7690" max="7691" width="10.42578125" style="57" customWidth="1"/>
    <col min="7692" max="7692" width="11.5703125" style="57" customWidth="1"/>
    <col min="7693" max="7694" width="10.42578125" style="57" customWidth="1"/>
    <col min="7695" max="7695" width="6.5703125" style="57" customWidth="1"/>
    <col min="7696" max="7696" width="11.42578125" style="57" customWidth="1"/>
    <col min="7697" max="7697" width="4.140625" style="57" customWidth="1"/>
    <col min="7698" max="7698" width="18.5703125" style="57" customWidth="1"/>
    <col min="7699" max="7699" width="2.140625" style="57" customWidth="1"/>
    <col min="7700" max="7700" width="10.42578125" style="57" customWidth="1"/>
    <col min="7701" max="7942" width="8.85546875" style="57"/>
    <col min="7943" max="7943" width="10" style="57" customWidth="1"/>
    <col min="7944" max="7944" width="40" style="57" customWidth="1"/>
    <col min="7945" max="7945" width="12.5703125" style="57" customWidth="1"/>
    <col min="7946" max="7947" width="10.42578125" style="57" customWidth="1"/>
    <col min="7948" max="7948" width="11.5703125" style="57" customWidth="1"/>
    <col min="7949" max="7950" width="10.42578125" style="57" customWidth="1"/>
    <col min="7951" max="7951" width="6.5703125" style="57" customWidth="1"/>
    <col min="7952" max="7952" width="11.42578125" style="57" customWidth="1"/>
    <col min="7953" max="7953" width="4.140625" style="57" customWidth="1"/>
    <col min="7954" max="7954" width="18.5703125" style="57" customWidth="1"/>
    <col min="7955" max="7955" width="2.140625" style="57" customWidth="1"/>
    <col min="7956" max="7956" width="10.42578125" style="57" customWidth="1"/>
    <col min="7957" max="8198" width="8.85546875" style="57"/>
    <col min="8199" max="8199" width="10" style="57" customWidth="1"/>
    <col min="8200" max="8200" width="40" style="57" customWidth="1"/>
    <col min="8201" max="8201" width="12.5703125" style="57" customWidth="1"/>
    <col min="8202" max="8203" width="10.42578125" style="57" customWidth="1"/>
    <col min="8204" max="8204" width="11.5703125" style="57" customWidth="1"/>
    <col min="8205" max="8206" width="10.42578125" style="57" customWidth="1"/>
    <col min="8207" max="8207" width="6.5703125" style="57" customWidth="1"/>
    <col min="8208" max="8208" width="11.42578125" style="57" customWidth="1"/>
    <col min="8209" max="8209" width="4.140625" style="57" customWidth="1"/>
    <col min="8210" max="8210" width="18.5703125" style="57" customWidth="1"/>
    <col min="8211" max="8211" width="2.140625" style="57" customWidth="1"/>
    <col min="8212" max="8212" width="10.42578125" style="57" customWidth="1"/>
    <col min="8213" max="8454" width="8.85546875" style="57"/>
    <col min="8455" max="8455" width="10" style="57" customWidth="1"/>
    <col min="8456" max="8456" width="40" style="57" customWidth="1"/>
    <col min="8457" max="8457" width="12.5703125" style="57" customWidth="1"/>
    <col min="8458" max="8459" width="10.42578125" style="57" customWidth="1"/>
    <col min="8460" max="8460" width="11.5703125" style="57" customWidth="1"/>
    <col min="8461" max="8462" width="10.42578125" style="57" customWidth="1"/>
    <col min="8463" max="8463" width="6.5703125" style="57" customWidth="1"/>
    <col min="8464" max="8464" width="11.42578125" style="57" customWidth="1"/>
    <col min="8465" max="8465" width="4.140625" style="57" customWidth="1"/>
    <col min="8466" max="8466" width="18.5703125" style="57" customWidth="1"/>
    <col min="8467" max="8467" width="2.140625" style="57" customWidth="1"/>
    <col min="8468" max="8468" width="10.42578125" style="57" customWidth="1"/>
    <col min="8469" max="8710" width="8.85546875" style="57"/>
    <col min="8711" max="8711" width="10" style="57" customWidth="1"/>
    <col min="8712" max="8712" width="40" style="57" customWidth="1"/>
    <col min="8713" max="8713" width="12.5703125" style="57" customWidth="1"/>
    <col min="8714" max="8715" width="10.42578125" style="57" customWidth="1"/>
    <col min="8716" max="8716" width="11.5703125" style="57" customWidth="1"/>
    <col min="8717" max="8718" width="10.42578125" style="57" customWidth="1"/>
    <col min="8719" max="8719" width="6.5703125" style="57" customWidth="1"/>
    <col min="8720" max="8720" width="11.42578125" style="57" customWidth="1"/>
    <col min="8721" max="8721" width="4.140625" style="57" customWidth="1"/>
    <col min="8722" max="8722" width="18.5703125" style="57" customWidth="1"/>
    <col min="8723" max="8723" width="2.140625" style="57" customWidth="1"/>
    <col min="8724" max="8724" width="10.42578125" style="57" customWidth="1"/>
    <col min="8725" max="8966" width="8.85546875" style="57"/>
    <col min="8967" max="8967" width="10" style="57" customWidth="1"/>
    <col min="8968" max="8968" width="40" style="57" customWidth="1"/>
    <col min="8969" max="8969" width="12.5703125" style="57" customWidth="1"/>
    <col min="8970" max="8971" width="10.42578125" style="57" customWidth="1"/>
    <col min="8972" max="8972" width="11.5703125" style="57" customWidth="1"/>
    <col min="8973" max="8974" width="10.42578125" style="57" customWidth="1"/>
    <col min="8975" max="8975" width="6.5703125" style="57" customWidth="1"/>
    <col min="8976" max="8976" width="11.42578125" style="57" customWidth="1"/>
    <col min="8977" max="8977" width="4.140625" style="57" customWidth="1"/>
    <col min="8978" max="8978" width="18.5703125" style="57" customWidth="1"/>
    <col min="8979" max="8979" width="2.140625" style="57" customWidth="1"/>
    <col min="8980" max="8980" width="10.42578125" style="57" customWidth="1"/>
    <col min="8981" max="9222" width="8.85546875" style="57"/>
    <col min="9223" max="9223" width="10" style="57" customWidth="1"/>
    <col min="9224" max="9224" width="40" style="57" customWidth="1"/>
    <col min="9225" max="9225" width="12.5703125" style="57" customWidth="1"/>
    <col min="9226" max="9227" width="10.42578125" style="57" customWidth="1"/>
    <col min="9228" max="9228" width="11.5703125" style="57" customWidth="1"/>
    <col min="9229" max="9230" width="10.42578125" style="57" customWidth="1"/>
    <col min="9231" max="9231" width="6.5703125" style="57" customWidth="1"/>
    <col min="9232" max="9232" width="11.42578125" style="57" customWidth="1"/>
    <col min="9233" max="9233" width="4.140625" style="57" customWidth="1"/>
    <col min="9234" max="9234" width="18.5703125" style="57" customWidth="1"/>
    <col min="9235" max="9235" width="2.140625" style="57" customWidth="1"/>
    <col min="9236" max="9236" width="10.42578125" style="57" customWidth="1"/>
    <col min="9237" max="9478" width="8.85546875" style="57"/>
    <col min="9479" max="9479" width="10" style="57" customWidth="1"/>
    <col min="9480" max="9480" width="40" style="57" customWidth="1"/>
    <col min="9481" max="9481" width="12.5703125" style="57" customWidth="1"/>
    <col min="9482" max="9483" width="10.42578125" style="57" customWidth="1"/>
    <col min="9484" max="9484" width="11.5703125" style="57" customWidth="1"/>
    <col min="9485" max="9486" width="10.42578125" style="57" customWidth="1"/>
    <col min="9487" max="9487" width="6.5703125" style="57" customWidth="1"/>
    <col min="9488" max="9488" width="11.42578125" style="57" customWidth="1"/>
    <col min="9489" max="9489" width="4.140625" style="57" customWidth="1"/>
    <col min="9490" max="9490" width="18.5703125" style="57" customWidth="1"/>
    <col min="9491" max="9491" width="2.140625" style="57" customWidth="1"/>
    <col min="9492" max="9492" width="10.42578125" style="57" customWidth="1"/>
    <col min="9493" max="9734" width="8.85546875" style="57"/>
    <col min="9735" max="9735" width="10" style="57" customWidth="1"/>
    <col min="9736" max="9736" width="40" style="57" customWidth="1"/>
    <col min="9737" max="9737" width="12.5703125" style="57" customWidth="1"/>
    <col min="9738" max="9739" width="10.42578125" style="57" customWidth="1"/>
    <col min="9740" max="9740" width="11.5703125" style="57" customWidth="1"/>
    <col min="9741" max="9742" width="10.42578125" style="57" customWidth="1"/>
    <col min="9743" max="9743" width="6.5703125" style="57" customWidth="1"/>
    <col min="9744" max="9744" width="11.42578125" style="57" customWidth="1"/>
    <col min="9745" max="9745" width="4.140625" style="57" customWidth="1"/>
    <col min="9746" max="9746" width="18.5703125" style="57" customWidth="1"/>
    <col min="9747" max="9747" width="2.140625" style="57" customWidth="1"/>
    <col min="9748" max="9748" width="10.42578125" style="57" customWidth="1"/>
    <col min="9749" max="9990" width="8.85546875" style="57"/>
    <col min="9991" max="9991" width="10" style="57" customWidth="1"/>
    <col min="9992" max="9992" width="40" style="57" customWidth="1"/>
    <col min="9993" max="9993" width="12.5703125" style="57" customWidth="1"/>
    <col min="9994" max="9995" width="10.42578125" style="57" customWidth="1"/>
    <col min="9996" max="9996" width="11.5703125" style="57" customWidth="1"/>
    <col min="9997" max="9998" width="10.42578125" style="57" customWidth="1"/>
    <col min="9999" max="9999" width="6.5703125" style="57" customWidth="1"/>
    <col min="10000" max="10000" width="11.42578125" style="57" customWidth="1"/>
    <col min="10001" max="10001" width="4.140625" style="57" customWidth="1"/>
    <col min="10002" max="10002" width="18.5703125" style="57" customWidth="1"/>
    <col min="10003" max="10003" width="2.140625" style="57" customWidth="1"/>
    <col min="10004" max="10004" width="10.42578125" style="57" customWidth="1"/>
    <col min="10005" max="10246" width="8.85546875" style="57"/>
    <col min="10247" max="10247" width="10" style="57" customWidth="1"/>
    <col min="10248" max="10248" width="40" style="57" customWidth="1"/>
    <col min="10249" max="10249" width="12.5703125" style="57" customWidth="1"/>
    <col min="10250" max="10251" width="10.42578125" style="57" customWidth="1"/>
    <col min="10252" max="10252" width="11.5703125" style="57" customWidth="1"/>
    <col min="10253" max="10254" width="10.42578125" style="57" customWidth="1"/>
    <col min="10255" max="10255" width="6.5703125" style="57" customWidth="1"/>
    <col min="10256" max="10256" width="11.42578125" style="57" customWidth="1"/>
    <col min="10257" max="10257" width="4.140625" style="57" customWidth="1"/>
    <col min="10258" max="10258" width="18.5703125" style="57" customWidth="1"/>
    <col min="10259" max="10259" width="2.140625" style="57" customWidth="1"/>
    <col min="10260" max="10260" width="10.42578125" style="57" customWidth="1"/>
    <col min="10261" max="10502" width="8.85546875" style="57"/>
    <col min="10503" max="10503" width="10" style="57" customWidth="1"/>
    <col min="10504" max="10504" width="40" style="57" customWidth="1"/>
    <col min="10505" max="10505" width="12.5703125" style="57" customWidth="1"/>
    <col min="10506" max="10507" width="10.42578125" style="57" customWidth="1"/>
    <col min="10508" max="10508" width="11.5703125" style="57" customWidth="1"/>
    <col min="10509" max="10510" width="10.42578125" style="57" customWidth="1"/>
    <col min="10511" max="10511" width="6.5703125" style="57" customWidth="1"/>
    <col min="10512" max="10512" width="11.42578125" style="57" customWidth="1"/>
    <col min="10513" max="10513" width="4.140625" style="57" customWidth="1"/>
    <col min="10514" max="10514" width="18.5703125" style="57" customWidth="1"/>
    <col min="10515" max="10515" width="2.140625" style="57" customWidth="1"/>
    <col min="10516" max="10516" width="10.42578125" style="57" customWidth="1"/>
    <col min="10517" max="10758" width="8.85546875" style="57"/>
    <col min="10759" max="10759" width="10" style="57" customWidth="1"/>
    <col min="10760" max="10760" width="40" style="57" customWidth="1"/>
    <col min="10761" max="10761" width="12.5703125" style="57" customWidth="1"/>
    <col min="10762" max="10763" width="10.42578125" style="57" customWidth="1"/>
    <col min="10764" max="10764" width="11.5703125" style="57" customWidth="1"/>
    <col min="10765" max="10766" width="10.42578125" style="57" customWidth="1"/>
    <col min="10767" max="10767" width="6.5703125" style="57" customWidth="1"/>
    <col min="10768" max="10768" width="11.42578125" style="57" customWidth="1"/>
    <col min="10769" max="10769" width="4.140625" style="57" customWidth="1"/>
    <col min="10770" max="10770" width="18.5703125" style="57" customWidth="1"/>
    <col min="10771" max="10771" width="2.140625" style="57" customWidth="1"/>
    <col min="10772" max="10772" width="10.42578125" style="57" customWidth="1"/>
    <col min="10773" max="11014" width="8.85546875" style="57"/>
    <col min="11015" max="11015" width="10" style="57" customWidth="1"/>
    <col min="11016" max="11016" width="40" style="57" customWidth="1"/>
    <col min="11017" max="11017" width="12.5703125" style="57" customWidth="1"/>
    <col min="11018" max="11019" width="10.42578125" style="57" customWidth="1"/>
    <col min="11020" max="11020" width="11.5703125" style="57" customWidth="1"/>
    <col min="11021" max="11022" width="10.42578125" style="57" customWidth="1"/>
    <col min="11023" max="11023" width="6.5703125" style="57" customWidth="1"/>
    <col min="11024" max="11024" width="11.42578125" style="57" customWidth="1"/>
    <col min="11025" max="11025" width="4.140625" style="57" customWidth="1"/>
    <col min="11026" max="11026" width="18.5703125" style="57" customWidth="1"/>
    <col min="11027" max="11027" width="2.140625" style="57" customWidth="1"/>
    <col min="11028" max="11028" width="10.42578125" style="57" customWidth="1"/>
    <col min="11029" max="11270" width="8.85546875" style="57"/>
    <col min="11271" max="11271" width="10" style="57" customWidth="1"/>
    <col min="11272" max="11272" width="40" style="57" customWidth="1"/>
    <col min="11273" max="11273" width="12.5703125" style="57" customWidth="1"/>
    <col min="11274" max="11275" width="10.42578125" style="57" customWidth="1"/>
    <col min="11276" max="11276" width="11.5703125" style="57" customWidth="1"/>
    <col min="11277" max="11278" width="10.42578125" style="57" customWidth="1"/>
    <col min="11279" max="11279" width="6.5703125" style="57" customWidth="1"/>
    <col min="11280" max="11280" width="11.42578125" style="57" customWidth="1"/>
    <col min="11281" max="11281" width="4.140625" style="57" customWidth="1"/>
    <col min="11282" max="11282" width="18.5703125" style="57" customWidth="1"/>
    <col min="11283" max="11283" width="2.140625" style="57" customWidth="1"/>
    <col min="11284" max="11284" width="10.42578125" style="57" customWidth="1"/>
    <col min="11285" max="11526" width="8.85546875" style="57"/>
    <col min="11527" max="11527" width="10" style="57" customWidth="1"/>
    <col min="11528" max="11528" width="40" style="57" customWidth="1"/>
    <col min="11529" max="11529" width="12.5703125" style="57" customWidth="1"/>
    <col min="11530" max="11531" width="10.42578125" style="57" customWidth="1"/>
    <col min="11532" max="11532" width="11.5703125" style="57" customWidth="1"/>
    <col min="11533" max="11534" width="10.42578125" style="57" customWidth="1"/>
    <col min="11535" max="11535" width="6.5703125" style="57" customWidth="1"/>
    <col min="11536" max="11536" width="11.42578125" style="57" customWidth="1"/>
    <col min="11537" max="11537" width="4.140625" style="57" customWidth="1"/>
    <col min="11538" max="11538" width="18.5703125" style="57" customWidth="1"/>
    <col min="11539" max="11539" width="2.140625" style="57" customWidth="1"/>
    <col min="11540" max="11540" width="10.42578125" style="57" customWidth="1"/>
    <col min="11541" max="11782" width="8.85546875" style="57"/>
    <col min="11783" max="11783" width="10" style="57" customWidth="1"/>
    <col min="11784" max="11784" width="40" style="57" customWidth="1"/>
    <col min="11785" max="11785" width="12.5703125" style="57" customWidth="1"/>
    <col min="11786" max="11787" width="10.42578125" style="57" customWidth="1"/>
    <col min="11788" max="11788" width="11.5703125" style="57" customWidth="1"/>
    <col min="11789" max="11790" width="10.42578125" style="57" customWidth="1"/>
    <col min="11791" max="11791" width="6.5703125" style="57" customWidth="1"/>
    <col min="11792" max="11792" width="11.42578125" style="57" customWidth="1"/>
    <col min="11793" max="11793" width="4.140625" style="57" customWidth="1"/>
    <col min="11794" max="11794" width="18.5703125" style="57" customWidth="1"/>
    <col min="11795" max="11795" width="2.140625" style="57" customWidth="1"/>
    <col min="11796" max="11796" width="10.42578125" style="57" customWidth="1"/>
    <col min="11797" max="12038" width="8.85546875" style="57"/>
    <col min="12039" max="12039" width="10" style="57" customWidth="1"/>
    <col min="12040" max="12040" width="40" style="57" customWidth="1"/>
    <col min="12041" max="12041" width="12.5703125" style="57" customWidth="1"/>
    <col min="12042" max="12043" width="10.42578125" style="57" customWidth="1"/>
    <col min="12044" max="12044" width="11.5703125" style="57" customWidth="1"/>
    <col min="12045" max="12046" width="10.42578125" style="57" customWidth="1"/>
    <col min="12047" max="12047" width="6.5703125" style="57" customWidth="1"/>
    <col min="12048" max="12048" width="11.42578125" style="57" customWidth="1"/>
    <col min="12049" max="12049" width="4.140625" style="57" customWidth="1"/>
    <col min="12050" max="12050" width="18.5703125" style="57" customWidth="1"/>
    <col min="12051" max="12051" width="2.140625" style="57" customWidth="1"/>
    <col min="12052" max="12052" width="10.42578125" style="57" customWidth="1"/>
    <col min="12053" max="12294" width="8.85546875" style="57"/>
    <col min="12295" max="12295" width="10" style="57" customWidth="1"/>
    <col min="12296" max="12296" width="40" style="57" customWidth="1"/>
    <col min="12297" max="12297" width="12.5703125" style="57" customWidth="1"/>
    <col min="12298" max="12299" width="10.42578125" style="57" customWidth="1"/>
    <col min="12300" max="12300" width="11.5703125" style="57" customWidth="1"/>
    <col min="12301" max="12302" width="10.42578125" style="57" customWidth="1"/>
    <col min="12303" max="12303" width="6.5703125" style="57" customWidth="1"/>
    <col min="12304" max="12304" width="11.42578125" style="57" customWidth="1"/>
    <col min="12305" max="12305" width="4.140625" style="57" customWidth="1"/>
    <col min="12306" max="12306" width="18.5703125" style="57" customWidth="1"/>
    <col min="12307" max="12307" width="2.140625" style="57" customWidth="1"/>
    <col min="12308" max="12308" width="10.42578125" style="57" customWidth="1"/>
    <col min="12309" max="12550" width="8.85546875" style="57"/>
    <col min="12551" max="12551" width="10" style="57" customWidth="1"/>
    <col min="12552" max="12552" width="40" style="57" customWidth="1"/>
    <col min="12553" max="12553" width="12.5703125" style="57" customWidth="1"/>
    <col min="12554" max="12555" width="10.42578125" style="57" customWidth="1"/>
    <col min="12556" max="12556" width="11.5703125" style="57" customWidth="1"/>
    <col min="12557" max="12558" width="10.42578125" style="57" customWidth="1"/>
    <col min="12559" max="12559" width="6.5703125" style="57" customWidth="1"/>
    <col min="12560" max="12560" width="11.42578125" style="57" customWidth="1"/>
    <col min="12561" max="12561" width="4.140625" style="57" customWidth="1"/>
    <col min="12562" max="12562" width="18.5703125" style="57" customWidth="1"/>
    <col min="12563" max="12563" width="2.140625" style="57" customWidth="1"/>
    <col min="12564" max="12564" width="10.42578125" style="57" customWidth="1"/>
    <col min="12565" max="12806" width="8.85546875" style="57"/>
    <col min="12807" max="12807" width="10" style="57" customWidth="1"/>
    <col min="12808" max="12808" width="40" style="57" customWidth="1"/>
    <col min="12809" max="12809" width="12.5703125" style="57" customWidth="1"/>
    <col min="12810" max="12811" width="10.42578125" style="57" customWidth="1"/>
    <col min="12812" max="12812" width="11.5703125" style="57" customWidth="1"/>
    <col min="12813" max="12814" width="10.42578125" style="57" customWidth="1"/>
    <col min="12815" max="12815" width="6.5703125" style="57" customWidth="1"/>
    <col min="12816" max="12816" width="11.42578125" style="57" customWidth="1"/>
    <col min="12817" max="12817" width="4.140625" style="57" customWidth="1"/>
    <col min="12818" max="12818" width="18.5703125" style="57" customWidth="1"/>
    <col min="12819" max="12819" width="2.140625" style="57" customWidth="1"/>
    <col min="12820" max="12820" width="10.42578125" style="57" customWidth="1"/>
    <col min="12821" max="13062" width="8.85546875" style="57"/>
    <col min="13063" max="13063" width="10" style="57" customWidth="1"/>
    <col min="13064" max="13064" width="40" style="57" customWidth="1"/>
    <col min="13065" max="13065" width="12.5703125" style="57" customWidth="1"/>
    <col min="13066" max="13067" width="10.42578125" style="57" customWidth="1"/>
    <col min="13068" max="13068" width="11.5703125" style="57" customWidth="1"/>
    <col min="13069" max="13070" width="10.42578125" style="57" customWidth="1"/>
    <col min="13071" max="13071" width="6.5703125" style="57" customWidth="1"/>
    <col min="13072" max="13072" width="11.42578125" style="57" customWidth="1"/>
    <col min="13073" max="13073" width="4.140625" style="57" customWidth="1"/>
    <col min="13074" max="13074" width="18.5703125" style="57" customWidth="1"/>
    <col min="13075" max="13075" width="2.140625" style="57" customWidth="1"/>
    <col min="13076" max="13076" width="10.42578125" style="57" customWidth="1"/>
    <col min="13077" max="13318" width="8.85546875" style="57"/>
    <col min="13319" max="13319" width="10" style="57" customWidth="1"/>
    <col min="13320" max="13320" width="40" style="57" customWidth="1"/>
    <col min="13321" max="13321" width="12.5703125" style="57" customWidth="1"/>
    <col min="13322" max="13323" width="10.42578125" style="57" customWidth="1"/>
    <col min="13324" max="13324" width="11.5703125" style="57" customWidth="1"/>
    <col min="13325" max="13326" width="10.42578125" style="57" customWidth="1"/>
    <col min="13327" max="13327" width="6.5703125" style="57" customWidth="1"/>
    <col min="13328" max="13328" width="11.42578125" style="57" customWidth="1"/>
    <col min="13329" max="13329" width="4.140625" style="57" customWidth="1"/>
    <col min="13330" max="13330" width="18.5703125" style="57" customWidth="1"/>
    <col min="13331" max="13331" width="2.140625" style="57" customWidth="1"/>
    <col min="13332" max="13332" width="10.42578125" style="57" customWidth="1"/>
    <col min="13333" max="13574" width="8.85546875" style="57"/>
    <col min="13575" max="13575" width="10" style="57" customWidth="1"/>
    <col min="13576" max="13576" width="40" style="57" customWidth="1"/>
    <col min="13577" max="13577" width="12.5703125" style="57" customWidth="1"/>
    <col min="13578" max="13579" width="10.42578125" style="57" customWidth="1"/>
    <col min="13580" max="13580" width="11.5703125" style="57" customWidth="1"/>
    <col min="13581" max="13582" width="10.42578125" style="57" customWidth="1"/>
    <col min="13583" max="13583" width="6.5703125" style="57" customWidth="1"/>
    <col min="13584" max="13584" width="11.42578125" style="57" customWidth="1"/>
    <col min="13585" max="13585" width="4.140625" style="57" customWidth="1"/>
    <col min="13586" max="13586" width="18.5703125" style="57" customWidth="1"/>
    <col min="13587" max="13587" width="2.140625" style="57" customWidth="1"/>
    <col min="13588" max="13588" width="10.42578125" style="57" customWidth="1"/>
    <col min="13589" max="13830" width="8.85546875" style="57"/>
    <col min="13831" max="13831" width="10" style="57" customWidth="1"/>
    <col min="13832" max="13832" width="40" style="57" customWidth="1"/>
    <col min="13833" max="13833" width="12.5703125" style="57" customWidth="1"/>
    <col min="13834" max="13835" width="10.42578125" style="57" customWidth="1"/>
    <col min="13836" max="13836" width="11.5703125" style="57" customWidth="1"/>
    <col min="13837" max="13838" width="10.42578125" style="57" customWidth="1"/>
    <col min="13839" max="13839" width="6.5703125" style="57" customWidth="1"/>
    <col min="13840" max="13840" width="11.42578125" style="57" customWidth="1"/>
    <col min="13841" max="13841" width="4.140625" style="57" customWidth="1"/>
    <col min="13842" max="13842" width="18.5703125" style="57" customWidth="1"/>
    <col min="13843" max="13843" width="2.140625" style="57" customWidth="1"/>
    <col min="13844" max="13844" width="10.42578125" style="57" customWidth="1"/>
    <col min="13845" max="14086" width="8.85546875" style="57"/>
    <col min="14087" max="14087" width="10" style="57" customWidth="1"/>
    <col min="14088" max="14088" width="40" style="57" customWidth="1"/>
    <col min="14089" max="14089" width="12.5703125" style="57" customWidth="1"/>
    <col min="14090" max="14091" width="10.42578125" style="57" customWidth="1"/>
    <col min="14092" max="14092" width="11.5703125" style="57" customWidth="1"/>
    <col min="14093" max="14094" width="10.42578125" style="57" customWidth="1"/>
    <col min="14095" max="14095" width="6.5703125" style="57" customWidth="1"/>
    <col min="14096" max="14096" width="11.42578125" style="57" customWidth="1"/>
    <col min="14097" max="14097" width="4.140625" style="57" customWidth="1"/>
    <col min="14098" max="14098" width="18.5703125" style="57" customWidth="1"/>
    <col min="14099" max="14099" width="2.140625" style="57" customWidth="1"/>
    <col min="14100" max="14100" width="10.42578125" style="57" customWidth="1"/>
    <col min="14101" max="14342" width="8.85546875" style="57"/>
    <col min="14343" max="14343" width="10" style="57" customWidth="1"/>
    <col min="14344" max="14344" width="40" style="57" customWidth="1"/>
    <col min="14345" max="14345" width="12.5703125" style="57" customWidth="1"/>
    <col min="14346" max="14347" width="10.42578125" style="57" customWidth="1"/>
    <col min="14348" max="14348" width="11.5703125" style="57" customWidth="1"/>
    <col min="14349" max="14350" width="10.42578125" style="57" customWidth="1"/>
    <col min="14351" max="14351" width="6.5703125" style="57" customWidth="1"/>
    <col min="14352" max="14352" width="11.42578125" style="57" customWidth="1"/>
    <col min="14353" max="14353" width="4.140625" style="57" customWidth="1"/>
    <col min="14354" max="14354" width="18.5703125" style="57" customWidth="1"/>
    <col min="14355" max="14355" width="2.140625" style="57" customWidth="1"/>
    <col min="14356" max="14356" width="10.42578125" style="57" customWidth="1"/>
    <col min="14357" max="14598" width="8.85546875" style="57"/>
    <col min="14599" max="14599" width="10" style="57" customWidth="1"/>
    <col min="14600" max="14600" width="40" style="57" customWidth="1"/>
    <col min="14601" max="14601" width="12.5703125" style="57" customWidth="1"/>
    <col min="14602" max="14603" width="10.42578125" style="57" customWidth="1"/>
    <col min="14604" max="14604" width="11.5703125" style="57" customWidth="1"/>
    <col min="14605" max="14606" width="10.42578125" style="57" customWidth="1"/>
    <col min="14607" max="14607" width="6.5703125" style="57" customWidth="1"/>
    <col min="14608" max="14608" width="11.42578125" style="57" customWidth="1"/>
    <col min="14609" max="14609" width="4.140625" style="57" customWidth="1"/>
    <col min="14610" max="14610" width="18.5703125" style="57" customWidth="1"/>
    <col min="14611" max="14611" width="2.140625" style="57" customWidth="1"/>
    <col min="14612" max="14612" width="10.42578125" style="57" customWidth="1"/>
    <col min="14613" max="14854" width="8.85546875" style="57"/>
    <col min="14855" max="14855" width="10" style="57" customWidth="1"/>
    <col min="14856" max="14856" width="40" style="57" customWidth="1"/>
    <col min="14857" max="14857" width="12.5703125" style="57" customWidth="1"/>
    <col min="14858" max="14859" width="10.42578125" style="57" customWidth="1"/>
    <col min="14860" max="14860" width="11.5703125" style="57" customWidth="1"/>
    <col min="14861" max="14862" width="10.42578125" style="57" customWidth="1"/>
    <col min="14863" max="14863" width="6.5703125" style="57" customWidth="1"/>
    <col min="14864" max="14864" width="11.42578125" style="57" customWidth="1"/>
    <col min="14865" max="14865" width="4.140625" style="57" customWidth="1"/>
    <col min="14866" max="14866" width="18.5703125" style="57" customWidth="1"/>
    <col min="14867" max="14867" width="2.140625" style="57" customWidth="1"/>
    <col min="14868" max="14868" width="10.42578125" style="57" customWidth="1"/>
    <col min="14869" max="15110" width="8.85546875" style="57"/>
    <col min="15111" max="15111" width="10" style="57" customWidth="1"/>
    <col min="15112" max="15112" width="40" style="57" customWidth="1"/>
    <col min="15113" max="15113" width="12.5703125" style="57" customWidth="1"/>
    <col min="15114" max="15115" width="10.42578125" style="57" customWidth="1"/>
    <col min="15116" max="15116" width="11.5703125" style="57" customWidth="1"/>
    <col min="15117" max="15118" width="10.42578125" style="57" customWidth="1"/>
    <col min="15119" max="15119" width="6.5703125" style="57" customWidth="1"/>
    <col min="15120" max="15120" width="11.42578125" style="57" customWidth="1"/>
    <col min="15121" max="15121" width="4.140625" style="57" customWidth="1"/>
    <col min="15122" max="15122" width="18.5703125" style="57" customWidth="1"/>
    <col min="15123" max="15123" width="2.140625" style="57" customWidth="1"/>
    <col min="15124" max="15124" width="10.42578125" style="57" customWidth="1"/>
    <col min="15125" max="15366" width="8.85546875" style="57"/>
    <col min="15367" max="15367" width="10" style="57" customWidth="1"/>
    <col min="15368" max="15368" width="40" style="57" customWidth="1"/>
    <col min="15369" max="15369" width="12.5703125" style="57" customWidth="1"/>
    <col min="15370" max="15371" width="10.42578125" style="57" customWidth="1"/>
    <col min="15372" max="15372" width="11.5703125" style="57" customWidth="1"/>
    <col min="15373" max="15374" width="10.42578125" style="57" customWidth="1"/>
    <col min="15375" max="15375" width="6.5703125" style="57" customWidth="1"/>
    <col min="15376" max="15376" width="11.42578125" style="57" customWidth="1"/>
    <col min="15377" max="15377" width="4.140625" style="57" customWidth="1"/>
    <col min="15378" max="15378" width="18.5703125" style="57" customWidth="1"/>
    <col min="15379" max="15379" width="2.140625" style="57" customWidth="1"/>
    <col min="15380" max="15380" width="10.42578125" style="57" customWidth="1"/>
    <col min="15381" max="15622" width="8.85546875" style="57"/>
    <col min="15623" max="15623" width="10" style="57" customWidth="1"/>
    <col min="15624" max="15624" width="40" style="57" customWidth="1"/>
    <col min="15625" max="15625" width="12.5703125" style="57" customWidth="1"/>
    <col min="15626" max="15627" width="10.42578125" style="57" customWidth="1"/>
    <col min="15628" max="15628" width="11.5703125" style="57" customWidth="1"/>
    <col min="15629" max="15630" width="10.42578125" style="57" customWidth="1"/>
    <col min="15631" max="15631" width="6.5703125" style="57" customWidth="1"/>
    <col min="15632" max="15632" width="11.42578125" style="57" customWidth="1"/>
    <col min="15633" max="15633" width="4.140625" style="57" customWidth="1"/>
    <col min="15634" max="15634" width="18.5703125" style="57" customWidth="1"/>
    <col min="15635" max="15635" width="2.140625" style="57" customWidth="1"/>
    <col min="15636" max="15636" width="10.42578125" style="57" customWidth="1"/>
    <col min="15637" max="15878" width="8.85546875" style="57"/>
    <col min="15879" max="15879" width="10" style="57" customWidth="1"/>
    <col min="15880" max="15880" width="40" style="57" customWidth="1"/>
    <col min="15881" max="15881" width="12.5703125" style="57" customWidth="1"/>
    <col min="15882" max="15883" width="10.42578125" style="57" customWidth="1"/>
    <col min="15884" max="15884" width="11.5703125" style="57" customWidth="1"/>
    <col min="15885" max="15886" width="10.42578125" style="57" customWidth="1"/>
    <col min="15887" max="15887" width="6.5703125" style="57" customWidth="1"/>
    <col min="15888" max="15888" width="11.42578125" style="57" customWidth="1"/>
    <col min="15889" max="15889" width="4.140625" style="57" customWidth="1"/>
    <col min="15890" max="15890" width="18.5703125" style="57" customWidth="1"/>
    <col min="15891" max="15891" width="2.140625" style="57" customWidth="1"/>
    <col min="15892" max="15892" width="10.42578125" style="57" customWidth="1"/>
    <col min="15893" max="16134" width="8.85546875" style="57"/>
    <col min="16135" max="16135" width="10" style="57" customWidth="1"/>
    <col min="16136" max="16136" width="40" style="57" customWidth="1"/>
    <col min="16137" max="16137" width="12.5703125" style="57" customWidth="1"/>
    <col min="16138" max="16139" width="10.42578125" style="57" customWidth="1"/>
    <col min="16140" max="16140" width="11.5703125" style="57" customWidth="1"/>
    <col min="16141" max="16142" width="10.42578125" style="57" customWidth="1"/>
    <col min="16143" max="16143" width="6.5703125" style="57" customWidth="1"/>
    <col min="16144" max="16144" width="11.42578125" style="57" customWidth="1"/>
    <col min="16145" max="16145" width="4.140625" style="57" customWidth="1"/>
    <col min="16146" max="16146" width="18.5703125" style="57" customWidth="1"/>
    <col min="16147" max="16147" width="2.140625" style="57" customWidth="1"/>
    <col min="16148" max="16148" width="10.42578125" style="57" customWidth="1"/>
    <col min="16149" max="16384" width="8.85546875" style="57"/>
  </cols>
  <sheetData>
    <row r="1" spans="2:21" ht="13.5" customHeight="1" x14ac:dyDescent="0.25">
      <c r="H1" s="782" t="s">
        <v>38</v>
      </c>
      <c r="I1" s="782"/>
      <c r="J1" s="782"/>
      <c r="K1" s="782"/>
      <c r="L1" s="782"/>
      <c r="M1" s="782" t="s">
        <v>39</v>
      </c>
      <c r="N1" s="782"/>
      <c r="O1" s="782" t="s">
        <v>40</v>
      </c>
      <c r="P1" s="782"/>
      <c r="Q1" s="782"/>
    </row>
    <row r="2" spans="2:21" s="59" customFormat="1" ht="15" customHeight="1" x14ac:dyDescent="0.25">
      <c r="B2" s="60" t="s">
        <v>41</v>
      </c>
      <c r="C2" s="61" t="s">
        <v>42</v>
      </c>
      <c r="D2" s="61" t="s">
        <v>43</v>
      </c>
      <c r="E2" s="61" t="s">
        <v>44</v>
      </c>
      <c r="F2" s="61" t="s">
        <v>45</v>
      </c>
      <c r="G2" s="61" t="s">
        <v>46</v>
      </c>
      <c r="H2" s="61" t="s">
        <v>47</v>
      </c>
      <c r="I2" s="61" t="s">
        <v>48</v>
      </c>
      <c r="J2" s="61" t="s">
        <v>47</v>
      </c>
      <c r="K2" s="61" t="s">
        <v>48</v>
      </c>
      <c r="L2" s="65" t="s">
        <v>49</v>
      </c>
      <c r="M2" s="65" t="s">
        <v>39</v>
      </c>
      <c r="N2" s="65" t="s">
        <v>49</v>
      </c>
      <c r="O2" s="65" t="s">
        <v>47</v>
      </c>
      <c r="P2" s="65" t="s">
        <v>48</v>
      </c>
      <c r="Q2" s="65" t="s">
        <v>49</v>
      </c>
      <c r="R2" s="63" t="s">
        <v>50</v>
      </c>
      <c r="T2" s="81" t="s">
        <v>53</v>
      </c>
      <c r="U2" s="82">
        <v>3</v>
      </c>
    </row>
    <row r="3" spans="2:21" ht="15" customHeight="1" x14ac:dyDescent="0.25">
      <c r="B3" s="67">
        <v>2</v>
      </c>
      <c r="C3" s="116" t="s">
        <v>51</v>
      </c>
      <c r="D3" s="110" t="s">
        <v>60</v>
      </c>
      <c r="E3" s="118">
        <v>44599</v>
      </c>
      <c r="F3" s="118"/>
      <c r="G3" s="116"/>
      <c r="H3" s="121"/>
      <c r="I3" s="121"/>
      <c r="J3" s="121"/>
      <c r="K3" s="121"/>
      <c r="L3" s="131">
        <v>0</v>
      </c>
      <c r="M3" s="140"/>
      <c r="N3" s="141">
        <v>0</v>
      </c>
      <c r="O3" s="127"/>
      <c r="P3" s="127"/>
      <c r="Q3" s="78">
        <v>0</v>
      </c>
      <c r="R3" s="142"/>
      <c r="T3" s="83" t="s">
        <v>44</v>
      </c>
      <c r="U3" s="84">
        <v>1</v>
      </c>
    </row>
    <row r="4" spans="2:21" ht="15" customHeight="1" x14ac:dyDescent="0.25">
      <c r="B4" s="202">
        <v>9</v>
      </c>
      <c r="C4" s="203" t="s">
        <v>98</v>
      </c>
      <c r="D4" s="204" t="s">
        <v>60</v>
      </c>
      <c r="E4" s="205">
        <v>45702</v>
      </c>
      <c r="F4" s="166"/>
      <c r="G4" s="116"/>
      <c r="H4" s="121"/>
      <c r="I4" s="121"/>
      <c r="J4" s="121"/>
      <c r="K4" s="121"/>
      <c r="L4" s="164">
        <v>0</v>
      </c>
      <c r="M4" s="145"/>
      <c r="N4" s="141">
        <v>0</v>
      </c>
      <c r="O4" s="127"/>
      <c r="P4" s="127"/>
      <c r="Q4" s="155">
        <v>0</v>
      </c>
      <c r="R4" s="142"/>
      <c r="T4" s="83" t="s">
        <v>45</v>
      </c>
      <c r="U4" s="84">
        <v>0</v>
      </c>
    </row>
    <row r="5" spans="2:21" ht="15" customHeight="1" x14ac:dyDescent="0.25">
      <c r="B5" s="67">
        <v>11</v>
      </c>
      <c r="C5" s="206" t="s">
        <v>99</v>
      </c>
      <c r="D5" s="207" t="s">
        <v>60</v>
      </c>
      <c r="E5" s="208">
        <v>45736</v>
      </c>
      <c r="F5" s="69"/>
      <c r="G5" s="68"/>
      <c r="H5" s="72"/>
      <c r="I5" s="72"/>
      <c r="J5" s="72"/>
      <c r="K5" s="72"/>
      <c r="L5" s="164">
        <v>0</v>
      </c>
      <c r="M5" s="132"/>
      <c r="N5" s="141">
        <v>0</v>
      </c>
      <c r="O5" s="109"/>
      <c r="P5" s="109"/>
      <c r="Q5" s="155">
        <v>0</v>
      </c>
      <c r="R5" s="134"/>
      <c r="T5" s="100" t="s">
        <v>56</v>
      </c>
      <c r="U5" s="101">
        <f>U2+U3-U4</f>
        <v>4</v>
      </c>
    </row>
    <row r="6" spans="2:21" ht="15" customHeight="1" x14ac:dyDescent="0.25">
      <c r="B6" s="288">
        <v>11</v>
      </c>
      <c r="C6" s="282" t="s">
        <v>115</v>
      </c>
      <c r="D6" s="283" t="s">
        <v>60</v>
      </c>
      <c r="E6" s="284">
        <v>46043</v>
      </c>
      <c r="F6" s="149"/>
      <c r="G6" s="86"/>
      <c r="H6" s="90"/>
      <c r="I6" s="90"/>
      <c r="J6" s="90"/>
      <c r="K6" s="90"/>
      <c r="L6" s="135">
        <v>0</v>
      </c>
      <c r="M6" s="136"/>
      <c r="N6" s="137">
        <v>0</v>
      </c>
      <c r="O6" s="96"/>
      <c r="P6" s="96"/>
      <c r="Q6" s="138">
        <v>0</v>
      </c>
      <c r="R6" s="139"/>
      <c r="T6" s="289"/>
      <c r="U6" s="58"/>
    </row>
    <row r="7" spans="2:21" ht="15" customHeight="1" x14ac:dyDescent="0.25">
      <c r="L7" s="99">
        <f>SUM(L3:L4)</f>
        <v>0</v>
      </c>
      <c r="N7" s="99">
        <f>SUM(N3:N4)</f>
        <v>0</v>
      </c>
      <c r="O7" s="99"/>
      <c r="P7" s="99"/>
      <c r="Q7" s="99">
        <f>SUM(Q3:Q4)</f>
        <v>0</v>
      </c>
    </row>
    <row r="8" spans="2:21" ht="15" customHeight="1" x14ac:dyDescent="0.25">
      <c r="T8" s="81" t="s">
        <v>57</v>
      </c>
      <c r="U8" s="82">
        <v>2</v>
      </c>
    </row>
    <row r="9" spans="2:21" ht="15" customHeight="1" x14ac:dyDescent="0.25">
      <c r="T9" s="100" t="s">
        <v>13</v>
      </c>
      <c r="U9" s="101">
        <f>U5+U8</f>
        <v>6</v>
      </c>
    </row>
    <row r="10" spans="2:21" ht="15" customHeight="1" x14ac:dyDescent="0.25"/>
    <row r="11" spans="2:21" ht="15" customHeight="1" x14ac:dyDescent="0.25">
      <c r="T11" s="784" t="s">
        <v>58</v>
      </c>
      <c r="U11" s="784"/>
    </row>
    <row r="12" spans="2:21" ht="15" customHeight="1" x14ac:dyDescent="0.25">
      <c r="T12" s="83" t="s">
        <v>38</v>
      </c>
      <c r="U12" s="102">
        <v>0</v>
      </c>
    </row>
    <row r="13" spans="2:21" ht="15" customHeight="1" x14ac:dyDescent="0.25">
      <c r="T13" s="103" t="s">
        <v>39</v>
      </c>
      <c r="U13" s="104">
        <f>N7</f>
        <v>0</v>
      </c>
    </row>
    <row r="14" spans="2:21" ht="15" customHeight="1" x14ac:dyDescent="0.25"/>
    <row r="15" spans="2:21" ht="15" customHeight="1" x14ac:dyDescent="0.25">
      <c r="T15" s="81" t="s">
        <v>40</v>
      </c>
      <c r="U15" s="105">
        <f>Q7</f>
        <v>0</v>
      </c>
    </row>
    <row r="16" spans="2:21" ht="15" customHeight="1" x14ac:dyDescent="0.25">
      <c r="T16" s="103" t="s">
        <v>59</v>
      </c>
      <c r="U16" s="104">
        <v>0</v>
      </c>
    </row>
    <row r="17" spans="20:21" ht="15" customHeight="1" x14ac:dyDescent="0.25"/>
    <row r="18" spans="20:21" ht="15" customHeight="1" x14ac:dyDescent="0.25">
      <c r="T18" s="106" t="s">
        <v>22</v>
      </c>
      <c r="U18" s="107">
        <v>21</v>
      </c>
    </row>
    <row r="19" spans="20:21" ht="15" customHeight="1" x14ac:dyDescent="0.25"/>
    <row r="20" spans="20:21" ht="15" customHeight="1" x14ac:dyDescent="0.25"/>
    <row r="21" spans="20:21" ht="15" customHeight="1" x14ac:dyDescent="0.25"/>
    <row r="22" spans="20:21" ht="15" customHeight="1" x14ac:dyDescent="0.25"/>
    <row r="23" spans="20:21" ht="15" customHeight="1" x14ac:dyDescent="0.25"/>
    <row r="24" spans="20:21" ht="15" customHeight="1" x14ac:dyDescent="0.25"/>
    <row r="25" spans="20:21" ht="15" customHeight="1" x14ac:dyDescent="0.25"/>
    <row r="26" spans="20:21" ht="15" customHeight="1" x14ac:dyDescent="0.25"/>
    <row r="27" spans="20:21" ht="15" customHeight="1" x14ac:dyDescent="0.25"/>
    <row r="28" spans="20:21" ht="15" customHeight="1" x14ac:dyDescent="0.25"/>
    <row r="29" spans="20:21" ht="15" customHeight="1" x14ac:dyDescent="0.25"/>
    <row r="30" spans="20:21" ht="15" customHeight="1" x14ac:dyDescent="0.25"/>
    <row r="31" spans="20:21" ht="15" customHeight="1" x14ac:dyDescent="0.25"/>
    <row r="32" spans="20:21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</sheetData>
  <mergeCells count="4">
    <mergeCell ref="H1:L1"/>
    <mergeCell ref="M1:N1"/>
    <mergeCell ref="O1:Q1"/>
    <mergeCell ref="T11:U1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U38"/>
  <sheetViews>
    <sheetView showGridLines="0" topLeftCell="C1" zoomScaleNormal="100" workbookViewId="0">
      <selection activeCell="I17" sqref="I17"/>
    </sheetView>
  </sheetViews>
  <sheetFormatPr defaultColWidth="8.85546875" defaultRowHeight="12.75" x14ac:dyDescent="0.25"/>
  <cols>
    <col min="1" max="1" width="3.5703125" style="57" customWidth="1"/>
    <col min="2" max="2" width="10" style="57" customWidth="1"/>
    <col min="3" max="3" width="40" style="57" customWidth="1"/>
    <col min="4" max="4" width="12.5703125" style="57" customWidth="1"/>
    <col min="5" max="6" width="10.7109375" style="57" customWidth="1"/>
    <col min="7" max="7" width="11.5703125" style="57" customWidth="1"/>
    <col min="8" max="11" width="10.42578125" style="57" customWidth="1"/>
    <col min="12" max="12" width="4.140625" style="57" customWidth="1"/>
    <col min="13" max="13" width="11.42578125" style="58" customWidth="1"/>
    <col min="14" max="14" width="4.140625" style="57" customWidth="1"/>
    <col min="15" max="16" width="10.42578125" style="57" customWidth="1"/>
    <col min="17" max="17" width="4.140625" style="57" customWidth="1"/>
    <col min="18" max="18" width="27.140625" style="57" customWidth="1"/>
    <col min="19" max="19" width="2.140625" style="57" customWidth="1"/>
    <col min="20" max="20" width="13.140625" style="57" customWidth="1"/>
    <col min="21" max="21" width="5.140625" style="57" customWidth="1"/>
    <col min="22" max="262" width="8.85546875" style="57"/>
    <col min="263" max="263" width="10" style="57" customWidth="1"/>
    <col min="264" max="264" width="40" style="57" customWidth="1"/>
    <col min="265" max="265" width="12.5703125" style="57" customWidth="1"/>
    <col min="266" max="267" width="10.42578125" style="57" customWidth="1"/>
    <col min="268" max="268" width="11.5703125" style="57" customWidth="1"/>
    <col min="269" max="270" width="10.42578125" style="57" customWidth="1"/>
    <col min="271" max="271" width="6.5703125" style="57" customWidth="1"/>
    <col min="272" max="272" width="11.42578125" style="57" customWidth="1"/>
    <col min="273" max="273" width="4.140625" style="57" customWidth="1"/>
    <col min="274" max="274" width="18.5703125" style="57" customWidth="1"/>
    <col min="275" max="275" width="2.140625" style="57" customWidth="1"/>
    <col min="276" max="276" width="10.42578125" style="57" customWidth="1"/>
    <col min="277" max="518" width="8.85546875" style="57"/>
    <col min="519" max="519" width="10" style="57" customWidth="1"/>
    <col min="520" max="520" width="40" style="57" customWidth="1"/>
    <col min="521" max="521" width="12.5703125" style="57" customWidth="1"/>
    <col min="522" max="523" width="10.42578125" style="57" customWidth="1"/>
    <col min="524" max="524" width="11.5703125" style="57" customWidth="1"/>
    <col min="525" max="526" width="10.42578125" style="57" customWidth="1"/>
    <col min="527" max="527" width="6.5703125" style="57" customWidth="1"/>
    <col min="528" max="528" width="11.42578125" style="57" customWidth="1"/>
    <col min="529" max="529" width="4.140625" style="57" customWidth="1"/>
    <col min="530" max="530" width="18.5703125" style="57" customWidth="1"/>
    <col min="531" max="531" width="2.140625" style="57" customWidth="1"/>
    <col min="532" max="532" width="10.42578125" style="57" customWidth="1"/>
    <col min="533" max="774" width="8.85546875" style="57"/>
    <col min="775" max="775" width="10" style="57" customWidth="1"/>
    <col min="776" max="776" width="40" style="57" customWidth="1"/>
    <col min="777" max="777" width="12.5703125" style="57" customWidth="1"/>
    <col min="778" max="779" width="10.42578125" style="57" customWidth="1"/>
    <col min="780" max="780" width="11.5703125" style="57" customWidth="1"/>
    <col min="781" max="782" width="10.42578125" style="57" customWidth="1"/>
    <col min="783" max="783" width="6.5703125" style="57" customWidth="1"/>
    <col min="784" max="784" width="11.42578125" style="57" customWidth="1"/>
    <col min="785" max="785" width="4.140625" style="57" customWidth="1"/>
    <col min="786" max="786" width="18.5703125" style="57" customWidth="1"/>
    <col min="787" max="787" width="2.140625" style="57" customWidth="1"/>
    <col min="788" max="788" width="10.42578125" style="57" customWidth="1"/>
    <col min="789" max="1030" width="8.85546875" style="57"/>
    <col min="1031" max="1031" width="10" style="57" customWidth="1"/>
    <col min="1032" max="1032" width="40" style="57" customWidth="1"/>
    <col min="1033" max="1033" width="12.5703125" style="57" customWidth="1"/>
    <col min="1034" max="1035" width="10.42578125" style="57" customWidth="1"/>
    <col min="1036" max="1036" width="11.5703125" style="57" customWidth="1"/>
    <col min="1037" max="1038" width="10.42578125" style="57" customWidth="1"/>
    <col min="1039" max="1039" width="6.5703125" style="57" customWidth="1"/>
    <col min="1040" max="1040" width="11.42578125" style="57" customWidth="1"/>
    <col min="1041" max="1041" width="4.140625" style="57" customWidth="1"/>
    <col min="1042" max="1042" width="18.5703125" style="57" customWidth="1"/>
    <col min="1043" max="1043" width="2.140625" style="57" customWidth="1"/>
    <col min="1044" max="1044" width="10.42578125" style="57" customWidth="1"/>
    <col min="1045" max="1286" width="8.85546875" style="57"/>
    <col min="1287" max="1287" width="10" style="57" customWidth="1"/>
    <col min="1288" max="1288" width="40" style="57" customWidth="1"/>
    <col min="1289" max="1289" width="12.5703125" style="57" customWidth="1"/>
    <col min="1290" max="1291" width="10.42578125" style="57" customWidth="1"/>
    <col min="1292" max="1292" width="11.5703125" style="57" customWidth="1"/>
    <col min="1293" max="1294" width="10.42578125" style="57" customWidth="1"/>
    <col min="1295" max="1295" width="6.5703125" style="57" customWidth="1"/>
    <col min="1296" max="1296" width="11.42578125" style="57" customWidth="1"/>
    <col min="1297" max="1297" width="4.140625" style="57" customWidth="1"/>
    <col min="1298" max="1298" width="18.5703125" style="57" customWidth="1"/>
    <col min="1299" max="1299" width="2.140625" style="57" customWidth="1"/>
    <col min="1300" max="1300" width="10.42578125" style="57" customWidth="1"/>
    <col min="1301" max="1542" width="8.85546875" style="57"/>
    <col min="1543" max="1543" width="10" style="57" customWidth="1"/>
    <col min="1544" max="1544" width="40" style="57" customWidth="1"/>
    <col min="1545" max="1545" width="12.5703125" style="57" customWidth="1"/>
    <col min="1546" max="1547" width="10.42578125" style="57" customWidth="1"/>
    <col min="1548" max="1548" width="11.5703125" style="57" customWidth="1"/>
    <col min="1549" max="1550" width="10.42578125" style="57" customWidth="1"/>
    <col min="1551" max="1551" width="6.5703125" style="57" customWidth="1"/>
    <col min="1552" max="1552" width="11.42578125" style="57" customWidth="1"/>
    <col min="1553" max="1553" width="4.140625" style="57" customWidth="1"/>
    <col min="1554" max="1554" width="18.5703125" style="57" customWidth="1"/>
    <col min="1555" max="1555" width="2.140625" style="57" customWidth="1"/>
    <col min="1556" max="1556" width="10.42578125" style="57" customWidth="1"/>
    <col min="1557" max="1798" width="8.85546875" style="57"/>
    <col min="1799" max="1799" width="10" style="57" customWidth="1"/>
    <col min="1800" max="1800" width="40" style="57" customWidth="1"/>
    <col min="1801" max="1801" width="12.5703125" style="57" customWidth="1"/>
    <col min="1802" max="1803" width="10.42578125" style="57" customWidth="1"/>
    <col min="1804" max="1804" width="11.5703125" style="57" customWidth="1"/>
    <col min="1805" max="1806" width="10.42578125" style="57" customWidth="1"/>
    <col min="1807" max="1807" width="6.5703125" style="57" customWidth="1"/>
    <col min="1808" max="1808" width="11.42578125" style="57" customWidth="1"/>
    <col min="1809" max="1809" width="4.140625" style="57" customWidth="1"/>
    <col min="1810" max="1810" width="18.5703125" style="57" customWidth="1"/>
    <col min="1811" max="1811" width="2.140625" style="57" customWidth="1"/>
    <col min="1812" max="1812" width="10.42578125" style="57" customWidth="1"/>
    <col min="1813" max="2054" width="8.85546875" style="57"/>
    <col min="2055" max="2055" width="10" style="57" customWidth="1"/>
    <col min="2056" max="2056" width="40" style="57" customWidth="1"/>
    <col min="2057" max="2057" width="12.5703125" style="57" customWidth="1"/>
    <col min="2058" max="2059" width="10.42578125" style="57" customWidth="1"/>
    <col min="2060" max="2060" width="11.5703125" style="57" customWidth="1"/>
    <col min="2061" max="2062" width="10.42578125" style="57" customWidth="1"/>
    <col min="2063" max="2063" width="6.5703125" style="57" customWidth="1"/>
    <col min="2064" max="2064" width="11.42578125" style="57" customWidth="1"/>
    <col min="2065" max="2065" width="4.140625" style="57" customWidth="1"/>
    <col min="2066" max="2066" width="18.5703125" style="57" customWidth="1"/>
    <col min="2067" max="2067" width="2.140625" style="57" customWidth="1"/>
    <col min="2068" max="2068" width="10.42578125" style="57" customWidth="1"/>
    <col min="2069" max="2310" width="8.85546875" style="57"/>
    <col min="2311" max="2311" width="10" style="57" customWidth="1"/>
    <col min="2312" max="2312" width="40" style="57" customWidth="1"/>
    <col min="2313" max="2313" width="12.5703125" style="57" customWidth="1"/>
    <col min="2314" max="2315" width="10.42578125" style="57" customWidth="1"/>
    <col min="2316" max="2316" width="11.5703125" style="57" customWidth="1"/>
    <col min="2317" max="2318" width="10.42578125" style="57" customWidth="1"/>
    <col min="2319" max="2319" width="6.5703125" style="57" customWidth="1"/>
    <col min="2320" max="2320" width="11.42578125" style="57" customWidth="1"/>
    <col min="2321" max="2321" width="4.140625" style="57" customWidth="1"/>
    <col min="2322" max="2322" width="18.5703125" style="57" customWidth="1"/>
    <col min="2323" max="2323" width="2.140625" style="57" customWidth="1"/>
    <col min="2324" max="2324" width="10.42578125" style="57" customWidth="1"/>
    <col min="2325" max="2566" width="8.85546875" style="57"/>
    <col min="2567" max="2567" width="10" style="57" customWidth="1"/>
    <col min="2568" max="2568" width="40" style="57" customWidth="1"/>
    <col min="2569" max="2569" width="12.5703125" style="57" customWidth="1"/>
    <col min="2570" max="2571" width="10.42578125" style="57" customWidth="1"/>
    <col min="2572" max="2572" width="11.5703125" style="57" customWidth="1"/>
    <col min="2573" max="2574" width="10.42578125" style="57" customWidth="1"/>
    <col min="2575" max="2575" width="6.5703125" style="57" customWidth="1"/>
    <col min="2576" max="2576" width="11.42578125" style="57" customWidth="1"/>
    <col min="2577" max="2577" width="4.140625" style="57" customWidth="1"/>
    <col min="2578" max="2578" width="18.5703125" style="57" customWidth="1"/>
    <col min="2579" max="2579" width="2.140625" style="57" customWidth="1"/>
    <col min="2580" max="2580" width="10.42578125" style="57" customWidth="1"/>
    <col min="2581" max="2822" width="8.85546875" style="57"/>
    <col min="2823" max="2823" width="10" style="57" customWidth="1"/>
    <col min="2824" max="2824" width="40" style="57" customWidth="1"/>
    <col min="2825" max="2825" width="12.5703125" style="57" customWidth="1"/>
    <col min="2826" max="2827" width="10.42578125" style="57" customWidth="1"/>
    <col min="2828" max="2828" width="11.5703125" style="57" customWidth="1"/>
    <col min="2829" max="2830" width="10.42578125" style="57" customWidth="1"/>
    <col min="2831" max="2831" width="6.5703125" style="57" customWidth="1"/>
    <col min="2832" max="2832" width="11.42578125" style="57" customWidth="1"/>
    <col min="2833" max="2833" width="4.140625" style="57" customWidth="1"/>
    <col min="2834" max="2834" width="18.5703125" style="57" customWidth="1"/>
    <col min="2835" max="2835" width="2.140625" style="57" customWidth="1"/>
    <col min="2836" max="2836" width="10.42578125" style="57" customWidth="1"/>
    <col min="2837" max="3078" width="8.85546875" style="57"/>
    <col min="3079" max="3079" width="10" style="57" customWidth="1"/>
    <col min="3080" max="3080" width="40" style="57" customWidth="1"/>
    <col min="3081" max="3081" width="12.5703125" style="57" customWidth="1"/>
    <col min="3082" max="3083" width="10.42578125" style="57" customWidth="1"/>
    <col min="3084" max="3084" width="11.5703125" style="57" customWidth="1"/>
    <col min="3085" max="3086" width="10.42578125" style="57" customWidth="1"/>
    <col min="3087" max="3087" width="6.5703125" style="57" customWidth="1"/>
    <col min="3088" max="3088" width="11.42578125" style="57" customWidth="1"/>
    <col min="3089" max="3089" width="4.140625" style="57" customWidth="1"/>
    <col min="3090" max="3090" width="18.5703125" style="57" customWidth="1"/>
    <col min="3091" max="3091" width="2.140625" style="57" customWidth="1"/>
    <col min="3092" max="3092" width="10.42578125" style="57" customWidth="1"/>
    <col min="3093" max="3334" width="8.85546875" style="57"/>
    <col min="3335" max="3335" width="10" style="57" customWidth="1"/>
    <col min="3336" max="3336" width="40" style="57" customWidth="1"/>
    <col min="3337" max="3337" width="12.5703125" style="57" customWidth="1"/>
    <col min="3338" max="3339" width="10.42578125" style="57" customWidth="1"/>
    <col min="3340" max="3340" width="11.5703125" style="57" customWidth="1"/>
    <col min="3341" max="3342" width="10.42578125" style="57" customWidth="1"/>
    <col min="3343" max="3343" width="6.5703125" style="57" customWidth="1"/>
    <col min="3344" max="3344" width="11.42578125" style="57" customWidth="1"/>
    <col min="3345" max="3345" width="4.140625" style="57" customWidth="1"/>
    <col min="3346" max="3346" width="18.5703125" style="57" customWidth="1"/>
    <col min="3347" max="3347" width="2.140625" style="57" customWidth="1"/>
    <col min="3348" max="3348" width="10.42578125" style="57" customWidth="1"/>
    <col min="3349" max="3590" width="8.85546875" style="57"/>
    <col min="3591" max="3591" width="10" style="57" customWidth="1"/>
    <col min="3592" max="3592" width="40" style="57" customWidth="1"/>
    <col min="3593" max="3593" width="12.5703125" style="57" customWidth="1"/>
    <col min="3594" max="3595" width="10.42578125" style="57" customWidth="1"/>
    <col min="3596" max="3596" width="11.5703125" style="57" customWidth="1"/>
    <col min="3597" max="3598" width="10.42578125" style="57" customWidth="1"/>
    <col min="3599" max="3599" width="6.5703125" style="57" customWidth="1"/>
    <col min="3600" max="3600" width="11.42578125" style="57" customWidth="1"/>
    <col min="3601" max="3601" width="4.140625" style="57" customWidth="1"/>
    <col min="3602" max="3602" width="18.5703125" style="57" customWidth="1"/>
    <col min="3603" max="3603" width="2.140625" style="57" customWidth="1"/>
    <col min="3604" max="3604" width="10.42578125" style="57" customWidth="1"/>
    <col min="3605" max="3846" width="8.85546875" style="57"/>
    <col min="3847" max="3847" width="10" style="57" customWidth="1"/>
    <col min="3848" max="3848" width="40" style="57" customWidth="1"/>
    <col min="3849" max="3849" width="12.5703125" style="57" customWidth="1"/>
    <col min="3850" max="3851" width="10.42578125" style="57" customWidth="1"/>
    <col min="3852" max="3852" width="11.5703125" style="57" customWidth="1"/>
    <col min="3853" max="3854" width="10.42578125" style="57" customWidth="1"/>
    <col min="3855" max="3855" width="6.5703125" style="57" customWidth="1"/>
    <col min="3856" max="3856" width="11.42578125" style="57" customWidth="1"/>
    <col min="3857" max="3857" width="4.140625" style="57" customWidth="1"/>
    <col min="3858" max="3858" width="18.5703125" style="57" customWidth="1"/>
    <col min="3859" max="3859" width="2.140625" style="57" customWidth="1"/>
    <col min="3860" max="3860" width="10.42578125" style="57" customWidth="1"/>
    <col min="3861" max="4102" width="8.85546875" style="57"/>
    <col min="4103" max="4103" width="10" style="57" customWidth="1"/>
    <col min="4104" max="4104" width="40" style="57" customWidth="1"/>
    <col min="4105" max="4105" width="12.5703125" style="57" customWidth="1"/>
    <col min="4106" max="4107" width="10.42578125" style="57" customWidth="1"/>
    <col min="4108" max="4108" width="11.5703125" style="57" customWidth="1"/>
    <col min="4109" max="4110" width="10.42578125" style="57" customWidth="1"/>
    <col min="4111" max="4111" width="6.5703125" style="57" customWidth="1"/>
    <col min="4112" max="4112" width="11.42578125" style="57" customWidth="1"/>
    <col min="4113" max="4113" width="4.140625" style="57" customWidth="1"/>
    <col min="4114" max="4114" width="18.5703125" style="57" customWidth="1"/>
    <col min="4115" max="4115" width="2.140625" style="57" customWidth="1"/>
    <col min="4116" max="4116" width="10.42578125" style="57" customWidth="1"/>
    <col min="4117" max="4358" width="8.85546875" style="57"/>
    <col min="4359" max="4359" width="10" style="57" customWidth="1"/>
    <col min="4360" max="4360" width="40" style="57" customWidth="1"/>
    <col min="4361" max="4361" width="12.5703125" style="57" customWidth="1"/>
    <col min="4362" max="4363" width="10.42578125" style="57" customWidth="1"/>
    <col min="4364" max="4364" width="11.5703125" style="57" customWidth="1"/>
    <col min="4365" max="4366" width="10.42578125" style="57" customWidth="1"/>
    <col min="4367" max="4367" width="6.5703125" style="57" customWidth="1"/>
    <col min="4368" max="4368" width="11.42578125" style="57" customWidth="1"/>
    <col min="4369" max="4369" width="4.140625" style="57" customWidth="1"/>
    <col min="4370" max="4370" width="18.5703125" style="57" customWidth="1"/>
    <col min="4371" max="4371" width="2.140625" style="57" customWidth="1"/>
    <col min="4372" max="4372" width="10.42578125" style="57" customWidth="1"/>
    <col min="4373" max="4614" width="8.85546875" style="57"/>
    <col min="4615" max="4615" width="10" style="57" customWidth="1"/>
    <col min="4616" max="4616" width="40" style="57" customWidth="1"/>
    <col min="4617" max="4617" width="12.5703125" style="57" customWidth="1"/>
    <col min="4618" max="4619" width="10.42578125" style="57" customWidth="1"/>
    <col min="4620" max="4620" width="11.5703125" style="57" customWidth="1"/>
    <col min="4621" max="4622" width="10.42578125" style="57" customWidth="1"/>
    <col min="4623" max="4623" width="6.5703125" style="57" customWidth="1"/>
    <col min="4624" max="4624" width="11.42578125" style="57" customWidth="1"/>
    <col min="4625" max="4625" width="4.140625" style="57" customWidth="1"/>
    <col min="4626" max="4626" width="18.5703125" style="57" customWidth="1"/>
    <col min="4627" max="4627" width="2.140625" style="57" customWidth="1"/>
    <col min="4628" max="4628" width="10.42578125" style="57" customWidth="1"/>
    <col min="4629" max="4870" width="8.85546875" style="57"/>
    <col min="4871" max="4871" width="10" style="57" customWidth="1"/>
    <col min="4872" max="4872" width="40" style="57" customWidth="1"/>
    <col min="4873" max="4873" width="12.5703125" style="57" customWidth="1"/>
    <col min="4874" max="4875" width="10.42578125" style="57" customWidth="1"/>
    <col min="4876" max="4876" width="11.5703125" style="57" customWidth="1"/>
    <col min="4877" max="4878" width="10.42578125" style="57" customWidth="1"/>
    <col min="4879" max="4879" width="6.5703125" style="57" customWidth="1"/>
    <col min="4880" max="4880" width="11.42578125" style="57" customWidth="1"/>
    <col min="4881" max="4881" width="4.140625" style="57" customWidth="1"/>
    <col min="4882" max="4882" width="18.5703125" style="57" customWidth="1"/>
    <col min="4883" max="4883" width="2.140625" style="57" customWidth="1"/>
    <col min="4884" max="4884" width="10.42578125" style="57" customWidth="1"/>
    <col min="4885" max="5126" width="8.85546875" style="57"/>
    <col min="5127" max="5127" width="10" style="57" customWidth="1"/>
    <col min="5128" max="5128" width="40" style="57" customWidth="1"/>
    <col min="5129" max="5129" width="12.5703125" style="57" customWidth="1"/>
    <col min="5130" max="5131" width="10.42578125" style="57" customWidth="1"/>
    <col min="5132" max="5132" width="11.5703125" style="57" customWidth="1"/>
    <col min="5133" max="5134" width="10.42578125" style="57" customWidth="1"/>
    <col min="5135" max="5135" width="6.5703125" style="57" customWidth="1"/>
    <col min="5136" max="5136" width="11.42578125" style="57" customWidth="1"/>
    <col min="5137" max="5137" width="4.140625" style="57" customWidth="1"/>
    <col min="5138" max="5138" width="18.5703125" style="57" customWidth="1"/>
    <col min="5139" max="5139" width="2.140625" style="57" customWidth="1"/>
    <col min="5140" max="5140" width="10.42578125" style="57" customWidth="1"/>
    <col min="5141" max="5382" width="8.85546875" style="57"/>
    <col min="5383" max="5383" width="10" style="57" customWidth="1"/>
    <col min="5384" max="5384" width="40" style="57" customWidth="1"/>
    <col min="5385" max="5385" width="12.5703125" style="57" customWidth="1"/>
    <col min="5386" max="5387" width="10.42578125" style="57" customWidth="1"/>
    <col min="5388" max="5388" width="11.5703125" style="57" customWidth="1"/>
    <col min="5389" max="5390" width="10.42578125" style="57" customWidth="1"/>
    <col min="5391" max="5391" width="6.5703125" style="57" customWidth="1"/>
    <col min="5392" max="5392" width="11.42578125" style="57" customWidth="1"/>
    <col min="5393" max="5393" width="4.140625" style="57" customWidth="1"/>
    <col min="5394" max="5394" width="18.5703125" style="57" customWidth="1"/>
    <col min="5395" max="5395" width="2.140625" style="57" customWidth="1"/>
    <col min="5396" max="5396" width="10.42578125" style="57" customWidth="1"/>
    <col min="5397" max="5638" width="8.85546875" style="57"/>
    <col min="5639" max="5639" width="10" style="57" customWidth="1"/>
    <col min="5640" max="5640" width="40" style="57" customWidth="1"/>
    <col min="5641" max="5641" width="12.5703125" style="57" customWidth="1"/>
    <col min="5642" max="5643" width="10.42578125" style="57" customWidth="1"/>
    <col min="5644" max="5644" width="11.5703125" style="57" customWidth="1"/>
    <col min="5645" max="5646" width="10.42578125" style="57" customWidth="1"/>
    <col min="5647" max="5647" width="6.5703125" style="57" customWidth="1"/>
    <col min="5648" max="5648" width="11.42578125" style="57" customWidth="1"/>
    <col min="5649" max="5649" width="4.140625" style="57" customWidth="1"/>
    <col min="5650" max="5650" width="18.5703125" style="57" customWidth="1"/>
    <col min="5651" max="5651" width="2.140625" style="57" customWidth="1"/>
    <col min="5652" max="5652" width="10.42578125" style="57" customWidth="1"/>
    <col min="5653" max="5894" width="8.85546875" style="57"/>
    <col min="5895" max="5895" width="10" style="57" customWidth="1"/>
    <col min="5896" max="5896" width="40" style="57" customWidth="1"/>
    <col min="5897" max="5897" width="12.5703125" style="57" customWidth="1"/>
    <col min="5898" max="5899" width="10.42578125" style="57" customWidth="1"/>
    <col min="5900" max="5900" width="11.5703125" style="57" customWidth="1"/>
    <col min="5901" max="5902" width="10.42578125" style="57" customWidth="1"/>
    <col min="5903" max="5903" width="6.5703125" style="57" customWidth="1"/>
    <col min="5904" max="5904" width="11.42578125" style="57" customWidth="1"/>
    <col min="5905" max="5905" width="4.140625" style="57" customWidth="1"/>
    <col min="5906" max="5906" width="18.5703125" style="57" customWidth="1"/>
    <col min="5907" max="5907" width="2.140625" style="57" customWidth="1"/>
    <col min="5908" max="5908" width="10.42578125" style="57" customWidth="1"/>
    <col min="5909" max="6150" width="8.85546875" style="57"/>
    <col min="6151" max="6151" width="10" style="57" customWidth="1"/>
    <col min="6152" max="6152" width="40" style="57" customWidth="1"/>
    <col min="6153" max="6153" width="12.5703125" style="57" customWidth="1"/>
    <col min="6154" max="6155" width="10.42578125" style="57" customWidth="1"/>
    <col min="6156" max="6156" width="11.5703125" style="57" customWidth="1"/>
    <col min="6157" max="6158" width="10.42578125" style="57" customWidth="1"/>
    <col min="6159" max="6159" width="6.5703125" style="57" customWidth="1"/>
    <col min="6160" max="6160" width="11.42578125" style="57" customWidth="1"/>
    <col min="6161" max="6161" width="4.140625" style="57" customWidth="1"/>
    <col min="6162" max="6162" width="18.5703125" style="57" customWidth="1"/>
    <col min="6163" max="6163" width="2.140625" style="57" customWidth="1"/>
    <col min="6164" max="6164" width="10.42578125" style="57" customWidth="1"/>
    <col min="6165" max="6406" width="8.85546875" style="57"/>
    <col min="6407" max="6407" width="10" style="57" customWidth="1"/>
    <col min="6408" max="6408" width="40" style="57" customWidth="1"/>
    <col min="6409" max="6409" width="12.5703125" style="57" customWidth="1"/>
    <col min="6410" max="6411" width="10.42578125" style="57" customWidth="1"/>
    <col min="6412" max="6412" width="11.5703125" style="57" customWidth="1"/>
    <col min="6413" max="6414" width="10.42578125" style="57" customWidth="1"/>
    <col min="6415" max="6415" width="6.5703125" style="57" customWidth="1"/>
    <col min="6416" max="6416" width="11.42578125" style="57" customWidth="1"/>
    <col min="6417" max="6417" width="4.140625" style="57" customWidth="1"/>
    <col min="6418" max="6418" width="18.5703125" style="57" customWidth="1"/>
    <col min="6419" max="6419" width="2.140625" style="57" customWidth="1"/>
    <col min="6420" max="6420" width="10.42578125" style="57" customWidth="1"/>
    <col min="6421" max="6662" width="8.85546875" style="57"/>
    <col min="6663" max="6663" width="10" style="57" customWidth="1"/>
    <col min="6664" max="6664" width="40" style="57" customWidth="1"/>
    <col min="6665" max="6665" width="12.5703125" style="57" customWidth="1"/>
    <col min="6666" max="6667" width="10.42578125" style="57" customWidth="1"/>
    <col min="6668" max="6668" width="11.5703125" style="57" customWidth="1"/>
    <col min="6669" max="6670" width="10.42578125" style="57" customWidth="1"/>
    <col min="6671" max="6671" width="6.5703125" style="57" customWidth="1"/>
    <col min="6672" max="6672" width="11.42578125" style="57" customWidth="1"/>
    <col min="6673" max="6673" width="4.140625" style="57" customWidth="1"/>
    <col min="6674" max="6674" width="18.5703125" style="57" customWidth="1"/>
    <col min="6675" max="6675" width="2.140625" style="57" customWidth="1"/>
    <col min="6676" max="6676" width="10.42578125" style="57" customWidth="1"/>
    <col min="6677" max="6918" width="8.85546875" style="57"/>
    <col min="6919" max="6919" width="10" style="57" customWidth="1"/>
    <col min="6920" max="6920" width="40" style="57" customWidth="1"/>
    <col min="6921" max="6921" width="12.5703125" style="57" customWidth="1"/>
    <col min="6922" max="6923" width="10.42578125" style="57" customWidth="1"/>
    <col min="6924" max="6924" width="11.5703125" style="57" customWidth="1"/>
    <col min="6925" max="6926" width="10.42578125" style="57" customWidth="1"/>
    <col min="6927" max="6927" width="6.5703125" style="57" customWidth="1"/>
    <col min="6928" max="6928" width="11.42578125" style="57" customWidth="1"/>
    <col min="6929" max="6929" width="4.140625" style="57" customWidth="1"/>
    <col min="6930" max="6930" width="18.5703125" style="57" customWidth="1"/>
    <col min="6931" max="6931" width="2.140625" style="57" customWidth="1"/>
    <col min="6932" max="6932" width="10.42578125" style="57" customWidth="1"/>
    <col min="6933" max="7174" width="8.85546875" style="57"/>
    <col min="7175" max="7175" width="10" style="57" customWidth="1"/>
    <col min="7176" max="7176" width="40" style="57" customWidth="1"/>
    <col min="7177" max="7177" width="12.5703125" style="57" customWidth="1"/>
    <col min="7178" max="7179" width="10.42578125" style="57" customWidth="1"/>
    <col min="7180" max="7180" width="11.5703125" style="57" customWidth="1"/>
    <col min="7181" max="7182" width="10.42578125" style="57" customWidth="1"/>
    <col min="7183" max="7183" width="6.5703125" style="57" customWidth="1"/>
    <col min="7184" max="7184" width="11.42578125" style="57" customWidth="1"/>
    <col min="7185" max="7185" width="4.140625" style="57" customWidth="1"/>
    <col min="7186" max="7186" width="18.5703125" style="57" customWidth="1"/>
    <col min="7187" max="7187" width="2.140625" style="57" customWidth="1"/>
    <col min="7188" max="7188" width="10.42578125" style="57" customWidth="1"/>
    <col min="7189" max="7430" width="8.85546875" style="57"/>
    <col min="7431" max="7431" width="10" style="57" customWidth="1"/>
    <col min="7432" max="7432" width="40" style="57" customWidth="1"/>
    <col min="7433" max="7433" width="12.5703125" style="57" customWidth="1"/>
    <col min="7434" max="7435" width="10.42578125" style="57" customWidth="1"/>
    <col min="7436" max="7436" width="11.5703125" style="57" customWidth="1"/>
    <col min="7437" max="7438" width="10.42578125" style="57" customWidth="1"/>
    <col min="7439" max="7439" width="6.5703125" style="57" customWidth="1"/>
    <col min="7440" max="7440" width="11.42578125" style="57" customWidth="1"/>
    <col min="7441" max="7441" width="4.140625" style="57" customWidth="1"/>
    <col min="7442" max="7442" width="18.5703125" style="57" customWidth="1"/>
    <col min="7443" max="7443" width="2.140625" style="57" customWidth="1"/>
    <col min="7444" max="7444" width="10.42578125" style="57" customWidth="1"/>
    <col min="7445" max="7686" width="8.85546875" style="57"/>
    <col min="7687" max="7687" width="10" style="57" customWidth="1"/>
    <col min="7688" max="7688" width="40" style="57" customWidth="1"/>
    <col min="7689" max="7689" width="12.5703125" style="57" customWidth="1"/>
    <col min="7690" max="7691" width="10.42578125" style="57" customWidth="1"/>
    <col min="7692" max="7692" width="11.5703125" style="57" customWidth="1"/>
    <col min="7693" max="7694" width="10.42578125" style="57" customWidth="1"/>
    <col min="7695" max="7695" width="6.5703125" style="57" customWidth="1"/>
    <col min="7696" max="7696" width="11.42578125" style="57" customWidth="1"/>
    <col min="7697" max="7697" width="4.140625" style="57" customWidth="1"/>
    <col min="7698" max="7698" width="18.5703125" style="57" customWidth="1"/>
    <col min="7699" max="7699" width="2.140625" style="57" customWidth="1"/>
    <col min="7700" max="7700" width="10.42578125" style="57" customWidth="1"/>
    <col min="7701" max="7942" width="8.85546875" style="57"/>
    <col min="7943" max="7943" width="10" style="57" customWidth="1"/>
    <col min="7944" max="7944" width="40" style="57" customWidth="1"/>
    <col min="7945" max="7945" width="12.5703125" style="57" customWidth="1"/>
    <col min="7946" max="7947" width="10.42578125" style="57" customWidth="1"/>
    <col min="7948" max="7948" width="11.5703125" style="57" customWidth="1"/>
    <col min="7949" max="7950" width="10.42578125" style="57" customWidth="1"/>
    <col min="7951" max="7951" width="6.5703125" style="57" customWidth="1"/>
    <col min="7952" max="7952" width="11.42578125" style="57" customWidth="1"/>
    <col min="7953" max="7953" width="4.140625" style="57" customWidth="1"/>
    <col min="7954" max="7954" width="18.5703125" style="57" customWidth="1"/>
    <col min="7955" max="7955" width="2.140625" style="57" customWidth="1"/>
    <col min="7956" max="7956" width="10.42578125" style="57" customWidth="1"/>
    <col min="7957" max="8198" width="8.85546875" style="57"/>
    <col min="8199" max="8199" width="10" style="57" customWidth="1"/>
    <col min="8200" max="8200" width="40" style="57" customWidth="1"/>
    <col min="8201" max="8201" width="12.5703125" style="57" customWidth="1"/>
    <col min="8202" max="8203" width="10.42578125" style="57" customWidth="1"/>
    <col min="8204" max="8204" width="11.5703125" style="57" customWidth="1"/>
    <col min="8205" max="8206" width="10.42578125" style="57" customWidth="1"/>
    <col min="8207" max="8207" width="6.5703125" style="57" customWidth="1"/>
    <col min="8208" max="8208" width="11.42578125" style="57" customWidth="1"/>
    <col min="8209" max="8209" width="4.140625" style="57" customWidth="1"/>
    <col min="8210" max="8210" width="18.5703125" style="57" customWidth="1"/>
    <col min="8211" max="8211" width="2.140625" style="57" customWidth="1"/>
    <col min="8212" max="8212" width="10.42578125" style="57" customWidth="1"/>
    <col min="8213" max="8454" width="8.85546875" style="57"/>
    <col min="8455" max="8455" width="10" style="57" customWidth="1"/>
    <col min="8456" max="8456" width="40" style="57" customWidth="1"/>
    <col min="8457" max="8457" width="12.5703125" style="57" customWidth="1"/>
    <col min="8458" max="8459" width="10.42578125" style="57" customWidth="1"/>
    <col min="8460" max="8460" width="11.5703125" style="57" customWidth="1"/>
    <col min="8461" max="8462" width="10.42578125" style="57" customWidth="1"/>
    <col min="8463" max="8463" width="6.5703125" style="57" customWidth="1"/>
    <col min="8464" max="8464" width="11.42578125" style="57" customWidth="1"/>
    <col min="8465" max="8465" width="4.140625" style="57" customWidth="1"/>
    <col min="8466" max="8466" width="18.5703125" style="57" customWidth="1"/>
    <col min="8467" max="8467" width="2.140625" style="57" customWidth="1"/>
    <col min="8468" max="8468" width="10.42578125" style="57" customWidth="1"/>
    <col min="8469" max="8710" width="8.85546875" style="57"/>
    <col min="8711" max="8711" width="10" style="57" customWidth="1"/>
    <col min="8712" max="8712" width="40" style="57" customWidth="1"/>
    <col min="8713" max="8713" width="12.5703125" style="57" customWidth="1"/>
    <col min="8714" max="8715" width="10.42578125" style="57" customWidth="1"/>
    <col min="8716" max="8716" width="11.5703125" style="57" customWidth="1"/>
    <col min="8717" max="8718" width="10.42578125" style="57" customWidth="1"/>
    <col min="8719" max="8719" width="6.5703125" style="57" customWidth="1"/>
    <col min="8720" max="8720" width="11.42578125" style="57" customWidth="1"/>
    <col min="8721" max="8721" width="4.140625" style="57" customWidth="1"/>
    <col min="8722" max="8722" width="18.5703125" style="57" customWidth="1"/>
    <col min="8723" max="8723" width="2.140625" style="57" customWidth="1"/>
    <col min="8724" max="8724" width="10.42578125" style="57" customWidth="1"/>
    <col min="8725" max="8966" width="8.85546875" style="57"/>
    <col min="8967" max="8967" width="10" style="57" customWidth="1"/>
    <col min="8968" max="8968" width="40" style="57" customWidth="1"/>
    <col min="8969" max="8969" width="12.5703125" style="57" customWidth="1"/>
    <col min="8970" max="8971" width="10.42578125" style="57" customWidth="1"/>
    <col min="8972" max="8972" width="11.5703125" style="57" customWidth="1"/>
    <col min="8973" max="8974" width="10.42578125" style="57" customWidth="1"/>
    <col min="8975" max="8975" width="6.5703125" style="57" customWidth="1"/>
    <col min="8976" max="8976" width="11.42578125" style="57" customWidth="1"/>
    <col min="8977" max="8977" width="4.140625" style="57" customWidth="1"/>
    <col min="8978" max="8978" width="18.5703125" style="57" customWidth="1"/>
    <col min="8979" max="8979" width="2.140625" style="57" customWidth="1"/>
    <col min="8980" max="8980" width="10.42578125" style="57" customWidth="1"/>
    <col min="8981" max="9222" width="8.85546875" style="57"/>
    <col min="9223" max="9223" width="10" style="57" customWidth="1"/>
    <col min="9224" max="9224" width="40" style="57" customWidth="1"/>
    <col min="9225" max="9225" width="12.5703125" style="57" customWidth="1"/>
    <col min="9226" max="9227" width="10.42578125" style="57" customWidth="1"/>
    <col min="9228" max="9228" width="11.5703125" style="57" customWidth="1"/>
    <col min="9229" max="9230" width="10.42578125" style="57" customWidth="1"/>
    <col min="9231" max="9231" width="6.5703125" style="57" customWidth="1"/>
    <col min="9232" max="9232" width="11.42578125" style="57" customWidth="1"/>
    <col min="9233" max="9233" width="4.140625" style="57" customWidth="1"/>
    <col min="9234" max="9234" width="18.5703125" style="57" customWidth="1"/>
    <col min="9235" max="9235" width="2.140625" style="57" customWidth="1"/>
    <col min="9236" max="9236" width="10.42578125" style="57" customWidth="1"/>
    <col min="9237" max="9478" width="8.85546875" style="57"/>
    <col min="9479" max="9479" width="10" style="57" customWidth="1"/>
    <col min="9480" max="9480" width="40" style="57" customWidth="1"/>
    <col min="9481" max="9481" width="12.5703125" style="57" customWidth="1"/>
    <col min="9482" max="9483" width="10.42578125" style="57" customWidth="1"/>
    <col min="9484" max="9484" width="11.5703125" style="57" customWidth="1"/>
    <col min="9485" max="9486" width="10.42578125" style="57" customWidth="1"/>
    <col min="9487" max="9487" width="6.5703125" style="57" customWidth="1"/>
    <col min="9488" max="9488" width="11.42578125" style="57" customWidth="1"/>
    <col min="9489" max="9489" width="4.140625" style="57" customWidth="1"/>
    <col min="9490" max="9490" width="18.5703125" style="57" customWidth="1"/>
    <col min="9491" max="9491" width="2.140625" style="57" customWidth="1"/>
    <col min="9492" max="9492" width="10.42578125" style="57" customWidth="1"/>
    <col min="9493" max="9734" width="8.85546875" style="57"/>
    <col min="9735" max="9735" width="10" style="57" customWidth="1"/>
    <col min="9736" max="9736" width="40" style="57" customWidth="1"/>
    <col min="9737" max="9737" width="12.5703125" style="57" customWidth="1"/>
    <col min="9738" max="9739" width="10.42578125" style="57" customWidth="1"/>
    <col min="9740" max="9740" width="11.5703125" style="57" customWidth="1"/>
    <col min="9741" max="9742" width="10.42578125" style="57" customWidth="1"/>
    <col min="9743" max="9743" width="6.5703125" style="57" customWidth="1"/>
    <col min="9744" max="9744" width="11.42578125" style="57" customWidth="1"/>
    <col min="9745" max="9745" width="4.140625" style="57" customWidth="1"/>
    <col min="9746" max="9746" width="18.5703125" style="57" customWidth="1"/>
    <col min="9747" max="9747" width="2.140625" style="57" customWidth="1"/>
    <col min="9748" max="9748" width="10.42578125" style="57" customWidth="1"/>
    <col min="9749" max="9990" width="8.85546875" style="57"/>
    <col min="9991" max="9991" width="10" style="57" customWidth="1"/>
    <col min="9992" max="9992" width="40" style="57" customWidth="1"/>
    <col min="9993" max="9993" width="12.5703125" style="57" customWidth="1"/>
    <col min="9994" max="9995" width="10.42578125" style="57" customWidth="1"/>
    <col min="9996" max="9996" width="11.5703125" style="57" customWidth="1"/>
    <col min="9997" max="9998" width="10.42578125" style="57" customWidth="1"/>
    <col min="9999" max="9999" width="6.5703125" style="57" customWidth="1"/>
    <col min="10000" max="10000" width="11.42578125" style="57" customWidth="1"/>
    <col min="10001" max="10001" width="4.140625" style="57" customWidth="1"/>
    <col min="10002" max="10002" width="18.5703125" style="57" customWidth="1"/>
    <col min="10003" max="10003" width="2.140625" style="57" customWidth="1"/>
    <col min="10004" max="10004" width="10.42578125" style="57" customWidth="1"/>
    <col min="10005" max="10246" width="8.85546875" style="57"/>
    <col min="10247" max="10247" width="10" style="57" customWidth="1"/>
    <col min="10248" max="10248" width="40" style="57" customWidth="1"/>
    <col min="10249" max="10249" width="12.5703125" style="57" customWidth="1"/>
    <col min="10250" max="10251" width="10.42578125" style="57" customWidth="1"/>
    <col min="10252" max="10252" width="11.5703125" style="57" customWidth="1"/>
    <col min="10253" max="10254" width="10.42578125" style="57" customWidth="1"/>
    <col min="10255" max="10255" width="6.5703125" style="57" customWidth="1"/>
    <col min="10256" max="10256" width="11.42578125" style="57" customWidth="1"/>
    <col min="10257" max="10257" width="4.140625" style="57" customWidth="1"/>
    <col min="10258" max="10258" width="18.5703125" style="57" customWidth="1"/>
    <col min="10259" max="10259" width="2.140625" style="57" customWidth="1"/>
    <col min="10260" max="10260" width="10.42578125" style="57" customWidth="1"/>
    <col min="10261" max="10502" width="8.85546875" style="57"/>
    <col min="10503" max="10503" width="10" style="57" customWidth="1"/>
    <col min="10504" max="10504" width="40" style="57" customWidth="1"/>
    <col min="10505" max="10505" width="12.5703125" style="57" customWidth="1"/>
    <col min="10506" max="10507" width="10.42578125" style="57" customWidth="1"/>
    <col min="10508" max="10508" width="11.5703125" style="57" customWidth="1"/>
    <col min="10509" max="10510" width="10.42578125" style="57" customWidth="1"/>
    <col min="10511" max="10511" width="6.5703125" style="57" customWidth="1"/>
    <col min="10512" max="10512" width="11.42578125" style="57" customWidth="1"/>
    <col min="10513" max="10513" width="4.140625" style="57" customWidth="1"/>
    <col min="10514" max="10514" width="18.5703125" style="57" customWidth="1"/>
    <col min="10515" max="10515" width="2.140625" style="57" customWidth="1"/>
    <col min="10516" max="10516" width="10.42578125" style="57" customWidth="1"/>
    <col min="10517" max="10758" width="8.85546875" style="57"/>
    <col min="10759" max="10759" width="10" style="57" customWidth="1"/>
    <col min="10760" max="10760" width="40" style="57" customWidth="1"/>
    <col min="10761" max="10761" width="12.5703125" style="57" customWidth="1"/>
    <col min="10762" max="10763" width="10.42578125" style="57" customWidth="1"/>
    <col min="10764" max="10764" width="11.5703125" style="57" customWidth="1"/>
    <col min="10765" max="10766" width="10.42578125" style="57" customWidth="1"/>
    <col min="10767" max="10767" width="6.5703125" style="57" customWidth="1"/>
    <col min="10768" max="10768" width="11.42578125" style="57" customWidth="1"/>
    <col min="10769" max="10769" width="4.140625" style="57" customWidth="1"/>
    <col min="10770" max="10770" width="18.5703125" style="57" customWidth="1"/>
    <col min="10771" max="10771" width="2.140625" style="57" customWidth="1"/>
    <col min="10772" max="10772" width="10.42578125" style="57" customWidth="1"/>
    <col min="10773" max="11014" width="8.85546875" style="57"/>
    <col min="11015" max="11015" width="10" style="57" customWidth="1"/>
    <col min="11016" max="11016" width="40" style="57" customWidth="1"/>
    <col min="11017" max="11017" width="12.5703125" style="57" customWidth="1"/>
    <col min="11018" max="11019" width="10.42578125" style="57" customWidth="1"/>
    <col min="11020" max="11020" width="11.5703125" style="57" customWidth="1"/>
    <col min="11021" max="11022" width="10.42578125" style="57" customWidth="1"/>
    <col min="11023" max="11023" width="6.5703125" style="57" customWidth="1"/>
    <col min="11024" max="11024" width="11.42578125" style="57" customWidth="1"/>
    <col min="11025" max="11025" width="4.140625" style="57" customWidth="1"/>
    <col min="11026" max="11026" width="18.5703125" style="57" customWidth="1"/>
    <col min="11027" max="11027" width="2.140625" style="57" customWidth="1"/>
    <col min="11028" max="11028" width="10.42578125" style="57" customWidth="1"/>
    <col min="11029" max="11270" width="8.85546875" style="57"/>
    <col min="11271" max="11271" width="10" style="57" customWidth="1"/>
    <col min="11272" max="11272" width="40" style="57" customWidth="1"/>
    <col min="11273" max="11273" width="12.5703125" style="57" customWidth="1"/>
    <col min="11274" max="11275" width="10.42578125" style="57" customWidth="1"/>
    <col min="11276" max="11276" width="11.5703125" style="57" customWidth="1"/>
    <col min="11277" max="11278" width="10.42578125" style="57" customWidth="1"/>
    <col min="11279" max="11279" width="6.5703125" style="57" customWidth="1"/>
    <col min="11280" max="11280" width="11.42578125" style="57" customWidth="1"/>
    <col min="11281" max="11281" width="4.140625" style="57" customWidth="1"/>
    <col min="11282" max="11282" width="18.5703125" style="57" customWidth="1"/>
    <col min="11283" max="11283" width="2.140625" style="57" customWidth="1"/>
    <col min="11284" max="11284" width="10.42578125" style="57" customWidth="1"/>
    <col min="11285" max="11526" width="8.85546875" style="57"/>
    <col min="11527" max="11527" width="10" style="57" customWidth="1"/>
    <col min="11528" max="11528" width="40" style="57" customWidth="1"/>
    <col min="11529" max="11529" width="12.5703125" style="57" customWidth="1"/>
    <col min="11530" max="11531" width="10.42578125" style="57" customWidth="1"/>
    <col min="11532" max="11532" width="11.5703125" style="57" customWidth="1"/>
    <col min="11533" max="11534" width="10.42578125" style="57" customWidth="1"/>
    <col min="11535" max="11535" width="6.5703125" style="57" customWidth="1"/>
    <col min="11536" max="11536" width="11.42578125" style="57" customWidth="1"/>
    <col min="11537" max="11537" width="4.140625" style="57" customWidth="1"/>
    <col min="11538" max="11538" width="18.5703125" style="57" customWidth="1"/>
    <col min="11539" max="11539" width="2.140625" style="57" customWidth="1"/>
    <col min="11540" max="11540" width="10.42578125" style="57" customWidth="1"/>
    <col min="11541" max="11782" width="8.85546875" style="57"/>
    <col min="11783" max="11783" width="10" style="57" customWidth="1"/>
    <col min="11784" max="11784" width="40" style="57" customWidth="1"/>
    <col min="11785" max="11785" width="12.5703125" style="57" customWidth="1"/>
    <col min="11786" max="11787" width="10.42578125" style="57" customWidth="1"/>
    <col min="11788" max="11788" width="11.5703125" style="57" customWidth="1"/>
    <col min="11789" max="11790" width="10.42578125" style="57" customWidth="1"/>
    <col min="11791" max="11791" width="6.5703125" style="57" customWidth="1"/>
    <col min="11792" max="11792" width="11.42578125" style="57" customWidth="1"/>
    <col min="11793" max="11793" width="4.140625" style="57" customWidth="1"/>
    <col min="11794" max="11794" width="18.5703125" style="57" customWidth="1"/>
    <col min="11795" max="11795" width="2.140625" style="57" customWidth="1"/>
    <col min="11796" max="11796" width="10.42578125" style="57" customWidth="1"/>
    <col min="11797" max="12038" width="8.85546875" style="57"/>
    <col min="12039" max="12039" width="10" style="57" customWidth="1"/>
    <col min="12040" max="12040" width="40" style="57" customWidth="1"/>
    <col min="12041" max="12041" width="12.5703125" style="57" customWidth="1"/>
    <col min="12042" max="12043" width="10.42578125" style="57" customWidth="1"/>
    <col min="12044" max="12044" width="11.5703125" style="57" customWidth="1"/>
    <col min="12045" max="12046" width="10.42578125" style="57" customWidth="1"/>
    <col min="12047" max="12047" width="6.5703125" style="57" customWidth="1"/>
    <col min="12048" max="12048" width="11.42578125" style="57" customWidth="1"/>
    <col min="12049" max="12049" width="4.140625" style="57" customWidth="1"/>
    <col min="12050" max="12050" width="18.5703125" style="57" customWidth="1"/>
    <col min="12051" max="12051" width="2.140625" style="57" customWidth="1"/>
    <col min="12052" max="12052" width="10.42578125" style="57" customWidth="1"/>
    <col min="12053" max="12294" width="8.85546875" style="57"/>
    <col min="12295" max="12295" width="10" style="57" customWidth="1"/>
    <col min="12296" max="12296" width="40" style="57" customWidth="1"/>
    <col min="12297" max="12297" width="12.5703125" style="57" customWidth="1"/>
    <col min="12298" max="12299" width="10.42578125" style="57" customWidth="1"/>
    <col min="12300" max="12300" width="11.5703125" style="57" customWidth="1"/>
    <col min="12301" max="12302" width="10.42578125" style="57" customWidth="1"/>
    <col min="12303" max="12303" width="6.5703125" style="57" customWidth="1"/>
    <col min="12304" max="12304" width="11.42578125" style="57" customWidth="1"/>
    <col min="12305" max="12305" width="4.140625" style="57" customWidth="1"/>
    <col min="12306" max="12306" width="18.5703125" style="57" customWidth="1"/>
    <col min="12307" max="12307" width="2.140625" style="57" customWidth="1"/>
    <col min="12308" max="12308" width="10.42578125" style="57" customWidth="1"/>
    <col min="12309" max="12550" width="8.85546875" style="57"/>
    <col min="12551" max="12551" width="10" style="57" customWidth="1"/>
    <col min="12552" max="12552" width="40" style="57" customWidth="1"/>
    <col min="12553" max="12553" width="12.5703125" style="57" customWidth="1"/>
    <col min="12554" max="12555" width="10.42578125" style="57" customWidth="1"/>
    <col min="12556" max="12556" width="11.5703125" style="57" customWidth="1"/>
    <col min="12557" max="12558" width="10.42578125" style="57" customWidth="1"/>
    <col min="12559" max="12559" width="6.5703125" style="57" customWidth="1"/>
    <col min="12560" max="12560" width="11.42578125" style="57" customWidth="1"/>
    <col min="12561" max="12561" width="4.140625" style="57" customWidth="1"/>
    <col min="12562" max="12562" width="18.5703125" style="57" customWidth="1"/>
    <col min="12563" max="12563" width="2.140625" style="57" customWidth="1"/>
    <col min="12564" max="12564" width="10.42578125" style="57" customWidth="1"/>
    <col min="12565" max="12806" width="8.85546875" style="57"/>
    <col min="12807" max="12807" width="10" style="57" customWidth="1"/>
    <col min="12808" max="12808" width="40" style="57" customWidth="1"/>
    <col min="12809" max="12809" width="12.5703125" style="57" customWidth="1"/>
    <col min="12810" max="12811" width="10.42578125" style="57" customWidth="1"/>
    <col min="12812" max="12812" width="11.5703125" style="57" customWidth="1"/>
    <col min="12813" max="12814" width="10.42578125" style="57" customWidth="1"/>
    <col min="12815" max="12815" width="6.5703125" style="57" customWidth="1"/>
    <col min="12816" max="12816" width="11.42578125" style="57" customWidth="1"/>
    <col min="12817" max="12817" width="4.140625" style="57" customWidth="1"/>
    <col min="12818" max="12818" width="18.5703125" style="57" customWidth="1"/>
    <col min="12819" max="12819" width="2.140625" style="57" customWidth="1"/>
    <col min="12820" max="12820" width="10.42578125" style="57" customWidth="1"/>
    <col min="12821" max="13062" width="8.85546875" style="57"/>
    <col min="13063" max="13063" width="10" style="57" customWidth="1"/>
    <col min="13064" max="13064" width="40" style="57" customWidth="1"/>
    <col min="13065" max="13065" width="12.5703125" style="57" customWidth="1"/>
    <col min="13066" max="13067" width="10.42578125" style="57" customWidth="1"/>
    <col min="13068" max="13068" width="11.5703125" style="57" customWidth="1"/>
    <col min="13069" max="13070" width="10.42578125" style="57" customWidth="1"/>
    <col min="13071" max="13071" width="6.5703125" style="57" customWidth="1"/>
    <col min="13072" max="13072" width="11.42578125" style="57" customWidth="1"/>
    <col min="13073" max="13073" width="4.140625" style="57" customWidth="1"/>
    <col min="13074" max="13074" width="18.5703125" style="57" customWidth="1"/>
    <col min="13075" max="13075" width="2.140625" style="57" customWidth="1"/>
    <col min="13076" max="13076" width="10.42578125" style="57" customWidth="1"/>
    <col min="13077" max="13318" width="8.85546875" style="57"/>
    <col min="13319" max="13319" width="10" style="57" customWidth="1"/>
    <col min="13320" max="13320" width="40" style="57" customWidth="1"/>
    <col min="13321" max="13321" width="12.5703125" style="57" customWidth="1"/>
    <col min="13322" max="13323" width="10.42578125" style="57" customWidth="1"/>
    <col min="13324" max="13324" width="11.5703125" style="57" customWidth="1"/>
    <col min="13325" max="13326" width="10.42578125" style="57" customWidth="1"/>
    <col min="13327" max="13327" width="6.5703125" style="57" customWidth="1"/>
    <col min="13328" max="13328" width="11.42578125" style="57" customWidth="1"/>
    <col min="13329" max="13329" width="4.140625" style="57" customWidth="1"/>
    <col min="13330" max="13330" width="18.5703125" style="57" customWidth="1"/>
    <col min="13331" max="13331" width="2.140625" style="57" customWidth="1"/>
    <col min="13332" max="13332" width="10.42578125" style="57" customWidth="1"/>
    <col min="13333" max="13574" width="8.85546875" style="57"/>
    <col min="13575" max="13575" width="10" style="57" customWidth="1"/>
    <col min="13576" max="13576" width="40" style="57" customWidth="1"/>
    <col min="13577" max="13577" width="12.5703125" style="57" customWidth="1"/>
    <col min="13578" max="13579" width="10.42578125" style="57" customWidth="1"/>
    <col min="13580" max="13580" width="11.5703125" style="57" customWidth="1"/>
    <col min="13581" max="13582" width="10.42578125" style="57" customWidth="1"/>
    <col min="13583" max="13583" width="6.5703125" style="57" customWidth="1"/>
    <col min="13584" max="13584" width="11.42578125" style="57" customWidth="1"/>
    <col min="13585" max="13585" width="4.140625" style="57" customWidth="1"/>
    <col min="13586" max="13586" width="18.5703125" style="57" customWidth="1"/>
    <col min="13587" max="13587" width="2.140625" style="57" customWidth="1"/>
    <col min="13588" max="13588" width="10.42578125" style="57" customWidth="1"/>
    <col min="13589" max="13830" width="8.85546875" style="57"/>
    <col min="13831" max="13831" width="10" style="57" customWidth="1"/>
    <col min="13832" max="13832" width="40" style="57" customWidth="1"/>
    <col min="13833" max="13833" width="12.5703125" style="57" customWidth="1"/>
    <col min="13834" max="13835" width="10.42578125" style="57" customWidth="1"/>
    <col min="13836" max="13836" width="11.5703125" style="57" customWidth="1"/>
    <col min="13837" max="13838" width="10.42578125" style="57" customWidth="1"/>
    <col min="13839" max="13839" width="6.5703125" style="57" customWidth="1"/>
    <col min="13840" max="13840" width="11.42578125" style="57" customWidth="1"/>
    <col min="13841" max="13841" width="4.140625" style="57" customWidth="1"/>
    <col min="13842" max="13842" width="18.5703125" style="57" customWidth="1"/>
    <col min="13843" max="13843" width="2.140625" style="57" customWidth="1"/>
    <col min="13844" max="13844" width="10.42578125" style="57" customWidth="1"/>
    <col min="13845" max="14086" width="8.85546875" style="57"/>
    <col min="14087" max="14087" width="10" style="57" customWidth="1"/>
    <col min="14088" max="14088" width="40" style="57" customWidth="1"/>
    <col min="14089" max="14089" width="12.5703125" style="57" customWidth="1"/>
    <col min="14090" max="14091" width="10.42578125" style="57" customWidth="1"/>
    <col min="14092" max="14092" width="11.5703125" style="57" customWidth="1"/>
    <col min="14093" max="14094" width="10.42578125" style="57" customWidth="1"/>
    <col min="14095" max="14095" width="6.5703125" style="57" customWidth="1"/>
    <col min="14096" max="14096" width="11.42578125" style="57" customWidth="1"/>
    <col min="14097" max="14097" width="4.140625" style="57" customWidth="1"/>
    <col min="14098" max="14098" width="18.5703125" style="57" customWidth="1"/>
    <col min="14099" max="14099" width="2.140625" style="57" customWidth="1"/>
    <col min="14100" max="14100" width="10.42578125" style="57" customWidth="1"/>
    <col min="14101" max="14342" width="8.85546875" style="57"/>
    <col min="14343" max="14343" width="10" style="57" customWidth="1"/>
    <col min="14344" max="14344" width="40" style="57" customWidth="1"/>
    <col min="14345" max="14345" width="12.5703125" style="57" customWidth="1"/>
    <col min="14346" max="14347" width="10.42578125" style="57" customWidth="1"/>
    <col min="14348" max="14348" width="11.5703125" style="57" customWidth="1"/>
    <col min="14349" max="14350" width="10.42578125" style="57" customWidth="1"/>
    <col min="14351" max="14351" width="6.5703125" style="57" customWidth="1"/>
    <col min="14352" max="14352" width="11.42578125" style="57" customWidth="1"/>
    <col min="14353" max="14353" width="4.140625" style="57" customWidth="1"/>
    <col min="14354" max="14354" width="18.5703125" style="57" customWidth="1"/>
    <col min="14355" max="14355" width="2.140625" style="57" customWidth="1"/>
    <col min="14356" max="14356" width="10.42578125" style="57" customWidth="1"/>
    <col min="14357" max="14598" width="8.85546875" style="57"/>
    <col min="14599" max="14599" width="10" style="57" customWidth="1"/>
    <col min="14600" max="14600" width="40" style="57" customWidth="1"/>
    <col min="14601" max="14601" width="12.5703125" style="57" customWidth="1"/>
    <col min="14602" max="14603" width="10.42578125" style="57" customWidth="1"/>
    <col min="14604" max="14604" width="11.5703125" style="57" customWidth="1"/>
    <col min="14605" max="14606" width="10.42578125" style="57" customWidth="1"/>
    <col min="14607" max="14607" width="6.5703125" style="57" customWidth="1"/>
    <col min="14608" max="14608" width="11.42578125" style="57" customWidth="1"/>
    <col min="14609" max="14609" width="4.140625" style="57" customWidth="1"/>
    <col min="14610" max="14610" width="18.5703125" style="57" customWidth="1"/>
    <col min="14611" max="14611" width="2.140625" style="57" customWidth="1"/>
    <col min="14612" max="14612" width="10.42578125" style="57" customWidth="1"/>
    <col min="14613" max="14854" width="8.85546875" style="57"/>
    <col min="14855" max="14855" width="10" style="57" customWidth="1"/>
    <col min="14856" max="14856" width="40" style="57" customWidth="1"/>
    <col min="14857" max="14857" width="12.5703125" style="57" customWidth="1"/>
    <col min="14858" max="14859" width="10.42578125" style="57" customWidth="1"/>
    <col min="14860" max="14860" width="11.5703125" style="57" customWidth="1"/>
    <col min="14861" max="14862" width="10.42578125" style="57" customWidth="1"/>
    <col min="14863" max="14863" width="6.5703125" style="57" customWidth="1"/>
    <col min="14864" max="14864" width="11.42578125" style="57" customWidth="1"/>
    <col min="14865" max="14865" width="4.140625" style="57" customWidth="1"/>
    <col min="14866" max="14866" width="18.5703125" style="57" customWidth="1"/>
    <col min="14867" max="14867" width="2.140625" style="57" customWidth="1"/>
    <col min="14868" max="14868" width="10.42578125" style="57" customWidth="1"/>
    <col min="14869" max="15110" width="8.85546875" style="57"/>
    <col min="15111" max="15111" width="10" style="57" customWidth="1"/>
    <col min="15112" max="15112" width="40" style="57" customWidth="1"/>
    <col min="15113" max="15113" width="12.5703125" style="57" customWidth="1"/>
    <col min="15114" max="15115" width="10.42578125" style="57" customWidth="1"/>
    <col min="15116" max="15116" width="11.5703125" style="57" customWidth="1"/>
    <col min="15117" max="15118" width="10.42578125" style="57" customWidth="1"/>
    <col min="15119" max="15119" width="6.5703125" style="57" customWidth="1"/>
    <col min="15120" max="15120" width="11.42578125" style="57" customWidth="1"/>
    <col min="15121" max="15121" width="4.140625" style="57" customWidth="1"/>
    <col min="15122" max="15122" width="18.5703125" style="57" customWidth="1"/>
    <col min="15123" max="15123" width="2.140625" style="57" customWidth="1"/>
    <col min="15124" max="15124" width="10.42578125" style="57" customWidth="1"/>
    <col min="15125" max="15366" width="8.85546875" style="57"/>
    <col min="15367" max="15367" width="10" style="57" customWidth="1"/>
    <col min="15368" max="15368" width="40" style="57" customWidth="1"/>
    <col min="15369" max="15369" width="12.5703125" style="57" customWidth="1"/>
    <col min="15370" max="15371" width="10.42578125" style="57" customWidth="1"/>
    <col min="15372" max="15372" width="11.5703125" style="57" customWidth="1"/>
    <col min="15373" max="15374" width="10.42578125" style="57" customWidth="1"/>
    <col min="15375" max="15375" width="6.5703125" style="57" customWidth="1"/>
    <col min="15376" max="15376" width="11.42578125" style="57" customWidth="1"/>
    <col min="15377" max="15377" width="4.140625" style="57" customWidth="1"/>
    <col min="15378" max="15378" width="18.5703125" style="57" customWidth="1"/>
    <col min="15379" max="15379" width="2.140625" style="57" customWidth="1"/>
    <col min="15380" max="15380" width="10.42578125" style="57" customWidth="1"/>
    <col min="15381" max="15622" width="8.85546875" style="57"/>
    <col min="15623" max="15623" width="10" style="57" customWidth="1"/>
    <col min="15624" max="15624" width="40" style="57" customWidth="1"/>
    <col min="15625" max="15625" width="12.5703125" style="57" customWidth="1"/>
    <col min="15626" max="15627" width="10.42578125" style="57" customWidth="1"/>
    <col min="15628" max="15628" width="11.5703125" style="57" customWidth="1"/>
    <col min="15629" max="15630" width="10.42578125" style="57" customWidth="1"/>
    <col min="15631" max="15631" width="6.5703125" style="57" customWidth="1"/>
    <col min="15632" max="15632" width="11.42578125" style="57" customWidth="1"/>
    <col min="15633" max="15633" width="4.140625" style="57" customWidth="1"/>
    <col min="15634" max="15634" width="18.5703125" style="57" customWidth="1"/>
    <col min="15635" max="15635" width="2.140625" style="57" customWidth="1"/>
    <col min="15636" max="15636" width="10.42578125" style="57" customWidth="1"/>
    <col min="15637" max="15878" width="8.85546875" style="57"/>
    <col min="15879" max="15879" width="10" style="57" customWidth="1"/>
    <col min="15880" max="15880" width="40" style="57" customWidth="1"/>
    <col min="15881" max="15881" width="12.5703125" style="57" customWidth="1"/>
    <col min="15882" max="15883" width="10.42578125" style="57" customWidth="1"/>
    <col min="15884" max="15884" width="11.5703125" style="57" customWidth="1"/>
    <col min="15885" max="15886" width="10.42578125" style="57" customWidth="1"/>
    <col min="15887" max="15887" width="6.5703125" style="57" customWidth="1"/>
    <col min="15888" max="15888" width="11.42578125" style="57" customWidth="1"/>
    <col min="15889" max="15889" width="4.140625" style="57" customWidth="1"/>
    <col min="15890" max="15890" width="18.5703125" style="57" customWidth="1"/>
    <col min="15891" max="15891" width="2.140625" style="57" customWidth="1"/>
    <col min="15892" max="15892" width="10.42578125" style="57" customWidth="1"/>
    <col min="15893" max="16134" width="8.85546875" style="57"/>
    <col min="16135" max="16135" width="10" style="57" customWidth="1"/>
    <col min="16136" max="16136" width="40" style="57" customWidth="1"/>
    <col min="16137" max="16137" width="12.5703125" style="57" customWidth="1"/>
    <col min="16138" max="16139" width="10.42578125" style="57" customWidth="1"/>
    <col min="16140" max="16140" width="11.5703125" style="57" customWidth="1"/>
    <col min="16141" max="16142" width="10.42578125" style="57" customWidth="1"/>
    <col min="16143" max="16143" width="6.5703125" style="57" customWidth="1"/>
    <col min="16144" max="16144" width="11.42578125" style="57" customWidth="1"/>
    <col min="16145" max="16145" width="4.140625" style="57" customWidth="1"/>
    <col min="16146" max="16146" width="18.5703125" style="57" customWidth="1"/>
    <col min="16147" max="16147" width="2.140625" style="57" customWidth="1"/>
    <col min="16148" max="16148" width="10.42578125" style="57" customWidth="1"/>
    <col min="16149" max="16384" width="8.85546875" style="57"/>
  </cols>
  <sheetData>
    <row r="1" spans="2:21" ht="13.5" customHeight="1" x14ac:dyDescent="0.25">
      <c r="H1" s="782" t="s">
        <v>38</v>
      </c>
      <c r="I1" s="782"/>
      <c r="J1" s="782"/>
      <c r="K1" s="782"/>
      <c r="L1" s="782"/>
      <c r="M1" s="782" t="s">
        <v>39</v>
      </c>
      <c r="N1" s="782"/>
      <c r="O1" s="782" t="s">
        <v>40</v>
      </c>
      <c r="P1" s="782"/>
      <c r="Q1" s="782"/>
    </row>
    <row r="2" spans="2:21" s="59" customFormat="1" ht="15" customHeight="1" x14ac:dyDescent="0.25">
      <c r="B2" s="60" t="s">
        <v>41</v>
      </c>
      <c r="C2" s="61" t="s">
        <v>42</v>
      </c>
      <c r="D2" s="61" t="s">
        <v>43</v>
      </c>
      <c r="E2" s="61" t="s">
        <v>44</v>
      </c>
      <c r="F2" s="61" t="s">
        <v>45</v>
      </c>
      <c r="G2" s="61" t="s">
        <v>46</v>
      </c>
      <c r="H2" s="61" t="s">
        <v>47</v>
      </c>
      <c r="I2" s="61" t="s">
        <v>48</v>
      </c>
      <c r="J2" s="61" t="s">
        <v>47</v>
      </c>
      <c r="K2" s="61" t="s">
        <v>48</v>
      </c>
      <c r="L2" s="65" t="s">
        <v>49</v>
      </c>
      <c r="M2" s="65" t="s">
        <v>39</v>
      </c>
      <c r="N2" s="65" t="s">
        <v>49</v>
      </c>
      <c r="O2" s="65" t="s">
        <v>47</v>
      </c>
      <c r="P2" s="65" t="s">
        <v>48</v>
      </c>
      <c r="Q2" s="65" t="s">
        <v>49</v>
      </c>
      <c r="R2" s="63" t="s">
        <v>50</v>
      </c>
      <c r="T2" s="81" t="s">
        <v>53</v>
      </c>
      <c r="U2" s="82">
        <v>4</v>
      </c>
    </row>
    <row r="3" spans="2:21" s="59" customFormat="1" ht="15" customHeight="1" x14ac:dyDescent="0.25">
      <c r="B3" s="67">
        <v>13</v>
      </c>
      <c r="C3" s="290" t="s">
        <v>116</v>
      </c>
      <c r="D3" s="291" t="s">
        <v>60</v>
      </c>
      <c r="E3" s="292">
        <v>46055</v>
      </c>
      <c r="F3" s="293"/>
      <c r="G3" s="293"/>
      <c r="H3" s="121"/>
      <c r="I3" s="121"/>
      <c r="J3" s="121"/>
      <c r="K3" s="121"/>
      <c r="L3" s="131">
        <v>0</v>
      </c>
      <c r="M3" s="140"/>
      <c r="N3" s="141">
        <v>0</v>
      </c>
      <c r="O3" s="127"/>
      <c r="P3" s="127"/>
      <c r="Q3" s="78">
        <v>0</v>
      </c>
      <c r="R3" s="294"/>
      <c r="T3" s="83" t="s">
        <v>44</v>
      </c>
      <c r="U3" s="84">
        <v>2</v>
      </c>
    </row>
    <row r="4" spans="2:21" s="59" customFormat="1" ht="15" customHeight="1" x14ac:dyDescent="0.25">
      <c r="B4" s="67">
        <v>14</v>
      </c>
      <c r="C4" s="290" t="s">
        <v>117</v>
      </c>
      <c r="D4" s="291" t="s">
        <v>60</v>
      </c>
      <c r="E4" s="292">
        <v>46055</v>
      </c>
      <c r="F4" s="293"/>
      <c r="G4" s="293"/>
      <c r="H4" s="121"/>
      <c r="I4" s="121"/>
      <c r="J4" s="121"/>
      <c r="K4" s="121"/>
      <c r="L4" s="164">
        <v>0</v>
      </c>
      <c r="M4" s="145"/>
      <c r="N4" s="141">
        <v>0</v>
      </c>
      <c r="O4" s="127"/>
      <c r="P4" s="127"/>
      <c r="Q4" s="155">
        <v>0</v>
      </c>
      <c r="R4" s="294"/>
      <c r="T4" s="83" t="s">
        <v>45</v>
      </c>
      <c r="U4" s="84">
        <v>0</v>
      </c>
    </row>
    <row r="5" spans="2:21" ht="15" customHeight="1" x14ac:dyDescent="0.25">
      <c r="B5" s="67">
        <v>2</v>
      </c>
      <c r="C5" s="116" t="s">
        <v>51</v>
      </c>
      <c r="D5" s="110" t="s">
        <v>60</v>
      </c>
      <c r="E5" s="118">
        <v>44599</v>
      </c>
      <c r="F5" s="118"/>
      <c r="G5" s="116"/>
      <c r="H5" s="121"/>
      <c r="I5" s="121"/>
      <c r="J5" s="121"/>
      <c r="K5" s="121"/>
      <c r="L5" s="131">
        <v>0</v>
      </c>
      <c r="M5" s="140"/>
      <c r="N5" s="141">
        <v>0</v>
      </c>
      <c r="O5" s="127"/>
      <c r="P5" s="127"/>
      <c r="Q5" s="78">
        <v>0</v>
      </c>
      <c r="R5" s="142"/>
      <c r="T5" s="100" t="s">
        <v>56</v>
      </c>
      <c r="U5" s="101">
        <f>U2+U3-U4</f>
        <v>6</v>
      </c>
    </row>
    <row r="6" spans="2:21" ht="15" customHeight="1" x14ac:dyDescent="0.25">
      <c r="B6" s="202">
        <v>9</v>
      </c>
      <c r="C6" s="203" t="s">
        <v>98</v>
      </c>
      <c r="D6" s="204" t="s">
        <v>60</v>
      </c>
      <c r="E6" s="205">
        <v>45702</v>
      </c>
      <c r="F6" s="166"/>
      <c r="G6" s="116"/>
      <c r="H6" s="121"/>
      <c r="I6" s="121"/>
      <c r="J6" s="121"/>
      <c r="K6" s="121"/>
      <c r="L6" s="164">
        <v>0</v>
      </c>
      <c r="M6" s="145"/>
      <c r="N6" s="141">
        <v>0</v>
      </c>
      <c r="O6" s="127"/>
      <c r="P6" s="127"/>
      <c r="Q6" s="155">
        <v>0</v>
      </c>
      <c r="R6" s="142"/>
      <c r="T6" s="289"/>
      <c r="U6" s="58"/>
    </row>
    <row r="7" spans="2:21" ht="15" customHeight="1" x14ac:dyDescent="0.25">
      <c r="B7" s="67">
        <v>11</v>
      </c>
      <c r="C7" s="206" t="s">
        <v>99</v>
      </c>
      <c r="D7" s="207" t="s">
        <v>60</v>
      </c>
      <c r="E7" s="208">
        <v>45736</v>
      </c>
      <c r="F7" s="69"/>
      <c r="G7" s="68"/>
      <c r="H7" s="72"/>
      <c r="I7" s="72"/>
      <c r="J7" s="72"/>
      <c r="K7" s="72"/>
      <c r="L7" s="164">
        <v>0</v>
      </c>
      <c r="M7" s="132"/>
      <c r="N7" s="141">
        <v>0</v>
      </c>
      <c r="O7" s="109"/>
      <c r="P7" s="109"/>
      <c r="Q7" s="155">
        <v>0</v>
      </c>
      <c r="R7" s="134"/>
    </row>
    <row r="8" spans="2:21" ht="15" customHeight="1" x14ac:dyDescent="0.25">
      <c r="B8" s="85">
        <v>12</v>
      </c>
      <c r="C8" s="273" t="s">
        <v>115</v>
      </c>
      <c r="D8" s="274" t="s">
        <v>60</v>
      </c>
      <c r="E8" s="275">
        <v>46043</v>
      </c>
      <c r="F8" s="149"/>
      <c r="G8" s="86"/>
      <c r="H8" s="90"/>
      <c r="I8" s="90"/>
      <c r="J8" s="90"/>
      <c r="K8" s="90"/>
      <c r="L8" s="135">
        <v>0</v>
      </c>
      <c r="M8" s="136"/>
      <c r="N8" s="137">
        <v>0</v>
      </c>
      <c r="O8" s="96"/>
      <c r="P8" s="96"/>
      <c r="Q8" s="138">
        <v>0</v>
      </c>
      <c r="R8" s="139"/>
      <c r="T8" s="81" t="s">
        <v>57</v>
      </c>
      <c r="U8" s="82">
        <v>2</v>
      </c>
    </row>
    <row r="9" spans="2:21" ht="15" customHeight="1" x14ac:dyDescent="0.25">
      <c r="L9" s="99">
        <f>SUM(L5:L6)</f>
        <v>0</v>
      </c>
      <c r="N9" s="99">
        <f>SUM(N5:N6)</f>
        <v>0</v>
      </c>
      <c r="O9" s="99"/>
      <c r="P9" s="99"/>
      <c r="Q9" s="99">
        <f>SUM(Q5:Q6)</f>
        <v>0</v>
      </c>
      <c r="T9" s="100" t="s">
        <v>13</v>
      </c>
      <c r="U9" s="101">
        <f>U5+U8</f>
        <v>8</v>
      </c>
    </row>
    <row r="10" spans="2:21" ht="15" customHeight="1" x14ac:dyDescent="0.25"/>
    <row r="11" spans="2:21" ht="15" customHeight="1" x14ac:dyDescent="0.25">
      <c r="T11" s="784" t="s">
        <v>58</v>
      </c>
      <c r="U11" s="784"/>
    </row>
    <row r="12" spans="2:21" ht="15" customHeight="1" x14ac:dyDescent="0.25">
      <c r="T12" s="83" t="s">
        <v>38</v>
      </c>
      <c r="U12" s="102">
        <v>0</v>
      </c>
    </row>
    <row r="13" spans="2:21" ht="15" customHeight="1" x14ac:dyDescent="0.25">
      <c r="T13" s="103" t="s">
        <v>39</v>
      </c>
      <c r="U13" s="104">
        <f>N9</f>
        <v>0</v>
      </c>
    </row>
    <row r="14" spans="2:21" ht="15" customHeight="1" x14ac:dyDescent="0.25"/>
    <row r="15" spans="2:21" ht="15" customHeight="1" x14ac:dyDescent="0.25">
      <c r="T15" s="81" t="s">
        <v>40</v>
      </c>
      <c r="U15" s="105">
        <f>Q9</f>
        <v>0</v>
      </c>
    </row>
    <row r="16" spans="2:21" ht="15" customHeight="1" x14ac:dyDescent="0.25">
      <c r="T16" s="103" t="s">
        <v>59</v>
      </c>
      <c r="U16" s="104">
        <v>0</v>
      </c>
    </row>
    <row r="17" spans="20:21" ht="15" customHeight="1" x14ac:dyDescent="0.25"/>
    <row r="18" spans="20:21" ht="15" customHeight="1" x14ac:dyDescent="0.25">
      <c r="T18" s="106" t="s">
        <v>22</v>
      </c>
      <c r="U18" s="107">
        <v>20</v>
      </c>
    </row>
    <row r="19" spans="20:21" ht="15" customHeight="1" x14ac:dyDescent="0.25"/>
    <row r="20" spans="20:21" ht="15" customHeight="1" x14ac:dyDescent="0.25"/>
    <row r="21" spans="20:21" ht="15" customHeight="1" x14ac:dyDescent="0.25"/>
    <row r="22" spans="20:21" ht="15" customHeight="1" x14ac:dyDescent="0.25"/>
    <row r="23" spans="20:21" ht="15" customHeight="1" x14ac:dyDescent="0.25"/>
    <row r="24" spans="20:21" ht="15" customHeight="1" x14ac:dyDescent="0.25"/>
    <row r="25" spans="20:21" ht="15" customHeight="1" x14ac:dyDescent="0.25"/>
    <row r="26" spans="20:21" ht="15" customHeight="1" x14ac:dyDescent="0.25"/>
    <row r="27" spans="20:21" ht="15" customHeight="1" x14ac:dyDescent="0.25"/>
    <row r="28" spans="20:21" ht="15" customHeight="1" x14ac:dyDescent="0.25"/>
    <row r="29" spans="20:21" ht="15" customHeight="1" x14ac:dyDescent="0.25"/>
    <row r="30" spans="20:21" ht="15" customHeight="1" x14ac:dyDescent="0.25"/>
    <row r="31" spans="20:21" ht="15" customHeight="1" x14ac:dyDescent="0.25"/>
    <row r="32" spans="20:21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</sheetData>
  <mergeCells count="4">
    <mergeCell ref="H1:L1"/>
    <mergeCell ref="M1:N1"/>
    <mergeCell ref="O1:Q1"/>
    <mergeCell ref="T11:U1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92D050"/>
  </sheetPr>
  <dimension ref="B2:AJ108"/>
  <sheetViews>
    <sheetView showGridLines="0" zoomScaleNormal="100" workbookViewId="0">
      <selection activeCell="W11" sqref="W11"/>
    </sheetView>
  </sheetViews>
  <sheetFormatPr defaultColWidth="9.140625" defaultRowHeight="12.75" x14ac:dyDescent="0.2"/>
  <cols>
    <col min="1" max="1" width="2" style="295" customWidth="1"/>
    <col min="2" max="2" width="10" style="295" customWidth="1"/>
    <col min="3" max="3" width="26" style="295" customWidth="1"/>
    <col min="4" max="4" width="12.5703125" style="295" customWidth="1"/>
    <col min="5" max="5" width="10.42578125" style="295" customWidth="1"/>
    <col min="6" max="6" width="10.7109375" style="295" customWidth="1"/>
    <col min="7" max="7" width="11.140625" style="295" customWidth="1"/>
    <col min="8" max="8" width="4.140625" style="295" customWidth="1"/>
    <col min="9" max="9" width="9.5703125" style="295" customWidth="1"/>
    <col min="10" max="10" width="4.140625" style="295" customWidth="1"/>
    <col min="11" max="11" width="5.5703125" style="295" customWidth="1"/>
    <col min="12" max="12" width="4.140625" style="295" customWidth="1"/>
    <col min="13" max="13" width="3.140625" style="295" customWidth="1"/>
    <col min="14" max="14" width="10.140625" style="295" customWidth="1"/>
    <col min="15" max="15" width="3" style="295" customWidth="1"/>
    <col min="16" max="16" width="2.5703125" style="295" customWidth="1"/>
    <col min="17" max="17" width="8.85546875" style="295" customWidth="1"/>
    <col min="18" max="18" width="3" style="295" customWidth="1"/>
    <col min="19" max="19" width="2.5703125" style="295" customWidth="1"/>
    <col min="20" max="20" width="12.28515625" style="295" customWidth="1"/>
    <col min="21" max="21" width="6.42578125" style="295" customWidth="1"/>
    <col min="22" max="22" width="2.42578125" style="295" customWidth="1"/>
    <col min="23" max="23" width="4.7109375" style="295" customWidth="1"/>
    <col min="24" max="24" width="3.7109375" style="295" customWidth="1"/>
    <col min="25" max="25" width="3.5703125" style="295" customWidth="1"/>
    <col min="26" max="26" width="4.140625" style="295" customWidth="1"/>
    <col min="27" max="29" width="3.7109375" style="295" customWidth="1"/>
    <col min="30" max="30" width="2.28515625" style="295" customWidth="1"/>
    <col min="31" max="31" width="13.140625" style="295" customWidth="1"/>
    <col min="32" max="32" width="7.42578125" style="296" customWidth="1"/>
    <col min="33" max="16384" width="9.140625" style="295"/>
  </cols>
  <sheetData>
    <row r="2" spans="2:36" ht="12.75" customHeight="1" x14ac:dyDescent="0.2">
      <c r="B2" s="297" t="s">
        <v>41</v>
      </c>
      <c r="C2" s="297" t="s">
        <v>42</v>
      </c>
      <c r="D2" s="297" t="s">
        <v>43</v>
      </c>
      <c r="E2" s="297" t="s">
        <v>44</v>
      </c>
      <c r="F2" s="297" t="s">
        <v>45</v>
      </c>
      <c r="G2" s="297" t="s">
        <v>46</v>
      </c>
      <c r="H2" s="297" t="s">
        <v>49</v>
      </c>
      <c r="I2" s="297" t="s">
        <v>39</v>
      </c>
      <c r="J2" s="297" t="s">
        <v>49</v>
      </c>
      <c r="K2" s="297" t="s">
        <v>40</v>
      </c>
      <c r="L2" s="297" t="s">
        <v>49</v>
      </c>
      <c r="N2" s="298" t="s">
        <v>125</v>
      </c>
      <c r="O2" s="299">
        <v>3</v>
      </c>
      <c r="Q2" s="298" t="s">
        <v>44</v>
      </c>
      <c r="R2" s="300">
        <f>E9</f>
        <v>1</v>
      </c>
      <c r="T2" s="298" t="s">
        <v>39</v>
      </c>
      <c r="U2" s="301">
        <f>J9</f>
        <v>13</v>
      </c>
      <c r="W2" s="302"/>
      <c r="X2" s="303"/>
      <c r="Y2" s="789" t="s">
        <v>126</v>
      </c>
      <c r="Z2" s="789"/>
      <c r="AA2" s="789"/>
      <c r="AB2" s="303"/>
      <c r="AC2" s="304"/>
      <c r="AE2" s="305" t="s">
        <v>127</v>
      </c>
      <c r="AF2" s="306">
        <f>(U8-U3-U2-R5)</f>
        <v>60.5</v>
      </c>
    </row>
    <row r="3" spans="2:36" ht="12.75" customHeight="1" x14ac:dyDescent="0.2">
      <c r="B3" s="307">
        <v>2</v>
      </c>
      <c r="C3" s="308" t="s">
        <v>51</v>
      </c>
      <c r="D3" s="309" t="s">
        <v>60</v>
      </c>
      <c r="E3" s="310"/>
      <c r="F3" s="311"/>
      <c r="G3" s="294"/>
      <c r="H3" s="131">
        <v>0</v>
      </c>
      <c r="I3" s="132"/>
      <c r="J3" s="133">
        <v>0</v>
      </c>
      <c r="K3" s="109"/>
      <c r="L3" s="78">
        <v>0</v>
      </c>
      <c r="Q3" s="298" t="s">
        <v>45</v>
      </c>
      <c r="R3" s="301">
        <f>F9</f>
        <v>0</v>
      </c>
      <c r="T3" s="298" t="s">
        <v>40</v>
      </c>
      <c r="U3" s="301">
        <f>L9</f>
        <v>0</v>
      </c>
      <c r="W3" s="312" t="s">
        <v>128</v>
      </c>
      <c r="X3" s="313" t="s">
        <v>129</v>
      </c>
      <c r="Y3" s="313" t="s">
        <v>130</v>
      </c>
      <c r="Z3" s="313" t="s">
        <v>131</v>
      </c>
      <c r="AA3" s="313" t="s">
        <v>132</v>
      </c>
      <c r="AB3" s="313" t="s">
        <v>133</v>
      </c>
      <c r="AC3" s="314" t="s">
        <v>134</v>
      </c>
      <c r="AE3" s="305" t="s">
        <v>135</v>
      </c>
      <c r="AF3" s="315">
        <f>U8-AF2</f>
        <v>13</v>
      </c>
    </row>
    <row r="4" spans="2:36" ht="12.75" customHeight="1" x14ac:dyDescent="0.2">
      <c r="B4" s="307">
        <v>9</v>
      </c>
      <c r="C4" s="316" t="s">
        <v>98</v>
      </c>
      <c r="D4" s="317" t="s">
        <v>60</v>
      </c>
      <c r="E4" s="318"/>
      <c r="F4" s="294"/>
      <c r="G4" s="294"/>
      <c r="H4" s="131">
        <v>0</v>
      </c>
      <c r="I4" s="160"/>
      <c r="J4" s="133">
        <v>0</v>
      </c>
      <c r="K4" s="109"/>
      <c r="L4" s="78">
        <v>0</v>
      </c>
      <c r="Q4" s="319" t="s">
        <v>56</v>
      </c>
      <c r="R4" s="301">
        <f>O2+R2-R3</f>
        <v>4</v>
      </c>
      <c r="T4" s="298" t="s">
        <v>59</v>
      </c>
      <c r="U4" s="301">
        <f>K9</f>
        <v>0</v>
      </c>
      <c r="W4" s="320"/>
      <c r="X4" s="321"/>
      <c r="Y4" s="321"/>
      <c r="Z4" s="322"/>
      <c r="AA4" s="323">
        <v>46023</v>
      </c>
      <c r="AB4" s="324">
        <v>46024</v>
      </c>
      <c r="AC4" s="325">
        <v>46025</v>
      </c>
      <c r="AE4" s="305" t="s">
        <v>136</v>
      </c>
      <c r="AF4" s="326">
        <f>(R4*8.8)*R7</f>
        <v>739.2</v>
      </c>
    </row>
    <row r="5" spans="2:36" ht="12.75" customHeight="1" x14ac:dyDescent="0.2">
      <c r="B5" s="307">
        <v>11</v>
      </c>
      <c r="C5" s="327" t="s">
        <v>99</v>
      </c>
      <c r="D5" s="309" t="s">
        <v>60</v>
      </c>
      <c r="E5" s="328"/>
      <c r="F5" s="328"/>
      <c r="G5" s="327"/>
      <c r="H5" s="131">
        <v>0</v>
      </c>
      <c r="I5" s="132"/>
      <c r="J5" s="133">
        <v>0</v>
      </c>
      <c r="K5" s="109"/>
      <c r="L5" s="78">
        <v>0</v>
      </c>
      <c r="Q5" s="298" t="s">
        <v>137</v>
      </c>
      <c r="R5" s="329">
        <f>H9</f>
        <v>0</v>
      </c>
      <c r="T5" s="330"/>
      <c r="U5" s="331"/>
      <c r="W5" s="332">
        <v>46026</v>
      </c>
      <c r="X5" s="333">
        <v>46027</v>
      </c>
      <c r="Y5" s="333">
        <v>46028</v>
      </c>
      <c r="Z5" s="333">
        <v>46029</v>
      </c>
      <c r="AA5" s="333">
        <v>46030</v>
      </c>
      <c r="AB5" s="333">
        <v>46031</v>
      </c>
      <c r="AC5" s="334">
        <v>46032</v>
      </c>
      <c r="AE5" s="305" t="s">
        <v>138</v>
      </c>
      <c r="AF5" s="326">
        <f>AF3*8.8</f>
        <v>114.4</v>
      </c>
    </row>
    <row r="6" spans="2:36" ht="12.75" customHeight="1" x14ac:dyDescent="0.2">
      <c r="B6" s="335">
        <v>11</v>
      </c>
      <c r="C6" s="316" t="s">
        <v>115</v>
      </c>
      <c r="D6" s="336" t="s">
        <v>60</v>
      </c>
      <c r="E6" s="318">
        <v>46043</v>
      </c>
      <c r="F6" s="337"/>
      <c r="G6" s="327"/>
      <c r="H6" s="131">
        <v>0</v>
      </c>
      <c r="I6" s="160" t="s">
        <v>139</v>
      </c>
      <c r="J6" s="133">
        <v>13</v>
      </c>
      <c r="K6" s="109"/>
      <c r="L6" s="78">
        <v>0</v>
      </c>
      <c r="W6" s="338">
        <v>46033</v>
      </c>
      <c r="X6" s="339">
        <v>46034</v>
      </c>
      <c r="Y6" s="339">
        <v>46035</v>
      </c>
      <c r="Z6" s="339">
        <v>46036</v>
      </c>
      <c r="AA6" s="339">
        <v>46037</v>
      </c>
      <c r="AB6" s="339">
        <v>46038</v>
      </c>
      <c r="AC6" s="340">
        <v>46039</v>
      </c>
      <c r="AE6" s="305" t="s">
        <v>140</v>
      </c>
      <c r="AF6" s="341">
        <f>(AF4-AF5)/(8.8*R7)</f>
        <v>3.3809523809523809</v>
      </c>
    </row>
    <row r="7" spans="2:36" ht="12.75" customHeight="1" x14ac:dyDescent="0.2">
      <c r="B7" s="307"/>
      <c r="C7" s="308"/>
      <c r="D7" s="336"/>
      <c r="E7" s="342"/>
      <c r="F7" s="328"/>
      <c r="G7" s="327"/>
      <c r="H7" s="131">
        <v>0</v>
      </c>
      <c r="I7" s="132"/>
      <c r="J7" s="133">
        <v>0</v>
      </c>
      <c r="K7" s="109"/>
      <c r="L7" s="78">
        <v>0</v>
      </c>
      <c r="Q7" s="343" t="s">
        <v>22</v>
      </c>
      <c r="R7" s="344">
        <v>21</v>
      </c>
      <c r="T7" s="343" t="s">
        <v>141</v>
      </c>
      <c r="U7" s="345">
        <f>(O2+R4)/2</f>
        <v>3.5</v>
      </c>
      <c r="W7" s="346">
        <v>46040</v>
      </c>
      <c r="X7" s="347">
        <v>46041</v>
      </c>
      <c r="Y7" s="347">
        <v>46042</v>
      </c>
      <c r="Z7" s="347">
        <v>46043</v>
      </c>
      <c r="AA7" s="347">
        <v>46044</v>
      </c>
      <c r="AB7" s="347">
        <v>46045</v>
      </c>
      <c r="AC7" s="348">
        <v>46046</v>
      </c>
      <c r="AF7" s="295"/>
    </row>
    <row r="8" spans="2:36" ht="12.75" customHeight="1" x14ac:dyDescent="0.2">
      <c r="B8" s="307"/>
      <c r="C8" s="308"/>
      <c r="D8" s="336"/>
      <c r="E8" s="342"/>
      <c r="F8" s="337"/>
      <c r="G8" s="327"/>
      <c r="H8" s="131">
        <v>0</v>
      </c>
      <c r="I8" s="132"/>
      <c r="J8" s="133">
        <v>0</v>
      </c>
      <c r="K8" s="109"/>
      <c r="L8" s="78">
        <v>0</v>
      </c>
      <c r="Q8" s="343" t="s">
        <v>142</v>
      </c>
      <c r="R8" s="349">
        <v>10</v>
      </c>
      <c r="T8" s="343" t="s">
        <v>143</v>
      </c>
      <c r="U8" s="350">
        <f>R7*U7</f>
        <v>73.5</v>
      </c>
      <c r="W8" s="351">
        <v>46047</v>
      </c>
      <c r="X8" s="352">
        <v>46048</v>
      </c>
      <c r="Y8" s="352">
        <v>46049</v>
      </c>
      <c r="Z8" s="352">
        <v>46050</v>
      </c>
      <c r="AA8" s="352">
        <v>46051</v>
      </c>
      <c r="AB8" s="352">
        <v>46052</v>
      </c>
      <c r="AC8" s="353">
        <v>46053</v>
      </c>
      <c r="AF8" s="295"/>
    </row>
    <row r="9" spans="2:36" ht="12.75" customHeight="1" x14ac:dyDescent="0.2">
      <c r="B9" s="354"/>
      <c r="C9" s="355"/>
      <c r="D9" s="355"/>
      <c r="E9" s="356">
        <f>COUNTA(E3:E8)</f>
        <v>1</v>
      </c>
      <c r="F9" s="356">
        <f>COUNTA(F3:F8)</f>
        <v>0</v>
      </c>
      <c r="G9" s="356">
        <f>COUNTA(G3:G8)</f>
        <v>0</v>
      </c>
      <c r="H9" s="356">
        <f>SUM(H3:H8)</f>
        <v>0</v>
      </c>
      <c r="I9" s="356">
        <f>COUNTA(I3:I8)</f>
        <v>1</v>
      </c>
      <c r="J9" s="356">
        <f>SUM(J3:J8)</f>
        <v>13</v>
      </c>
      <c r="K9" s="356">
        <f>COUNTA(K3:K8)</f>
        <v>0</v>
      </c>
      <c r="L9" s="356">
        <f>SUM(L3:L8)</f>
        <v>0</v>
      </c>
      <c r="M9" s="354"/>
      <c r="N9" s="354"/>
      <c r="O9" s="354"/>
      <c r="P9" s="354"/>
      <c r="Q9" s="354"/>
      <c r="R9" s="354"/>
      <c r="S9" s="354"/>
      <c r="T9" s="354"/>
      <c r="U9" s="354"/>
      <c r="V9" s="354"/>
      <c r="W9" s="354"/>
      <c r="X9" s="354"/>
      <c r="Y9" s="354"/>
      <c r="Z9" s="354"/>
      <c r="AA9" s="354"/>
      <c r="AB9" s="354"/>
      <c r="AC9" s="354"/>
      <c r="AD9" s="354"/>
      <c r="AE9" s="354"/>
      <c r="AF9" s="357"/>
    </row>
    <row r="11" spans="2:36" ht="12.75" customHeight="1" x14ac:dyDescent="0.2">
      <c r="B11" s="297" t="s">
        <v>41</v>
      </c>
      <c r="C11" s="297" t="s">
        <v>42</v>
      </c>
      <c r="D11" s="297" t="s">
        <v>43</v>
      </c>
      <c r="E11" s="297" t="s">
        <v>44</v>
      </c>
      <c r="F11" s="297" t="s">
        <v>45</v>
      </c>
      <c r="G11" s="297" t="s">
        <v>46</v>
      </c>
      <c r="H11" s="297" t="s">
        <v>49</v>
      </c>
      <c r="I11" s="297" t="s">
        <v>39</v>
      </c>
      <c r="J11" s="297" t="s">
        <v>49</v>
      </c>
      <c r="K11" s="297" t="s">
        <v>40</v>
      </c>
      <c r="L11" s="297" t="s">
        <v>49</v>
      </c>
      <c r="N11" s="298" t="s">
        <v>125</v>
      </c>
      <c r="O11" s="358">
        <f>R4</f>
        <v>4</v>
      </c>
      <c r="Q11" s="298" t="s">
        <v>44</v>
      </c>
      <c r="R11" s="300">
        <f>E18</f>
        <v>2</v>
      </c>
      <c r="T11" s="298" t="s">
        <v>39</v>
      </c>
      <c r="U11" s="301">
        <f>J18</f>
        <v>0</v>
      </c>
      <c r="W11" s="302"/>
      <c r="X11" s="303"/>
      <c r="Y11" s="789" t="s">
        <v>144</v>
      </c>
      <c r="Z11" s="789"/>
      <c r="AA11" s="789"/>
      <c r="AB11" s="303"/>
      <c r="AC11" s="304"/>
      <c r="AE11" s="305" t="s">
        <v>127</v>
      </c>
      <c r="AF11" s="306">
        <f>(U17-U12-U11-R14)</f>
        <v>83</v>
      </c>
      <c r="AJ11" s="359"/>
    </row>
    <row r="12" spans="2:36" ht="12.75" customHeight="1" x14ac:dyDescent="0.2">
      <c r="B12" s="307">
        <v>1</v>
      </c>
      <c r="C12" s="308" t="s">
        <v>51</v>
      </c>
      <c r="D12" s="336" t="s">
        <v>60</v>
      </c>
      <c r="E12" s="310"/>
      <c r="F12" s="311"/>
      <c r="G12" s="294" t="s">
        <v>145</v>
      </c>
      <c r="H12" s="131">
        <v>2</v>
      </c>
      <c r="I12" s="132"/>
      <c r="J12" s="133"/>
      <c r="K12" s="109"/>
      <c r="L12" s="78">
        <v>0</v>
      </c>
      <c r="Q12" s="298" t="s">
        <v>45</v>
      </c>
      <c r="R12" s="301">
        <f>F18</f>
        <v>0</v>
      </c>
      <c r="T12" s="298" t="s">
        <v>40</v>
      </c>
      <c r="U12" s="301">
        <f>L18</f>
        <v>0</v>
      </c>
      <c r="W12" s="312" t="s">
        <v>128</v>
      </c>
      <c r="X12" s="313" t="s">
        <v>129</v>
      </c>
      <c r="Y12" s="313" t="s">
        <v>130</v>
      </c>
      <c r="Z12" s="313" t="s">
        <v>131</v>
      </c>
      <c r="AA12" s="313" t="s">
        <v>132</v>
      </c>
      <c r="AB12" s="313" t="s">
        <v>133</v>
      </c>
      <c r="AC12" s="314" t="s">
        <v>134</v>
      </c>
      <c r="AE12" s="305" t="s">
        <v>135</v>
      </c>
      <c r="AF12" s="315">
        <f>U17-AF11</f>
        <v>12</v>
      </c>
    </row>
    <row r="13" spans="2:36" ht="12.75" customHeight="1" x14ac:dyDescent="0.2">
      <c r="B13" s="307">
        <v>2</v>
      </c>
      <c r="C13" s="308" t="s">
        <v>98</v>
      </c>
      <c r="D13" s="336" t="s">
        <v>60</v>
      </c>
      <c r="E13" s="318"/>
      <c r="F13" s="294"/>
      <c r="G13" s="294" t="s">
        <v>145</v>
      </c>
      <c r="H13" s="131">
        <v>2</v>
      </c>
      <c r="I13" s="160"/>
      <c r="J13" s="133">
        <v>0</v>
      </c>
      <c r="K13" s="109"/>
      <c r="L13" s="78">
        <v>0</v>
      </c>
      <c r="Q13" s="319" t="s">
        <v>56</v>
      </c>
      <c r="R13" s="301">
        <f>O11+R11-R12</f>
        <v>6</v>
      </c>
      <c r="T13" s="298" t="s">
        <v>59</v>
      </c>
      <c r="U13" s="301">
        <f>K18</f>
        <v>0</v>
      </c>
      <c r="W13" s="360">
        <v>46054</v>
      </c>
      <c r="X13" s="324">
        <v>46055</v>
      </c>
      <c r="Y13" s="324">
        <v>46056</v>
      </c>
      <c r="Z13" s="324">
        <v>46057</v>
      </c>
      <c r="AA13" s="324">
        <v>46058</v>
      </c>
      <c r="AB13" s="324">
        <v>46059</v>
      </c>
      <c r="AC13" s="325">
        <v>46060</v>
      </c>
      <c r="AE13" s="305" t="s">
        <v>136</v>
      </c>
      <c r="AF13" s="341">
        <f>(R13*8.8)*R16</f>
        <v>1003.2</v>
      </c>
    </row>
    <row r="14" spans="2:36" ht="12.75" customHeight="1" x14ac:dyDescent="0.2">
      <c r="B14" s="307">
        <v>3</v>
      </c>
      <c r="C14" s="327" t="s">
        <v>99</v>
      </c>
      <c r="D14" s="317" t="s">
        <v>60</v>
      </c>
      <c r="E14" s="328"/>
      <c r="F14" s="328"/>
      <c r="G14" s="294" t="s">
        <v>145</v>
      </c>
      <c r="H14" s="131">
        <v>2</v>
      </c>
      <c r="I14" s="132"/>
      <c r="J14" s="133">
        <v>0</v>
      </c>
      <c r="K14" s="109"/>
      <c r="L14" s="78">
        <v>0</v>
      </c>
      <c r="Q14" s="298" t="s">
        <v>137</v>
      </c>
      <c r="R14" s="329">
        <f>H18</f>
        <v>12</v>
      </c>
      <c r="T14" s="330"/>
      <c r="U14" s="331"/>
      <c r="W14" s="332">
        <v>46061</v>
      </c>
      <c r="X14" s="333">
        <v>46062</v>
      </c>
      <c r="Y14" s="333">
        <v>46063</v>
      </c>
      <c r="Z14" s="333">
        <v>46064</v>
      </c>
      <c r="AA14" s="333">
        <v>46065</v>
      </c>
      <c r="AB14" s="333">
        <v>46066</v>
      </c>
      <c r="AC14" s="334">
        <v>46067</v>
      </c>
      <c r="AE14" s="305" t="s">
        <v>138</v>
      </c>
      <c r="AF14" s="341">
        <f>AF12*8.8</f>
        <v>105.60000000000001</v>
      </c>
    </row>
    <row r="15" spans="2:36" ht="12.75" customHeight="1" x14ac:dyDescent="0.2">
      <c r="B15" s="361">
        <v>4</v>
      </c>
      <c r="C15" s="308" t="s">
        <v>115</v>
      </c>
      <c r="D15" s="336" t="s">
        <v>60</v>
      </c>
      <c r="E15" s="318"/>
      <c r="F15" s="337"/>
      <c r="G15" s="294" t="s">
        <v>145</v>
      </c>
      <c r="H15" s="131">
        <v>2</v>
      </c>
      <c r="I15" s="160"/>
      <c r="J15" s="133">
        <v>0</v>
      </c>
      <c r="K15" s="109"/>
      <c r="L15" s="78">
        <v>0</v>
      </c>
      <c r="W15" s="346">
        <v>46068</v>
      </c>
      <c r="X15" s="362">
        <v>46069</v>
      </c>
      <c r="Y15" s="362">
        <v>46070</v>
      </c>
      <c r="Z15" s="347">
        <v>46071</v>
      </c>
      <c r="AA15" s="347">
        <v>46072</v>
      </c>
      <c r="AB15" s="347">
        <v>46073</v>
      </c>
      <c r="AC15" s="348">
        <v>46074</v>
      </c>
      <c r="AE15" s="305" t="s">
        <v>140</v>
      </c>
      <c r="AF15" s="341">
        <f>(AF13-AF14)/(8.8*R16)</f>
        <v>5.3684210526315788</v>
      </c>
    </row>
    <row r="16" spans="2:36" ht="12.75" customHeight="1" x14ac:dyDescent="0.2">
      <c r="B16" s="307">
        <v>5</v>
      </c>
      <c r="C16" s="308" t="s">
        <v>116</v>
      </c>
      <c r="D16" s="336" t="s">
        <v>60</v>
      </c>
      <c r="E16" s="342">
        <v>46055</v>
      </c>
      <c r="F16" s="328"/>
      <c r="G16" s="294" t="s">
        <v>145</v>
      </c>
      <c r="H16" s="131">
        <v>2</v>
      </c>
      <c r="I16" s="132"/>
      <c r="J16" s="133">
        <v>0</v>
      </c>
      <c r="K16" s="109"/>
      <c r="L16" s="78">
        <v>0</v>
      </c>
      <c r="Q16" s="343" t="s">
        <v>22</v>
      </c>
      <c r="R16" s="344">
        <v>19</v>
      </c>
      <c r="T16" s="343" t="s">
        <v>141</v>
      </c>
      <c r="U16" s="345">
        <f>(O11+R13)/2</f>
        <v>5</v>
      </c>
      <c r="W16" s="351">
        <v>46075</v>
      </c>
      <c r="X16" s="352">
        <v>46076</v>
      </c>
      <c r="Y16" s="352">
        <v>46077</v>
      </c>
      <c r="Z16" s="352">
        <v>46078</v>
      </c>
      <c r="AA16" s="352">
        <v>46079</v>
      </c>
      <c r="AB16" s="352">
        <v>46080</v>
      </c>
      <c r="AC16" s="353">
        <v>46081</v>
      </c>
    </row>
    <row r="17" spans="2:32" ht="12.75" customHeight="1" x14ac:dyDescent="0.2">
      <c r="B17" s="307">
        <v>6</v>
      </c>
      <c r="C17" s="308" t="s">
        <v>117</v>
      </c>
      <c r="D17" s="336" t="s">
        <v>60</v>
      </c>
      <c r="E17" s="342">
        <v>46055</v>
      </c>
      <c r="F17" s="337"/>
      <c r="G17" s="294" t="s">
        <v>145</v>
      </c>
      <c r="H17" s="131">
        <v>2</v>
      </c>
      <c r="I17" s="132"/>
      <c r="J17" s="133">
        <v>0</v>
      </c>
      <c r="K17" s="109"/>
      <c r="L17" s="78">
        <v>0</v>
      </c>
      <c r="Q17" s="343" t="s">
        <v>142</v>
      </c>
      <c r="R17" s="349">
        <v>10</v>
      </c>
      <c r="T17" s="343" t="s">
        <v>143</v>
      </c>
      <c r="U17" s="345">
        <f>R16*U16</f>
        <v>95</v>
      </c>
    </row>
    <row r="18" spans="2:32" ht="12.75" customHeight="1" x14ac:dyDescent="0.2">
      <c r="C18" s="57"/>
      <c r="D18" s="57"/>
      <c r="E18" s="356">
        <f>COUNTA(E12:E17)</f>
        <v>2</v>
      </c>
      <c r="F18" s="356">
        <f>COUNTA(F12:F17)</f>
        <v>0</v>
      </c>
      <c r="G18" s="356">
        <f>COUNTA(G12:G17)</f>
        <v>6</v>
      </c>
      <c r="H18" s="356">
        <f>SUM(H12:H17)</f>
        <v>12</v>
      </c>
      <c r="I18" s="356">
        <f>COUNTA(I12:I17)</f>
        <v>0</v>
      </c>
      <c r="J18" s="356">
        <f>SUM(J12:J17)</f>
        <v>0</v>
      </c>
      <c r="K18" s="356">
        <f>COUNTA(K12:K17)</f>
        <v>0</v>
      </c>
      <c r="L18" s="356">
        <f>SUM(L12:L17)</f>
        <v>0</v>
      </c>
    </row>
    <row r="20" spans="2:32" ht="12.75" customHeight="1" x14ac:dyDescent="0.2">
      <c r="B20" s="297" t="s">
        <v>41</v>
      </c>
      <c r="C20" s="297" t="s">
        <v>42</v>
      </c>
      <c r="D20" s="297" t="s">
        <v>43</v>
      </c>
      <c r="E20" s="297" t="s">
        <v>44</v>
      </c>
      <c r="F20" s="297" t="s">
        <v>45</v>
      </c>
      <c r="G20" s="297" t="s">
        <v>46</v>
      </c>
      <c r="H20" s="297" t="s">
        <v>49</v>
      </c>
      <c r="I20" s="297" t="s">
        <v>39</v>
      </c>
      <c r="J20" s="297" t="s">
        <v>49</v>
      </c>
      <c r="K20" s="297" t="s">
        <v>40</v>
      </c>
      <c r="L20" s="297" t="s">
        <v>49</v>
      </c>
      <c r="N20" s="298" t="s">
        <v>125</v>
      </c>
      <c r="O20" s="358">
        <f>R13</f>
        <v>6</v>
      </c>
      <c r="Q20" s="298" t="s">
        <v>44</v>
      </c>
      <c r="R20" s="300">
        <f>E27</f>
        <v>0</v>
      </c>
      <c r="T20" s="298" t="s">
        <v>39</v>
      </c>
      <c r="U20" s="301">
        <f>J27</f>
        <v>0</v>
      </c>
      <c r="W20" s="302"/>
      <c r="X20" s="303"/>
      <c r="Y20" s="789" t="s">
        <v>146</v>
      </c>
      <c r="Z20" s="789"/>
      <c r="AA20" s="789"/>
      <c r="AB20" s="303"/>
      <c r="AC20" s="304"/>
      <c r="AE20" s="305" t="s">
        <v>127</v>
      </c>
      <c r="AF20" s="306">
        <f>(U26-U21-U20-R23)</f>
        <v>132</v>
      </c>
    </row>
    <row r="21" spans="2:32" ht="12.75" customHeight="1" x14ac:dyDescent="0.2">
      <c r="B21" s="307">
        <v>1</v>
      </c>
      <c r="C21" s="308" t="s">
        <v>51</v>
      </c>
      <c r="D21" s="363"/>
      <c r="E21" s="310"/>
      <c r="F21" s="311"/>
      <c r="G21" s="294"/>
      <c r="H21" s="131">
        <v>0</v>
      </c>
      <c r="I21" s="132"/>
      <c r="J21" s="133">
        <v>0</v>
      </c>
      <c r="K21" s="109"/>
      <c r="L21" s="78">
        <v>0</v>
      </c>
      <c r="Q21" s="298" t="s">
        <v>45</v>
      </c>
      <c r="R21" s="301">
        <f>F27</f>
        <v>0</v>
      </c>
      <c r="T21" s="298" t="s">
        <v>40</v>
      </c>
      <c r="U21" s="301">
        <f>L27</f>
        <v>0</v>
      </c>
      <c r="W21" s="312" t="s">
        <v>128</v>
      </c>
      <c r="X21" s="313" t="s">
        <v>129</v>
      </c>
      <c r="Y21" s="313" t="s">
        <v>130</v>
      </c>
      <c r="Z21" s="313" t="s">
        <v>131</v>
      </c>
      <c r="AA21" s="313" t="s">
        <v>132</v>
      </c>
      <c r="AB21" s="313" t="s">
        <v>133</v>
      </c>
      <c r="AC21" s="314" t="s">
        <v>134</v>
      </c>
      <c r="AE21" s="305" t="s">
        <v>135</v>
      </c>
      <c r="AF21" s="315">
        <f>U26-AF20</f>
        <v>0</v>
      </c>
    </row>
    <row r="22" spans="2:32" ht="12.75" customHeight="1" x14ac:dyDescent="0.2">
      <c r="B22" s="307">
        <v>2</v>
      </c>
      <c r="C22" s="308" t="s">
        <v>98</v>
      </c>
      <c r="D22" s="309"/>
      <c r="E22" s="318"/>
      <c r="F22" s="294"/>
      <c r="G22" s="294"/>
      <c r="H22" s="131">
        <v>0</v>
      </c>
      <c r="I22" s="160"/>
      <c r="J22" s="133">
        <v>0</v>
      </c>
      <c r="K22" s="109"/>
      <c r="L22" s="78">
        <v>0</v>
      </c>
      <c r="Q22" s="319" t="s">
        <v>56</v>
      </c>
      <c r="R22" s="301">
        <f>O20+R20-R21</f>
        <v>6</v>
      </c>
      <c r="T22" s="298" t="s">
        <v>59</v>
      </c>
      <c r="U22" s="301">
        <f>K27</f>
        <v>0</v>
      </c>
      <c r="W22" s="360">
        <v>46082</v>
      </c>
      <c r="X22" s="324">
        <v>46083</v>
      </c>
      <c r="Y22" s="324">
        <v>46084</v>
      </c>
      <c r="Z22" s="324">
        <v>46085</v>
      </c>
      <c r="AA22" s="324">
        <v>46086</v>
      </c>
      <c r="AB22" s="324">
        <v>46087</v>
      </c>
      <c r="AC22" s="325">
        <v>46088</v>
      </c>
      <c r="AE22" s="305" t="s">
        <v>136</v>
      </c>
      <c r="AF22" s="341">
        <f>(R22*8.8)*R25</f>
        <v>1161.6000000000001</v>
      </c>
    </row>
    <row r="23" spans="2:32" ht="12.75" customHeight="1" x14ac:dyDescent="0.2">
      <c r="B23" s="307">
        <v>3</v>
      </c>
      <c r="C23" s="327" t="s">
        <v>99</v>
      </c>
      <c r="D23" s="317"/>
      <c r="E23" s="328"/>
      <c r="F23" s="328"/>
      <c r="G23" s="327"/>
      <c r="H23" s="131">
        <v>0</v>
      </c>
      <c r="I23" s="132"/>
      <c r="J23" s="133">
        <v>0</v>
      </c>
      <c r="K23" s="109"/>
      <c r="L23" s="78">
        <v>0</v>
      </c>
      <c r="Q23" s="298" t="s">
        <v>137</v>
      </c>
      <c r="R23" s="329">
        <f>H27</f>
        <v>0</v>
      </c>
      <c r="T23" s="330"/>
      <c r="U23" s="331"/>
      <c r="W23" s="332">
        <v>46089</v>
      </c>
      <c r="X23" s="333">
        <v>46090</v>
      </c>
      <c r="Y23" s="333">
        <v>46091</v>
      </c>
      <c r="Z23" s="333">
        <v>46092</v>
      </c>
      <c r="AA23" s="333">
        <v>46093</v>
      </c>
      <c r="AB23" s="333">
        <v>46094</v>
      </c>
      <c r="AC23" s="334">
        <v>46095</v>
      </c>
      <c r="AE23" s="305" t="s">
        <v>138</v>
      </c>
      <c r="AF23" s="341">
        <f>AF21*8.8</f>
        <v>0</v>
      </c>
    </row>
    <row r="24" spans="2:32" ht="12.75" customHeight="1" x14ac:dyDescent="0.2">
      <c r="B24" s="361">
        <v>4</v>
      </c>
      <c r="C24" s="308" t="s">
        <v>115</v>
      </c>
      <c r="D24" s="309"/>
      <c r="E24" s="318"/>
      <c r="F24" s="337"/>
      <c r="G24" s="327"/>
      <c r="H24" s="131">
        <v>0</v>
      </c>
      <c r="I24" s="160"/>
      <c r="J24" s="133">
        <v>0</v>
      </c>
      <c r="K24" s="109"/>
      <c r="L24" s="78">
        <v>0</v>
      </c>
      <c r="W24" s="338">
        <v>46096</v>
      </c>
      <c r="X24" s="339">
        <v>46097</v>
      </c>
      <c r="Y24" s="339">
        <v>46098</v>
      </c>
      <c r="Z24" s="339">
        <v>46099</v>
      </c>
      <c r="AA24" s="339">
        <v>46100</v>
      </c>
      <c r="AB24" s="339">
        <v>46101</v>
      </c>
      <c r="AC24" s="340">
        <v>46102</v>
      </c>
      <c r="AE24" s="305" t="s">
        <v>140</v>
      </c>
      <c r="AF24" s="341">
        <f>(AF22-AF23)/(8.8*R25)</f>
        <v>6</v>
      </c>
    </row>
    <row r="25" spans="2:32" ht="12.75" customHeight="1" x14ac:dyDescent="0.2">
      <c r="B25" s="307">
        <v>5</v>
      </c>
      <c r="C25" s="308" t="s">
        <v>116</v>
      </c>
      <c r="D25" s="336"/>
      <c r="E25" s="342"/>
      <c r="F25" s="328"/>
      <c r="G25" s="327"/>
      <c r="H25" s="131">
        <v>0</v>
      </c>
      <c r="I25" s="132"/>
      <c r="J25" s="133">
        <v>0</v>
      </c>
      <c r="K25" s="109"/>
      <c r="L25" s="78">
        <v>0</v>
      </c>
      <c r="Q25" s="343" t="s">
        <v>22</v>
      </c>
      <c r="R25" s="344">
        <v>22</v>
      </c>
      <c r="T25" s="343" t="s">
        <v>141</v>
      </c>
      <c r="U25" s="345">
        <f>(O20+R22)/2</f>
        <v>6</v>
      </c>
      <c r="W25" s="346">
        <v>46103</v>
      </c>
      <c r="X25" s="347">
        <v>46104</v>
      </c>
      <c r="Y25" s="347">
        <v>46105</v>
      </c>
      <c r="Z25" s="347">
        <v>46106</v>
      </c>
      <c r="AA25" s="347">
        <v>46107</v>
      </c>
      <c r="AB25" s="347">
        <v>46108</v>
      </c>
      <c r="AC25" s="348">
        <v>46109</v>
      </c>
    </row>
    <row r="26" spans="2:32" ht="12.75" customHeight="1" x14ac:dyDescent="0.2">
      <c r="B26" s="307">
        <v>6</v>
      </c>
      <c r="C26" s="308" t="s">
        <v>117</v>
      </c>
      <c r="D26" s="336"/>
      <c r="E26" s="342"/>
      <c r="F26" s="337"/>
      <c r="G26" s="327"/>
      <c r="H26" s="131">
        <v>0</v>
      </c>
      <c r="I26" s="132"/>
      <c r="J26" s="133">
        <v>0</v>
      </c>
      <c r="K26" s="109"/>
      <c r="L26" s="78">
        <v>0</v>
      </c>
      <c r="Q26" s="343" t="s">
        <v>142</v>
      </c>
      <c r="R26" s="349">
        <v>9</v>
      </c>
      <c r="T26" s="343" t="s">
        <v>143</v>
      </c>
      <c r="U26" s="345">
        <f>R25*U25</f>
        <v>132</v>
      </c>
      <c r="W26" s="351">
        <v>46110</v>
      </c>
      <c r="X26" s="352">
        <v>46111</v>
      </c>
      <c r="Y26" s="364">
        <v>46112</v>
      </c>
      <c r="Z26" s="365"/>
      <c r="AA26" s="366"/>
      <c r="AB26" s="366"/>
      <c r="AC26" s="367"/>
    </row>
    <row r="27" spans="2:32" ht="12.75" customHeight="1" x14ac:dyDescent="0.2">
      <c r="C27" s="57"/>
      <c r="D27" s="57"/>
      <c r="E27" s="356">
        <f>COUNTA(E21:E26)</f>
        <v>0</v>
      </c>
      <c r="F27" s="356">
        <f>COUNTA(F21:F26)</f>
        <v>0</v>
      </c>
      <c r="G27" s="356">
        <f>COUNTA(G21:G26)</f>
        <v>0</v>
      </c>
      <c r="H27" s="356">
        <f>SUM(H21:H26)</f>
        <v>0</v>
      </c>
      <c r="I27" s="356">
        <f>COUNTA(I21:I26)</f>
        <v>0</v>
      </c>
      <c r="J27" s="356">
        <f>SUM(J21:J26)</f>
        <v>0</v>
      </c>
      <c r="K27" s="356">
        <f>COUNTA(K21:K26)</f>
        <v>0</v>
      </c>
      <c r="L27" s="356">
        <f>SUM(L21:L26)</f>
        <v>0</v>
      </c>
    </row>
    <row r="29" spans="2:32" ht="12.75" customHeight="1" x14ac:dyDescent="0.2">
      <c r="B29" s="297" t="s">
        <v>41</v>
      </c>
      <c r="C29" s="297" t="s">
        <v>42</v>
      </c>
      <c r="D29" s="297" t="s">
        <v>43</v>
      </c>
      <c r="E29" s="297" t="s">
        <v>44</v>
      </c>
      <c r="F29" s="297" t="s">
        <v>45</v>
      </c>
      <c r="G29" s="297" t="s">
        <v>46</v>
      </c>
      <c r="H29" s="297" t="s">
        <v>49</v>
      </c>
      <c r="I29" s="297" t="s">
        <v>39</v>
      </c>
      <c r="J29" s="297" t="s">
        <v>49</v>
      </c>
      <c r="K29" s="297" t="s">
        <v>40</v>
      </c>
      <c r="L29" s="297" t="s">
        <v>49</v>
      </c>
      <c r="N29" s="298" t="s">
        <v>125</v>
      </c>
      <c r="O29" s="358">
        <f>R22</f>
        <v>6</v>
      </c>
      <c r="Q29" s="298" t="s">
        <v>44</v>
      </c>
      <c r="R29" s="300">
        <f>E36</f>
        <v>0</v>
      </c>
      <c r="T29" s="298" t="s">
        <v>39</v>
      </c>
      <c r="U29" s="301">
        <f>J36</f>
        <v>9</v>
      </c>
      <c r="W29" s="302"/>
      <c r="X29" s="303"/>
      <c r="Y29" s="789" t="s">
        <v>147</v>
      </c>
      <c r="Z29" s="789"/>
      <c r="AA29" s="789"/>
      <c r="AB29" s="303"/>
      <c r="AC29" s="304"/>
      <c r="AE29" s="305" t="s">
        <v>127</v>
      </c>
      <c r="AF29" s="306">
        <f>(U35-U30-U29-R32)</f>
        <v>101</v>
      </c>
    </row>
    <row r="30" spans="2:32" ht="12.75" customHeight="1" x14ac:dyDescent="0.2">
      <c r="B30" s="307">
        <v>1</v>
      </c>
      <c r="C30" s="308" t="s">
        <v>51</v>
      </c>
      <c r="D30" s="336" t="s">
        <v>60</v>
      </c>
      <c r="E30" s="342"/>
      <c r="F30" s="368"/>
      <c r="G30" s="294"/>
      <c r="H30" s="131">
        <v>0</v>
      </c>
      <c r="I30" s="132"/>
      <c r="J30" s="133">
        <v>0</v>
      </c>
      <c r="K30" s="109"/>
      <c r="L30" s="78">
        <v>0</v>
      </c>
      <c r="Q30" s="298" t="s">
        <v>45</v>
      </c>
      <c r="R30" s="301">
        <f>F36</f>
        <v>1</v>
      </c>
      <c r="T30" s="298" t="s">
        <v>40</v>
      </c>
      <c r="U30" s="301">
        <f>L36</f>
        <v>0</v>
      </c>
      <c r="W30" s="312" t="s">
        <v>128</v>
      </c>
      <c r="X30" s="313" t="s">
        <v>129</v>
      </c>
      <c r="Y30" s="313" t="s">
        <v>130</v>
      </c>
      <c r="Z30" s="313" t="s">
        <v>131</v>
      </c>
      <c r="AA30" s="313" t="s">
        <v>132</v>
      </c>
      <c r="AB30" s="313" t="s">
        <v>133</v>
      </c>
      <c r="AC30" s="314" t="s">
        <v>134</v>
      </c>
      <c r="AE30" s="305" t="s">
        <v>135</v>
      </c>
      <c r="AF30" s="315">
        <f>U35-AF29</f>
        <v>9</v>
      </c>
    </row>
    <row r="31" spans="2:32" ht="12.75" customHeight="1" x14ac:dyDescent="0.2">
      <c r="B31" s="307">
        <v>2</v>
      </c>
      <c r="C31" s="308" t="s">
        <v>98</v>
      </c>
      <c r="D31" s="336" t="s">
        <v>60</v>
      </c>
      <c r="E31" s="342"/>
      <c r="F31" s="294"/>
      <c r="G31" s="294"/>
      <c r="H31" s="131">
        <v>0</v>
      </c>
      <c r="I31" s="160"/>
      <c r="J31" s="133">
        <v>0</v>
      </c>
      <c r="K31" s="109"/>
      <c r="L31" s="78">
        <v>0</v>
      </c>
      <c r="Q31" s="319" t="s">
        <v>56</v>
      </c>
      <c r="R31" s="301">
        <f>O29+R29-R30</f>
        <v>5</v>
      </c>
      <c r="T31" s="298" t="s">
        <v>59</v>
      </c>
      <c r="U31" s="301">
        <f>K36</f>
        <v>0</v>
      </c>
      <c r="W31" s="320"/>
      <c r="X31" s="321"/>
      <c r="Y31" s="322"/>
      <c r="Z31" s="369">
        <v>46113</v>
      </c>
      <c r="AA31" s="324">
        <v>46114</v>
      </c>
      <c r="AB31" s="370">
        <v>46115</v>
      </c>
      <c r="AC31" s="325">
        <v>46116</v>
      </c>
      <c r="AE31" s="305" t="s">
        <v>136</v>
      </c>
      <c r="AF31" s="341">
        <f>(R31*8.8)*R34</f>
        <v>880</v>
      </c>
    </row>
    <row r="32" spans="2:32" ht="12.75" customHeight="1" x14ac:dyDescent="0.2">
      <c r="B32" s="307">
        <v>3</v>
      </c>
      <c r="C32" s="327" t="s">
        <v>99</v>
      </c>
      <c r="D32" s="317" t="s">
        <v>60</v>
      </c>
      <c r="E32" s="328"/>
      <c r="F32" s="328"/>
      <c r="G32" s="327"/>
      <c r="H32" s="131">
        <v>0</v>
      </c>
      <c r="I32" s="132"/>
      <c r="J32" s="133">
        <v>0</v>
      </c>
      <c r="K32" s="109"/>
      <c r="L32" s="78">
        <v>0</v>
      </c>
      <c r="Q32" s="298" t="s">
        <v>137</v>
      </c>
      <c r="R32" s="329">
        <f>H36</f>
        <v>0</v>
      </c>
      <c r="T32" s="330"/>
      <c r="U32" s="331"/>
      <c r="W32" s="332">
        <v>46117</v>
      </c>
      <c r="X32" s="333">
        <v>46118</v>
      </c>
      <c r="Y32" s="333">
        <v>46119</v>
      </c>
      <c r="Z32" s="333">
        <v>46120</v>
      </c>
      <c r="AA32" s="333">
        <v>46121</v>
      </c>
      <c r="AB32" s="333">
        <v>46122</v>
      </c>
      <c r="AC32" s="334">
        <v>46123</v>
      </c>
      <c r="AE32" s="305" t="s">
        <v>138</v>
      </c>
      <c r="AF32" s="341">
        <f>AF30*8.8</f>
        <v>79.2</v>
      </c>
    </row>
    <row r="33" spans="2:32" ht="12.75" customHeight="1" x14ac:dyDescent="0.2">
      <c r="B33" s="361">
        <v>4</v>
      </c>
      <c r="C33" s="308" t="s">
        <v>115</v>
      </c>
      <c r="D33" s="336" t="s">
        <v>60</v>
      </c>
      <c r="E33" s="342"/>
      <c r="F33" s="328"/>
      <c r="G33" s="327"/>
      <c r="H33" s="131">
        <v>0</v>
      </c>
      <c r="I33" s="160"/>
      <c r="J33" s="133">
        <v>0</v>
      </c>
      <c r="K33" s="109"/>
      <c r="L33" s="78">
        <v>0</v>
      </c>
      <c r="W33" s="338">
        <v>46124</v>
      </c>
      <c r="X33" s="339">
        <v>46125</v>
      </c>
      <c r="Y33" s="339">
        <v>46126</v>
      </c>
      <c r="Z33" s="339">
        <v>46127</v>
      </c>
      <c r="AA33" s="339">
        <v>46128</v>
      </c>
      <c r="AB33" s="339">
        <v>46129</v>
      </c>
      <c r="AC33" s="340">
        <v>46130</v>
      </c>
      <c r="AE33" s="305" t="s">
        <v>140</v>
      </c>
      <c r="AF33" s="341">
        <f>(AF31-AF32)/(8.8*R34)</f>
        <v>4.55</v>
      </c>
    </row>
    <row r="34" spans="2:32" ht="12.75" customHeight="1" x14ac:dyDescent="0.2">
      <c r="B34" s="371">
        <v>5</v>
      </c>
      <c r="C34" s="372" t="s">
        <v>116</v>
      </c>
      <c r="D34" s="363" t="s">
        <v>60</v>
      </c>
      <c r="E34" s="310"/>
      <c r="F34" s="337">
        <v>46129</v>
      </c>
      <c r="G34" s="373"/>
      <c r="H34" s="374">
        <v>0</v>
      </c>
      <c r="I34" s="375" t="s">
        <v>148</v>
      </c>
      <c r="J34" s="376">
        <v>9</v>
      </c>
      <c r="K34" s="377"/>
      <c r="L34" s="78">
        <v>0</v>
      </c>
      <c r="Q34" s="343" t="s">
        <v>22</v>
      </c>
      <c r="R34" s="344">
        <v>20</v>
      </c>
      <c r="T34" s="343" t="s">
        <v>141</v>
      </c>
      <c r="U34" s="345">
        <f>(O29+R31)/2</f>
        <v>5.5</v>
      </c>
      <c r="W34" s="346">
        <v>46131</v>
      </c>
      <c r="X34" s="347">
        <v>46132</v>
      </c>
      <c r="Y34" s="362">
        <v>46133</v>
      </c>
      <c r="Z34" s="347">
        <v>46134</v>
      </c>
      <c r="AA34" s="347">
        <v>46135</v>
      </c>
      <c r="AB34" s="347">
        <v>46136</v>
      </c>
      <c r="AC34" s="348">
        <v>46137</v>
      </c>
    </row>
    <row r="35" spans="2:32" ht="12.75" customHeight="1" x14ac:dyDescent="0.2">
      <c r="B35" s="307">
        <v>6</v>
      </c>
      <c r="C35" s="308" t="s">
        <v>117</v>
      </c>
      <c r="D35" s="336" t="s">
        <v>60</v>
      </c>
      <c r="E35" s="342"/>
      <c r="F35" s="328"/>
      <c r="G35" s="327"/>
      <c r="H35" s="131">
        <v>0</v>
      </c>
      <c r="I35" s="132"/>
      <c r="J35" s="133">
        <v>0</v>
      </c>
      <c r="K35" s="109"/>
      <c r="L35" s="78">
        <v>0</v>
      </c>
      <c r="Q35" s="343" t="s">
        <v>142</v>
      </c>
      <c r="R35" s="349">
        <v>10</v>
      </c>
      <c r="T35" s="343" t="s">
        <v>143</v>
      </c>
      <c r="U35" s="345">
        <f>R34*U34</f>
        <v>110</v>
      </c>
      <c r="W35" s="351">
        <v>46138</v>
      </c>
      <c r="X35" s="352">
        <v>46139</v>
      </c>
      <c r="Y35" s="352">
        <v>46140</v>
      </c>
      <c r="Z35" s="352">
        <v>46141</v>
      </c>
      <c r="AA35" s="364">
        <v>46142</v>
      </c>
      <c r="AB35" s="365"/>
      <c r="AC35" s="367"/>
    </row>
    <row r="36" spans="2:32" ht="12.75" customHeight="1" x14ac:dyDescent="0.2">
      <c r="C36" s="57"/>
      <c r="D36" s="57"/>
      <c r="E36" s="356">
        <f>COUNTA(E30:E35)</f>
        <v>0</v>
      </c>
      <c r="F36" s="356">
        <f>COUNTA(F30:F35)</f>
        <v>1</v>
      </c>
      <c r="G36" s="356">
        <f>COUNTA(G30:G35)</f>
        <v>0</v>
      </c>
      <c r="H36" s="356">
        <f>SUM(H30:H35)</f>
        <v>0</v>
      </c>
      <c r="I36" s="356">
        <f>COUNTA(I30:I35)</f>
        <v>1</v>
      </c>
      <c r="J36" s="356">
        <f>SUM(J30:J35)</f>
        <v>9</v>
      </c>
      <c r="K36" s="356">
        <f>COUNTA(K30:K35)</f>
        <v>0</v>
      </c>
      <c r="L36" s="356">
        <f>SUM(L30:L35)</f>
        <v>0</v>
      </c>
    </row>
    <row r="38" spans="2:32" ht="12.75" customHeight="1" x14ac:dyDescent="0.2">
      <c r="B38" s="297" t="s">
        <v>41</v>
      </c>
      <c r="C38" s="297" t="s">
        <v>42</v>
      </c>
      <c r="D38" s="297" t="s">
        <v>43</v>
      </c>
      <c r="E38" s="297" t="s">
        <v>44</v>
      </c>
      <c r="F38" s="297" t="s">
        <v>45</v>
      </c>
      <c r="G38" s="297" t="s">
        <v>46</v>
      </c>
      <c r="H38" s="297" t="s">
        <v>49</v>
      </c>
      <c r="I38" s="297" t="s">
        <v>39</v>
      </c>
      <c r="J38" s="297" t="s">
        <v>49</v>
      </c>
      <c r="K38" s="297" t="s">
        <v>40</v>
      </c>
      <c r="L38" s="297" t="s">
        <v>49</v>
      </c>
      <c r="N38" s="298" t="s">
        <v>125</v>
      </c>
      <c r="O38" s="358">
        <f>R31</f>
        <v>5</v>
      </c>
      <c r="Q38" s="298" t="s">
        <v>44</v>
      </c>
      <c r="R38" s="300">
        <f>E45</f>
        <v>0</v>
      </c>
      <c r="T38" s="298" t="s">
        <v>39</v>
      </c>
      <c r="U38" s="301">
        <f>J45</f>
        <v>0</v>
      </c>
      <c r="W38" s="302"/>
      <c r="X38" s="303"/>
      <c r="Y38" s="789" t="s">
        <v>149</v>
      </c>
      <c r="Z38" s="789"/>
      <c r="AA38" s="789"/>
      <c r="AB38" s="303"/>
      <c r="AC38" s="304"/>
      <c r="AE38" s="305" t="s">
        <v>127</v>
      </c>
      <c r="AF38" s="306">
        <f>(U44-U39-U38-R41)</f>
        <v>0</v>
      </c>
    </row>
    <row r="39" spans="2:32" ht="12.75" customHeight="1" x14ac:dyDescent="0.2">
      <c r="B39" s="307"/>
      <c r="C39" s="372"/>
      <c r="D39" s="363"/>
      <c r="E39" s="310"/>
      <c r="F39" s="311"/>
      <c r="G39" s="294"/>
      <c r="H39" s="131">
        <v>0</v>
      </c>
      <c r="I39" s="132"/>
      <c r="J39" s="133">
        <v>0</v>
      </c>
      <c r="K39" s="109"/>
      <c r="L39" s="78">
        <v>0</v>
      </c>
      <c r="Q39" s="298" t="s">
        <v>45</v>
      </c>
      <c r="R39" s="301">
        <f>F45</f>
        <v>0</v>
      </c>
      <c r="T39" s="298" t="s">
        <v>40</v>
      </c>
      <c r="U39" s="301">
        <f>L45</f>
        <v>0</v>
      </c>
      <c r="W39" s="312" t="s">
        <v>128</v>
      </c>
      <c r="X39" s="313" t="s">
        <v>129</v>
      </c>
      <c r="Y39" s="313" t="s">
        <v>130</v>
      </c>
      <c r="Z39" s="313" t="s">
        <v>131</v>
      </c>
      <c r="AA39" s="313" t="s">
        <v>132</v>
      </c>
      <c r="AB39" s="313" t="s">
        <v>133</v>
      </c>
      <c r="AC39" s="314" t="s">
        <v>134</v>
      </c>
      <c r="AE39" s="305" t="s">
        <v>135</v>
      </c>
      <c r="AF39" s="315">
        <f>U44-AF38</f>
        <v>0</v>
      </c>
    </row>
    <row r="40" spans="2:32" ht="12.75" customHeight="1" x14ac:dyDescent="0.2">
      <c r="B40" s="307"/>
      <c r="C40" s="316"/>
      <c r="D40" s="309"/>
      <c r="E40" s="318"/>
      <c r="F40" s="294"/>
      <c r="G40" s="294"/>
      <c r="H40" s="131">
        <v>0</v>
      </c>
      <c r="I40" s="160"/>
      <c r="J40" s="133">
        <v>0</v>
      </c>
      <c r="K40" s="109"/>
      <c r="L40" s="78">
        <v>0</v>
      </c>
      <c r="Q40" s="319" t="s">
        <v>56</v>
      </c>
      <c r="R40" s="301">
        <f>O38+R38-R39</f>
        <v>5</v>
      </c>
      <c r="T40" s="298" t="s">
        <v>59</v>
      </c>
      <c r="U40" s="301">
        <f>K45</f>
        <v>0</v>
      </c>
      <c r="W40" s="320"/>
      <c r="X40" s="321"/>
      <c r="Y40" s="321"/>
      <c r="Z40" s="321"/>
      <c r="AA40" s="322"/>
      <c r="AB40" s="378">
        <v>46143</v>
      </c>
      <c r="AC40" s="379">
        <v>46144</v>
      </c>
      <c r="AE40" s="305" t="s">
        <v>136</v>
      </c>
      <c r="AF40" s="341">
        <f>(R40*8.8)*R43</f>
        <v>0</v>
      </c>
    </row>
    <row r="41" spans="2:32" ht="12.75" customHeight="1" x14ac:dyDescent="0.2">
      <c r="B41" s="307"/>
      <c r="C41" s="327"/>
      <c r="D41" s="317"/>
      <c r="E41" s="328"/>
      <c r="F41" s="328"/>
      <c r="G41" s="327"/>
      <c r="H41" s="131">
        <v>0</v>
      </c>
      <c r="I41" s="132"/>
      <c r="J41" s="133">
        <v>0</v>
      </c>
      <c r="K41" s="109"/>
      <c r="L41" s="78">
        <v>0</v>
      </c>
      <c r="Q41" s="298" t="s">
        <v>137</v>
      </c>
      <c r="R41" s="329">
        <f>H45</f>
        <v>0</v>
      </c>
      <c r="T41" s="330"/>
      <c r="U41" s="331"/>
      <c r="W41" s="380">
        <v>46145</v>
      </c>
      <c r="X41" s="381">
        <v>46146</v>
      </c>
      <c r="Y41" s="381">
        <v>46147</v>
      </c>
      <c r="Z41" s="381">
        <v>46148</v>
      </c>
      <c r="AA41" s="381">
        <v>46149</v>
      </c>
      <c r="AB41" s="381">
        <v>46150</v>
      </c>
      <c r="AC41" s="382">
        <v>46151</v>
      </c>
      <c r="AE41" s="305" t="s">
        <v>138</v>
      </c>
      <c r="AF41" s="341">
        <f>AF39*8.8</f>
        <v>0</v>
      </c>
    </row>
    <row r="42" spans="2:32" ht="12.75" customHeight="1" x14ac:dyDescent="0.2">
      <c r="B42" s="335"/>
      <c r="C42" s="316"/>
      <c r="D42" s="309"/>
      <c r="E42" s="318"/>
      <c r="F42" s="337"/>
      <c r="G42" s="327"/>
      <c r="H42" s="131">
        <v>0</v>
      </c>
      <c r="I42" s="160"/>
      <c r="J42" s="133">
        <v>0</v>
      </c>
      <c r="K42" s="109"/>
      <c r="L42" s="78">
        <v>0</v>
      </c>
      <c r="W42" s="383">
        <v>46152</v>
      </c>
      <c r="X42" s="384">
        <v>46153</v>
      </c>
      <c r="Y42" s="384">
        <v>46154</v>
      </c>
      <c r="Z42" s="384">
        <v>46155</v>
      </c>
      <c r="AA42" s="384">
        <v>46156</v>
      </c>
      <c r="AB42" s="384">
        <v>46157</v>
      </c>
      <c r="AC42" s="385">
        <v>46158</v>
      </c>
      <c r="AE42" s="305" t="s">
        <v>140</v>
      </c>
      <c r="AF42" s="341" t="e">
        <f>(AF40-AF41)/(8.8*R43)</f>
        <v>#DIV/0!</v>
      </c>
    </row>
    <row r="43" spans="2:32" ht="12.75" customHeight="1" x14ac:dyDescent="0.2">
      <c r="B43" s="307"/>
      <c r="C43" s="308"/>
      <c r="D43" s="336"/>
      <c r="E43" s="342"/>
      <c r="F43" s="328"/>
      <c r="G43" s="327"/>
      <c r="H43" s="131">
        <v>0</v>
      </c>
      <c r="I43" s="132"/>
      <c r="J43" s="133">
        <v>0</v>
      </c>
      <c r="K43" s="109"/>
      <c r="L43" s="78">
        <v>0</v>
      </c>
      <c r="Q43" s="343" t="s">
        <v>22</v>
      </c>
      <c r="R43" s="344"/>
      <c r="T43" s="343" t="s">
        <v>141</v>
      </c>
      <c r="U43" s="345">
        <f>(O38+R40)/2</f>
        <v>5</v>
      </c>
      <c r="W43" s="383">
        <v>46159</v>
      </c>
      <c r="X43" s="384">
        <v>46160</v>
      </c>
      <c r="Y43" s="384">
        <v>46161</v>
      </c>
      <c r="Z43" s="384">
        <v>46162</v>
      </c>
      <c r="AA43" s="384">
        <v>46163</v>
      </c>
      <c r="AB43" s="384">
        <v>46164</v>
      </c>
      <c r="AC43" s="385">
        <v>46165</v>
      </c>
    </row>
    <row r="44" spans="2:32" ht="12.75" customHeight="1" x14ac:dyDescent="0.2">
      <c r="B44" s="307"/>
      <c r="C44" s="308"/>
      <c r="D44" s="336"/>
      <c r="E44" s="342"/>
      <c r="F44" s="337"/>
      <c r="G44" s="327"/>
      <c r="H44" s="131">
        <v>0</v>
      </c>
      <c r="I44" s="132"/>
      <c r="J44" s="133">
        <v>0</v>
      </c>
      <c r="K44" s="109"/>
      <c r="L44" s="78">
        <v>0</v>
      </c>
      <c r="Q44" s="343" t="s">
        <v>142</v>
      </c>
      <c r="R44" s="349"/>
      <c r="T44" s="343" t="s">
        <v>143</v>
      </c>
      <c r="U44" s="345">
        <f>R43*U43</f>
        <v>0</v>
      </c>
      <c r="W44" s="386">
        <v>46166</v>
      </c>
      <c r="X44" s="387">
        <v>46167</v>
      </c>
      <c r="Y44" s="387">
        <v>46168</v>
      </c>
      <c r="Z44" s="387">
        <v>46169</v>
      </c>
      <c r="AA44" s="387">
        <v>46170</v>
      </c>
      <c r="AB44" s="387">
        <v>46171</v>
      </c>
      <c r="AC44" s="388">
        <v>46172</v>
      </c>
    </row>
    <row r="45" spans="2:32" ht="12.75" customHeight="1" x14ac:dyDescent="0.2">
      <c r="C45" s="57"/>
      <c r="D45" s="57"/>
      <c r="E45" s="356">
        <f>COUNTA(E39:E44)</f>
        <v>0</v>
      </c>
      <c r="F45" s="356">
        <f>COUNTA(F39:F44)</f>
        <v>0</v>
      </c>
      <c r="G45" s="356">
        <f>COUNTA(G39:G44)</f>
        <v>0</v>
      </c>
      <c r="H45" s="356">
        <f>SUM(H39:H44)</f>
        <v>0</v>
      </c>
      <c r="I45" s="356">
        <f>COUNTA(I39:I44)</f>
        <v>0</v>
      </c>
      <c r="J45" s="356">
        <f>SUM(J39:J44)</f>
        <v>0</v>
      </c>
      <c r="K45" s="356">
        <f>COUNTA(K39:K44)</f>
        <v>0</v>
      </c>
      <c r="L45" s="356">
        <f>SUM(L39:L44)</f>
        <v>0</v>
      </c>
      <c r="W45" s="389">
        <v>46173</v>
      </c>
      <c r="X45" s="365"/>
      <c r="Y45" s="366"/>
      <c r="Z45" s="366"/>
      <c r="AA45" s="366"/>
      <c r="AB45" s="366"/>
      <c r="AC45" s="367"/>
    </row>
    <row r="47" spans="2:32" ht="12.75" customHeight="1" x14ac:dyDescent="0.2">
      <c r="B47" s="297" t="s">
        <v>41</v>
      </c>
      <c r="C47" s="297" t="s">
        <v>42</v>
      </c>
      <c r="D47" s="297" t="s">
        <v>43</v>
      </c>
      <c r="E47" s="297" t="s">
        <v>44</v>
      </c>
      <c r="F47" s="297" t="s">
        <v>45</v>
      </c>
      <c r="G47" s="297" t="s">
        <v>46</v>
      </c>
      <c r="H47" s="297" t="s">
        <v>49</v>
      </c>
      <c r="I47" s="297" t="s">
        <v>39</v>
      </c>
      <c r="J47" s="297" t="s">
        <v>49</v>
      </c>
      <c r="K47" s="297" t="s">
        <v>40</v>
      </c>
      <c r="L47" s="297" t="s">
        <v>49</v>
      </c>
      <c r="N47" s="298" t="s">
        <v>125</v>
      </c>
      <c r="O47" s="358">
        <f>R40</f>
        <v>5</v>
      </c>
      <c r="Q47" s="298" t="s">
        <v>44</v>
      </c>
      <c r="R47" s="300">
        <f>E54</f>
        <v>0</v>
      </c>
      <c r="T47" s="298" t="s">
        <v>39</v>
      </c>
      <c r="U47" s="301">
        <f>J54</f>
        <v>0</v>
      </c>
      <c r="W47" s="302"/>
      <c r="X47" s="303"/>
      <c r="Y47" s="789" t="s">
        <v>150</v>
      </c>
      <c r="Z47" s="789"/>
      <c r="AA47" s="789"/>
      <c r="AB47" s="303"/>
      <c r="AC47" s="304"/>
      <c r="AE47" s="305" t="s">
        <v>127</v>
      </c>
      <c r="AF47" s="306">
        <f>(U53-U48-U47-R50)</f>
        <v>0</v>
      </c>
    </row>
    <row r="48" spans="2:32" ht="12.75" customHeight="1" x14ac:dyDescent="0.2">
      <c r="B48" s="307"/>
      <c r="C48" s="372"/>
      <c r="D48" s="363"/>
      <c r="E48" s="310"/>
      <c r="F48" s="311"/>
      <c r="G48" s="294"/>
      <c r="H48" s="131">
        <v>0</v>
      </c>
      <c r="I48" s="132"/>
      <c r="J48" s="133">
        <v>0</v>
      </c>
      <c r="K48" s="109"/>
      <c r="L48" s="78">
        <v>0</v>
      </c>
      <c r="Q48" s="298" t="s">
        <v>45</v>
      </c>
      <c r="R48" s="301">
        <f>F54</f>
        <v>0</v>
      </c>
      <c r="T48" s="298" t="s">
        <v>40</v>
      </c>
      <c r="U48" s="301">
        <f>L54</f>
        <v>0</v>
      </c>
      <c r="W48" s="312" t="s">
        <v>128</v>
      </c>
      <c r="X48" s="313" t="s">
        <v>129</v>
      </c>
      <c r="Y48" s="313" t="s">
        <v>130</v>
      </c>
      <c r="Z48" s="313" t="s">
        <v>131</v>
      </c>
      <c r="AA48" s="313" t="s">
        <v>132</v>
      </c>
      <c r="AB48" s="313" t="s">
        <v>133</v>
      </c>
      <c r="AC48" s="314" t="s">
        <v>134</v>
      </c>
      <c r="AE48" s="305" t="s">
        <v>135</v>
      </c>
      <c r="AF48" s="315">
        <f>U53-AF47</f>
        <v>0</v>
      </c>
    </row>
    <row r="49" spans="2:32" ht="12.75" customHeight="1" x14ac:dyDescent="0.2">
      <c r="B49" s="307"/>
      <c r="C49" s="316"/>
      <c r="D49" s="309"/>
      <c r="E49" s="318"/>
      <c r="F49" s="294"/>
      <c r="G49" s="294"/>
      <c r="H49" s="131">
        <v>0</v>
      </c>
      <c r="I49" s="160"/>
      <c r="J49" s="133">
        <v>0</v>
      </c>
      <c r="K49" s="109"/>
      <c r="L49" s="78">
        <v>0</v>
      </c>
      <c r="Q49" s="319" t="s">
        <v>56</v>
      </c>
      <c r="R49" s="301">
        <f>O47+R47-R48</f>
        <v>5</v>
      </c>
      <c r="T49" s="298" t="s">
        <v>59</v>
      </c>
      <c r="U49" s="301">
        <f>K54</f>
        <v>0</v>
      </c>
      <c r="W49" s="390"/>
      <c r="X49" s="391">
        <v>46174</v>
      </c>
      <c r="Y49" s="392">
        <v>46175</v>
      </c>
      <c r="Z49" s="392">
        <v>46176</v>
      </c>
      <c r="AA49" s="393">
        <v>46177</v>
      </c>
      <c r="AB49" s="392">
        <v>46178</v>
      </c>
      <c r="AC49" s="379">
        <v>46179</v>
      </c>
      <c r="AE49" s="305" t="s">
        <v>136</v>
      </c>
      <c r="AF49" s="341">
        <f>(R49*8.8)*R52</f>
        <v>0</v>
      </c>
    </row>
    <row r="50" spans="2:32" ht="12.75" customHeight="1" x14ac:dyDescent="0.2">
      <c r="B50" s="307"/>
      <c r="C50" s="327"/>
      <c r="D50" s="317"/>
      <c r="E50" s="328"/>
      <c r="F50" s="328"/>
      <c r="G50" s="327"/>
      <c r="H50" s="131">
        <v>0</v>
      </c>
      <c r="I50" s="132"/>
      <c r="J50" s="133">
        <v>0</v>
      </c>
      <c r="K50" s="109"/>
      <c r="L50" s="78">
        <v>0</v>
      </c>
      <c r="Q50" s="298" t="s">
        <v>137</v>
      </c>
      <c r="R50" s="329">
        <f>H54</f>
        <v>0</v>
      </c>
      <c r="T50" s="330"/>
      <c r="U50" s="331"/>
      <c r="W50" s="380">
        <v>46180</v>
      </c>
      <c r="X50" s="381">
        <v>46181</v>
      </c>
      <c r="Y50" s="381">
        <v>46182</v>
      </c>
      <c r="Z50" s="381">
        <v>46183</v>
      </c>
      <c r="AA50" s="381">
        <v>46184</v>
      </c>
      <c r="AB50" s="381">
        <v>46185</v>
      </c>
      <c r="AC50" s="382">
        <v>46186</v>
      </c>
      <c r="AE50" s="305" t="s">
        <v>138</v>
      </c>
      <c r="AF50" s="341">
        <f>AF48*8.8</f>
        <v>0</v>
      </c>
    </row>
    <row r="51" spans="2:32" ht="12.75" customHeight="1" x14ac:dyDescent="0.2">
      <c r="B51" s="335"/>
      <c r="C51" s="316"/>
      <c r="D51" s="309"/>
      <c r="E51" s="318"/>
      <c r="F51" s="337"/>
      <c r="G51" s="327"/>
      <c r="H51" s="131">
        <v>0</v>
      </c>
      <c r="I51" s="160"/>
      <c r="J51" s="133">
        <v>0</v>
      </c>
      <c r="K51" s="109"/>
      <c r="L51" s="78">
        <v>0</v>
      </c>
      <c r="W51" s="383">
        <v>46187</v>
      </c>
      <c r="X51" s="384">
        <v>46188</v>
      </c>
      <c r="Y51" s="384">
        <v>46189</v>
      </c>
      <c r="Z51" s="384">
        <v>46190</v>
      </c>
      <c r="AA51" s="384">
        <v>46191</v>
      </c>
      <c r="AB51" s="384">
        <v>46192</v>
      </c>
      <c r="AC51" s="385">
        <v>46193</v>
      </c>
      <c r="AE51" s="305" t="s">
        <v>140</v>
      </c>
      <c r="AF51" s="341" t="e">
        <f>(AF49-AF50)/(8.8*R52)</f>
        <v>#DIV/0!</v>
      </c>
    </row>
    <row r="52" spans="2:32" ht="12.75" customHeight="1" x14ac:dyDescent="0.2">
      <c r="B52" s="307"/>
      <c r="C52" s="308"/>
      <c r="D52" s="336"/>
      <c r="E52" s="342"/>
      <c r="F52" s="328"/>
      <c r="G52" s="327"/>
      <c r="H52" s="131">
        <v>0</v>
      </c>
      <c r="I52" s="132"/>
      <c r="J52" s="133">
        <v>0</v>
      </c>
      <c r="K52" s="109"/>
      <c r="L52" s="78">
        <v>0</v>
      </c>
      <c r="Q52" s="343" t="s">
        <v>22</v>
      </c>
      <c r="R52" s="344"/>
      <c r="T52" s="343" t="s">
        <v>141</v>
      </c>
      <c r="U52" s="345">
        <f>(O47+R49)/2</f>
        <v>5</v>
      </c>
      <c r="W52" s="386">
        <v>46194</v>
      </c>
      <c r="X52" s="387">
        <v>46195</v>
      </c>
      <c r="Y52" s="387">
        <v>46196</v>
      </c>
      <c r="Z52" s="387">
        <v>46197</v>
      </c>
      <c r="AA52" s="387">
        <v>46198</v>
      </c>
      <c r="AB52" s="387">
        <v>46199</v>
      </c>
      <c r="AC52" s="388">
        <v>46200</v>
      </c>
    </row>
    <row r="53" spans="2:32" ht="12.75" customHeight="1" x14ac:dyDescent="0.2">
      <c r="B53" s="307"/>
      <c r="C53" s="308"/>
      <c r="D53" s="336"/>
      <c r="E53" s="342"/>
      <c r="F53" s="337"/>
      <c r="G53" s="327"/>
      <c r="H53" s="131">
        <v>0</v>
      </c>
      <c r="I53" s="132"/>
      <c r="J53" s="133">
        <v>0</v>
      </c>
      <c r="K53" s="109"/>
      <c r="L53" s="78">
        <v>0</v>
      </c>
      <c r="Q53" s="343" t="s">
        <v>142</v>
      </c>
      <c r="R53" s="349"/>
      <c r="T53" s="343" t="s">
        <v>143</v>
      </c>
      <c r="U53" s="345">
        <f>R52*U52</f>
        <v>0</v>
      </c>
      <c r="W53" s="394">
        <v>46201</v>
      </c>
      <c r="X53" s="395">
        <v>46202</v>
      </c>
      <c r="Y53" s="396">
        <v>46203</v>
      </c>
      <c r="Z53" s="365"/>
      <c r="AA53" s="366"/>
      <c r="AB53" s="366"/>
      <c r="AC53" s="367"/>
    </row>
    <row r="54" spans="2:32" ht="12.75" customHeight="1" x14ac:dyDescent="0.2">
      <c r="C54" s="57"/>
      <c r="D54" s="57"/>
      <c r="E54" s="356">
        <f>COUNTA(E48:E53)</f>
        <v>0</v>
      </c>
      <c r="F54" s="356">
        <f>COUNTA(F48:F53)</f>
        <v>0</v>
      </c>
      <c r="G54" s="356">
        <f>COUNTA(G48:G53)</f>
        <v>0</v>
      </c>
      <c r="H54" s="356">
        <f>SUM(H48:H53)</f>
        <v>0</v>
      </c>
      <c r="I54" s="356">
        <f>COUNTA(I48:I53)</f>
        <v>0</v>
      </c>
      <c r="J54" s="356">
        <f>SUM(J48:J53)</f>
        <v>0</v>
      </c>
      <c r="K54" s="356">
        <f>COUNTA(K48:K53)</f>
        <v>0</v>
      </c>
      <c r="L54" s="356">
        <f>SUM(L48:L53)</f>
        <v>0</v>
      </c>
    </row>
    <row r="56" spans="2:32" ht="12.75" customHeight="1" x14ac:dyDescent="0.2">
      <c r="B56" s="297" t="s">
        <v>41</v>
      </c>
      <c r="C56" s="297" t="s">
        <v>42</v>
      </c>
      <c r="D56" s="297" t="s">
        <v>43</v>
      </c>
      <c r="E56" s="297" t="s">
        <v>44</v>
      </c>
      <c r="F56" s="297" t="s">
        <v>45</v>
      </c>
      <c r="G56" s="297" t="s">
        <v>46</v>
      </c>
      <c r="H56" s="297" t="s">
        <v>49</v>
      </c>
      <c r="I56" s="297" t="s">
        <v>39</v>
      </c>
      <c r="J56" s="297" t="s">
        <v>49</v>
      </c>
      <c r="K56" s="297" t="s">
        <v>40</v>
      </c>
      <c r="L56" s="297" t="s">
        <v>49</v>
      </c>
      <c r="N56" s="298" t="s">
        <v>125</v>
      </c>
      <c r="O56" s="358">
        <f>R49</f>
        <v>5</v>
      </c>
      <c r="Q56" s="298" t="s">
        <v>44</v>
      </c>
      <c r="R56" s="300">
        <f>E63</f>
        <v>0</v>
      </c>
      <c r="T56" s="298" t="s">
        <v>39</v>
      </c>
      <c r="U56" s="301">
        <f>J63</f>
        <v>0</v>
      </c>
      <c r="W56" s="302"/>
      <c r="X56" s="303"/>
      <c r="Y56" s="789" t="s">
        <v>151</v>
      </c>
      <c r="Z56" s="789"/>
      <c r="AA56" s="789"/>
      <c r="AB56" s="303"/>
      <c r="AC56" s="304"/>
      <c r="AE56" s="305" t="s">
        <v>127</v>
      </c>
      <c r="AF56" s="306">
        <f>(U62-U57-U56-R59)</f>
        <v>0</v>
      </c>
    </row>
    <row r="57" spans="2:32" ht="12.75" customHeight="1" x14ac:dyDescent="0.2">
      <c r="B57" s="307"/>
      <c r="C57" s="372"/>
      <c r="D57" s="363"/>
      <c r="E57" s="310"/>
      <c r="F57" s="311"/>
      <c r="G57" s="294"/>
      <c r="H57" s="131">
        <v>0</v>
      </c>
      <c r="I57" s="132"/>
      <c r="J57" s="133">
        <v>0</v>
      </c>
      <c r="K57" s="109"/>
      <c r="L57" s="78">
        <v>0</v>
      </c>
      <c r="Q57" s="298" t="s">
        <v>45</v>
      </c>
      <c r="R57" s="301">
        <f>F63</f>
        <v>0</v>
      </c>
      <c r="T57" s="298" t="s">
        <v>40</v>
      </c>
      <c r="U57" s="301">
        <f>L63</f>
        <v>0</v>
      </c>
      <c r="W57" s="312" t="s">
        <v>128</v>
      </c>
      <c r="X57" s="313" t="s">
        <v>129</v>
      </c>
      <c r="Y57" s="313" t="s">
        <v>130</v>
      </c>
      <c r="Z57" s="313" t="s">
        <v>131</v>
      </c>
      <c r="AA57" s="313" t="s">
        <v>132</v>
      </c>
      <c r="AB57" s="313" t="s">
        <v>133</v>
      </c>
      <c r="AC57" s="314" t="s">
        <v>134</v>
      </c>
      <c r="AE57" s="305" t="s">
        <v>135</v>
      </c>
      <c r="AF57" s="315">
        <f>U62-AF56</f>
        <v>0</v>
      </c>
    </row>
    <row r="58" spans="2:32" ht="12.75" customHeight="1" x14ac:dyDescent="0.2">
      <c r="B58" s="307"/>
      <c r="C58" s="316"/>
      <c r="D58" s="309"/>
      <c r="E58" s="318"/>
      <c r="F58" s="294"/>
      <c r="G58" s="294"/>
      <c r="H58" s="131">
        <v>0</v>
      </c>
      <c r="I58" s="160"/>
      <c r="J58" s="133">
        <v>0</v>
      </c>
      <c r="K58" s="109"/>
      <c r="L58" s="78">
        <v>0</v>
      </c>
      <c r="Q58" s="319" t="s">
        <v>56</v>
      </c>
      <c r="R58" s="301">
        <f>O56+R56-R57</f>
        <v>5</v>
      </c>
      <c r="T58" s="298" t="s">
        <v>59</v>
      </c>
      <c r="U58" s="301">
        <f>K63</f>
        <v>0</v>
      </c>
      <c r="W58" s="320"/>
      <c r="X58" s="321"/>
      <c r="Y58" s="322"/>
      <c r="Z58" s="391">
        <v>46204</v>
      </c>
      <c r="AA58" s="392">
        <v>46205</v>
      </c>
      <c r="AB58" s="392">
        <v>46206</v>
      </c>
      <c r="AC58" s="379">
        <v>46207</v>
      </c>
      <c r="AE58" s="305" t="s">
        <v>136</v>
      </c>
      <c r="AF58" s="341">
        <f>(R58*8.8)*R61</f>
        <v>0</v>
      </c>
    </row>
    <row r="59" spans="2:32" ht="12.75" customHeight="1" x14ac:dyDescent="0.2">
      <c r="B59" s="307"/>
      <c r="C59" s="327"/>
      <c r="D59" s="317"/>
      <c r="E59" s="328"/>
      <c r="F59" s="328"/>
      <c r="G59" s="327"/>
      <c r="H59" s="131">
        <v>0</v>
      </c>
      <c r="I59" s="132"/>
      <c r="J59" s="133">
        <v>0</v>
      </c>
      <c r="K59" s="109"/>
      <c r="L59" s="78">
        <v>0</v>
      </c>
      <c r="Q59" s="298" t="s">
        <v>137</v>
      </c>
      <c r="R59" s="329">
        <f>H63</f>
        <v>0</v>
      </c>
      <c r="T59" s="330"/>
      <c r="U59" s="331"/>
      <c r="W59" s="380">
        <v>46208</v>
      </c>
      <c r="X59" s="381">
        <v>46209</v>
      </c>
      <c r="Y59" s="381">
        <v>46210</v>
      </c>
      <c r="Z59" s="381">
        <v>46211</v>
      </c>
      <c r="AA59" s="381">
        <v>46212</v>
      </c>
      <c r="AB59" s="381">
        <v>46213</v>
      </c>
      <c r="AC59" s="382">
        <v>46214</v>
      </c>
      <c r="AE59" s="305" t="s">
        <v>138</v>
      </c>
      <c r="AF59" s="341">
        <f>AF57*8.8</f>
        <v>0</v>
      </c>
    </row>
    <row r="60" spans="2:32" ht="12.75" customHeight="1" x14ac:dyDescent="0.2">
      <c r="B60" s="335"/>
      <c r="C60" s="316"/>
      <c r="D60" s="309"/>
      <c r="E60" s="318"/>
      <c r="F60" s="337"/>
      <c r="G60" s="327"/>
      <c r="H60" s="131">
        <v>0</v>
      </c>
      <c r="I60" s="160"/>
      <c r="J60" s="133">
        <v>0</v>
      </c>
      <c r="K60" s="109"/>
      <c r="L60" s="78">
        <v>0</v>
      </c>
      <c r="W60" s="383">
        <v>46215</v>
      </c>
      <c r="X60" s="384">
        <v>46216</v>
      </c>
      <c r="Y60" s="384">
        <v>46217</v>
      </c>
      <c r="Z60" s="384">
        <v>46218</v>
      </c>
      <c r="AA60" s="384">
        <v>46219</v>
      </c>
      <c r="AB60" s="384">
        <v>46220</v>
      </c>
      <c r="AC60" s="385">
        <v>46221</v>
      </c>
      <c r="AE60" s="305" t="s">
        <v>140</v>
      </c>
      <c r="AF60" s="341" t="e">
        <f>(AF58-AF59)/(8.8*R61)</f>
        <v>#DIV/0!</v>
      </c>
    </row>
    <row r="61" spans="2:32" ht="12.75" customHeight="1" x14ac:dyDescent="0.2">
      <c r="B61" s="307"/>
      <c r="C61" s="308"/>
      <c r="D61" s="336"/>
      <c r="E61" s="342"/>
      <c r="F61" s="328"/>
      <c r="G61" s="327"/>
      <c r="H61" s="131">
        <v>0</v>
      </c>
      <c r="I61" s="132"/>
      <c r="J61" s="133">
        <v>0</v>
      </c>
      <c r="K61" s="109"/>
      <c r="L61" s="78">
        <v>0</v>
      </c>
      <c r="Q61" s="343" t="s">
        <v>22</v>
      </c>
      <c r="R61" s="344"/>
      <c r="T61" s="343" t="s">
        <v>141</v>
      </c>
      <c r="U61" s="345">
        <f>(O56+R58)/2</f>
        <v>5</v>
      </c>
      <c r="W61" s="386">
        <v>46222</v>
      </c>
      <c r="X61" s="387">
        <v>46223</v>
      </c>
      <c r="Y61" s="387">
        <v>46224</v>
      </c>
      <c r="Z61" s="387">
        <v>46225</v>
      </c>
      <c r="AA61" s="387">
        <v>46226</v>
      </c>
      <c r="AB61" s="387">
        <v>46227</v>
      </c>
      <c r="AC61" s="388">
        <v>46228</v>
      </c>
    </row>
    <row r="62" spans="2:32" ht="12.75" customHeight="1" x14ac:dyDescent="0.2">
      <c r="B62" s="307"/>
      <c r="C62" s="308"/>
      <c r="D62" s="336"/>
      <c r="E62" s="342"/>
      <c r="F62" s="337"/>
      <c r="G62" s="327"/>
      <c r="H62" s="131">
        <v>0</v>
      </c>
      <c r="I62" s="132"/>
      <c r="J62" s="133">
        <v>0</v>
      </c>
      <c r="K62" s="109"/>
      <c r="L62" s="78">
        <v>0</v>
      </c>
      <c r="Q62" s="343" t="s">
        <v>142</v>
      </c>
      <c r="R62" s="349"/>
      <c r="T62" s="343" t="s">
        <v>143</v>
      </c>
      <c r="U62" s="345">
        <f>R61*U61</f>
        <v>0</v>
      </c>
      <c r="W62" s="394">
        <v>46229</v>
      </c>
      <c r="X62" s="395">
        <v>46230</v>
      </c>
      <c r="Y62" s="395">
        <v>46231</v>
      </c>
      <c r="Z62" s="395">
        <v>46232</v>
      </c>
      <c r="AA62" s="395">
        <v>46233</v>
      </c>
      <c r="AB62" s="396">
        <v>46234</v>
      </c>
      <c r="AC62" s="397"/>
    </row>
    <row r="63" spans="2:32" ht="12.75" customHeight="1" x14ac:dyDescent="0.2">
      <c r="C63" s="57"/>
      <c r="D63" s="57"/>
      <c r="E63" s="356">
        <f>COUNTA(E57:E62)</f>
        <v>0</v>
      </c>
      <c r="F63" s="356">
        <f>COUNTA(F57:F62)</f>
        <v>0</v>
      </c>
      <c r="G63" s="356">
        <f>COUNTA(G57:G62)</f>
        <v>0</v>
      </c>
      <c r="H63" s="356">
        <f>SUM(H57:H62)</f>
        <v>0</v>
      </c>
      <c r="I63" s="356">
        <f>COUNTA(I57:I62)</f>
        <v>0</v>
      </c>
      <c r="J63" s="356">
        <f>SUM(J57:J62)</f>
        <v>0</v>
      </c>
      <c r="K63" s="356">
        <f>COUNTA(K57:K62)</f>
        <v>0</v>
      </c>
      <c r="L63" s="356">
        <f>SUM(L57:L62)</f>
        <v>0</v>
      </c>
    </row>
    <row r="65" spans="2:32" ht="12.75" customHeight="1" x14ac:dyDescent="0.2">
      <c r="B65" s="297" t="s">
        <v>41</v>
      </c>
      <c r="C65" s="297" t="s">
        <v>42</v>
      </c>
      <c r="D65" s="297" t="s">
        <v>43</v>
      </c>
      <c r="E65" s="297" t="s">
        <v>44</v>
      </c>
      <c r="F65" s="297" t="s">
        <v>45</v>
      </c>
      <c r="G65" s="297" t="s">
        <v>46</v>
      </c>
      <c r="H65" s="297" t="s">
        <v>49</v>
      </c>
      <c r="I65" s="297" t="s">
        <v>39</v>
      </c>
      <c r="J65" s="297" t="s">
        <v>49</v>
      </c>
      <c r="K65" s="297" t="s">
        <v>40</v>
      </c>
      <c r="L65" s="297" t="s">
        <v>49</v>
      </c>
      <c r="N65" s="298" t="s">
        <v>125</v>
      </c>
      <c r="O65" s="358">
        <f>R58</f>
        <v>5</v>
      </c>
      <c r="Q65" s="298" t="s">
        <v>44</v>
      </c>
      <c r="R65" s="300">
        <f>E72</f>
        <v>0</v>
      </c>
      <c r="T65" s="298" t="s">
        <v>39</v>
      </c>
      <c r="U65" s="301">
        <f>J72</f>
        <v>0</v>
      </c>
      <c r="W65" s="302"/>
      <c r="X65" s="303"/>
      <c r="Y65" s="789" t="s">
        <v>152</v>
      </c>
      <c r="Z65" s="789"/>
      <c r="AA65" s="789"/>
      <c r="AB65" s="303"/>
      <c r="AC65" s="304"/>
      <c r="AE65" s="305" t="s">
        <v>127</v>
      </c>
      <c r="AF65" s="306">
        <f>(U71-U66-U65-R68)</f>
        <v>0</v>
      </c>
    </row>
    <row r="66" spans="2:32" ht="12.75" customHeight="1" x14ac:dyDescent="0.2">
      <c r="B66" s="307"/>
      <c r="C66" s="372"/>
      <c r="D66" s="363"/>
      <c r="E66" s="310"/>
      <c r="F66" s="311"/>
      <c r="G66" s="294"/>
      <c r="H66" s="131">
        <v>0</v>
      </c>
      <c r="I66" s="132"/>
      <c r="J66" s="133">
        <v>0</v>
      </c>
      <c r="K66" s="109"/>
      <c r="L66" s="78">
        <v>0</v>
      </c>
      <c r="Q66" s="298" t="s">
        <v>45</v>
      </c>
      <c r="R66" s="301">
        <f>F72</f>
        <v>0</v>
      </c>
      <c r="T66" s="298" t="s">
        <v>40</v>
      </c>
      <c r="U66" s="301">
        <f>L72</f>
        <v>0</v>
      </c>
      <c r="W66" s="312" t="s">
        <v>128</v>
      </c>
      <c r="X66" s="313" t="s">
        <v>129</v>
      </c>
      <c r="Y66" s="313" t="s">
        <v>130</v>
      </c>
      <c r="Z66" s="313" t="s">
        <v>131</v>
      </c>
      <c r="AA66" s="313" t="s">
        <v>132</v>
      </c>
      <c r="AB66" s="313" t="s">
        <v>133</v>
      </c>
      <c r="AC66" s="314" t="s">
        <v>134</v>
      </c>
      <c r="AE66" s="305" t="s">
        <v>135</v>
      </c>
      <c r="AF66" s="315">
        <f>U71-AF65</f>
        <v>0</v>
      </c>
    </row>
    <row r="67" spans="2:32" ht="12.75" customHeight="1" x14ac:dyDescent="0.2">
      <c r="B67" s="307"/>
      <c r="C67" s="316"/>
      <c r="D67" s="309"/>
      <c r="E67" s="318"/>
      <c r="F67" s="294"/>
      <c r="G67" s="294"/>
      <c r="H67" s="131">
        <v>0</v>
      </c>
      <c r="I67" s="160"/>
      <c r="J67" s="133">
        <v>0</v>
      </c>
      <c r="K67" s="109"/>
      <c r="L67" s="78">
        <v>0</v>
      </c>
      <c r="Q67" s="319" t="s">
        <v>56</v>
      </c>
      <c r="R67" s="301">
        <f>O65+R65-R66</f>
        <v>5</v>
      </c>
      <c r="T67" s="298" t="s">
        <v>59</v>
      </c>
      <c r="U67" s="301">
        <f>K72</f>
        <v>0</v>
      </c>
      <c r="W67" s="320"/>
      <c r="X67" s="321"/>
      <c r="Y67" s="321"/>
      <c r="Z67" s="321"/>
      <c r="AA67" s="321"/>
      <c r="AB67" s="322"/>
      <c r="AC67" s="398">
        <v>46235</v>
      </c>
      <c r="AE67" s="305" t="s">
        <v>136</v>
      </c>
      <c r="AF67" s="341">
        <f>(R67*8.8)*R70</f>
        <v>0</v>
      </c>
    </row>
    <row r="68" spans="2:32" ht="12.75" customHeight="1" x14ac:dyDescent="0.2">
      <c r="B68" s="307"/>
      <c r="C68" s="327"/>
      <c r="D68" s="317"/>
      <c r="E68" s="328"/>
      <c r="F68" s="328"/>
      <c r="G68" s="327"/>
      <c r="H68" s="131">
        <v>0</v>
      </c>
      <c r="I68" s="132"/>
      <c r="J68" s="133">
        <v>0</v>
      </c>
      <c r="K68" s="109"/>
      <c r="L68" s="78">
        <v>0</v>
      </c>
      <c r="Q68" s="298" t="s">
        <v>137</v>
      </c>
      <c r="R68" s="329">
        <f>H72</f>
        <v>0</v>
      </c>
      <c r="T68" s="330"/>
      <c r="U68" s="331"/>
      <c r="W68" s="380">
        <v>46236</v>
      </c>
      <c r="X68" s="381">
        <v>46237</v>
      </c>
      <c r="Y68" s="381">
        <v>46238</v>
      </c>
      <c r="Z68" s="381">
        <v>46239</v>
      </c>
      <c r="AA68" s="381">
        <v>46240</v>
      </c>
      <c r="AB68" s="381">
        <v>46241</v>
      </c>
      <c r="AC68" s="382">
        <v>46242</v>
      </c>
      <c r="AE68" s="305" t="s">
        <v>138</v>
      </c>
      <c r="AF68" s="341">
        <f>AF66*8.8</f>
        <v>0</v>
      </c>
    </row>
    <row r="69" spans="2:32" ht="12.75" customHeight="1" x14ac:dyDescent="0.2">
      <c r="B69" s="335"/>
      <c r="C69" s="316"/>
      <c r="D69" s="309"/>
      <c r="E69" s="318"/>
      <c r="F69" s="337"/>
      <c r="G69" s="327"/>
      <c r="H69" s="131">
        <v>0</v>
      </c>
      <c r="I69" s="160"/>
      <c r="J69" s="133">
        <v>0</v>
      </c>
      <c r="K69" s="109"/>
      <c r="L69" s="78">
        <v>0</v>
      </c>
      <c r="W69" s="383">
        <v>46243</v>
      </c>
      <c r="X69" s="384">
        <v>46244</v>
      </c>
      <c r="Y69" s="384">
        <v>46245</v>
      </c>
      <c r="Z69" s="384">
        <v>46246</v>
      </c>
      <c r="AA69" s="384">
        <v>46247</v>
      </c>
      <c r="AB69" s="384">
        <v>46248</v>
      </c>
      <c r="AC69" s="385">
        <v>46249</v>
      </c>
      <c r="AE69" s="305" t="s">
        <v>140</v>
      </c>
      <c r="AF69" s="341" t="e">
        <f>(AF67-AF68)/(8.8*R70)</f>
        <v>#DIV/0!</v>
      </c>
    </row>
    <row r="70" spans="2:32" ht="12.75" customHeight="1" x14ac:dyDescent="0.2">
      <c r="B70" s="307"/>
      <c r="C70" s="308"/>
      <c r="D70" s="336"/>
      <c r="E70" s="342"/>
      <c r="F70" s="328"/>
      <c r="G70" s="327"/>
      <c r="H70" s="131">
        <v>0</v>
      </c>
      <c r="I70" s="132"/>
      <c r="J70" s="133">
        <v>0</v>
      </c>
      <c r="K70" s="109"/>
      <c r="L70" s="78">
        <v>0</v>
      </c>
      <c r="Q70" s="343" t="s">
        <v>22</v>
      </c>
      <c r="R70" s="344"/>
      <c r="T70" s="343" t="s">
        <v>141</v>
      </c>
      <c r="U70" s="345">
        <f>(O65+R67)/2</f>
        <v>5</v>
      </c>
      <c r="W70" s="383">
        <v>46250</v>
      </c>
      <c r="X70" s="384">
        <v>46251</v>
      </c>
      <c r="Y70" s="384">
        <v>46252</v>
      </c>
      <c r="Z70" s="384">
        <v>46253</v>
      </c>
      <c r="AA70" s="384">
        <v>46254</v>
      </c>
      <c r="AB70" s="384">
        <v>46255</v>
      </c>
      <c r="AC70" s="385">
        <v>46256</v>
      </c>
    </row>
    <row r="71" spans="2:32" ht="12.75" customHeight="1" x14ac:dyDescent="0.2">
      <c r="B71" s="307"/>
      <c r="C71" s="308"/>
      <c r="D71" s="336"/>
      <c r="E71" s="342"/>
      <c r="F71" s="337"/>
      <c r="G71" s="327"/>
      <c r="H71" s="131">
        <v>0</v>
      </c>
      <c r="I71" s="132"/>
      <c r="J71" s="133">
        <v>0</v>
      </c>
      <c r="K71" s="109"/>
      <c r="L71" s="78">
        <v>0</v>
      </c>
      <c r="Q71" s="343" t="s">
        <v>142</v>
      </c>
      <c r="R71" s="349"/>
      <c r="T71" s="343" t="s">
        <v>143</v>
      </c>
      <c r="U71" s="345">
        <f>R70*U70</f>
        <v>0</v>
      </c>
      <c r="W71" s="386">
        <v>46257</v>
      </c>
      <c r="X71" s="387">
        <v>46258</v>
      </c>
      <c r="Y71" s="387">
        <v>46259</v>
      </c>
      <c r="Z71" s="387">
        <v>46260</v>
      </c>
      <c r="AA71" s="387">
        <v>46261</v>
      </c>
      <c r="AB71" s="387">
        <v>46262</v>
      </c>
      <c r="AC71" s="388">
        <v>46263</v>
      </c>
    </row>
    <row r="72" spans="2:32" ht="12.75" customHeight="1" x14ac:dyDescent="0.2">
      <c r="C72" s="57"/>
      <c r="D72" s="57"/>
      <c r="E72" s="356">
        <f>COUNTA(E66:E71)</f>
        <v>0</v>
      </c>
      <c r="F72" s="356">
        <f>COUNTA(F66:F71)</f>
        <v>0</v>
      </c>
      <c r="G72" s="356">
        <f>COUNTA(G66:G71)</f>
        <v>0</v>
      </c>
      <c r="H72" s="356">
        <f>SUM(H66:H71)</f>
        <v>0</v>
      </c>
      <c r="I72" s="356">
        <f>COUNTA(I66:I71)</f>
        <v>0</v>
      </c>
      <c r="J72" s="356">
        <f>SUM(J66:J71)</f>
        <v>0</v>
      </c>
      <c r="K72" s="356">
        <f>COUNTA(K66:K71)</f>
        <v>0</v>
      </c>
      <c r="L72" s="356">
        <f>SUM(L66:L71)</f>
        <v>0</v>
      </c>
      <c r="W72" s="394">
        <v>46264</v>
      </c>
      <c r="X72" s="396">
        <v>46265</v>
      </c>
      <c r="Y72" s="365"/>
      <c r="Z72" s="366"/>
      <c r="AA72" s="366"/>
      <c r="AB72" s="366"/>
      <c r="AC72" s="367"/>
    </row>
    <row r="74" spans="2:32" ht="12.75" customHeight="1" x14ac:dyDescent="0.2">
      <c r="B74" s="297" t="s">
        <v>41</v>
      </c>
      <c r="C74" s="297" t="s">
        <v>42</v>
      </c>
      <c r="D74" s="297" t="s">
        <v>43</v>
      </c>
      <c r="E74" s="297" t="s">
        <v>44</v>
      </c>
      <c r="F74" s="297" t="s">
        <v>45</v>
      </c>
      <c r="G74" s="297" t="s">
        <v>46</v>
      </c>
      <c r="H74" s="297" t="s">
        <v>49</v>
      </c>
      <c r="I74" s="297" t="s">
        <v>39</v>
      </c>
      <c r="J74" s="297" t="s">
        <v>49</v>
      </c>
      <c r="K74" s="297" t="s">
        <v>40</v>
      </c>
      <c r="L74" s="297" t="s">
        <v>49</v>
      </c>
      <c r="N74" s="298" t="s">
        <v>125</v>
      </c>
      <c r="O74" s="358">
        <f>R67</f>
        <v>5</v>
      </c>
      <c r="Q74" s="298" t="s">
        <v>44</v>
      </c>
      <c r="R74" s="300">
        <f>E81</f>
        <v>0</v>
      </c>
      <c r="T74" s="298" t="s">
        <v>39</v>
      </c>
      <c r="U74" s="301">
        <f>J81</f>
        <v>0</v>
      </c>
    </row>
    <row r="75" spans="2:32" ht="12.75" customHeight="1" x14ac:dyDescent="0.2">
      <c r="B75" s="307"/>
      <c r="C75" s="372"/>
      <c r="D75" s="363"/>
      <c r="E75" s="310"/>
      <c r="F75" s="311"/>
      <c r="G75" s="294"/>
      <c r="H75" s="131">
        <v>0</v>
      </c>
      <c r="I75" s="132"/>
      <c r="J75" s="133">
        <v>0</v>
      </c>
      <c r="K75" s="109"/>
      <c r="L75" s="78">
        <v>0</v>
      </c>
      <c r="Q75" s="298" t="s">
        <v>45</v>
      </c>
      <c r="R75" s="301">
        <f>F81</f>
        <v>0</v>
      </c>
      <c r="T75" s="298" t="s">
        <v>40</v>
      </c>
      <c r="U75" s="301">
        <f>L81</f>
        <v>0</v>
      </c>
      <c r="W75" s="302"/>
      <c r="X75" s="303"/>
      <c r="Y75" s="789" t="s">
        <v>153</v>
      </c>
      <c r="Z75" s="789"/>
      <c r="AA75" s="789"/>
      <c r="AB75" s="303"/>
      <c r="AC75" s="304"/>
      <c r="AE75" s="305" t="s">
        <v>127</v>
      </c>
      <c r="AF75" s="306">
        <f>(U81-U76-U75-R78)</f>
        <v>0</v>
      </c>
    </row>
    <row r="76" spans="2:32" ht="12.75" customHeight="1" x14ac:dyDescent="0.2">
      <c r="B76" s="307"/>
      <c r="C76" s="316"/>
      <c r="D76" s="309"/>
      <c r="E76" s="318"/>
      <c r="F76" s="294"/>
      <c r="G76" s="294"/>
      <c r="H76" s="131">
        <v>0</v>
      </c>
      <c r="I76" s="160"/>
      <c r="J76" s="133">
        <v>0</v>
      </c>
      <c r="K76" s="109"/>
      <c r="L76" s="78">
        <v>0</v>
      </c>
      <c r="Q76" s="319" t="s">
        <v>56</v>
      </c>
      <c r="R76" s="301">
        <f>O74+R74-R75</f>
        <v>5</v>
      </c>
      <c r="T76" s="298" t="s">
        <v>59</v>
      </c>
      <c r="U76" s="301">
        <f>K81</f>
        <v>0</v>
      </c>
      <c r="W76" s="312" t="s">
        <v>128</v>
      </c>
      <c r="X76" s="313" t="s">
        <v>129</v>
      </c>
      <c r="Y76" s="313" t="s">
        <v>130</v>
      </c>
      <c r="Z76" s="313" t="s">
        <v>131</v>
      </c>
      <c r="AA76" s="313" t="s">
        <v>132</v>
      </c>
      <c r="AB76" s="313" t="s">
        <v>133</v>
      </c>
      <c r="AC76" s="314" t="s">
        <v>134</v>
      </c>
      <c r="AE76" s="305" t="s">
        <v>135</v>
      </c>
      <c r="AF76" s="315">
        <f>U81-AF75</f>
        <v>0</v>
      </c>
    </row>
    <row r="77" spans="2:32" ht="12.75" customHeight="1" x14ac:dyDescent="0.2">
      <c r="B77" s="307"/>
      <c r="C77" s="327"/>
      <c r="D77" s="317"/>
      <c r="E77" s="328"/>
      <c r="F77" s="328"/>
      <c r="G77" s="327"/>
      <c r="H77" s="131">
        <v>0</v>
      </c>
      <c r="I77" s="132"/>
      <c r="J77" s="133">
        <v>0</v>
      </c>
      <c r="K77" s="109"/>
      <c r="L77" s="78">
        <v>0</v>
      </c>
      <c r="Q77" s="298" t="s">
        <v>137</v>
      </c>
      <c r="R77" s="329">
        <f>H81</f>
        <v>0</v>
      </c>
      <c r="T77" s="330"/>
      <c r="U77" s="331"/>
      <c r="W77" s="320"/>
      <c r="X77" s="322"/>
      <c r="Y77" s="391">
        <v>46266</v>
      </c>
      <c r="Z77" s="392">
        <v>46267</v>
      </c>
      <c r="AA77" s="392">
        <v>46268</v>
      </c>
      <c r="AB77" s="392">
        <v>46269</v>
      </c>
      <c r="AC77" s="379">
        <v>46270</v>
      </c>
      <c r="AE77" s="305" t="s">
        <v>136</v>
      </c>
      <c r="AF77" s="341">
        <f>(R77*8.8)*R80</f>
        <v>0</v>
      </c>
    </row>
    <row r="78" spans="2:32" ht="12.75" customHeight="1" x14ac:dyDescent="0.2">
      <c r="B78" s="335"/>
      <c r="C78" s="316"/>
      <c r="D78" s="309"/>
      <c r="E78" s="318"/>
      <c r="F78" s="337"/>
      <c r="G78" s="327"/>
      <c r="H78" s="131">
        <v>0</v>
      </c>
      <c r="I78" s="160"/>
      <c r="J78" s="133">
        <v>0</v>
      </c>
      <c r="K78" s="109"/>
      <c r="L78" s="78">
        <v>0</v>
      </c>
      <c r="W78" s="380">
        <v>46271</v>
      </c>
      <c r="X78" s="399">
        <v>46272</v>
      </c>
      <c r="Y78" s="381">
        <v>46273</v>
      </c>
      <c r="Z78" s="381">
        <v>46274</v>
      </c>
      <c r="AA78" s="381">
        <v>46275</v>
      </c>
      <c r="AB78" s="381">
        <v>46276</v>
      </c>
      <c r="AC78" s="382">
        <v>46277</v>
      </c>
      <c r="AE78" s="305" t="s">
        <v>138</v>
      </c>
      <c r="AF78" s="341">
        <f>AF76*8.8</f>
        <v>0</v>
      </c>
    </row>
    <row r="79" spans="2:32" ht="12.75" customHeight="1" x14ac:dyDescent="0.2">
      <c r="B79" s="307"/>
      <c r="C79" s="308"/>
      <c r="D79" s="336"/>
      <c r="E79" s="342"/>
      <c r="F79" s="328"/>
      <c r="G79" s="327"/>
      <c r="H79" s="131">
        <v>0</v>
      </c>
      <c r="I79" s="132"/>
      <c r="J79" s="133">
        <v>0</v>
      </c>
      <c r="K79" s="109"/>
      <c r="L79" s="78">
        <v>0</v>
      </c>
      <c r="Q79" s="343" t="s">
        <v>22</v>
      </c>
      <c r="R79" s="344"/>
      <c r="T79" s="343" t="s">
        <v>141</v>
      </c>
      <c r="U79" s="345">
        <f>(O74+R76)/2</f>
        <v>5</v>
      </c>
      <c r="W79" s="383">
        <v>46278</v>
      </c>
      <c r="X79" s="384">
        <v>46279</v>
      </c>
      <c r="Y79" s="384">
        <v>46280</v>
      </c>
      <c r="Z79" s="384">
        <v>46281</v>
      </c>
      <c r="AA79" s="384">
        <v>46282</v>
      </c>
      <c r="AB79" s="384">
        <v>46283</v>
      </c>
      <c r="AC79" s="385">
        <v>46284</v>
      </c>
      <c r="AE79" s="305" t="s">
        <v>140</v>
      </c>
      <c r="AF79" s="341" t="e">
        <f>(AF77-AF78)/(8.8*R80)</f>
        <v>#DIV/0!</v>
      </c>
    </row>
    <row r="80" spans="2:32" ht="12.75" customHeight="1" x14ac:dyDescent="0.2">
      <c r="B80" s="307"/>
      <c r="C80" s="308"/>
      <c r="D80" s="336"/>
      <c r="E80" s="342"/>
      <c r="F80" s="337"/>
      <c r="G80" s="327"/>
      <c r="H80" s="131">
        <v>0</v>
      </c>
      <c r="I80" s="132"/>
      <c r="J80" s="133">
        <v>0</v>
      </c>
      <c r="K80" s="109"/>
      <c r="L80" s="78">
        <v>0</v>
      </c>
      <c r="Q80" s="343" t="s">
        <v>142</v>
      </c>
      <c r="R80" s="349"/>
      <c r="T80" s="343" t="s">
        <v>143</v>
      </c>
      <c r="U80" s="345">
        <f>R79*U79</f>
        <v>0</v>
      </c>
      <c r="W80" s="386">
        <v>46285</v>
      </c>
      <c r="X80" s="387">
        <v>46286</v>
      </c>
      <c r="Y80" s="387">
        <v>46287</v>
      </c>
      <c r="Z80" s="387">
        <v>46288</v>
      </c>
      <c r="AA80" s="387">
        <v>46289</v>
      </c>
      <c r="AB80" s="387">
        <v>46290</v>
      </c>
      <c r="AC80" s="388">
        <v>46291</v>
      </c>
    </row>
    <row r="81" spans="2:32" ht="12.75" customHeight="1" x14ac:dyDescent="0.2">
      <c r="C81" s="57"/>
      <c r="D81" s="57"/>
      <c r="E81" s="356">
        <f>COUNTA(E75:E80)</f>
        <v>0</v>
      </c>
      <c r="F81" s="356">
        <f>COUNTA(F75:F80)</f>
        <v>0</v>
      </c>
      <c r="G81" s="356">
        <f>COUNTA(G75:G80)</f>
        <v>0</v>
      </c>
      <c r="H81" s="356">
        <f>SUM(H75:H80)</f>
        <v>0</v>
      </c>
      <c r="I81" s="356">
        <f>COUNTA(I75:I80)</f>
        <v>0</v>
      </c>
      <c r="J81" s="356">
        <f>SUM(J75:J80)</f>
        <v>0</v>
      </c>
      <c r="K81" s="356">
        <f>COUNTA(K75:K80)</f>
        <v>0</v>
      </c>
      <c r="L81" s="356">
        <f>SUM(L75:L80)</f>
        <v>0</v>
      </c>
      <c r="W81" s="394">
        <v>46292</v>
      </c>
      <c r="X81" s="395">
        <v>46293</v>
      </c>
      <c r="Y81" s="395">
        <v>46294</v>
      </c>
      <c r="Z81" s="396">
        <v>46295</v>
      </c>
      <c r="AA81" s="365"/>
      <c r="AB81" s="366"/>
      <c r="AC81" s="367"/>
    </row>
    <row r="83" spans="2:32" ht="12.75" customHeight="1" x14ac:dyDescent="0.2">
      <c r="B83" s="297" t="s">
        <v>41</v>
      </c>
      <c r="C83" s="297" t="s">
        <v>42</v>
      </c>
      <c r="D83" s="297" t="s">
        <v>43</v>
      </c>
      <c r="E83" s="297" t="s">
        <v>44</v>
      </c>
      <c r="F83" s="297" t="s">
        <v>45</v>
      </c>
      <c r="G83" s="297" t="s">
        <v>46</v>
      </c>
      <c r="H83" s="297" t="s">
        <v>49</v>
      </c>
      <c r="I83" s="297" t="s">
        <v>39</v>
      </c>
      <c r="J83" s="297" t="s">
        <v>49</v>
      </c>
      <c r="K83" s="297" t="s">
        <v>40</v>
      </c>
      <c r="L83" s="297" t="s">
        <v>49</v>
      </c>
      <c r="N83" s="298" t="s">
        <v>125</v>
      </c>
      <c r="O83" s="358">
        <f>R76</f>
        <v>5</v>
      </c>
      <c r="Q83" s="298" t="s">
        <v>44</v>
      </c>
      <c r="R83" s="300">
        <f>E90</f>
        <v>0</v>
      </c>
      <c r="T83" s="298" t="s">
        <v>39</v>
      </c>
      <c r="U83" s="301">
        <f>J90</f>
        <v>0</v>
      </c>
      <c r="W83" s="302"/>
      <c r="X83" s="303"/>
      <c r="Y83" s="789" t="s">
        <v>154</v>
      </c>
      <c r="Z83" s="789"/>
      <c r="AA83" s="789"/>
      <c r="AB83" s="303"/>
      <c r="AC83" s="304"/>
      <c r="AE83" s="305" t="s">
        <v>127</v>
      </c>
      <c r="AF83" s="306">
        <f>(U89-U84-U83-R86)</f>
        <v>0</v>
      </c>
    </row>
    <row r="84" spans="2:32" ht="12.75" customHeight="1" x14ac:dyDescent="0.2">
      <c r="B84" s="307"/>
      <c r="C84" s="372"/>
      <c r="D84" s="363"/>
      <c r="E84" s="310"/>
      <c r="F84" s="311"/>
      <c r="G84" s="294"/>
      <c r="H84" s="131">
        <v>0</v>
      </c>
      <c r="I84" s="132"/>
      <c r="J84" s="133">
        <v>0</v>
      </c>
      <c r="K84" s="109"/>
      <c r="L84" s="78">
        <v>0</v>
      </c>
      <c r="Q84" s="298" t="s">
        <v>45</v>
      </c>
      <c r="R84" s="301">
        <f>F90</f>
        <v>0</v>
      </c>
      <c r="T84" s="298" t="s">
        <v>40</v>
      </c>
      <c r="U84" s="301">
        <f>L90</f>
        <v>0</v>
      </c>
      <c r="W84" s="312" t="s">
        <v>128</v>
      </c>
      <c r="X84" s="313" t="s">
        <v>129</v>
      </c>
      <c r="Y84" s="313" t="s">
        <v>130</v>
      </c>
      <c r="Z84" s="313" t="s">
        <v>131</v>
      </c>
      <c r="AA84" s="313" t="s">
        <v>132</v>
      </c>
      <c r="AB84" s="313" t="s">
        <v>133</v>
      </c>
      <c r="AC84" s="314" t="s">
        <v>134</v>
      </c>
      <c r="AE84" s="305" t="s">
        <v>135</v>
      </c>
      <c r="AF84" s="315">
        <f>U89-AF83</f>
        <v>0</v>
      </c>
    </row>
    <row r="85" spans="2:32" ht="12.75" customHeight="1" x14ac:dyDescent="0.2">
      <c r="B85" s="307"/>
      <c r="C85" s="316"/>
      <c r="D85" s="309"/>
      <c r="E85" s="318"/>
      <c r="F85" s="294"/>
      <c r="G85" s="294"/>
      <c r="H85" s="131">
        <v>0</v>
      </c>
      <c r="I85" s="160"/>
      <c r="J85" s="133">
        <v>0</v>
      </c>
      <c r="K85" s="109"/>
      <c r="L85" s="78">
        <v>0</v>
      </c>
      <c r="Q85" s="319" t="s">
        <v>56</v>
      </c>
      <c r="R85" s="301">
        <f>O83+R83-R84</f>
        <v>5</v>
      </c>
      <c r="T85" s="298" t="s">
        <v>59</v>
      </c>
      <c r="U85" s="301">
        <f>K90</f>
        <v>0</v>
      </c>
      <c r="W85" s="320"/>
      <c r="X85" s="321"/>
      <c r="Y85" s="321"/>
      <c r="Z85" s="322"/>
      <c r="AA85" s="391">
        <v>46296</v>
      </c>
      <c r="AB85" s="392">
        <v>46297</v>
      </c>
      <c r="AC85" s="379">
        <v>46298</v>
      </c>
      <c r="AE85" s="305" t="s">
        <v>136</v>
      </c>
      <c r="AF85" s="341">
        <f>(R85*8.8)*R88</f>
        <v>0</v>
      </c>
    </row>
    <row r="86" spans="2:32" ht="12.75" customHeight="1" x14ac:dyDescent="0.2">
      <c r="B86" s="307"/>
      <c r="C86" s="327"/>
      <c r="D86" s="317"/>
      <c r="E86" s="328"/>
      <c r="F86" s="328"/>
      <c r="G86" s="327"/>
      <c r="H86" s="131">
        <v>0</v>
      </c>
      <c r="I86" s="132"/>
      <c r="J86" s="133">
        <v>0</v>
      </c>
      <c r="K86" s="109"/>
      <c r="L86" s="78">
        <v>0</v>
      </c>
      <c r="Q86" s="298" t="s">
        <v>137</v>
      </c>
      <c r="R86" s="329">
        <f>H90</f>
        <v>0</v>
      </c>
      <c r="T86" s="330"/>
      <c r="U86" s="331"/>
      <c r="W86" s="380">
        <v>46299</v>
      </c>
      <c r="X86" s="381">
        <v>46300</v>
      </c>
      <c r="Y86" s="381">
        <v>46301</v>
      </c>
      <c r="Z86" s="381">
        <v>46302</v>
      </c>
      <c r="AA86" s="381">
        <v>46303</v>
      </c>
      <c r="AB86" s="381">
        <v>46304</v>
      </c>
      <c r="AC86" s="382">
        <v>46305</v>
      </c>
      <c r="AE86" s="305" t="s">
        <v>138</v>
      </c>
      <c r="AF86" s="341">
        <f>AF84*8.8</f>
        <v>0</v>
      </c>
    </row>
    <row r="87" spans="2:32" ht="12.75" customHeight="1" x14ac:dyDescent="0.2">
      <c r="B87" s="335"/>
      <c r="C87" s="316"/>
      <c r="D87" s="309"/>
      <c r="E87" s="318"/>
      <c r="F87" s="337"/>
      <c r="G87" s="327"/>
      <c r="H87" s="131">
        <v>0</v>
      </c>
      <c r="I87" s="160"/>
      <c r="J87" s="133">
        <v>0</v>
      </c>
      <c r="K87" s="109"/>
      <c r="L87" s="78">
        <v>0</v>
      </c>
      <c r="W87" s="383">
        <v>46306</v>
      </c>
      <c r="X87" s="400">
        <v>46307</v>
      </c>
      <c r="Y87" s="384">
        <v>46308</v>
      </c>
      <c r="Z87" s="384">
        <v>46309</v>
      </c>
      <c r="AA87" s="384">
        <v>46310</v>
      </c>
      <c r="AB87" s="384">
        <v>46311</v>
      </c>
      <c r="AC87" s="385">
        <v>46312</v>
      </c>
      <c r="AE87" s="305" t="s">
        <v>140</v>
      </c>
      <c r="AF87" s="341" t="e">
        <f>(AF85-AF86)/(8.8*R88)</f>
        <v>#DIV/0!</v>
      </c>
    </row>
    <row r="88" spans="2:32" ht="12.75" customHeight="1" x14ac:dyDescent="0.2">
      <c r="B88" s="307"/>
      <c r="C88" s="308"/>
      <c r="D88" s="336"/>
      <c r="E88" s="342"/>
      <c r="F88" s="328"/>
      <c r="G88" s="327"/>
      <c r="H88" s="131">
        <v>0</v>
      </c>
      <c r="I88" s="132"/>
      <c r="J88" s="133">
        <v>0</v>
      </c>
      <c r="K88" s="109"/>
      <c r="L88" s="78">
        <v>0</v>
      </c>
      <c r="Q88" s="343" t="s">
        <v>22</v>
      </c>
      <c r="R88" s="344"/>
      <c r="T88" s="343" t="s">
        <v>141</v>
      </c>
      <c r="U88" s="345">
        <f>(O83+R85)/2</f>
        <v>5</v>
      </c>
      <c r="W88" s="386">
        <v>46313</v>
      </c>
      <c r="X88" s="387">
        <v>46314</v>
      </c>
      <c r="Y88" s="387">
        <v>46315</v>
      </c>
      <c r="Z88" s="387">
        <v>46316</v>
      </c>
      <c r="AA88" s="387">
        <v>46317</v>
      </c>
      <c r="AB88" s="387">
        <v>46318</v>
      </c>
      <c r="AC88" s="388">
        <v>46319</v>
      </c>
    </row>
    <row r="89" spans="2:32" ht="12.75" customHeight="1" x14ac:dyDescent="0.2">
      <c r="B89" s="307"/>
      <c r="C89" s="308"/>
      <c r="D89" s="336"/>
      <c r="E89" s="342"/>
      <c r="F89" s="337"/>
      <c r="G89" s="327"/>
      <c r="H89" s="131">
        <v>0</v>
      </c>
      <c r="I89" s="132"/>
      <c r="J89" s="133">
        <v>0</v>
      </c>
      <c r="K89" s="109"/>
      <c r="L89" s="78">
        <v>0</v>
      </c>
      <c r="Q89" s="343" t="s">
        <v>142</v>
      </c>
      <c r="R89" s="349"/>
      <c r="T89" s="343" t="s">
        <v>143</v>
      </c>
      <c r="U89" s="345">
        <f>R88*U88</f>
        <v>0</v>
      </c>
      <c r="W89" s="394">
        <v>46320</v>
      </c>
      <c r="X89" s="395">
        <v>46321</v>
      </c>
      <c r="Y89" s="395">
        <v>46322</v>
      </c>
      <c r="Z89" s="401">
        <v>46323</v>
      </c>
      <c r="AA89" s="395">
        <v>46324</v>
      </c>
      <c r="AB89" s="395">
        <v>46325</v>
      </c>
      <c r="AC89" s="402">
        <v>46326</v>
      </c>
    </row>
    <row r="90" spans="2:32" ht="12.75" customHeight="1" x14ac:dyDescent="0.2">
      <c r="C90" s="57"/>
      <c r="D90" s="57"/>
      <c r="E90" s="356">
        <f>COUNTA(E84:E89)</f>
        <v>0</v>
      </c>
      <c r="F90" s="356">
        <f>COUNTA(F84:F89)</f>
        <v>0</v>
      </c>
      <c r="G90" s="356">
        <f>COUNTA(G84:G89)</f>
        <v>0</v>
      </c>
      <c r="H90" s="356">
        <f>SUM(H84:H89)</f>
        <v>0</v>
      </c>
      <c r="I90" s="356">
        <f>COUNTA(I84:I89)</f>
        <v>0</v>
      </c>
      <c r="J90" s="356">
        <f>SUM(J84:J89)</f>
        <v>0</v>
      </c>
      <c r="K90" s="356">
        <f>COUNTA(K84:K89)</f>
        <v>0</v>
      </c>
      <c r="L90" s="356">
        <f>SUM(L84:L89)</f>
        <v>0</v>
      </c>
    </row>
    <row r="92" spans="2:32" ht="12.75" customHeight="1" x14ac:dyDescent="0.2">
      <c r="B92" s="297" t="s">
        <v>41</v>
      </c>
      <c r="C92" s="297" t="s">
        <v>42</v>
      </c>
      <c r="D92" s="297" t="s">
        <v>43</v>
      </c>
      <c r="E92" s="297" t="s">
        <v>44</v>
      </c>
      <c r="F92" s="297" t="s">
        <v>45</v>
      </c>
      <c r="G92" s="297" t="s">
        <v>46</v>
      </c>
      <c r="H92" s="297" t="s">
        <v>49</v>
      </c>
      <c r="I92" s="297" t="s">
        <v>39</v>
      </c>
      <c r="J92" s="297" t="s">
        <v>49</v>
      </c>
      <c r="K92" s="297" t="s">
        <v>40</v>
      </c>
      <c r="L92" s="297" t="s">
        <v>49</v>
      </c>
      <c r="N92" s="298" t="s">
        <v>125</v>
      </c>
      <c r="O92" s="358">
        <f>R85</f>
        <v>5</v>
      </c>
      <c r="Q92" s="298" t="s">
        <v>44</v>
      </c>
      <c r="R92" s="300">
        <f>E99</f>
        <v>0</v>
      </c>
      <c r="T92" s="298" t="s">
        <v>39</v>
      </c>
      <c r="U92" s="301">
        <f>J99</f>
        <v>0</v>
      </c>
      <c r="W92" s="302"/>
      <c r="X92" s="303"/>
      <c r="Y92" s="789" t="s">
        <v>155</v>
      </c>
      <c r="Z92" s="789"/>
      <c r="AA92" s="789"/>
      <c r="AB92" s="303"/>
      <c r="AC92" s="304"/>
      <c r="AE92" s="305" t="s">
        <v>127</v>
      </c>
      <c r="AF92" s="306">
        <f>(U98-U93-U92-R95)</f>
        <v>0</v>
      </c>
    </row>
    <row r="93" spans="2:32" ht="12.75" customHeight="1" x14ac:dyDescent="0.2">
      <c r="B93" s="307"/>
      <c r="C93" s="372"/>
      <c r="D93" s="363"/>
      <c r="E93" s="310"/>
      <c r="F93" s="311"/>
      <c r="G93" s="294"/>
      <c r="H93" s="131">
        <v>0</v>
      </c>
      <c r="I93" s="132"/>
      <c r="J93" s="133">
        <v>0</v>
      </c>
      <c r="K93" s="109"/>
      <c r="L93" s="78">
        <v>0</v>
      </c>
      <c r="Q93" s="298" t="s">
        <v>45</v>
      </c>
      <c r="R93" s="301">
        <f>F99</f>
        <v>0</v>
      </c>
      <c r="T93" s="298" t="s">
        <v>40</v>
      </c>
      <c r="U93" s="301">
        <f>L99</f>
        <v>0</v>
      </c>
      <c r="W93" s="312" t="s">
        <v>128</v>
      </c>
      <c r="X93" s="313" t="s">
        <v>129</v>
      </c>
      <c r="Y93" s="313" t="s">
        <v>130</v>
      </c>
      <c r="Z93" s="313" t="s">
        <v>131</v>
      </c>
      <c r="AA93" s="313" t="s">
        <v>132</v>
      </c>
      <c r="AB93" s="313" t="s">
        <v>133</v>
      </c>
      <c r="AC93" s="314" t="s">
        <v>134</v>
      </c>
      <c r="AE93" s="305" t="s">
        <v>135</v>
      </c>
      <c r="AF93" s="315">
        <f>U98-AF92</f>
        <v>0</v>
      </c>
    </row>
    <row r="94" spans="2:32" ht="12.75" customHeight="1" x14ac:dyDescent="0.2">
      <c r="B94" s="307"/>
      <c r="C94" s="316"/>
      <c r="D94" s="309"/>
      <c r="E94" s="318"/>
      <c r="F94" s="294"/>
      <c r="G94" s="294"/>
      <c r="H94" s="131">
        <v>0</v>
      </c>
      <c r="I94" s="160"/>
      <c r="J94" s="133">
        <v>0</v>
      </c>
      <c r="K94" s="109"/>
      <c r="L94" s="78">
        <v>0</v>
      </c>
      <c r="Q94" s="319" t="s">
        <v>56</v>
      </c>
      <c r="R94" s="301">
        <f>O92+R92-R93</f>
        <v>5</v>
      </c>
      <c r="T94" s="298" t="s">
        <v>59</v>
      </c>
      <c r="U94" s="301">
        <f>K99</f>
        <v>0</v>
      </c>
      <c r="W94" s="403">
        <v>46327</v>
      </c>
      <c r="X94" s="393">
        <v>46328</v>
      </c>
      <c r="Y94" s="392">
        <v>46329</v>
      </c>
      <c r="Z94" s="392">
        <v>46330</v>
      </c>
      <c r="AA94" s="392">
        <v>46331</v>
      </c>
      <c r="AB94" s="392">
        <v>46332</v>
      </c>
      <c r="AC94" s="379">
        <v>46333</v>
      </c>
      <c r="AE94" s="305" t="s">
        <v>136</v>
      </c>
      <c r="AF94" s="341">
        <f>(R94*8.8)*R97</f>
        <v>0</v>
      </c>
    </row>
    <row r="95" spans="2:32" ht="12.75" customHeight="1" x14ac:dyDescent="0.2">
      <c r="B95" s="307"/>
      <c r="C95" s="327"/>
      <c r="D95" s="317"/>
      <c r="E95" s="328"/>
      <c r="F95" s="328"/>
      <c r="G95" s="327"/>
      <c r="H95" s="131">
        <v>0</v>
      </c>
      <c r="I95" s="132"/>
      <c r="J95" s="133">
        <v>0</v>
      </c>
      <c r="K95" s="109"/>
      <c r="L95" s="78">
        <v>0</v>
      </c>
      <c r="Q95" s="298" t="s">
        <v>137</v>
      </c>
      <c r="R95" s="329">
        <f>H99</f>
        <v>0</v>
      </c>
      <c r="T95" s="330"/>
      <c r="U95" s="331"/>
      <c r="W95" s="380">
        <v>46334</v>
      </c>
      <c r="X95" s="381">
        <v>46335</v>
      </c>
      <c r="Y95" s="381">
        <v>46336</v>
      </c>
      <c r="Z95" s="381">
        <v>46337</v>
      </c>
      <c r="AA95" s="381">
        <v>46338</v>
      </c>
      <c r="AB95" s="381">
        <v>46339</v>
      </c>
      <c r="AC95" s="382">
        <v>46340</v>
      </c>
      <c r="AE95" s="305" t="s">
        <v>138</v>
      </c>
      <c r="AF95" s="341">
        <f>AF93*8.8</f>
        <v>0</v>
      </c>
    </row>
    <row r="96" spans="2:32" ht="12.75" customHeight="1" x14ac:dyDescent="0.2">
      <c r="B96" s="335"/>
      <c r="C96" s="316"/>
      <c r="D96" s="309"/>
      <c r="E96" s="318"/>
      <c r="F96" s="337"/>
      <c r="G96" s="327"/>
      <c r="H96" s="131">
        <v>0</v>
      </c>
      <c r="I96" s="160"/>
      <c r="J96" s="133">
        <v>0</v>
      </c>
      <c r="K96" s="109"/>
      <c r="L96" s="78">
        <v>0</v>
      </c>
      <c r="W96" s="404">
        <v>46341</v>
      </c>
      <c r="X96" s="384">
        <v>46342</v>
      </c>
      <c r="Y96" s="384">
        <v>46343</v>
      </c>
      <c r="Z96" s="384">
        <v>46344</v>
      </c>
      <c r="AA96" s="400">
        <v>46345</v>
      </c>
      <c r="AB96" s="400">
        <v>46346</v>
      </c>
      <c r="AC96" s="385">
        <v>46347</v>
      </c>
      <c r="AE96" s="305" t="s">
        <v>140</v>
      </c>
      <c r="AF96" s="341" t="e">
        <f>(AF94-AF95)/(8.8*R97)</f>
        <v>#DIV/0!</v>
      </c>
    </row>
    <row r="97" spans="2:32" ht="12.75" customHeight="1" x14ac:dyDescent="0.2">
      <c r="B97" s="307"/>
      <c r="C97" s="308"/>
      <c r="D97" s="336"/>
      <c r="E97" s="342"/>
      <c r="F97" s="328"/>
      <c r="G97" s="327"/>
      <c r="H97" s="131">
        <v>0</v>
      </c>
      <c r="I97" s="132"/>
      <c r="J97" s="133">
        <v>0</v>
      </c>
      <c r="K97" s="109"/>
      <c r="L97" s="78">
        <v>0</v>
      </c>
      <c r="Q97" s="343" t="s">
        <v>22</v>
      </c>
      <c r="R97" s="344"/>
      <c r="T97" s="343" t="s">
        <v>141</v>
      </c>
      <c r="U97" s="345">
        <f>(O92+R94)/2</f>
        <v>5</v>
      </c>
      <c r="W97" s="386">
        <v>46348</v>
      </c>
      <c r="X97" s="387">
        <v>46349</v>
      </c>
      <c r="Y97" s="387">
        <v>46350</v>
      </c>
      <c r="Z97" s="387">
        <v>46351</v>
      </c>
      <c r="AA97" s="387">
        <v>46352</v>
      </c>
      <c r="AB97" s="387">
        <v>46353</v>
      </c>
      <c r="AC97" s="388">
        <v>46354</v>
      </c>
    </row>
    <row r="98" spans="2:32" ht="12.75" customHeight="1" x14ac:dyDescent="0.2">
      <c r="B98" s="307"/>
      <c r="C98" s="308"/>
      <c r="D98" s="336"/>
      <c r="E98" s="342"/>
      <c r="F98" s="337"/>
      <c r="G98" s="327"/>
      <c r="H98" s="131">
        <v>0</v>
      </c>
      <c r="I98" s="132"/>
      <c r="J98" s="133">
        <v>0</v>
      </c>
      <c r="K98" s="109"/>
      <c r="L98" s="78">
        <v>0</v>
      </c>
      <c r="Q98" s="343" t="s">
        <v>142</v>
      </c>
      <c r="R98" s="349"/>
      <c r="T98" s="343" t="s">
        <v>143</v>
      </c>
      <c r="U98" s="345">
        <f>R97*U97</f>
        <v>0</v>
      </c>
      <c r="W98" s="394">
        <v>46355</v>
      </c>
      <c r="X98" s="396">
        <v>46356</v>
      </c>
      <c r="Y98" s="365"/>
      <c r="Z98" s="366"/>
      <c r="AA98" s="366"/>
      <c r="AB98" s="366"/>
      <c r="AC98" s="367"/>
    </row>
    <row r="99" spans="2:32" ht="12.75" customHeight="1" x14ac:dyDescent="0.2">
      <c r="C99" s="57"/>
      <c r="D99" s="57"/>
      <c r="E99" s="356">
        <f>COUNTA(E93:E98)</f>
        <v>0</v>
      </c>
      <c r="F99" s="356">
        <f>COUNTA(F93:F98)</f>
        <v>0</v>
      </c>
      <c r="G99" s="356">
        <f>COUNTA(G93:G98)</f>
        <v>0</v>
      </c>
      <c r="H99" s="356">
        <f>SUM(H93:H98)</f>
        <v>0</v>
      </c>
      <c r="I99" s="356">
        <f>COUNTA(I93:I98)</f>
        <v>0</v>
      </c>
      <c r="J99" s="356">
        <f>SUM(J93:J98)</f>
        <v>0</v>
      </c>
      <c r="K99" s="356">
        <f>COUNTA(K93:K98)</f>
        <v>0</v>
      </c>
      <c r="L99" s="356">
        <f>SUM(L93:L98)</f>
        <v>0</v>
      </c>
    </row>
    <row r="101" spans="2:32" ht="12.75" customHeight="1" x14ac:dyDescent="0.2">
      <c r="B101" s="297" t="s">
        <v>41</v>
      </c>
      <c r="C101" s="297" t="s">
        <v>42</v>
      </c>
      <c r="D101" s="297" t="s">
        <v>43</v>
      </c>
      <c r="E101" s="297" t="s">
        <v>44</v>
      </c>
      <c r="F101" s="297" t="s">
        <v>45</v>
      </c>
      <c r="G101" s="297" t="s">
        <v>46</v>
      </c>
      <c r="H101" s="297" t="s">
        <v>49</v>
      </c>
      <c r="I101" s="297" t="s">
        <v>39</v>
      </c>
      <c r="J101" s="297" t="s">
        <v>49</v>
      </c>
      <c r="K101" s="297" t="s">
        <v>40</v>
      </c>
      <c r="L101" s="297" t="s">
        <v>49</v>
      </c>
      <c r="N101" s="298" t="s">
        <v>125</v>
      </c>
      <c r="O101" s="358">
        <f>R94</f>
        <v>5</v>
      </c>
      <c r="Q101" s="298" t="s">
        <v>44</v>
      </c>
      <c r="R101" s="300">
        <f>E108</f>
        <v>0</v>
      </c>
      <c r="T101" s="298" t="s">
        <v>39</v>
      </c>
      <c r="U101" s="301">
        <f>J108</f>
        <v>0</v>
      </c>
      <c r="W101" s="302"/>
      <c r="X101" s="303"/>
      <c r="Y101" s="789" t="s">
        <v>156</v>
      </c>
      <c r="Z101" s="789"/>
      <c r="AA101" s="789"/>
      <c r="AB101" s="303"/>
      <c r="AC101" s="304"/>
      <c r="AE101" s="305" t="s">
        <v>127</v>
      </c>
      <c r="AF101" s="306">
        <f>(U107-U102-U101-R104)</f>
        <v>0</v>
      </c>
    </row>
    <row r="102" spans="2:32" ht="12.75" customHeight="1" x14ac:dyDescent="0.2">
      <c r="B102" s="307"/>
      <c r="C102" s="372"/>
      <c r="D102" s="363"/>
      <c r="E102" s="310"/>
      <c r="F102" s="311"/>
      <c r="G102" s="294"/>
      <c r="H102" s="131">
        <v>0</v>
      </c>
      <c r="I102" s="132"/>
      <c r="J102" s="133">
        <v>0</v>
      </c>
      <c r="K102" s="109"/>
      <c r="L102" s="78">
        <v>0</v>
      </c>
      <c r="Q102" s="298" t="s">
        <v>45</v>
      </c>
      <c r="R102" s="301">
        <f>F108</f>
        <v>0</v>
      </c>
      <c r="T102" s="298" t="s">
        <v>40</v>
      </c>
      <c r="U102" s="301">
        <f>L108</f>
        <v>0</v>
      </c>
      <c r="W102" s="312" t="s">
        <v>128</v>
      </c>
      <c r="X102" s="313" t="s">
        <v>129</v>
      </c>
      <c r="Y102" s="313" t="s">
        <v>130</v>
      </c>
      <c r="Z102" s="313" t="s">
        <v>131</v>
      </c>
      <c r="AA102" s="313" t="s">
        <v>132</v>
      </c>
      <c r="AB102" s="313" t="s">
        <v>133</v>
      </c>
      <c r="AC102" s="314" t="s">
        <v>134</v>
      </c>
      <c r="AE102" s="305" t="s">
        <v>135</v>
      </c>
      <c r="AF102" s="315">
        <f>U107-AF101</f>
        <v>0</v>
      </c>
    </row>
    <row r="103" spans="2:32" ht="12.75" customHeight="1" x14ac:dyDescent="0.2">
      <c r="B103" s="307"/>
      <c r="C103" s="316"/>
      <c r="D103" s="309"/>
      <c r="E103" s="318"/>
      <c r="F103" s="294"/>
      <c r="G103" s="294"/>
      <c r="H103" s="131">
        <v>0</v>
      </c>
      <c r="I103" s="160"/>
      <c r="J103" s="133">
        <v>0</v>
      </c>
      <c r="K103" s="109"/>
      <c r="L103" s="78">
        <v>0</v>
      </c>
      <c r="Q103" s="319" t="s">
        <v>56</v>
      </c>
      <c r="R103" s="301">
        <f>O101+R101-R102</f>
        <v>5</v>
      </c>
      <c r="T103" s="298" t="s">
        <v>59</v>
      </c>
      <c r="U103" s="301">
        <f>K108</f>
        <v>0</v>
      </c>
      <c r="W103" s="320"/>
      <c r="X103" s="322"/>
      <c r="Y103" s="391">
        <v>46357</v>
      </c>
      <c r="Z103" s="392">
        <v>46358</v>
      </c>
      <c r="AA103" s="392">
        <v>46359</v>
      </c>
      <c r="AB103" s="392">
        <v>46360</v>
      </c>
      <c r="AC103" s="379">
        <v>46361</v>
      </c>
      <c r="AE103" s="305" t="s">
        <v>136</v>
      </c>
      <c r="AF103" s="341">
        <f>(R103*8.8)*R106</f>
        <v>0</v>
      </c>
    </row>
    <row r="104" spans="2:32" ht="12.75" customHeight="1" x14ac:dyDescent="0.2">
      <c r="B104" s="307"/>
      <c r="C104" s="327"/>
      <c r="D104" s="317"/>
      <c r="E104" s="328"/>
      <c r="F104" s="328"/>
      <c r="G104" s="327"/>
      <c r="H104" s="131">
        <v>0</v>
      </c>
      <c r="I104" s="132"/>
      <c r="J104" s="133">
        <v>0</v>
      </c>
      <c r="K104" s="109"/>
      <c r="L104" s="78">
        <v>0</v>
      </c>
      <c r="Q104" s="298" t="s">
        <v>137</v>
      </c>
      <c r="R104" s="329">
        <f>H108</f>
        <v>0</v>
      </c>
      <c r="T104" s="330"/>
      <c r="U104" s="331"/>
      <c r="W104" s="380">
        <v>46362</v>
      </c>
      <c r="X104" s="381">
        <v>46363</v>
      </c>
      <c r="Y104" s="381">
        <v>46364</v>
      </c>
      <c r="Z104" s="381">
        <v>46365</v>
      </c>
      <c r="AA104" s="381">
        <v>46366</v>
      </c>
      <c r="AB104" s="381">
        <v>46367</v>
      </c>
      <c r="AC104" s="382">
        <v>46368</v>
      </c>
      <c r="AE104" s="305" t="s">
        <v>138</v>
      </c>
      <c r="AF104" s="341">
        <f>AF102*8.8</f>
        <v>0</v>
      </c>
    </row>
    <row r="105" spans="2:32" ht="12.75" customHeight="1" x14ac:dyDescent="0.2">
      <c r="B105" s="335"/>
      <c r="C105" s="316"/>
      <c r="D105" s="309"/>
      <c r="E105" s="318"/>
      <c r="F105" s="337"/>
      <c r="G105" s="327"/>
      <c r="H105" s="131">
        <v>0</v>
      </c>
      <c r="I105" s="160"/>
      <c r="J105" s="133">
        <v>0</v>
      </c>
      <c r="K105" s="109"/>
      <c r="L105" s="78">
        <v>0</v>
      </c>
      <c r="W105" s="383">
        <v>46369</v>
      </c>
      <c r="X105" s="384">
        <v>46370</v>
      </c>
      <c r="Y105" s="384">
        <v>46371</v>
      </c>
      <c r="Z105" s="384">
        <v>46372</v>
      </c>
      <c r="AA105" s="384">
        <v>46373</v>
      </c>
      <c r="AB105" s="384">
        <v>46374</v>
      </c>
      <c r="AC105" s="385">
        <v>46375</v>
      </c>
      <c r="AE105" s="305" t="s">
        <v>140</v>
      </c>
      <c r="AF105" s="341" t="e">
        <f>(AF103-AF104)/(8.8*R106)</f>
        <v>#DIV/0!</v>
      </c>
    </row>
    <row r="106" spans="2:32" ht="12.75" customHeight="1" x14ac:dyDescent="0.2">
      <c r="B106" s="307"/>
      <c r="C106" s="308"/>
      <c r="D106" s="336"/>
      <c r="E106" s="342"/>
      <c r="F106" s="328"/>
      <c r="G106" s="327"/>
      <c r="H106" s="131">
        <v>0</v>
      </c>
      <c r="I106" s="132"/>
      <c r="J106" s="133">
        <v>0</v>
      </c>
      <c r="K106" s="109"/>
      <c r="L106" s="78">
        <v>0</v>
      </c>
      <c r="Q106" s="343" t="s">
        <v>22</v>
      </c>
      <c r="R106" s="344"/>
      <c r="T106" s="343" t="s">
        <v>141</v>
      </c>
      <c r="U106" s="345">
        <f>(O101+R103)/2</f>
        <v>5</v>
      </c>
      <c r="W106" s="386">
        <v>46376</v>
      </c>
      <c r="X106" s="387">
        <v>46377</v>
      </c>
      <c r="Y106" s="387">
        <v>46378</v>
      </c>
      <c r="Z106" s="387">
        <v>46379</v>
      </c>
      <c r="AA106" s="387">
        <v>46380</v>
      </c>
      <c r="AB106" s="405">
        <v>46381</v>
      </c>
      <c r="AC106" s="388">
        <v>46382</v>
      </c>
    </row>
    <row r="107" spans="2:32" ht="12.75" customHeight="1" x14ac:dyDescent="0.2">
      <c r="B107" s="307"/>
      <c r="C107" s="308"/>
      <c r="D107" s="336"/>
      <c r="E107" s="342"/>
      <c r="F107" s="337"/>
      <c r="G107" s="327"/>
      <c r="H107" s="131">
        <v>0</v>
      </c>
      <c r="I107" s="132"/>
      <c r="J107" s="133">
        <v>0</v>
      </c>
      <c r="K107" s="109"/>
      <c r="L107" s="78">
        <v>0</v>
      </c>
      <c r="Q107" s="343" t="s">
        <v>142</v>
      </c>
      <c r="R107" s="349"/>
      <c r="T107" s="343" t="s">
        <v>143</v>
      </c>
      <c r="U107" s="345">
        <f>R106*U106</f>
        <v>0</v>
      </c>
      <c r="W107" s="394">
        <v>46383</v>
      </c>
      <c r="X107" s="395">
        <v>46384</v>
      </c>
      <c r="Y107" s="395">
        <v>46385</v>
      </c>
      <c r="Z107" s="395">
        <v>46386</v>
      </c>
      <c r="AA107" s="396">
        <v>46387</v>
      </c>
      <c r="AB107" s="365"/>
      <c r="AC107" s="367"/>
    </row>
    <row r="108" spans="2:32" ht="12.75" customHeight="1" x14ac:dyDescent="0.2">
      <c r="C108" s="57"/>
      <c r="D108" s="57"/>
      <c r="E108" s="356">
        <f>COUNTA(E102:E107)</f>
        <v>0</v>
      </c>
      <c r="F108" s="356">
        <f>COUNTA(F102:F107)</f>
        <v>0</v>
      </c>
      <c r="G108" s="356">
        <f>COUNTA(G102:G107)</f>
        <v>0</v>
      </c>
      <c r="H108" s="356">
        <f>SUM(H102:H107)</f>
        <v>0</v>
      </c>
      <c r="I108" s="356">
        <f>COUNTA(I102:I107)</f>
        <v>0</v>
      </c>
      <c r="J108" s="356">
        <f>SUM(J102:J107)</f>
        <v>0</v>
      </c>
      <c r="K108" s="356">
        <f>COUNTA(K102:K107)</f>
        <v>0</v>
      </c>
      <c r="L108" s="356">
        <f>SUM(L102:L107)</f>
        <v>0</v>
      </c>
    </row>
  </sheetData>
  <mergeCells count="12">
    <mergeCell ref="Y2:AA2"/>
    <mergeCell ref="Y11:AA11"/>
    <mergeCell ref="Y20:AA20"/>
    <mergeCell ref="Y29:AA29"/>
    <mergeCell ref="Y38:AA38"/>
    <mergeCell ref="Y92:AA92"/>
    <mergeCell ref="Y101:AA101"/>
    <mergeCell ref="Y47:AA47"/>
    <mergeCell ref="Y56:AA56"/>
    <mergeCell ref="Y65:AA65"/>
    <mergeCell ref="Y75:AA75"/>
    <mergeCell ref="Y83:AA83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Y37"/>
  <sheetViews>
    <sheetView zoomScaleNormal="100" workbookViewId="0">
      <selection activeCell="B19" sqref="B19"/>
    </sheetView>
  </sheetViews>
  <sheetFormatPr defaultColWidth="9.140625" defaultRowHeight="12.75" x14ac:dyDescent="0.2"/>
  <cols>
    <col min="1" max="1" width="28.7109375" style="406" customWidth="1"/>
    <col min="2" max="2" width="10" style="406" customWidth="1"/>
    <col min="3" max="3" width="9" style="406" customWidth="1"/>
    <col min="4" max="4" width="10" style="406" customWidth="1"/>
    <col min="5" max="5" width="12.5703125" style="406" customWidth="1"/>
    <col min="6" max="6" width="12.140625" style="406" customWidth="1"/>
    <col min="7" max="7" width="10" style="406" customWidth="1"/>
    <col min="8" max="8" width="9" style="407" customWidth="1"/>
    <col min="9" max="9" width="7.85546875" style="406" customWidth="1"/>
    <col min="10" max="10" width="9.42578125" style="407" customWidth="1"/>
    <col min="11" max="11" width="7.5703125" style="407" hidden="1" customWidth="1"/>
    <col min="12" max="12" width="9.42578125" style="407" hidden="1" customWidth="1"/>
    <col min="13" max="13" width="11" style="406" customWidth="1"/>
    <col min="14" max="14" width="11.140625" style="406" customWidth="1"/>
    <col min="15" max="15" width="9.42578125" style="407" customWidth="1"/>
    <col min="16" max="16" width="10" style="406" customWidth="1"/>
    <col min="17" max="17" width="6.140625" style="408" customWidth="1"/>
    <col min="18" max="18" width="9.140625" style="406"/>
    <col min="19" max="19" width="13" style="406" customWidth="1"/>
    <col min="20" max="20" width="11.42578125" style="406" customWidth="1"/>
    <col min="21" max="21" width="9.85546875" style="406" customWidth="1"/>
    <col min="22" max="255" width="9.140625" style="406"/>
    <col min="256" max="256" width="6.85546875" style="406" customWidth="1"/>
    <col min="257" max="257" width="22.140625" style="406" customWidth="1"/>
    <col min="258" max="259" width="13.42578125" style="406" customWidth="1"/>
    <col min="260" max="260" width="10.85546875" style="406" customWidth="1"/>
    <col min="261" max="262" width="13" style="406" customWidth="1"/>
    <col min="263" max="264" width="11.7109375" style="406" customWidth="1"/>
    <col min="265" max="265" width="11.42578125" style="406" customWidth="1"/>
    <col min="266" max="266" width="12.5703125" style="406" customWidth="1"/>
    <col min="267" max="267" width="12" style="406" customWidth="1"/>
    <col min="268" max="268" width="12.7109375" style="406" customWidth="1"/>
    <col min="269" max="269" width="11.7109375" style="406" customWidth="1"/>
    <col min="270" max="270" width="10.85546875" style="406" customWidth="1"/>
    <col min="271" max="271" width="12.7109375" style="406" customWidth="1"/>
    <col min="272" max="272" width="10.5703125" style="406" customWidth="1"/>
    <col min="273" max="273" width="7.5703125" style="406" customWidth="1"/>
    <col min="274" max="274" width="9.140625" style="406"/>
    <col min="275" max="275" width="13" style="406" customWidth="1"/>
    <col min="276" max="276" width="11.42578125" style="406" customWidth="1"/>
    <col min="277" max="511" width="9.140625" style="406"/>
    <col min="512" max="512" width="6.85546875" style="406" customWidth="1"/>
    <col min="513" max="513" width="22.140625" style="406" customWidth="1"/>
    <col min="514" max="515" width="13.42578125" style="406" customWidth="1"/>
    <col min="516" max="516" width="10.85546875" style="406" customWidth="1"/>
    <col min="517" max="518" width="13" style="406" customWidth="1"/>
    <col min="519" max="520" width="11.7109375" style="406" customWidth="1"/>
    <col min="521" max="521" width="11.42578125" style="406" customWidth="1"/>
    <col min="522" max="522" width="12.5703125" style="406" customWidth="1"/>
    <col min="523" max="523" width="12" style="406" customWidth="1"/>
    <col min="524" max="524" width="12.7109375" style="406" customWidth="1"/>
    <col min="525" max="525" width="11.7109375" style="406" customWidth="1"/>
    <col min="526" max="526" width="10.85546875" style="406" customWidth="1"/>
    <col min="527" max="527" width="12.7109375" style="406" customWidth="1"/>
    <col min="528" max="528" width="10.5703125" style="406" customWidth="1"/>
    <col min="529" max="529" width="7.5703125" style="406" customWidth="1"/>
    <col min="530" max="530" width="9.140625" style="406"/>
    <col min="531" max="531" width="13" style="406" customWidth="1"/>
    <col min="532" max="532" width="11.42578125" style="406" customWidth="1"/>
    <col min="533" max="767" width="9.140625" style="406"/>
    <col min="768" max="768" width="6.85546875" style="406" customWidth="1"/>
    <col min="769" max="769" width="22.140625" style="406" customWidth="1"/>
    <col min="770" max="771" width="13.42578125" style="406" customWidth="1"/>
    <col min="772" max="772" width="10.85546875" style="406" customWidth="1"/>
    <col min="773" max="774" width="13" style="406" customWidth="1"/>
    <col min="775" max="776" width="11.7109375" style="406" customWidth="1"/>
    <col min="777" max="777" width="11.42578125" style="406" customWidth="1"/>
    <col min="778" max="778" width="12.5703125" style="406" customWidth="1"/>
    <col min="779" max="779" width="12" style="406" customWidth="1"/>
    <col min="780" max="780" width="12.7109375" style="406" customWidth="1"/>
    <col min="781" max="781" width="11.7109375" style="406" customWidth="1"/>
    <col min="782" max="782" width="10.85546875" style="406" customWidth="1"/>
    <col min="783" max="783" width="12.7109375" style="406" customWidth="1"/>
    <col min="784" max="784" width="10.5703125" style="406" customWidth="1"/>
    <col min="785" max="785" width="7.5703125" style="406" customWidth="1"/>
    <col min="786" max="786" width="9.140625" style="406"/>
    <col min="787" max="787" width="13" style="406" customWidth="1"/>
    <col min="788" max="788" width="11.42578125" style="406" customWidth="1"/>
    <col min="789" max="1023" width="9.140625" style="406"/>
    <col min="1024" max="1024" width="6.85546875" style="406" customWidth="1"/>
    <col min="1025" max="1025" width="22.140625" style="406" customWidth="1"/>
    <col min="1026" max="1027" width="13.42578125" style="406" customWidth="1"/>
    <col min="1028" max="1028" width="10.85546875" style="406" customWidth="1"/>
    <col min="1029" max="1030" width="13" style="406" customWidth="1"/>
    <col min="1031" max="1032" width="11.7109375" style="406" customWidth="1"/>
    <col min="1033" max="1033" width="11.42578125" style="406" customWidth="1"/>
    <col min="1034" max="1034" width="12.5703125" style="406" customWidth="1"/>
    <col min="1035" max="1035" width="12" style="406" customWidth="1"/>
    <col min="1036" max="1036" width="12.7109375" style="406" customWidth="1"/>
    <col min="1037" max="1037" width="11.7109375" style="406" customWidth="1"/>
    <col min="1038" max="1038" width="10.85546875" style="406" customWidth="1"/>
    <col min="1039" max="1039" width="12.7109375" style="406" customWidth="1"/>
    <col min="1040" max="1040" width="10.5703125" style="406" customWidth="1"/>
    <col min="1041" max="1041" width="7.5703125" style="406" customWidth="1"/>
    <col min="1042" max="1042" width="9.140625" style="406"/>
    <col min="1043" max="1043" width="13" style="406" customWidth="1"/>
    <col min="1044" max="1044" width="11.42578125" style="406" customWidth="1"/>
    <col min="1045" max="1279" width="9.140625" style="406"/>
    <col min="1280" max="1280" width="6.85546875" style="406" customWidth="1"/>
    <col min="1281" max="1281" width="22.140625" style="406" customWidth="1"/>
    <col min="1282" max="1283" width="13.42578125" style="406" customWidth="1"/>
    <col min="1284" max="1284" width="10.85546875" style="406" customWidth="1"/>
    <col min="1285" max="1286" width="13" style="406" customWidth="1"/>
    <col min="1287" max="1288" width="11.7109375" style="406" customWidth="1"/>
    <col min="1289" max="1289" width="11.42578125" style="406" customWidth="1"/>
    <col min="1290" max="1290" width="12.5703125" style="406" customWidth="1"/>
    <col min="1291" max="1291" width="12" style="406" customWidth="1"/>
    <col min="1292" max="1292" width="12.7109375" style="406" customWidth="1"/>
    <col min="1293" max="1293" width="11.7109375" style="406" customWidth="1"/>
    <col min="1294" max="1294" width="10.85546875" style="406" customWidth="1"/>
    <col min="1295" max="1295" width="12.7109375" style="406" customWidth="1"/>
    <col min="1296" max="1296" width="10.5703125" style="406" customWidth="1"/>
    <col min="1297" max="1297" width="7.5703125" style="406" customWidth="1"/>
    <col min="1298" max="1298" width="9.140625" style="406"/>
    <col min="1299" max="1299" width="13" style="406" customWidth="1"/>
    <col min="1300" max="1300" width="11.42578125" style="406" customWidth="1"/>
    <col min="1301" max="1535" width="9.140625" style="406"/>
    <col min="1536" max="1536" width="6.85546875" style="406" customWidth="1"/>
    <col min="1537" max="1537" width="22.140625" style="406" customWidth="1"/>
    <col min="1538" max="1539" width="13.42578125" style="406" customWidth="1"/>
    <col min="1540" max="1540" width="10.85546875" style="406" customWidth="1"/>
    <col min="1541" max="1542" width="13" style="406" customWidth="1"/>
    <col min="1543" max="1544" width="11.7109375" style="406" customWidth="1"/>
    <col min="1545" max="1545" width="11.42578125" style="406" customWidth="1"/>
    <col min="1546" max="1546" width="12.5703125" style="406" customWidth="1"/>
    <col min="1547" max="1547" width="12" style="406" customWidth="1"/>
    <col min="1548" max="1548" width="12.7109375" style="406" customWidth="1"/>
    <col min="1549" max="1549" width="11.7109375" style="406" customWidth="1"/>
    <col min="1550" max="1550" width="10.85546875" style="406" customWidth="1"/>
    <col min="1551" max="1551" width="12.7109375" style="406" customWidth="1"/>
    <col min="1552" max="1552" width="10.5703125" style="406" customWidth="1"/>
    <col min="1553" max="1553" width="7.5703125" style="406" customWidth="1"/>
    <col min="1554" max="1554" width="9.140625" style="406"/>
    <col min="1555" max="1555" width="13" style="406" customWidth="1"/>
    <col min="1556" max="1556" width="11.42578125" style="406" customWidth="1"/>
    <col min="1557" max="1791" width="9.140625" style="406"/>
    <col min="1792" max="1792" width="6.85546875" style="406" customWidth="1"/>
    <col min="1793" max="1793" width="22.140625" style="406" customWidth="1"/>
    <col min="1794" max="1795" width="13.42578125" style="406" customWidth="1"/>
    <col min="1796" max="1796" width="10.85546875" style="406" customWidth="1"/>
    <col min="1797" max="1798" width="13" style="406" customWidth="1"/>
    <col min="1799" max="1800" width="11.7109375" style="406" customWidth="1"/>
    <col min="1801" max="1801" width="11.42578125" style="406" customWidth="1"/>
    <col min="1802" max="1802" width="12.5703125" style="406" customWidth="1"/>
    <col min="1803" max="1803" width="12" style="406" customWidth="1"/>
    <col min="1804" max="1804" width="12.7109375" style="406" customWidth="1"/>
    <col min="1805" max="1805" width="11.7109375" style="406" customWidth="1"/>
    <col min="1806" max="1806" width="10.85546875" style="406" customWidth="1"/>
    <col min="1807" max="1807" width="12.7109375" style="406" customWidth="1"/>
    <col min="1808" max="1808" width="10.5703125" style="406" customWidth="1"/>
    <col min="1809" max="1809" width="7.5703125" style="406" customWidth="1"/>
    <col min="1810" max="1810" width="9.140625" style="406"/>
    <col min="1811" max="1811" width="13" style="406" customWidth="1"/>
    <col min="1812" max="1812" width="11.42578125" style="406" customWidth="1"/>
    <col min="1813" max="2047" width="9.140625" style="406"/>
    <col min="2048" max="2048" width="6.85546875" style="406" customWidth="1"/>
    <col min="2049" max="2049" width="22.140625" style="406" customWidth="1"/>
    <col min="2050" max="2051" width="13.42578125" style="406" customWidth="1"/>
    <col min="2052" max="2052" width="10.85546875" style="406" customWidth="1"/>
    <col min="2053" max="2054" width="13" style="406" customWidth="1"/>
    <col min="2055" max="2056" width="11.7109375" style="406" customWidth="1"/>
    <col min="2057" max="2057" width="11.42578125" style="406" customWidth="1"/>
    <col min="2058" max="2058" width="12.5703125" style="406" customWidth="1"/>
    <col min="2059" max="2059" width="12" style="406" customWidth="1"/>
    <col min="2060" max="2060" width="12.7109375" style="406" customWidth="1"/>
    <col min="2061" max="2061" width="11.7109375" style="406" customWidth="1"/>
    <col min="2062" max="2062" width="10.85546875" style="406" customWidth="1"/>
    <col min="2063" max="2063" width="12.7109375" style="406" customWidth="1"/>
    <col min="2064" max="2064" width="10.5703125" style="406" customWidth="1"/>
    <col min="2065" max="2065" width="7.5703125" style="406" customWidth="1"/>
    <col min="2066" max="2066" width="9.140625" style="406"/>
    <col min="2067" max="2067" width="13" style="406" customWidth="1"/>
    <col min="2068" max="2068" width="11.42578125" style="406" customWidth="1"/>
    <col min="2069" max="2303" width="9.140625" style="406"/>
    <col min="2304" max="2304" width="6.85546875" style="406" customWidth="1"/>
    <col min="2305" max="2305" width="22.140625" style="406" customWidth="1"/>
    <col min="2306" max="2307" width="13.42578125" style="406" customWidth="1"/>
    <col min="2308" max="2308" width="10.85546875" style="406" customWidth="1"/>
    <col min="2309" max="2310" width="13" style="406" customWidth="1"/>
    <col min="2311" max="2312" width="11.7109375" style="406" customWidth="1"/>
    <col min="2313" max="2313" width="11.42578125" style="406" customWidth="1"/>
    <col min="2314" max="2314" width="12.5703125" style="406" customWidth="1"/>
    <col min="2315" max="2315" width="12" style="406" customWidth="1"/>
    <col min="2316" max="2316" width="12.7109375" style="406" customWidth="1"/>
    <col min="2317" max="2317" width="11.7109375" style="406" customWidth="1"/>
    <col min="2318" max="2318" width="10.85546875" style="406" customWidth="1"/>
    <col min="2319" max="2319" width="12.7109375" style="406" customWidth="1"/>
    <col min="2320" max="2320" width="10.5703125" style="406" customWidth="1"/>
    <col min="2321" max="2321" width="7.5703125" style="406" customWidth="1"/>
    <col min="2322" max="2322" width="9.140625" style="406"/>
    <col min="2323" max="2323" width="13" style="406" customWidth="1"/>
    <col min="2324" max="2324" width="11.42578125" style="406" customWidth="1"/>
    <col min="2325" max="2559" width="9.140625" style="406"/>
    <col min="2560" max="2560" width="6.85546875" style="406" customWidth="1"/>
    <col min="2561" max="2561" width="22.140625" style="406" customWidth="1"/>
    <col min="2562" max="2563" width="13.42578125" style="406" customWidth="1"/>
    <col min="2564" max="2564" width="10.85546875" style="406" customWidth="1"/>
    <col min="2565" max="2566" width="13" style="406" customWidth="1"/>
    <col min="2567" max="2568" width="11.7109375" style="406" customWidth="1"/>
    <col min="2569" max="2569" width="11.42578125" style="406" customWidth="1"/>
    <col min="2570" max="2570" width="12.5703125" style="406" customWidth="1"/>
    <col min="2571" max="2571" width="12" style="406" customWidth="1"/>
    <col min="2572" max="2572" width="12.7109375" style="406" customWidth="1"/>
    <col min="2573" max="2573" width="11.7109375" style="406" customWidth="1"/>
    <col min="2574" max="2574" width="10.85546875" style="406" customWidth="1"/>
    <col min="2575" max="2575" width="12.7109375" style="406" customWidth="1"/>
    <col min="2576" max="2576" width="10.5703125" style="406" customWidth="1"/>
    <col min="2577" max="2577" width="7.5703125" style="406" customWidth="1"/>
    <col min="2578" max="2578" width="9.140625" style="406"/>
    <col min="2579" max="2579" width="13" style="406" customWidth="1"/>
    <col min="2580" max="2580" width="11.42578125" style="406" customWidth="1"/>
    <col min="2581" max="2815" width="9.140625" style="406"/>
    <col min="2816" max="2816" width="6.85546875" style="406" customWidth="1"/>
    <col min="2817" max="2817" width="22.140625" style="406" customWidth="1"/>
    <col min="2818" max="2819" width="13.42578125" style="406" customWidth="1"/>
    <col min="2820" max="2820" width="10.85546875" style="406" customWidth="1"/>
    <col min="2821" max="2822" width="13" style="406" customWidth="1"/>
    <col min="2823" max="2824" width="11.7109375" style="406" customWidth="1"/>
    <col min="2825" max="2825" width="11.42578125" style="406" customWidth="1"/>
    <col min="2826" max="2826" width="12.5703125" style="406" customWidth="1"/>
    <col min="2827" max="2827" width="12" style="406" customWidth="1"/>
    <col min="2828" max="2828" width="12.7109375" style="406" customWidth="1"/>
    <col min="2829" max="2829" width="11.7109375" style="406" customWidth="1"/>
    <col min="2830" max="2830" width="10.85546875" style="406" customWidth="1"/>
    <col min="2831" max="2831" width="12.7109375" style="406" customWidth="1"/>
    <col min="2832" max="2832" width="10.5703125" style="406" customWidth="1"/>
    <col min="2833" max="2833" width="7.5703125" style="406" customWidth="1"/>
    <col min="2834" max="2834" width="9.140625" style="406"/>
    <col min="2835" max="2835" width="13" style="406" customWidth="1"/>
    <col min="2836" max="2836" width="11.42578125" style="406" customWidth="1"/>
    <col min="2837" max="3071" width="9.140625" style="406"/>
    <col min="3072" max="3072" width="6.85546875" style="406" customWidth="1"/>
    <col min="3073" max="3073" width="22.140625" style="406" customWidth="1"/>
    <col min="3074" max="3075" width="13.42578125" style="406" customWidth="1"/>
    <col min="3076" max="3076" width="10.85546875" style="406" customWidth="1"/>
    <col min="3077" max="3078" width="13" style="406" customWidth="1"/>
    <col min="3079" max="3080" width="11.7109375" style="406" customWidth="1"/>
    <col min="3081" max="3081" width="11.42578125" style="406" customWidth="1"/>
    <col min="3082" max="3082" width="12.5703125" style="406" customWidth="1"/>
    <col min="3083" max="3083" width="12" style="406" customWidth="1"/>
    <col min="3084" max="3084" width="12.7109375" style="406" customWidth="1"/>
    <col min="3085" max="3085" width="11.7109375" style="406" customWidth="1"/>
    <col min="3086" max="3086" width="10.85546875" style="406" customWidth="1"/>
    <col min="3087" max="3087" width="12.7109375" style="406" customWidth="1"/>
    <col min="3088" max="3088" width="10.5703125" style="406" customWidth="1"/>
    <col min="3089" max="3089" width="7.5703125" style="406" customWidth="1"/>
    <col min="3090" max="3090" width="9.140625" style="406"/>
    <col min="3091" max="3091" width="13" style="406" customWidth="1"/>
    <col min="3092" max="3092" width="11.42578125" style="406" customWidth="1"/>
    <col min="3093" max="3327" width="9.140625" style="406"/>
    <col min="3328" max="3328" width="6.85546875" style="406" customWidth="1"/>
    <col min="3329" max="3329" width="22.140625" style="406" customWidth="1"/>
    <col min="3330" max="3331" width="13.42578125" style="406" customWidth="1"/>
    <col min="3332" max="3332" width="10.85546875" style="406" customWidth="1"/>
    <col min="3333" max="3334" width="13" style="406" customWidth="1"/>
    <col min="3335" max="3336" width="11.7109375" style="406" customWidth="1"/>
    <col min="3337" max="3337" width="11.42578125" style="406" customWidth="1"/>
    <col min="3338" max="3338" width="12.5703125" style="406" customWidth="1"/>
    <col min="3339" max="3339" width="12" style="406" customWidth="1"/>
    <col min="3340" max="3340" width="12.7109375" style="406" customWidth="1"/>
    <col min="3341" max="3341" width="11.7109375" style="406" customWidth="1"/>
    <col min="3342" max="3342" width="10.85546875" style="406" customWidth="1"/>
    <col min="3343" max="3343" width="12.7109375" style="406" customWidth="1"/>
    <col min="3344" max="3344" width="10.5703125" style="406" customWidth="1"/>
    <col min="3345" max="3345" width="7.5703125" style="406" customWidth="1"/>
    <col min="3346" max="3346" width="9.140625" style="406"/>
    <col min="3347" max="3347" width="13" style="406" customWidth="1"/>
    <col min="3348" max="3348" width="11.42578125" style="406" customWidth="1"/>
    <col min="3349" max="3583" width="9.140625" style="406"/>
    <col min="3584" max="3584" width="6.85546875" style="406" customWidth="1"/>
    <col min="3585" max="3585" width="22.140625" style="406" customWidth="1"/>
    <col min="3586" max="3587" width="13.42578125" style="406" customWidth="1"/>
    <col min="3588" max="3588" width="10.85546875" style="406" customWidth="1"/>
    <col min="3589" max="3590" width="13" style="406" customWidth="1"/>
    <col min="3591" max="3592" width="11.7109375" style="406" customWidth="1"/>
    <col min="3593" max="3593" width="11.42578125" style="406" customWidth="1"/>
    <col min="3594" max="3594" width="12.5703125" style="406" customWidth="1"/>
    <col min="3595" max="3595" width="12" style="406" customWidth="1"/>
    <col min="3596" max="3596" width="12.7109375" style="406" customWidth="1"/>
    <col min="3597" max="3597" width="11.7109375" style="406" customWidth="1"/>
    <col min="3598" max="3598" width="10.85546875" style="406" customWidth="1"/>
    <col min="3599" max="3599" width="12.7109375" style="406" customWidth="1"/>
    <col min="3600" max="3600" width="10.5703125" style="406" customWidth="1"/>
    <col min="3601" max="3601" width="7.5703125" style="406" customWidth="1"/>
    <col min="3602" max="3602" width="9.140625" style="406"/>
    <col min="3603" max="3603" width="13" style="406" customWidth="1"/>
    <col min="3604" max="3604" width="11.42578125" style="406" customWidth="1"/>
    <col min="3605" max="3839" width="9.140625" style="406"/>
    <col min="3840" max="3840" width="6.85546875" style="406" customWidth="1"/>
    <col min="3841" max="3841" width="22.140625" style="406" customWidth="1"/>
    <col min="3842" max="3843" width="13.42578125" style="406" customWidth="1"/>
    <col min="3844" max="3844" width="10.85546875" style="406" customWidth="1"/>
    <col min="3845" max="3846" width="13" style="406" customWidth="1"/>
    <col min="3847" max="3848" width="11.7109375" style="406" customWidth="1"/>
    <col min="3849" max="3849" width="11.42578125" style="406" customWidth="1"/>
    <col min="3850" max="3850" width="12.5703125" style="406" customWidth="1"/>
    <col min="3851" max="3851" width="12" style="406" customWidth="1"/>
    <col min="3852" max="3852" width="12.7109375" style="406" customWidth="1"/>
    <col min="3853" max="3853" width="11.7109375" style="406" customWidth="1"/>
    <col min="3854" max="3854" width="10.85546875" style="406" customWidth="1"/>
    <col min="3855" max="3855" width="12.7109375" style="406" customWidth="1"/>
    <col min="3856" max="3856" width="10.5703125" style="406" customWidth="1"/>
    <col min="3857" max="3857" width="7.5703125" style="406" customWidth="1"/>
    <col min="3858" max="3858" width="9.140625" style="406"/>
    <col min="3859" max="3859" width="13" style="406" customWidth="1"/>
    <col min="3860" max="3860" width="11.42578125" style="406" customWidth="1"/>
    <col min="3861" max="4095" width="9.140625" style="406"/>
    <col min="4096" max="4096" width="6.85546875" style="406" customWidth="1"/>
    <col min="4097" max="4097" width="22.140625" style="406" customWidth="1"/>
    <col min="4098" max="4099" width="13.42578125" style="406" customWidth="1"/>
    <col min="4100" max="4100" width="10.85546875" style="406" customWidth="1"/>
    <col min="4101" max="4102" width="13" style="406" customWidth="1"/>
    <col min="4103" max="4104" width="11.7109375" style="406" customWidth="1"/>
    <col min="4105" max="4105" width="11.42578125" style="406" customWidth="1"/>
    <col min="4106" max="4106" width="12.5703125" style="406" customWidth="1"/>
    <col min="4107" max="4107" width="12" style="406" customWidth="1"/>
    <col min="4108" max="4108" width="12.7109375" style="406" customWidth="1"/>
    <col min="4109" max="4109" width="11.7109375" style="406" customWidth="1"/>
    <col min="4110" max="4110" width="10.85546875" style="406" customWidth="1"/>
    <col min="4111" max="4111" width="12.7109375" style="406" customWidth="1"/>
    <col min="4112" max="4112" width="10.5703125" style="406" customWidth="1"/>
    <col min="4113" max="4113" width="7.5703125" style="406" customWidth="1"/>
    <col min="4114" max="4114" width="9.140625" style="406"/>
    <col min="4115" max="4115" width="13" style="406" customWidth="1"/>
    <col min="4116" max="4116" width="11.42578125" style="406" customWidth="1"/>
    <col min="4117" max="4351" width="9.140625" style="406"/>
    <col min="4352" max="4352" width="6.85546875" style="406" customWidth="1"/>
    <col min="4353" max="4353" width="22.140625" style="406" customWidth="1"/>
    <col min="4354" max="4355" width="13.42578125" style="406" customWidth="1"/>
    <col min="4356" max="4356" width="10.85546875" style="406" customWidth="1"/>
    <col min="4357" max="4358" width="13" style="406" customWidth="1"/>
    <col min="4359" max="4360" width="11.7109375" style="406" customWidth="1"/>
    <col min="4361" max="4361" width="11.42578125" style="406" customWidth="1"/>
    <col min="4362" max="4362" width="12.5703125" style="406" customWidth="1"/>
    <col min="4363" max="4363" width="12" style="406" customWidth="1"/>
    <col min="4364" max="4364" width="12.7109375" style="406" customWidth="1"/>
    <col min="4365" max="4365" width="11.7109375" style="406" customWidth="1"/>
    <col min="4366" max="4366" width="10.85546875" style="406" customWidth="1"/>
    <col min="4367" max="4367" width="12.7109375" style="406" customWidth="1"/>
    <col min="4368" max="4368" width="10.5703125" style="406" customWidth="1"/>
    <col min="4369" max="4369" width="7.5703125" style="406" customWidth="1"/>
    <col min="4370" max="4370" width="9.140625" style="406"/>
    <col min="4371" max="4371" width="13" style="406" customWidth="1"/>
    <col min="4372" max="4372" width="11.42578125" style="406" customWidth="1"/>
    <col min="4373" max="4607" width="9.140625" style="406"/>
    <col min="4608" max="4608" width="6.85546875" style="406" customWidth="1"/>
    <col min="4609" max="4609" width="22.140625" style="406" customWidth="1"/>
    <col min="4610" max="4611" width="13.42578125" style="406" customWidth="1"/>
    <col min="4612" max="4612" width="10.85546875" style="406" customWidth="1"/>
    <col min="4613" max="4614" width="13" style="406" customWidth="1"/>
    <col min="4615" max="4616" width="11.7109375" style="406" customWidth="1"/>
    <col min="4617" max="4617" width="11.42578125" style="406" customWidth="1"/>
    <col min="4618" max="4618" width="12.5703125" style="406" customWidth="1"/>
    <col min="4619" max="4619" width="12" style="406" customWidth="1"/>
    <col min="4620" max="4620" width="12.7109375" style="406" customWidth="1"/>
    <col min="4621" max="4621" width="11.7109375" style="406" customWidth="1"/>
    <col min="4622" max="4622" width="10.85546875" style="406" customWidth="1"/>
    <col min="4623" max="4623" width="12.7109375" style="406" customWidth="1"/>
    <col min="4624" max="4624" width="10.5703125" style="406" customWidth="1"/>
    <col min="4625" max="4625" width="7.5703125" style="406" customWidth="1"/>
    <col min="4626" max="4626" width="9.140625" style="406"/>
    <col min="4627" max="4627" width="13" style="406" customWidth="1"/>
    <col min="4628" max="4628" width="11.42578125" style="406" customWidth="1"/>
    <col min="4629" max="4863" width="9.140625" style="406"/>
    <col min="4864" max="4864" width="6.85546875" style="406" customWidth="1"/>
    <col min="4865" max="4865" width="22.140625" style="406" customWidth="1"/>
    <col min="4866" max="4867" width="13.42578125" style="406" customWidth="1"/>
    <col min="4868" max="4868" width="10.85546875" style="406" customWidth="1"/>
    <col min="4869" max="4870" width="13" style="406" customWidth="1"/>
    <col min="4871" max="4872" width="11.7109375" style="406" customWidth="1"/>
    <col min="4873" max="4873" width="11.42578125" style="406" customWidth="1"/>
    <col min="4874" max="4874" width="12.5703125" style="406" customWidth="1"/>
    <col min="4875" max="4875" width="12" style="406" customWidth="1"/>
    <col min="4876" max="4876" width="12.7109375" style="406" customWidth="1"/>
    <col min="4877" max="4877" width="11.7109375" style="406" customWidth="1"/>
    <col min="4878" max="4878" width="10.85546875" style="406" customWidth="1"/>
    <col min="4879" max="4879" width="12.7109375" style="406" customWidth="1"/>
    <col min="4880" max="4880" width="10.5703125" style="406" customWidth="1"/>
    <col min="4881" max="4881" width="7.5703125" style="406" customWidth="1"/>
    <col min="4882" max="4882" width="9.140625" style="406"/>
    <col min="4883" max="4883" width="13" style="406" customWidth="1"/>
    <col min="4884" max="4884" width="11.42578125" style="406" customWidth="1"/>
    <col min="4885" max="5119" width="9.140625" style="406"/>
    <col min="5120" max="5120" width="6.85546875" style="406" customWidth="1"/>
    <col min="5121" max="5121" width="22.140625" style="406" customWidth="1"/>
    <col min="5122" max="5123" width="13.42578125" style="406" customWidth="1"/>
    <col min="5124" max="5124" width="10.85546875" style="406" customWidth="1"/>
    <col min="5125" max="5126" width="13" style="406" customWidth="1"/>
    <col min="5127" max="5128" width="11.7109375" style="406" customWidth="1"/>
    <col min="5129" max="5129" width="11.42578125" style="406" customWidth="1"/>
    <col min="5130" max="5130" width="12.5703125" style="406" customWidth="1"/>
    <col min="5131" max="5131" width="12" style="406" customWidth="1"/>
    <col min="5132" max="5132" width="12.7109375" style="406" customWidth="1"/>
    <col min="5133" max="5133" width="11.7109375" style="406" customWidth="1"/>
    <col min="5134" max="5134" width="10.85546875" style="406" customWidth="1"/>
    <col min="5135" max="5135" width="12.7109375" style="406" customWidth="1"/>
    <col min="5136" max="5136" width="10.5703125" style="406" customWidth="1"/>
    <col min="5137" max="5137" width="7.5703125" style="406" customWidth="1"/>
    <col min="5138" max="5138" width="9.140625" style="406"/>
    <col min="5139" max="5139" width="13" style="406" customWidth="1"/>
    <col min="5140" max="5140" width="11.42578125" style="406" customWidth="1"/>
    <col min="5141" max="5375" width="9.140625" style="406"/>
    <col min="5376" max="5376" width="6.85546875" style="406" customWidth="1"/>
    <col min="5377" max="5377" width="22.140625" style="406" customWidth="1"/>
    <col min="5378" max="5379" width="13.42578125" style="406" customWidth="1"/>
    <col min="5380" max="5380" width="10.85546875" style="406" customWidth="1"/>
    <col min="5381" max="5382" width="13" style="406" customWidth="1"/>
    <col min="5383" max="5384" width="11.7109375" style="406" customWidth="1"/>
    <col min="5385" max="5385" width="11.42578125" style="406" customWidth="1"/>
    <col min="5386" max="5386" width="12.5703125" style="406" customWidth="1"/>
    <col min="5387" max="5387" width="12" style="406" customWidth="1"/>
    <col min="5388" max="5388" width="12.7109375" style="406" customWidth="1"/>
    <col min="5389" max="5389" width="11.7109375" style="406" customWidth="1"/>
    <col min="5390" max="5390" width="10.85546875" style="406" customWidth="1"/>
    <col min="5391" max="5391" width="12.7109375" style="406" customWidth="1"/>
    <col min="5392" max="5392" width="10.5703125" style="406" customWidth="1"/>
    <col min="5393" max="5393" width="7.5703125" style="406" customWidth="1"/>
    <col min="5394" max="5394" width="9.140625" style="406"/>
    <col min="5395" max="5395" width="13" style="406" customWidth="1"/>
    <col min="5396" max="5396" width="11.42578125" style="406" customWidth="1"/>
    <col min="5397" max="5631" width="9.140625" style="406"/>
    <col min="5632" max="5632" width="6.85546875" style="406" customWidth="1"/>
    <col min="5633" max="5633" width="22.140625" style="406" customWidth="1"/>
    <col min="5634" max="5635" width="13.42578125" style="406" customWidth="1"/>
    <col min="5636" max="5636" width="10.85546875" style="406" customWidth="1"/>
    <col min="5637" max="5638" width="13" style="406" customWidth="1"/>
    <col min="5639" max="5640" width="11.7109375" style="406" customWidth="1"/>
    <col min="5641" max="5641" width="11.42578125" style="406" customWidth="1"/>
    <col min="5642" max="5642" width="12.5703125" style="406" customWidth="1"/>
    <col min="5643" max="5643" width="12" style="406" customWidth="1"/>
    <col min="5644" max="5644" width="12.7109375" style="406" customWidth="1"/>
    <col min="5645" max="5645" width="11.7109375" style="406" customWidth="1"/>
    <col min="5646" max="5646" width="10.85546875" style="406" customWidth="1"/>
    <col min="5647" max="5647" width="12.7109375" style="406" customWidth="1"/>
    <col min="5648" max="5648" width="10.5703125" style="406" customWidth="1"/>
    <col min="5649" max="5649" width="7.5703125" style="406" customWidth="1"/>
    <col min="5650" max="5650" width="9.140625" style="406"/>
    <col min="5651" max="5651" width="13" style="406" customWidth="1"/>
    <col min="5652" max="5652" width="11.42578125" style="406" customWidth="1"/>
    <col min="5653" max="5887" width="9.140625" style="406"/>
    <col min="5888" max="5888" width="6.85546875" style="406" customWidth="1"/>
    <col min="5889" max="5889" width="22.140625" style="406" customWidth="1"/>
    <col min="5890" max="5891" width="13.42578125" style="406" customWidth="1"/>
    <col min="5892" max="5892" width="10.85546875" style="406" customWidth="1"/>
    <col min="5893" max="5894" width="13" style="406" customWidth="1"/>
    <col min="5895" max="5896" width="11.7109375" style="406" customWidth="1"/>
    <col min="5897" max="5897" width="11.42578125" style="406" customWidth="1"/>
    <col min="5898" max="5898" width="12.5703125" style="406" customWidth="1"/>
    <col min="5899" max="5899" width="12" style="406" customWidth="1"/>
    <col min="5900" max="5900" width="12.7109375" style="406" customWidth="1"/>
    <col min="5901" max="5901" width="11.7109375" style="406" customWidth="1"/>
    <col min="5902" max="5902" width="10.85546875" style="406" customWidth="1"/>
    <col min="5903" max="5903" width="12.7109375" style="406" customWidth="1"/>
    <col min="5904" max="5904" width="10.5703125" style="406" customWidth="1"/>
    <col min="5905" max="5905" width="7.5703125" style="406" customWidth="1"/>
    <col min="5906" max="5906" width="9.140625" style="406"/>
    <col min="5907" max="5907" width="13" style="406" customWidth="1"/>
    <col min="5908" max="5908" width="11.42578125" style="406" customWidth="1"/>
    <col min="5909" max="6143" width="9.140625" style="406"/>
    <col min="6144" max="6144" width="6.85546875" style="406" customWidth="1"/>
    <col min="6145" max="6145" width="22.140625" style="406" customWidth="1"/>
    <col min="6146" max="6147" width="13.42578125" style="406" customWidth="1"/>
    <col min="6148" max="6148" width="10.85546875" style="406" customWidth="1"/>
    <col min="6149" max="6150" width="13" style="406" customWidth="1"/>
    <col min="6151" max="6152" width="11.7109375" style="406" customWidth="1"/>
    <col min="6153" max="6153" width="11.42578125" style="406" customWidth="1"/>
    <col min="6154" max="6154" width="12.5703125" style="406" customWidth="1"/>
    <col min="6155" max="6155" width="12" style="406" customWidth="1"/>
    <col min="6156" max="6156" width="12.7109375" style="406" customWidth="1"/>
    <col min="6157" max="6157" width="11.7109375" style="406" customWidth="1"/>
    <col min="6158" max="6158" width="10.85546875" style="406" customWidth="1"/>
    <col min="6159" max="6159" width="12.7109375" style="406" customWidth="1"/>
    <col min="6160" max="6160" width="10.5703125" style="406" customWidth="1"/>
    <col min="6161" max="6161" width="7.5703125" style="406" customWidth="1"/>
    <col min="6162" max="6162" width="9.140625" style="406"/>
    <col min="6163" max="6163" width="13" style="406" customWidth="1"/>
    <col min="6164" max="6164" width="11.42578125" style="406" customWidth="1"/>
    <col min="6165" max="6399" width="9.140625" style="406"/>
    <col min="6400" max="6400" width="6.85546875" style="406" customWidth="1"/>
    <col min="6401" max="6401" width="22.140625" style="406" customWidth="1"/>
    <col min="6402" max="6403" width="13.42578125" style="406" customWidth="1"/>
    <col min="6404" max="6404" width="10.85546875" style="406" customWidth="1"/>
    <col min="6405" max="6406" width="13" style="406" customWidth="1"/>
    <col min="6407" max="6408" width="11.7109375" style="406" customWidth="1"/>
    <col min="6409" max="6409" width="11.42578125" style="406" customWidth="1"/>
    <col min="6410" max="6410" width="12.5703125" style="406" customWidth="1"/>
    <col min="6411" max="6411" width="12" style="406" customWidth="1"/>
    <col min="6412" max="6412" width="12.7109375" style="406" customWidth="1"/>
    <col min="6413" max="6413" width="11.7109375" style="406" customWidth="1"/>
    <col min="6414" max="6414" width="10.85546875" style="406" customWidth="1"/>
    <col min="6415" max="6415" width="12.7109375" style="406" customWidth="1"/>
    <col min="6416" max="6416" width="10.5703125" style="406" customWidth="1"/>
    <col min="6417" max="6417" width="7.5703125" style="406" customWidth="1"/>
    <col min="6418" max="6418" width="9.140625" style="406"/>
    <col min="6419" max="6419" width="13" style="406" customWidth="1"/>
    <col min="6420" max="6420" width="11.42578125" style="406" customWidth="1"/>
    <col min="6421" max="6655" width="9.140625" style="406"/>
    <col min="6656" max="6656" width="6.85546875" style="406" customWidth="1"/>
    <col min="6657" max="6657" width="22.140625" style="406" customWidth="1"/>
    <col min="6658" max="6659" width="13.42578125" style="406" customWidth="1"/>
    <col min="6660" max="6660" width="10.85546875" style="406" customWidth="1"/>
    <col min="6661" max="6662" width="13" style="406" customWidth="1"/>
    <col min="6663" max="6664" width="11.7109375" style="406" customWidth="1"/>
    <col min="6665" max="6665" width="11.42578125" style="406" customWidth="1"/>
    <col min="6666" max="6666" width="12.5703125" style="406" customWidth="1"/>
    <col min="6667" max="6667" width="12" style="406" customWidth="1"/>
    <col min="6668" max="6668" width="12.7109375" style="406" customWidth="1"/>
    <col min="6669" max="6669" width="11.7109375" style="406" customWidth="1"/>
    <col min="6670" max="6670" width="10.85546875" style="406" customWidth="1"/>
    <col min="6671" max="6671" width="12.7109375" style="406" customWidth="1"/>
    <col min="6672" max="6672" width="10.5703125" style="406" customWidth="1"/>
    <col min="6673" max="6673" width="7.5703125" style="406" customWidth="1"/>
    <col min="6674" max="6674" width="9.140625" style="406"/>
    <col min="6675" max="6675" width="13" style="406" customWidth="1"/>
    <col min="6676" max="6676" width="11.42578125" style="406" customWidth="1"/>
    <col min="6677" max="6911" width="9.140625" style="406"/>
    <col min="6912" max="6912" width="6.85546875" style="406" customWidth="1"/>
    <col min="6913" max="6913" width="22.140625" style="406" customWidth="1"/>
    <col min="6914" max="6915" width="13.42578125" style="406" customWidth="1"/>
    <col min="6916" max="6916" width="10.85546875" style="406" customWidth="1"/>
    <col min="6917" max="6918" width="13" style="406" customWidth="1"/>
    <col min="6919" max="6920" width="11.7109375" style="406" customWidth="1"/>
    <col min="6921" max="6921" width="11.42578125" style="406" customWidth="1"/>
    <col min="6922" max="6922" width="12.5703125" style="406" customWidth="1"/>
    <col min="6923" max="6923" width="12" style="406" customWidth="1"/>
    <col min="6924" max="6924" width="12.7109375" style="406" customWidth="1"/>
    <col min="6925" max="6925" width="11.7109375" style="406" customWidth="1"/>
    <col min="6926" max="6926" width="10.85546875" style="406" customWidth="1"/>
    <col min="6927" max="6927" width="12.7109375" style="406" customWidth="1"/>
    <col min="6928" max="6928" width="10.5703125" style="406" customWidth="1"/>
    <col min="6929" max="6929" width="7.5703125" style="406" customWidth="1"/>
    <col min="6930" max="6930" width="9.140625" style="406"/>
    <col min="6931" max="6931" width="13" style="406" customWidth="1"/>
    <col min="6932" max="6932" width="11.42578125" style="406" customWidth="1"/>
    <col min="6933" max="7167" width="9.140625" style="406"/>
    <col min="7168" max="7168" width="6.85546875" style="406" customWidth="1"/>
    <col min="7169" max="7169" width="22.140625" style="406" customWidth="1"/>
    <col min="7170" max="7171" width="13.42578125" style="406" customWidth="1"/>
    <col min="7172" max="7172" width="10.85546875" style="406" customWidth="1"/>
    <col min="7173" max="7174" width="13" style="406" customWidth="1"/>
    <col min="7175" max="7176" width="11.7109375" style="406" customWidth="1"/>
    <col min="7177" max="7177" width="11.42578125" style="406" customWidth="1"/>
    <col min="7178" max="7178" width="12.5703125" style="406" customWidth="1"/>
    <col min="7179" max="7179" width="12" style="406" customWidth="1"/>
    <col min="7180" max="7180" width="12.7109375" style="406" customWidth="1"/>
    <col min="7181" max="7181" width="11.7109375" style="406" customWidth="1"/>
    <col min="7182" max="7182" width="10.85546875" style="406" customWidth="1"/>
    <col min="7183" max="7183" width="12.7109375" style="406" customWidth="1"/>
    <col min="7184" max="7184" width="10.5703125" style="406" customWidth="1"/>
    <col min="7185" max="7185" width="7.5703125" style="406" customWidth="1"/>
    <col min="7186" max="7186" width="9.140625" style="406"/>
    <col min="7187" max="7187" width="13" style="406" customWidth="1"/>
    <col min="7188" max="7188" width="11.42578125" style="406" customWidth="1"/>
    <col min="7189" max="7423" width="9.140625" style="406"/>
    <col min="7424" max="7424" width="6.85546875" style="406" customWidth="1"/>
    <col min="7425" max="7425" width="22.140625" style="406" customWidth="1"/>
    <col min="7426" max="7427" width="13.42578125" style="406" customWidth="1"/>
    <col min="7428" max="7428" width="10.85546875" style="406" customWidth="1"/>
    <col min="7429" max="7430" width="13" style="406" customWidth="1"/>
    <col min="7431" max="7432" width="11.7109375" style="406" customWidth="1"/>
    <col min="7433" max="7433" width="11.42578125" style="406" customWidth="1"/>
    <col min="7434" max="7434" width="12.5703125" style="406" customWidth="1"/>
    <col min="7435" max="7435" width="12" style="406" customWidth="1"/>
    <col min="7436" max="7436" width="12.7109375" style="406" customWidth="1"/>
    <col min="7437" max="7437" width="11.7109375" style="406" customWidth="1"/>
    <col min="7438" max="7438" width="10.85546875" style="406" customWidth="1"/>
    <col min="7439" max="7439" width="12.7109375" style="406" customWidth="1"/>
    <col min="7440" max="7440" width="10.5703125" style="406" customWidth="1"/>
    <col min="7441" max="7441" width="7.5703125" style="406" customWidth="1"/>
    <col min="7442" max="7442" width="9.140625" style="406"/>
    <col min="7443" max="7443" width="13" style="406" customWidth="1"/>
    <col min="7444" max="7444" width="11.42578125" style="406" customWidth="1"/>
    <col min="7445" max="7679" width="9.140625" style="406"/>
    <col min="7680" max="7680" width="6.85546875" style="406" customWidth="1"/>
    <col min="7681" max="7681" width="22.140625" style="406" customWidth="1"/>
    <col min="7682" max="7683" width="13.42578125" style="406" customWidth="1"/>
    <col min="7684" max="7684" width="10.85546875" style="406" customWidth="1"/>
    <col min="7685" max="7686" width="13" style="406" customWidth="1"/>
    <col min="7687" max="7688" width="11.7109375" style="406" customWidth="1"/>
    <col min="7689" max="7689" width="11.42578125" style="406" customWidth="1"/>
    <col min="7690" max="7690" width="12.5703125" style="406" customWidth="1"/>
    <col min="7691" max="7691" width="12" style="406" customWidth="1"/>
    <col min="7692" max="7692" width="12.7109375" style="406" customWidth="1"/>
    <col min="7693" max="7693" width="11.7109375" style="406" customWidth="1"/>
    <col min="7694" max="7694" width="10.85546875" style="406" customWidth="1"/>
    <col min="7695" max="7695" width="12.7109375" style="406" customWidth="1"/>
    <col min="7696" max="7696" width="10.5703125" style="406" customWidth="1"/>
    <col min="7697" max="7697" width="7.5703125" style="406" customWidth="1"/>
    <col min="7698" max="7698" width="9.140625" style="406"/>
    <col min="7699" max="7699" width="13" style="406" customWidth="1"/>
    <col min="7700" max="7700" width="11.42578125" style="406" customWidth="1"/>
    <col min="7701" max="7935" width="9.140625" style="406"/>
    <col min="7936" max="7936" width="6.85546875" style="406" customWidth="1"/>
    <col min="7937" max="7937" width="22.140625" style="406" customWidth="1"/>
    <col min="7938" max="7939" width="13.42578125" style="406" customWidth="1"/>
    <col min="7940" max="7940" width="10.85546875" style="406" customWidth="1"/>
    <col min="7941" max="7942" width="13" style="406" customWidth="1"/>
    <col min="7943" max="7944" width="11.7109375" style="406" customWidth="1"/>
    <col min="7945" max="7945" width="11.42578125" style="406" customWidth="1"/>
    <col min="7946" max="7946" width="12.5703125" style="406" customWidth="1"/>
    <col min="7947" max="7947" width="12" style="406" customWidth="1"/>
    <col min="7948" max="7948" width="12.7109375" style="406" customWidth="1"/>
    <col min="7949" max="7949" width="11.7109375" style="406" customWidth="1"/>
    <col min="7950" max="7950" width="10.85546875" style="406" customWidth="1"/>
    <col min="7951" max="7951" width="12.7109375" style="406" customWidth="1"/>
    <col min="7952" max="7952" width="10.5703125" style="406" customWidth="1"/>
    <col min="7953" max="7953" width="7.5703125" style="406" customWidth="1"/>
    <col min="7954" max="7954" width="9.140625" style="406"/>
    <col min="7955" max="7955" width="13" style="406" customWidth="1"/>
    <col min="7956" max="7956" width="11.42578125" style="406" customWidth="1"/>
    <col min="7957" max="8191" width="9.140625" style="406"/>
    <col min="8192" max="8192" width="6.85546875" style="406" customWidth="1"/>
    <col min="8193" max="8193" width="22.140625" style="406" customWidth="1"/>
    <col min="8194" max="8195" width="13.42578125" style="406" customWidth="1"/>
    <col min="8196" max="8196" width="10.85546875" style="406" customWidth="1"/>
    <col min="8197" max="8198" width="13" style="406" customWidth="1"/>
    <col min="8199" max="8200" width="11.7109375" style="406" customWidth="1"/>
    <col min="8201" max="8201" width="11.42578125" style="406" customWidth="1"/>
    <col min="8202" max="8202" width="12.5703125" style="406" customWidth="1"/>
    <col min="8203" max="8203" width="12" style="406" customWidth="1"/>
    <col min="8204" max="8204" width="12.7109375" style="406" customWidth="1"/>
    <col min="8205" max="8205" width="11.7109375" style="406" customWidth="1"/>
    <col min="8206" max="8206" width="10.85546875" style="406" customWidth="1"/>
    <col min="8207" max="8207" width="12.7109375" style="406" customWidth="1"/>
    <col min="8208" max="8208" width="10.5703125" style="406" customWidth="1"/>
    <col min="8209" max="8209" width="7.5703125" style="406" customWidth="1"/>
    <col min="8210" max="8210" width="9.140625" style="406"/>
    <col min="8211" max="8211" width="13" style="406" customWidth="1"/>
    <col min="8212" max="8212" width="11.42578125" style="406" customWidth="1"/>
    <col min="8213" max="8447" width="9.140625" style="406"/>
    <col min="8448" max="8448" width="6.85546875" style="406" customWidth="1"/>
    <col min="8449" max="8449" width="22.140625" style="406" customWidth="1"/>
    <col min="8450" max="8451" width="13.42578125" style="406" customWidth="1"/>
    <col min="8452" max="8452" width="10.85546875" style="406" customWidth="1"/>
    <col min="8453" max="8454" width="13" style="406" customWidth="1"/>
    <col min="8455" max="8456" width="11.7109375" style="406" customWidth="1"/>
    <col min="8457" max="8457" width="11.42578125" style="406" customWidth="1"/>
    <col min="8458" max="8458" width="12.5703125" style="406" customWidth="1"/>
    <col min="8459" max="8459" width="12" style="406" customWidth="1"/>
    <col min="8460" max="8460" width="12.7109375" style="406" customWidth="1"/>
    <col min="8461" max="8461" width="11.7109375" style="406" customWidth="1"/>
    <col min="8462" max="8462" width="10.85546875" style="406" customWidth="1"/>
    <col min="8463" max="8463" width="12.7109375" style="406" customWidth="1"/>
    <col min="8464" max="8464" width="10.5703125" style="406" customWidth="1"/>
    <col min="8465" max="8465" width="7.5703125" style="406" customWidth="1"/>
    <col min="8466" max="8466" width="9.140625" style="406"/>
    <col min="8467" max="8467" width="13" style="406" customWidth="1"/>
    <col min="8468" max="8468" width="11.42578125" style="406" customWidth="1"/>
    <col min="8469" max="8703" width="9.140625" style="406"/>
    <col min="8704" max="8704" width="6.85546875" style="406" customWidth="1"/>
    <col min="8705" max="8705" width="22.140625" style="406" customWidth="1"/>
    <col min="8706" max="8707" width="13.42578125" style="406" customWidth="1"/>
    <col min="8708" max="8708" width="10.85546875" style="406" customWidth="1"/>
    <col min="8709" max="8710" width="13" style="406" customWidth="1"/>
    <col min="8711" max="8712" width="11.7109375" style="406" customWidth="1"/>
    <col min="8713" max="8713" width="11.42578125" style="406" customWidth="1"/>
    <col min="8714" max="8714" width="12.5703125" style="406" customWidth="1"/>
    <col min="8715" max="8715" width="12" style="406" customWidth="1"/>
    <col min="8716" max="8716" width="12.7109375" style="406" customWidth="1"/>
    <col min="8717" max="8717" width="11.7109375" style="406" customWidth="1"/>
    <col min="8718" max="8718" width="10.85546875" style="406" customWidth="1"/>
    <col min="8719" max="8719" width="12.7109375" style="406" customWidth="1"/>
    <col min="8720" max="8720" width="10.5703125" style="406" customWidth="1"/>
    <col min="8721" max="8721" width="7.5703125" style="406" customWidth="1"/>
    <col min="8722" max="8722" width="9.140625" style="406"/>
    <col min="8723" max="8723" width="13" style="406" customWidth="1"/>
    <col min="8724" max="8724" width="11.42578125" style="406" customWidth="1"/>
    <col min="8725" max="8959" width="9.140625" style="406"/>
    <col min="8960" max="8960" width="6.85546875" style="406" customWidth="1"/>
    <col min="8961" max="8961" width="22.140625" style="406" customWidth="1"/>
    <col min="8962" max="8963" width="13.42578125" style="406" customWidth="1"/>
    <col min="8964" max="8964" width="10.85546875" style="406" customWidth="1"/>
    <col min="8965" max="8966" width="13" style="406" customWidth="1"/>
    <col min="8967" max="8968" width="11.7109375" style="406" customWidth="1"/>
    <col min="8969" max="8969" width="11.42578125" style="406" customWidth="1"/>
    <col min="8970" max="8970" width="12.5703125" style="406" customWidth="1"/>
    <col min="8971" max="8971" width="12" style="406" customWidth="1"/>
    <col min="8972" max="8972" width="12.7109375" style="406" customWidth="1"/>
    <col min="8973" max="8973" width="11.7109375" style="406" customWidth="1"/>
    <col min="8974" max="8974" width="10.85546875" style="406" customWidth="1"/>
    <col min="8975" max="8975" width="12.7109375" style="406" customWidth="1"/>
    <col min="8976" max="8976" width="10.5703125" style="406" customWidth="1"/>
    <col min="8977" max="8977" width="7.5703125" style="406" customWidth="1"/>
    <col min="8978" max="8978" width="9.140625" style="406"/>
    <col min="8979" max="8979" width="13" style="406" customWidth="1"/>
    <col min="8980" max="8980" width="11.42578125" style="406" customWidth="1"/>
    <col min="8981" max="9215" width="9.140625" style="406"/>
    <col min="9216" max="9216" width="6.85546875" style="406" customWidth="1"/>
    <col min="9217" max="9217" width="22.140625" style="406" customWidth="1"/>
    <col min="9218" max="9219" width="13.42578125" style="406" customWidth="1"/>
    <col min="9220" max="9220" width="10.85546875" style="406" customWidth="1"/>
    <col min="9221" max="9222" width="13" style="406" customWidth="1"/>
    <col min="9223" max="9224" width="11.7109375" style="406" customWidth="1"/>
    <col min="9225" max="9225" width="11.42578125" style="406" customWidth="1"/>
    <col min="9226" max="9226" width="12.5703125" style="406" customWidth="1"/>
    <col min="9227" max="9227" width="12" style="406" customWidth="1"/>
    <col min="9228" max="9228" width="12.7109375" style="406" customWidth="1"/>
    <col min="9229" max="9229" width="11.7109375" style="406" customWidth="1"/>
    <col min="9230" max="9230" width="10.85546875" style="406" customWidth="1"/>
    <col min="9231" max="9231" width="12.7109375" style="406" customWidth="1"/>
    <col min="9232" max="9232" width="10.5703125" style="406" customWidth="1"/>
    <col min="9233" max="9233" width="7.5703125" style="406" customWidth="1"/>
    <col min="9234" max="9234" width="9.140625" style="406"/>
    <col min="9235" max="9235" width="13" style="406" customWidth="1"/>
    <col min="9236" max="9236" width="11.42578125" style="406" customWidth="1"/>
    <col min="9237" max="9471" width="9.140625" style="406"/>
    <col min="9472" max="9472" width="6.85546875" style="406" customWidth="1"/>
    <col min="9473" max="9473" width="22.140625" style="406" customWidth="1"/>
    <col min="9474" max="9475" width="13.42578125" style="406" customWidth="1"/>
    <col min="9476" max="9476" width="10.85546875" style="406" customWidth="1"/>
    <col min="9477" max="9478" width="13" style="406" customWidth="1"/>
    <col min="9479" max="9480" width="11.7109375" style="406" customWidth="1"/>
    <col min="9481" max="9481" width="11.42578125" style="406" customWidth="1"/>
    <col min="9482" max="9482" width="12.5703125" style="406" customWidth="1"/>
    <col min="9483" max="9483" width="12" style="406" customWidth="1"/>
    <col min="9484" max="9484" width="12.7109375" style="406" customWidth="1"/>
    <col min="9485" max="9485" width="11.7109375" style="406" customWidth="1"/>
    <col min="9486" max="9486" width="10.85546875" style="406" customWidth="1"/>
    <col min="9487" max="9487" width="12.7109375" style="406" customWidth="1"/>
    <col min="9488" max="9488" width="10.5703125" style="406" customWidth="1"/>
    <col min="9489" max="9489" width="7.5703125" style="406" customWidth="1"/>
    <col min="9490" max="9490" width="9.140625" style="406"/>
    <col min="9491" max="9491" width="13" style="406" customWidth="1"/>
    <col min="9492" max="9492" width="11.42578125" style="406" customWidth="1"/>
    <col min="9493" max="9727" width="9.140625" style="406"/>
    <col min="9728" max="9728" width="6.85546875" style="406" customWidth="1"/>
    <col min="9729" max="9729" width="22.140625" style="406" customWidth="1"/>
    <col min="9730" max="9731" width="13.42578125" style="406" customWidth="1"/>
    <col min="9732" max="9732" width="10.85546875" style="406" customWidth="1"/>
    <col min="9733" max="9734" width="13" style="406" customWidth="1"/>
    <col min="9735" max="9736" width="11.7109375" style="406" customWidth="1"/>
    <col min="9737" max="9737" width="11.42578125" style="406" customWidth="1"/>
    <col min="9738" max="9738" width="12.5703125" style="406" customWidth="1"/>
    <col min="9739" max="9739" width="12" style="406" customWidth="1"/>
    <col min="9740" max="9740" width="12.7109375" style="406" customWidth="1"/>
    <col min="9741" max="9741" width="11.7109375" style="406" customWidth="1"/>
    <col min="9742" max="9742" width="10.85546875" style="406" customWidth="1"/>
    <col min="9743" max="9743" width="12.7109375" style="406" customWidth="1"/>
    <col min="9744" max="9744" width="10.5703125" style="406" customWidth="1"/>
    <col min="9745" max="9745" width="7.5703125" style="406" customWidth="1"/>
    <col min="9746" max="9746" width="9.140625" style="406"/>
    <col min="9747" max="9747" width="13" style="406" customWidth="1"/>
    <col min="9748" max="9748" width="11.42578125" style="406" customWidth="1"/>
    <col min="9749" max="9983" width="9.140625" style="406"/>
    <col min="9984" max="9984" width="6.85546875" style="406" customWidth="1"/>
    <col min="9985" max="9985" width="22.140625" style="406" customWidth="1"/>
    <col min="9986" max="9987" width="13.42578125" style="406" customWidth="1"/>
    <col min="9988" max="9988" width="10.85546875" style="406" customWidth="1"/>
    <col min="9989" max="9990" width="13" style="406" customWidth="1"/>
    <col min="9991" max="9992" width="11.7109375" style="406" customWidth="1"/>
    <col min="9993" max="9993" width="11.42578125" style="406" customWidth="1"/>
    <col min="9994" max="9994" width="12.5703125" style="406" customWidth="1"/>
    <col min="9995" max="9995" width="12" style="406" customWidth="1"/>
    <col min="9996" max="9996" width="12.7109375" style="406" customWidth="1"/>
    <col min="9997" max="9997" width="11.7109375" style="406" customWidth="1"/>
    <col min="9998" max="9998" width="10.85546875" style="406" customWidth="1"/>
    <col min="9999" max="9999" width="12.7109375" style="406" customWidth="1"/>
    <col min="10000" max="10000" width="10.5703125" style="406" customWidth="1"/>
    <col min="10001" max="10001" width="7.5703125" style="406" customWidth="1"/>
    <col min="10002" max="10002" width="9.140625" style="406"/>
    <col min="10003" max="10003" width="13" style="406" customWidth="1"/>
    <col min="10004" max="10004" width="11.42578125" style="406" customWidth="1"/>
    <col min="10005" max="10239" width="9.140625" style="406"/>
    <col min="10240" max="10240" width="6.85546875" style="406" customWidth="1"/>
    <col min="10241" max="10241" width="22.140625" style="406" customWidth="1"/>
    <col min="10242" max="10243" width="13.42578125" style="406" customWidth="1"/>
    <col min="10244" max="10244" width="10.85546875" style="406" customWidth="1"/>
    <col min="10245" max="10246" width="13" style="406" customWidth="1"/>
    <col min="10247" max="10248" width="11.7109375" style="406" customWidth="1"/>
    <col min="10249" max="10249" width="11.42578125" style="406" customWidth="1"/>
    <col min="10250" max="10250" width="12.5703125" style="406" customWidth="1"/>
    <col min="10251" max="10251" width="12" style="406" customWidth="1"/>
    <col min="10252" max="10252" width="12.7109375" style="406" customWidth="1"/>
    <col min="10253" max="10253" width="11.7109375" style="406" customWidth="1"/>
    <col min="10254" max="10254" width="10.85546875" style="406" customWidth="1"/>
    <col min="10255" max="10255" width="12.7109375" style="406" customWidth="1"/>
    <col min="10256" max="10256" width="10.5703125" style="406" customWidth="1"/>
    <col min="10257" max="10257" width="7.5703125" style="406" customWidth="1"/>
    <col min="10258" max="10258" width="9.140625" style="406"/>
    <col min="10259" max="10259" width="13" style="406" customWidth="1"/>
    <col min="10260" max="10260" width="11.42578125" style="406" customWidth="1"/>
    <col min="10261" max="10495" width="9.140625" style="406"/>
    <col min="10496" max="10496" width="6.85546875" style="406" customWidth="1"/>
    <col min="10497" max="10497" width="22.140625" style="406" customWidth="1"/>
    <col min="10498" max="10499" width="13.42578125" style="406" customWidth="1"/>
    <col min="10500" max="10500" width="10.85546875" style="406" customWidth="1"/>
    <col min="10501" max="10502" width="13" style="406" customWidth="1"/>
    <col min="10503" max="10504" width="11.7109375" style="406" customWidth="1"/>
    <col min="10505" max="10505" width="11.42578125" style="406" customWidth="1"/>
    <col min="10506" max="10506" width="12.5703125" style="406" customWidth="1"/>
    <col min="10507" max="10507" width="12" style="406" customWidth="1"/>
    <col min="10508" max="10508" width="12.7109375" style="406" customWidth="1"/>
    <col min="10509" max="10509" width="11.7109375" style="406" customWidth="1"/>
    <col min="10510" max="10510" width="10.85546875" style="406" customWidth="1"/>
    <col min="10511" max="10511" width="12.7109375" style="406" customWidth="1"/>
    <col min="10512" max="10512" width="10.5703125" style="406" customWidth="1"/>
    <col min="10513" max="10513" width="7.5703125" style="406" customWidth="1"/>
    <col min="10514" max="10514" width="9.140625" style="406"/>
    <col min="10515" max="10515" width="13" style="406" customWidth="1"/>
    <col min="10516" max="10516" width="11.42578125" style="406" customWidth="1"/>
    <col min="10517" max="10751" width="9.140625" style="406"/>
    <col min="10752" max="10752" width="6.85546875" style="406" customWidth="1"/>
    <col min="10753" max="10753" width="22.140625" style="406" customWidth="1"/>
    <col min="10754" max="10755" width="13.42578125" style="406" customWidth="1"/>
    <col min="10756" max="10756" width="10.85546875" style="406" customWidth="1"/>
    <col min="10757" max="10758" width="13" style="406" customWidth="1"/>
    <col min="10759" max="10760" width="11.7109375" style="406" customWidth="1"/>
    <col min="10761" max="10761" width="11.42578125" style="406" customWidth="1"/>
    <col min="10762" max="10762" width="12.5703125" style="406" customWidth="1"/>
    <col min="10763" max="10763" width="12" style="406" customWidth="1"/>
    <col min="10764" max="10764" width="12.7109375" style="406" customWidth="1"/>
    <col min="10765" max="10765" width="11.7109375" style="406" customWidth="1"/>
    <col min="10766" max="10766" width="10.85546875" style="406" customWidth="1"/>
    <col min="10767" max="10767" width="12.7109375" style="406" customWidth="1"/>
    <col min="10768" max="10768" width="10.5703125" style="406" customWidth="1"/>
    <col min="10769" max="10769" width="7.5703125" style="406" customWidth="1"/>
    <col min="10770" max="10770" width="9.140625" style="406"/>
    <col min="10771" max="10771" width="13" style="406" customWidth="1"/>
    <col min="10772" max="10772" width="11.42578125" style="406" customWidth="1"/>
    <col min="10773" max="11007" width="9.140625" style="406"/>
    <col min="11008" max="11008" width="6.85546875" style="406" customWidth="1"/>
    <col min="11009" max="11009" width="22.140625" style="406" customWidth="1"/>
    <col min="11010" max="11011" width="13.42578125" style="406" customWidth="1"/>
    <col min="11012" max="11012" width="10.85546875" style="406" customWidth="1"/>
    <col min="11013" max="11014" width="13" style="406" customWidth="1"/>
    <col min="11015" max="11016" width="11.7109375" style="406" customWidth="1"/>
    <col min="11017" max="11017" width="11.42578125" style="406" customWidth="1"/>
    <col min="11018" max="11018" width="12.5703125" style="406" customWidth="1"/>
    <col min="11019" max="11019" width="12" style="406" customWidth="1"/>
    <col min="11020" max="11020" width="12.7109375" style="406" customWidth="1"/>
    <col min="11021" max="11021" width="11.7109375" style="406" customWidth="1"/>
    <col min="11022" max="11022" width="10.85546875" style="406" customWidth="1"/>
    <col min="11023" max="11023" width="12.7109375" style="406" customWidth="1"/>
    <col min="11024" max="11024" width="10.5703125" style="406" customWidth="1"/>
    <col min="11025" max="11025" width="7.5703125" style="406" customWidth="1"/>
    <col min="11026" max="11026" width="9.140625" style="406"/>
    <col min="11027" max="11027" width="13" style="406" customWidth="1"/>
    <col min="11028" max="11028" width="11.42578125" style="406" customWidth="1"/>
    <col min="11029" max="11263" width="9.140625" style="406"/>
    <col min="11264" max="11264" width="6.85546875" style="406" customWidth="1"/>
    <col min="11265" max="11265" width="22.140625" style="406" customWidth="1"/>
    <col min="11266" max="11267" width="13.42578125" style="406" customWidth="1"/>
    <col min="11268" max="11268" width="10.85546875" style="406" customWidth="1"/>
    <col min="11269" max="11270" width="13" style="406" customWidth="1"/>
    <col min="11271" max="11272" width="11.7109375" style="406" customWidth="1"/>
    <col min="11273" max="11273" width="11.42578125" style="406" customWidth="1"/>
    <col min="11274" max="11274" width="12.5703125" style="406" customWidth="1"/>
    <col min="11275" max="11275" width="12" style="406" customWidth="1"/>
    <col min="11276" max="11276" width="12.7109375" style="406" customWidth="1"/>
    <col min="11277" max="11277" width="11.7109375" style="406" customWidth="1"/>
    <col min="11278" max="11278" width="10.85546875" style="406" customWidth="1"/>
    <col min="11279" max="11279" width="12.7109375" style="406" customWidth="1"/>
    <col min="11280" max="11280" width="10.5703125" style="406" customWidth="1"/>
    <col min="11281" max="11281" width="7.5703125" style="406" customWidth="1"/>
    <col min="11282" max="11282" width="9.140625" style="406"/>
    <col min="11283" max="11283" width="13" style="406" customWidth="1"/>
    <col min="11284" max="11284" width="11.42578125" style="406" customWidth="1"/>
    <col min="11285" max="11519" width="9.140625" style="406"/>
    <col min="11520" max="11520" width="6.85546875" style="406" customWidth="1"/>
    <col min="11521" max="11521" width="22.140625" style="406" customWidth="1"/>
    <col min="11522" max="11523" width="13.42578125" style="406" customWidth="1"/>
    <col min="11524" max="11524" width="10.85546875" style="406" customWidth="1"/>
    <col min="11525" max="11526" width="13" style="406" customWidth="1"/>
    <col min="11527" max="11528" width="11.7109375" style="406" customWidth="1"/>
    <col min="11529" max="11529" width="11.42578125" style="406" customWidth="1"/>
    <col min="11530" max="11530" width="12.5703125" style="406" customWidth="1"/>
    <col min="11531" max="11531" width="12" style="406" customWidth="1"/>
    <col min="11532" max="11532" width="12.7109375" style="406" customWidth="1"/>
    <col min="11533" max="11533" width="11.7109375" style="406" customWidth="1"/>
    <col min="11534" max="11534" width="10.85546875" style="406" customWidth="1"/>
    <col min="11535" max="11535" width="12.7109375" style="406" customWidth="1"/>
    <col min="11536" max="11536" width="10.5703125" style="406" customWidth="1"/>
    <col min="11537" max="11537" width="7.5703125" style="406" customWidth="1"/>
    <col min="11538" max="11538" width="9.140625" style="406"/>
    <col min="11539" max="11539" width="13" style="406" customWidth="1"/>
    <col min="11540" max="11540" width="11.42578125" style="406" customWidth="1"/>
    <col min="11541" max="11775" width="9.140625" style="406"/>
    <col min="11776" max="11776" width="6.85546875" style="406" customWidth="1"/>
    <col min="11777" max="11777" width="22.140625" style="406" customWidth="1"/>
    <col min="11778" max="11779" width="13.42578125" style="406" customWidth="1"/>
    <col min="11780" max="11780" width="10.85546875" style="406" customWidth="1"/>
    <col min="11781" max="11782" width="13" style="406" customWidth="1"/>
    <col min="11783" max="11784" width="11.7109375" style="406" customWidth="1"/>
    <col min="11785" max="11785" width="11.42578125" style="406" customWidth="1"/>
    <col min="11786" max="11786" width="12.5703125" style="406" customWidth="1"/>
    <col min="11787" max="11787" width="12" style="406" customWidth="1"/>
    <col min="11788" max="11788" width="12.7109375" style="406" customWidth="1"/>
    <col min="11789" max="11789" width="11.7109375" style="406" customWidth="1"/>
    <col min="11790" max="11790" width="10.85546875" style="406" customWidth="1"/>
    <col min="11791" max="11791" width="12.7109375" style="406" customWidth="1"/>
    <col min="11792" max="11792" width="10.5703125" style="406" customWidth="1"/>
    <col min="11793" max="11793" width="7.5703125" style="406" customWidth="1"/>
    <col min="11794" max="11794" width="9.140625" style="406"/>
    <col min="11795" max="11795" width="13" style="406" customWidth="1"/>
    <col min="11796" max="11796" width="11.42578125" style="406" customWidth="1"/>
    <col min="11797" max="12031" width="9.140625" style="406"/>
    <col min="12032" max="12032" width="6.85546875" style="406" customWidth="1"/>
    <col min="12033" max="12033" width="22.140625" style="406" customWidth="1"/>
    <col min="12034" max="12035" width="13.42578125" style="406" customWidth="1"/>
    <col min="12036" max="12036" width="10.85546875" style="406" customWidth="1"/>
    <col min="12037" max="12038" width="13" style="406" customWidth="1"/>
    <col min="12039" max="12040" width="11.7109375" style="406" customWidth="1"/>
    <col min="12041" max="12041" width="11.42578125" style="406" customWidth="1"/>
    <col min="12042" max="12042" width="12.5703125" style="406" customWidth="1"/>
    <col min="12043" max="12043" width="12" style="406" customWidth="1"/>
    <col min="12044" max="12044" width="12.7109375" style="406" customWidth="1"/>
    <col min="12045" max="12045" width="11.7109375" style="406" customWidth="1"/>
    <col min="12046" max="12046" width="10.85546875" style="406" customWidth="1"/>
    <col min="12047" max="12047" width="12.7109375" style="406" customWidth="1"/>
    <col min="12048" max="12048" width="10.5703125" style="406" customWidth="1"/>
    <col min="12049" max="12049" width="7.5703125" style="406" customWidth="1"/>
    <col min="12050" max="12050" width="9.140625" style="406"/>
    <col min="12051" max="12051" width="13" style="406" customWidth="1"/>
    <col min="12052" max="12052" width="11.42578125" style="406" customWidth="1"/>
    <col min="12053" max="12287" width="9.140625" style="406"/>
    <col min="12288" max="12288" width="6.85546875" style="406" customWidth="1"/>
    <col min="12289" max="12289" width="22.140625" style="406" customWidth="1"/>
    <col min="12290" max="12291" width="13.42578125" style="406" customWidth="1"/>
    <col min="12292" max="12292" width="10.85546875" style="406" customWidth="1"/>
    <col min="12293" max="12294" width="13" style="406" customWidth="1"/>
    <col min="12295" max="12296" width="11.7109375" style="406" customWidth="1"/>
    <col min="12297" max="12297" width="11.42578125" style="406" customWidth="1"/>
    <col min="12298" max="12298" width="12.5703125" style="406" customWidth="1"/>
    <col min="12299" max="12299" width="12" style="406" customWidth="1"/>
    <col min="12300" max="12300" width="12.7109375" style="406" customWidth="1"/>
    <col min="12301" max="12301" width="11.7109375" style="406" customWidth="1"/>
    <col min="12302" max="12302" width="10.85546875" style="406" customWidth="1"/>
    <col min="12303" max="12303" width="12.7109375" style="406" customWidth="1"/>
    <col min="12304" max="12304" width="10.5703125" style="406" customWidth="1"/>
    <col min="12305" max="12305" width="7.5703125" style="406" customWidth="1"/>
    <col min="12306" max="12306" width="9.140625" style="406"/>
    <col min="12307" max="12307" width="13" style="406" customWidth="1"/>
    <col min="12308" max="12308" width="11.42578125" style="406" customWidth="1"/>
    <col min="12309" max="12543" width="9.140625" style="406"/>
    <col min="12544" max="12544" width="6.85546875" style="406" customWidth="1"/>
    <col min="12545" max="12545" width="22.140625" style="406" customWidth="1"/>
    <col min="12546" max="12547" width="13.42578125" style="406" customWidth="1"/>
    <col min="12548" max="12548" width="10.85546875" style="406" customWidth="1"/>
    <col min="12549" max="12550" width="13" style="406" customWidth="1"/>
    <col min="12551" max="12552" width="11.7109375" style="406" customWidth="1"/>
    <col min="12553" max="12553" width="11.42578125" style="406" customWidth="1"/>
    <col min="12554" max="12554" width="12.5703125" style="406" customWidth="1"/>
    <col min="12555" max="12555" width="12" style="406" customWidth="1"/>
    <col min="12556" max="12556" width="12.7109375" style="406" customWidth="1"/>
    <col min="12557" max="12557" width="11.7109375" style="406" customWidth="1"/>
    <col min="12558" max="12558" width="10.85546875" style="406" customWidth="1"/>
    <col min="12559" max="12559" width="12.7109375" style="406" customWidth="1"/>
    <col min="12560" max="12560" width="10.5703125" style="406" customWidth="1"/>
    <col min="12561" max="12561" width="7.5703125" style="406" customWidth="1"/>
    <col min="12562" max="12562" width="9.140625" style="406"/>
    <col min="12563" max="12563" width="13" style="406" customWidth="1"/>
    <col min="12564" max="12564" width="11.42578125" style="406" customWidth="1"/>
    <col min="12565" max="12799" width="9.140625" style="406"/>
    <col min="12800" max="12800" width="6.85546875" style="406" customWidth="1"/>
    <col min="12801" max="12801" width="22.140625" style="406" customWidth="1"/>
    <col min="12802" max="12803" width="13.42578125" style="406" customWidth="1"/>
    <col min="12804" max="12804" width="10.85546875" style="406" customWidth="1"/>
    <col min="12805" max="12806" width="13" style="406" customWidth="1"/>
    <col min="12807" max="12808" width="11.7109375" style="406" customWidth="1"/>
    <col min="12809" max="12809" width="11.42578125" style="406" customWidth="1"/>
    <col min="12810" max="12810" width="12.5703125" style="406" customWidth="1"/>
    <col min="12811" max="12811" width="12" style="406" customWidth="1"/>
    <col min="12812" max="12812" width="12.7109375" style="406" customWidth="1"/>
    <col min="12813" max="12813" width="11.7109375" style="406" customWidth="1"/>
    <col min="12814" max="12814" width="10.85546875" style="406" customWidth="1"/>
    <col min="12815" max="12815" width="12.7109375" style="406" customWidth="1"/>
    <col min="12816" max="12816" width="10.5703125" style="406" customWidth="1"/>
    <col min="12817" max="12817" width="7.5703125" style="406" customWidth="1"/>
    <col min="12818" max="12818" width="9.140625" style="406"/>
    <col min="12819" max="12819" width="13" style="406" customWidth="1"/>
    <col min="12820" max="12820" width="11.42578125" style="406" customWidth="1"/>
    <col min="12821" max="13055" width="9.140625" style="406"/>
    <col min="13056" max="13056" width="6.85546875" style="406" customWidth="1"/>
    <col min="13057" max="13057" width="22.140625" style="406" customWidth="1"/>
    <col min="13058" max="13059" width="13.42578125" style="406" customWidth="1"/>
    <col min="13060" max="13060" width="10.85546875" style="406" customWidth="1"/>
    <col min="13061" max="13062" width="13" style="406" customWidth="1"/>
    <col min="13063" max="13064" width="11.7109375" style="406" customWidth="1"/>
    <col min="13065" max="13065" width="11.42578125" style="406" customWidth="1"/>
    <col min="13066" max="13066" width="12.5703125" style="406" customWidth="1"/>
    <col min="13067" max="13067" width="12" style="406" customWidth="1"/>
    <col min="13068" max="13068" width="12.7109375" style="406" customWidth="1"/>
    <col min="13069" max="13069" width="11.7109375" style="406" customWidth="1"/>
    <col min="13070" max="13070" width="10.85546875" style="406" customWidth="1"/>
    <col min="13071" max="13071" width="12.7109375" style="406" customWidth="1"/>
    <col min="13072" max="13072" width="10.5703125" style="406" customWidth="1"/>
    <col min="13073" max="13073" width="7.5703125" style="406" customWidth="1"/>
    <col min="13074" max="13074" width="9.140625" style="406"/>
    <col min="13075" max="13075" width="13" style="406" customWidth="1"/>
    <col min="13076" max="13076" width="11.42578125" style="406" customWidth="1"/>
    <col min="13077" max="13311" width="9.140625" style="406"/>
    <col min="13312" max="13312" width="6.85546875" style="406" customWidth="1"/>
    <col min="13313" max="13313" width="22.140625" style="406" customWidth="1"/>
    <col min="13314" max="13315" width="13.42578125" style="406" customWidth="1"/>
    <col min="13316" max="13316" width="10.85546875" style="406" customWidth="1"/>
    <col min="13317" max="13318" width="13" style="406" customWidth="1"/>
    <col min="13319" max="13320" width="11.7109375" style="406" customWidth="1"/>
    <col min="13321" max="13321" width="11.42578125" style="406" customWidth="1"/>
    <col min="13322" max="13322" width="12.5703125" style="406" customWidth="1"/>
    <col min="13323" max="13323" width="12" style="406" customWidth="1"/>
    <col min="13324" max="13324" width="12.7109375" style="406" customWidth="1"/>
    <col min="13325" max="13325" width="11.7109375" style="406" customWidth="1"/>
    <col min="13326" max="13326" width="10.85546875" style="406" customWidth="1"/>
    <col min="13327" max="13327" width="12.7109375" style="406" customWidth="1"/>
    <col min="13328" max="13328" width="10.5703125" style="406" customWidth="1"/>
    <col min="13329" max="13329" width="7.5703125" style="406" customWidth="1"/>
    <col min="13330" max="13330" width="9.140625" style="406"/>
    <col min="13331" max="13331" width="13" style="406" customWidth="1"/>
    <col min="13332" max="13332" width="11.42578125" style="406" customWidth="1"/>
    <col min="13333" max="13567" width="9.140625" style="406"/>
    <col min="13568" max="13568" width="6.85546875" style="406" customWidth="1"/>
    <col min="13569" max="13569" width="22.140625" style="406" customWidth="1"/>
    <col min="13570" max="13571" width="13.42578125" style="406" customWidth="1"/>
    <col min="13572" max="13572" width="10.85546875" style="406" customWidth="1"/>
    <col min="13573" max="13574" width="13" style="406" customWidth="1"/>
    <col min="13575" max="13576" width="11.7109375" style="406" customWidth="1"/>
    <col min="13577" max="13577" width="11.42578125" style="406" customWidth="1"/>
    <col min="13578" max="13578" width="12.5703125" style="406" customWidth="1"/>
    <col min="13579" max="13579" width="12" style="406" customWidth="1"/>
    <col min="13580" max="13580" width="12.7109375" style="406" customWidth="1"/>
    <col min="13581" max="13581" width="11.7109375" style="406" customWidth="1"/>
    <col min="13582" max="13582" width="10.85546875" style="406" customWidth="1"/>
    <col min="13583" max="13583" width="12.7109375" style="406" customWidth="1"/>
    <col min="13584" max="13584" width="10.5703125" style="406" customWidth="1"/>
    <col min="13585" max="13585" width="7.5703125" style="406" customWidth="1"/>
    <col min="13586" max="13586" width="9.140625" style="406"/>
    <col min="13587" max="13587" width="13" style="406" customWidth="1"/>
    <col min="13588" max="13588" width="11.42578125" style="406" customWidth="1"/>
    <col min="13589" max="13823" width="9.140625" style="406"/>
    <col min="13824" max="13824" width="6.85546875" style="406" customWidth="1"/>
    <col min="13825" max="13825" width="22.140625" style="406" customWidth="1"/>
    <col min="13826" max="13827" width="13.42578125" style="406" customWidth="1"/>
    <col min="13828" max="13828" width="10.85546875" style="406" customWidth="1"/>
    <col min="13829" max="13830" width="13" style="406" customWidth="1"/>
    <col min="13831" max="13832" width="11.7109375" style="406" customWidth="1"/>
    <col min="13833" max="13833" width="11.42578125" style="406" customWidth="1"/>
    <col min="13834" max="13834" width="12.5703125" style="406" customWidth="1"/>
    <col min="13835" max="13835" width="12" style="406" customWidth="1"/>
    <col min="13836" max="13836" width="12.7109375" style="406" customWidth="1"/>
    <col min="13837" max="13837" width="11.7109375" style="406" customWidth="1"/>
    <col min="13838" max="13838" width="10.85546875" style="406" customWidth="1"/>
    <col min="13839" max="13839" width="12.7109375" style="406" customWidth="1"/>
    <col min="13840" max="13840" width="10.5703125" style="406" customWidth="1"/>
    <col min="13841" max="13841" width="7.5703125" style="406" customWidth="1"/>
    <col min="13842" max="13842" width="9.140625" style="406"/>
    <col min="13843" max="13843" width="13" style="406" customWidth="1"/>
    <col min="13844" max="13844" width="11.42578125" style="406" customWidth="1"/>
    <col min="13845" max="14079" width="9.140625" style="406"/>
    <col min="14080" max="14080" width="6.85546875" style="406" customWidth="1"/>
    <col min="14081" max="14081" width="22.140625" style="406" customWidth="1"/>
    <col min="14082" max="14083" width="13.42578125" style="406" customWidth="1"/>
    <col min="14084" max="14084" width="10.85546875" style="406" customWidth="1"/>
    <col min="14085" max="14086" width="13" style="406" customWidth="1"/>
    <col min="14087" max="14088" width="11.7109375" style="406" customWidth="1"/>
    <col min="14089" max="14089" width="11.42578125" style="406" customWidth="1"/>
    <col min="14090" max="14090" width="12.5703125" style="406" customWidth="1"/>
    <col min="14091" max="14091" width="12" style="406" customWidth="1"/>
    <col min="14092" max="14092" width="12.7109375" style="406" customWidth="1"/>
    <col min="14093" max="14093" width="11.7109375" style="406" customWidth="1"/>
    <col min="14094" max="14094" width="10.85546875" style="406" customWidth="1"/>
    <col min="14095" max="14095" width="12.7109375" style="406" customWidth="1"/>
    <col min="14096" max="14096" width="10.5703125" style="406" customWidth="1"/>
    <col min="14097" max="14097" width="7.5703125" style="406" customWidth="1"/>
    <col min="14098" max="14098" width="9.140625" style="406"/>
    <col min="14099" max="14099" width="13" style="406" customWidth="1"/>
    <col min="14100" max="14100" width="11.42578125" style="406" customWidth="1"/>
    <col min="14101" max="14335" width="9.140625" style="406"/>
    <col min="14336" max="14336" width="6.85546875" style="406" customWidth="1"/>
    <col min="14337" max="14337" width="22.140625" style="406" customWidth="1"/>
    <col min="14338" max="14339" width="13.42578125" style="406" customWidth="1"/>
    <col min="14340" max="14340" width="10.85546875" style="406" customWidth="1"/>
    <col min="14341" max="14342" width="13" style="406" customWidth="1"/>
    <col min="14343" max="14344" width="11.7109375" style="406" customWidth="1"/>
    <col min="14345" max="14345" width="11.42578125" style="406" customWidth="1"/>
    <col min="14346" max="14346" width="12.5703125" style="406" customWidth="1"/>
    <col min="14347" max="14347" width="12" style="406" customWidth="1"/>
    <col min="14348" max="14348" width="12.7109375" style="406" customWidth="1"/>
    <col min="14349" max="14349" width="11.7109375" style="406" customWidth="1"/>
    <col min="14350" max="14350" width="10.85546875" style="406" customWidth="1"/>
    <col min="14351" max="14351" width="12.7109375" style="406" customWidth="1"/>
    <col min="14352" max="14352" width="10.5703125" style="406" customWidth="1"/>
    <col min="14353" max="14353" width="7.5703125" style="406" customWidth="1"/>
    <col min="14354" max="14354" width="9.140625" style="406"/>
    <col min="14355" max="14355" width="13" style="406" customWidth="1"/>
    <col min="14356" max="14356" width="11.42578125" style="406" customWidth="1"/>
    <col min="14357" max="14591" width="9.140625" style="406"/>
    <col min="14592" max="14592" width="6.85546875" style="406" customWidth="1"/>
    <col min="14593" max="14593" width="22.140625" style="406" customWidth="1"/>
    <col min="14594" max="14595" width="13.42578125" style="406" customWidth="1"/>
    <col min="14596" max="14596" width="10.85546875" style="406" customWidth="1"/>
    <col min="14597" max="14598" width="13" style="406" customWidth="1"/>
    <col min="14599" max="14600" width="11.7109375" style="406" customWidth="1"/>
    <col min="14601" max="14601" width="11.42578125" style="406" customWidth="1"/>
    <col min="14602" max="14602" width="12.5703125" style="406" customWidth="1"/>
    <col min="14603" max="14603" width="12" style="406" customWidth="1"/>
    <col min="14604" max="14604" width="12.7109375" style="406" customWidth="1"/>
    <col min="14605" max="14605" width="11.7109375" style="406" customWidth="1"/>
    <col min="14606" max="14606" width="10.85546875" style="406" customWidth="1"/>
    <col min="14607" max="14607" width="12.7109375" style="406" customWidth="1"/>
    <col min="14608" max="14608" width="10.5703125" style="406" customWidth="1"/>
    <col min="14609" max="14609" width="7.5703125" style="406" customWidth="1"/>
    <col min="14610" max="14610" width="9.140625" style="406"/>
    <col min="14611" max="14611" width="13" style="406" customWidth="1"/>
    <col min="14612" max="14612" width="11.42578125" style="406" customWidth="1"/>
    <col min="14613" max="14847" width="9.140625" style="406"/>
    <col min="14848" max="14848" width="6.85546875" style="406" customWidth="1"/>
    <col min="14849" max="14849" width="22.140625" style="406" customWidth="1"/>
    <col min="14850" max="14851" width="13.42578125" style="406" customWidth="1"/>
    <col min="14852" max="14852" width="10.85546875" style="406" customWidth="1"/>
    <col min="14853" max="14854" width="13" style="406" customWidth="1"/>
    <col min="14855" max="14856" width="11.7109375" style="406" customWidth="1"/>
    <col min="14857" max="14857" width="11.42578125" style="406" customWidth="1"/>
    <col min="14858" max="14858" width="12.5703125" style="406" customWidth="1"/>
    <col min="14859" max="14859" width="12" style="406" customWidth="1"/>
    <col min="14860" max="14860" width="12.7109375" style="406" customWidth="1"/>
    <col min="14861" max="14861" width="11.7109375" style="406" customWidth="1"/>
    <col min="14862" max="14862" width="10.85546875" style="406" customWidth="1"/>
    <col min="14863" max="14863" width="12.7109375" style="406" customWidth="1"/>
    <col min="14864" max="14864" width="10.5703125" style="406" customWidth="1"/>
    <col min="14865" max="14865" width="7.5703125" style="406" customWidth="1"/>
    <col min="14866" max="14866" width="9.140625" style="406"/>
    <col min="14867" max="14867" width="13" style="406" customWidth="1"/>
    <col min="14868" max="14868" width="11.42578125" style="406" customWidth="1"/>
    <col min="14869" max="15103" width="9.140625" style="406"/>
    <col min="15104" max="15104" width="6.85546875" style="406" customWidth="1"/>
    <col min="15105" max="15105" width="22.140625" style="406" customWidth="1"/>
    <col min="15106" max="15107" width="13.42578125" style="406" customWidth="1"/>
    <col min="15108" max="15108" width="10.85546875" style="406" customWidth="1"/>
    <col min="15109" max="15110" width="13" style="406" customWidth="1"/>
    <col min="15111" max="15112" width="11.7109375" style="406" customWidth="1"/>
    <col min="15113" max="15113" width="11.42578125" style="406" customWidth="1"/>
    <col min="15114" max="15114" width="12.5703125" style="406" customWidth="1"/>
    <col min="15115" max="15115" width="12" style="406" customWidth="1"/>
    <col min="15116" max="15116" width="12.7109375" style="406" customWidth="1"/>
    <col min="15117" max="15117" width="11.7109375" style="406" customWidth="1"/>
    <col min="15118" max="15118" width="10.85546875" style="406" customWidth="1"/>
    <col min="15119" max="15119" width="12.7109375" style="406" customWidth="1"/>
    <col min="15120" max="15120" width="10.5703125" style="406" customWidth="1"/>
    <col min="15121" max="15121" width="7.5703125" style="406" customWidth="1"/>
    <col min="15122" max="15122" width="9.140625" style="406"/>
    <col min="15123" max="15123" width="13" style="406" customWidth="1"/>
    <col min="15124" max="15124" width="11.42578125" style="406" customWidth="1"/>
    <col min="15125" max="15359" width="9.140625" style="406"/>
    <col min="15360" max="15360" width="6.85546875" style="406" customWidth="1"/>
    <col min="15361" max="15361" width="22.140625" style="406" customWidth="1"/>
    <col min="15362" max="15363" width="13.42578125" style="406" customWidth="1"/>
    <col min="15364" max="15364" width="10.85546875" style="406" customWidth="1"/>
    <col min="15365" max="15366" width="13" style="406" customWidth="1"/>
    <col min="15367" max="15368" width="11.7109375" style="406" customWidth="1"/>
    <col min="15369" max="15369" width="11.42578125" style="406" customWidth="1"/>
    <col min="15370" max="15370" width="12.5703125" style="406" customWidth="1"/>
    <col min="15371" max="15371" width="12" style="406" customWidth="1"/>
    <col min="15372" max="15372" width="12.7109375" style="406" customWidth="1"/>
    <col min="15373" max="15373" width="11.7109375" style="406" customWidth="1"/>
    <col min="15374" max="15374" width="10.85546875" style="406" customWidth="1"/>
    <col min="15375" max="15375" width="12.7109375" style="406" customWidth="1"/>
    <col min="15376" max="15376" width="10.5703125" style="406" customWidth="1"/>
    <col min="15377" max="15377" width="7.5703125" style="406" customWidth="1"/>
    <col min="15378" max="15378" width="9.140625" style="406"/>
    <col min="15379" max="15379" width="13" style="406" customWidth="1"/>
    <col min="15380" max="15380" width="11.42578125" style="406" customWidth="1"/>
    <col min="15381" max="15615" width="9.140625" style="406"/>
    <col min="15616" max="15616" width="6.85546875" style="406" customWidth="1"/>
    <col min="15617" max="15617" width="22.140625" style="406" customWidth="1"/>
    <col min="15618" max="15619" width="13.42578125" style="406" customWidth="1"/>
    <col min="15620" max="15620" width="10.85546875" style="406" customWidth="1"/>
    <col min="15621" max="15622" width="13" style="406" customWidth="1"/>
    <col min="15623" max="15624" width="11.7109375" style="406" customWidth="1"/>
    <col min="15625" max="15625" width="11.42578125" style="406" customWidth="1"/>
    <col min="15626" max="15626" width="12.5703125" style="406" customWidth="1"/>
    <col min="15627" max="15627" width="12" style="406" customWidth="1"/>
    <col min="15628" max="15628" width="12.7109375" style="406" customWidth="1"/>
    <col min="15629" max="15629" width="11.7109375" style="406" customWidth="1"/>
    <col min="15630" max="15630" width="10.85546875" style="406" customWidth="1"/>
    <col min="15631" max="15631" width="12.7109375" style="406" customWidth="1"/>
    <col min="15632" max="15632" width="10.5703125" style="406" customWidth="1"/>
    <col min="15633" max="15633" width="7.5703125" style="406" customWidth="1"/>
    <col min="15634" max="15634" width="9.140625" style="406"/>
    <col min="15635" max="15635" width="13" style="406" customWidth="1"/>
    <col min="15636" max="15636" width="11.42578125" style="406" customWidth="1"/>
    <col min="15637" max="15871" width="9.140625" style="406"/>
    <col min="15872" max="15872" width="6.85546875" style="406" customWidth="1"/>
    <col min="15873" max="15873" width="22.140625" style="406" customWidth="1"/>
    <col min="15874" max="15875" width="13.42578125" style="406" customWidth="1"/>
    <col min="15876" max="15876" width="10.85546875" style="406" customWidth="1"/>
    <col min="15877" max="15878" width="13" style="406" customWidth="1"/>
    <col min="15879" max="15880" width="11.7109375" style="406" customWidth="1"/>
    <col min="15881" max="15881" width="11.42578125" style="406" customWidth="1"/>
    <col min="15882" max="15882" width="12.5703125" style="406" customWidth="1"/>
    <col min="15883" max="15883" width="12" style="406" customWidth="1"/>
    <col min="15884" max="15884" width="12.7109375" style="406" customWidth="1"/>
    <col min="15885" max="15885" width="11.7109375" style="406" customWidth="1"/>
    <col min="15886" max="15886" width="10.85546875" style="406" customWidth="1"/>
    <col min="15887" max="15887" width="12.7109375" style="406" customWidth="1"/>
    <col min="15888" max="15888" width="10.5703125" style="406" customWidth="1"/>
    <col min="15889" max="15889" width="7.5703125" style="406" customWidth="1"/>
    <col min="15890" max="15890" width="9.140625" style="406"/>
    <col min="15891" max="15891" width="13" style="406" customWidth="1"/>
    <col min="15892" max="15892" width="11.42578125" style="406" customWidth="1"/>
    <col min="15893" max="16127" width="9.140625" style="406"/>
    <col min="16128" max="16128" width="6.85546875" style="406" customWidth="1"/>
    <col min="16129" max="16129" width="22.140625" style="406" customWidth="1"/>
    <col min="16130" max="16131" width="13.42578125" style="406" customWidth="1"/>
    <col min="16132" max="16132" width="10.85546875" style="406" customWidth="1"/>
    <col min="16133" max="16134" width="13" style="406" customWidth="1"/>
    <col min="16135" max="16136" width="11.7109375" style="406" customWidth="1"/>
    <col min="16137" max="16137" width="11.42578125" style="406" customWidth="1"/>
    <col min="16138" max="16138" width="12.5703125" style="406" customWidth="1"/>
    <col min="16139" max="16139" width="12" style="406" customWidth="1"/>
    <col min="16140" max="16140" width="12.7109375" style="406" customWidth="1"/>
    <col min="16141" max="16141" width="11.7109375" style="406" customWidth="1"/>
    <col min="16142" max="16142" width="10.85546875" style="406" customWidth="1"/>
    <col min="16143" max="16143" width="12.7109375" style="406" customWidth="1"/>
    <col min="16144" max="16144" width="10.5703125" style="406" customWidth="1"/>
    <col min="16145" max="16145" width="7.5703125" style="406" customWidth="1"/>
    <col min="16146" max="16146" width="9.140625" style="406"/>
    <col min="16147" max="16147" width="13" style="406" customWidth="1"/>
    <col min="16148" max="16148" width="11.42578125" style="406" customWidth="1"/>
    <col min="16149" max="16384" width="9.140625" style="406"/>
  </cols>
  <sheetData>
    <row r="1" spans="1:22" ht="12.75" customHeight="1" x14ac:dyDescent="0.2">
      <c r="A1" s="409"/>
      <c r="B1" s="410"/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0"/>
      <c r="N1" s="410"/>
      <c r="O1" s="410"/>
      <c r="P1" s="410"/>
      <c r="Q1" s="410"/>
    </row>
    <row r="2" spans="1:22" ht="12.75" customHeight="1" x14ac:dyDescent="0.2">
      <c r="A2" s="411" t="s">
        <v>157</v>
      </c>
      <c r="B2" s="412">
        <v>1908792</v>
      </c>
      <c r="H2" s="406"/>
      <c r="J2" s="406"/>
      <c r="K2" s="406"/>
      <c r="L2" s="406"/>
      <c r="O2" s="406"/>
      <c r="Q2" s="406"/>
    </row>
    <row r="3" spans="1:22" s="414" customFormat="1" ht="14.25" customHeight="1" x14ac:dyDescent="0.2">
      <c r="A3" s="792" t="s">
        <v>158</v>
      </c>
      <c r="B3" s="792" t="s">
        <v>159</v>
      </c>
      <c r="C3" s="792" t="s">
        <v>160</v>
      </c>
      <c r="D3" s="792" t="s">
        <v>161</v>
      </c>
      <c r="E3" s="792" t="s">
        <v>162</v>
      </c>
      <c r="F3" s="792" t="s">
        <v>163</v>
      </c>
      <c r="G3" s="792" t="s">
        <v>164</v>
      </c>
      <c r="H3" s="791" t="s">
        <v>165</v>
      </c>
      <c r="I3" s="791"/>
      <c r="J3" s="791" t="s">
        <v>164</v>
      </c>
      <c r="K3" s="1"/>
      <c r="L3" s="1"/>
      <c r="M3" s="792" t="s">
        <v>166</v>
      </c>
      <c r="N3" s="792"/>
      <c r="O3" s="791" t="s">
        <v>164</v>
      </c>
      <c r="P3" s="2" t="s">
        <v>167</v>
      </c>
      <c r="Q3" s="413" t="s">
        <v>85</v>
      </c>
      <c r="S3" s="406"/>
      <c r="U3" s="409"/>
      <c r="V3" s="409"/>
    </row>
    <row r="4" spans="1:22" s="414" customFormat="1" ht="13.5" customHeight="1" x14ac:dyDescent="0.2">
      <c r="A4" s="792"/>
      <c r="B4" s="792"/>
      <c r="C4" s="792"/>
      <c r="D4" s="792"/>
      <c r="E4" s="792"/>
      <c r="F4" s="792"/>
      <c r="G4" s="792"/>
      <c r="H4" s="1" t="s">
        <v>168</v>
      </c>
      <c r="I4" s="2" t="s">
        <v>36</v>
      </c>
      <c r="J4" s="791"/>
      <c r="K4" s="2" t="s">
        <v>40</v>
      </c>
      <c r="L4" s="2" t="s">
        <v>169</v>
      </c>
      <c r="M4" s="2" t="s">
        <v>170</v>
      </c>
      <c r="N4" s="2" t="s">
        <v>171</v>
      </c>
      <c r="O4" s="791"/>
      <c r="P4" s="2" t="s">
        <v>172</v>
      </c>
      <c r="Q4" s="413" t="s">
        <v>173</v>
      </c>
      <c r="U4" s="409"/>
      <c r="V4" s="409"/>
    </row>
    <row r="5" spans="1:22" ht="13.5" customHeight="1" x14ac:dyDescent="0.2">
      <c r="A5" s="415" t="s">
        <v>174</v>
      </c>
      <c r="B5" s="416">
        <v>4100</v>
      </c>
      <c r="C5" s="416">
        <v>0</v>
      </c>
      <c r="D5" s="416">
        <v>210</v>
      </c>
      <c r="E5" s="416">
        <v>840</v>
      </c>
      <c r="F5" s="416">
        <v>154.13</v>
      </c>
      <c r="G5" s="417">
        <f>SUM(B5:F5)</f>
        <v>5304.13</v>
      </c>
      <c r="H5" s="418">
        <f>B5*28.8%</f>
        <v>1180.8000000000002</v>
      </c>
      <c r="I5" s="418">
        <f>B5*8%</f>
        <v>328</v>
      </c>
      <c r="J5" s="417">
        <f>SUM(H5:I5)</f>
        <v>1508.8000000000002</v>
      </c>
      <c r="K5" s="417">
        <f>(B5/12)+((B5/12)*36.8%)</f>
        <v>467.40000000000003</v>
      </c>
      <c r="L5" s="417">
        <f>(B5/12/3)+((B5/12/3)*36.8%)</f>
        <v>155.80000000000001</v>
      </c>
      <c r="M5" s="416">
        <f>((B5/12)*36.8%)+(B5/12)</f>
        <v>467.40000000000003</v>
      </c>
      <c r="N5" s="416">
        <f>K5+L5</f>
        <v>623.20000000000005</v>
      </c>
      <c r="O5" s="417">
        <f>SUM(M5:N5)</f>
        <v>1090.6000000000001</v>
      </c>
      <c r="P5" s="419">
        <f>G5+J5+O5</f>
        <v>7903.5300000000007</v>
      </c>
      <c r="Q5" s="420">
        <f>P5/$B$2</f>
        <v>4.1405925842103279E-3</v>
      </c>
    </row>
    <row r="6" spans="1:22" ht="13.5" customHeight="1" x14ac:dyDescent="0.2">
      <c r="A6" s="415" t="s">
        <v>175</v>
      </c>
      <c r="B6" s="416">
        <v>1900</v>
      </c>
      <c r="C6" s="416"/>
      <c r="D6" s="416">
        <v>150</v>
      </c>
      <c r="E6" s="416">
        <v>600</v>
      </c>
      <c r="F6" s="416"/>
      <c r="G6" s="417">
        <f>SUM(B6:F6)</f>
        <v>2650</v>
      </c>
      <c r="H6" s="418">
        <f>B6*28.8%</f>
        <v>547.20000000000005</v>
      </c>
      <c r="I6" s="418">
        <f>B6*8%</f>
        <v>152</v>
      </c>
      <c r="J6" s="417">
        <f>SUM(H6:I6)</f>
        <v>699.2</v>
      </c>
      <c r="K6" s="417">
        <f>B6/12</f>
        <v>158.33333333333334</v>
      </c>
      <c r="L6" s="417">
        <f>K6/3</f>
        <v>52.777777777777779</v>
      </c>
      <c r="M6" s="416">
        <f>((B6/12)*36.8%)+(B6/12)</f>
        <v>216.60000000000002</v>
      </c>
      <c r="N6" s="416">
        <f>K6+L6</f>
        <v>211.11111111111111</v>
      </c>
      <c r="O6" s="417">
        <f>SUM(M6:N6)</f>
        <v>427.71111111111111</v>
      </c>
      <c r="P6" s="419">
        <f>G6+J6+O6</f>
        <v>3776.911111111111</v>
      </c>
      <c r="Q6" s="420">
        <f>P6/$B$2</f>
        <v>1.9786918171865301E-3</v>
      </c>
    </row>
    <row r="7" spans="1:22" ht="13.5" customHeight="1" x14ac:dyDescent="0.2">
      <c r="A7" s="415" t="s">
        <v>176</v>
      </c>
      <c r="B7" s="416">
        <v>3700</v>
      </c>
      <c r="C7" s="416">
        <v>0</v>
      </c>
      <c r="D7" s="416">
        <v>210</v>
      </c>
      <c r="E7" s="416">
        <v>840</v>
      </c>
      <c r="F7" s="416">
        <v>154.13</v>
      </c>
      <c r="G7" s="417">
        <f>SUM(B7:F7)</f>
        <v>4904.13</v>
      </c>
      <c r="H7" s="418">
        <f>B7*28.8%</f>
        <v>1065.6000000000001</v>
      </c>
      <c r="I7" s="418">
        <f>B7*8%</f>
        <v>296</v>
      </c>
      <c r="J7" s="417">
        <f>SUM(H7:I7)</f>
        <v>1361.6000000000001</v>
      </c>
      <c r="K7" s="417">
        <f>B7/12</f>
        <v>308.33333333333331</v>
      </c>
      <c r="L7" s="417">
        <f>K7/3</f>
        <v>102.77777777777777</v>
      </c>
      <c r="M7" s="416">
        <f>((B7/12)*36.8%)+(B7/12)</f>
        <v>421.79999999999995</v>
      </c>
      <c r="N7" s="416">
        <f>K7+L7</f>
        <v>411.11111111111109</v>
      </c>
      <c r="O7" s="417">
        <f>SUM(M7:N7)</f>
        <v>832.91111111111104</v>
      </c>
      <c r="P7" s="419">
        <f>G7+J7+O7</f>
        <v>7098.641111111112</v>
      </c>
      <c r="Q7" s="420">
        <f>P7/$B$2</f>
        <v>3.7189180964249178E-3</v>
      </c>
    </row>
    <row r="8" spans="1:22" ht="13.5" customHeight="1" x14ac:dyDescent="0.2">
      <c r="A8" s="415" t="s">
        <v>177</v>
      </c>
      <c r="B8" s="416">
        <v>3600</v>
      </c>
      <c r="C8" s="416">
        <v>0</v>
      </c>
      <c r="D8" s="416">
        <v>210</v>
      </c>
      <c r="E8" s="416">
        <v>840</v>
      </c>
      <c r="F8" s="416">
        <v>453.62</v>
      </c>
      <c r="G8" s="417">
        <f>SUM(B8:F8)</f>
        <v>5103.62</v>
      </c>
      <c r="H8" s="418">
        <f>B8*28.8%</f>
        <v>1036.8000000000002</v>
      </c>
      <c r="I8" s="418">
        <f>B8*8%</f>
        <v>288</v>
      </c>
      <c r="J8" s="417">
        <f>SUM(H8:I8)</f>
        <v>1324.8000000000002</v>
      </c>
      <c r="K8" s="417">
        <f>B8/12</f>
        <v>300</v>
      </c>
      <c r="L8" s="417">
        <f>K8/3</f>
        <v>100</v>
      </c>
      <c r="M8" s="416">
        <f>((B8/12)*36.8%)+(B8/12)</f>
        <v>410.4</v>
      </c>
      <c r="N8" s="416">
        <f>K8+L8</f>
        <v>400</v>
      </c>
      <c r="O8" s="417">
        <f>SUM(M8:N8)</f>
        <v>810.4</v>
      </c>
      <c r="P8" s="419">
        <f>G8+J8+O8</f>
        <v>7238.82</v>
      </c>
      <c r="Q8" s="420">
        <f>P8/$B$2</f>
        <v>3.7923566318383561E-3</v>
      </c>
    </row>
    <row r="9" spans="1:22" s="424" customFormat="1" ht="12.75" customHeight="1" x14ac:dyDescent="0.2">
      <c r="A9" s="421">
        <f>COUNTA(A5:A8)</f>
        <v>4</v>
      </c>
      <c r="B9" s="422">
        <f t="shared" ref="B9:Q9" si="0">SUM(B5:B8)</f>
        <v>13300</v>
      </c>
      <c r="C9" s="422">
        <f t="shared" si="0"/>
        <v>0</v>
      </c>
      <c r="D9" s="422">
        <f t="shared" si="0"/>
        <v>780</v>
      </c>
      <c r="E9" s="422">
        <f t="shared" si="0"/>
        <v>3120</v>
      </c>
      <c r="F9" s="422">
        <f t="shared" si="0"/>
        <v>761.88</v>
      </c>
      <c r="G9" s="422">
        <f t="shared" si="0"/>
        <v>17961.88</v>
      </c>
      <c r="H9" s="422">
        <f t="shared" si="0"/>
        <v>3830.4000000000005</v>
      </c>
      <c r="I9" s="422">
        <f t="shared" si="0"/>
        <v>1064</v>
      </c>
      <c r="J9" s="422">
        <f t="shared" si="0"/>
        <v>4894.4000000000005</v>
      </c>
      <c r="K9" s="422">
        <f t="shared" si="0"/>
        <v>1234.0666666666666</v>
      </c>
      <c r="L9" s="422">
        <f t="shared" si="0"/>
        <v>411.35555555555555</v>
      </c>
      <c r="M9" s="422">
        <f t="shared" si="0"/>
        <v>1516.1999999999998</v>
      </c>
      <c r="N9" s="422">
        <f t="shared" si="0"/>
        <v>1645.4222222222222</v>
      </c>
      <c r="O9" s="422">
        <f t="shared" si="0"/>
        <v>3161.6222222222223</v>
      </c>
      <c r="P9" s="422">
        <f t="shared" si="0"/>
        <v>26017.902222222223</v>
      </c>
      <c r="Q9" s="423">
        <f t="shared" si="0"/>
        <v>1.3630559129660132E-2</v>
      </c>
      <c r="U9" s="406"/>
      <c r="V9" s="406"/>
    </row>
    <row r="10" spans="1:22" ht="12.75" customHeight="1" x14ac:dyDescent="0.2">
      <c r="U10" s="790" t="s">
        <v>178</v>
      </c>
      <c r="V10" s="790"/>
    </row>
    <row r="11" spans="1:22" s="414" customFormat="1" ht="14.25" customHeight="1" x14ac:dyDescent="0.2">
      <c r="A11" s="792" t="s">
        <v>158</v>
      </c>
      <c r="B11" s="792" t="s">
        <v>159</v>
      </c>
      <c r="C11" s="792" t="s">
        <v>161</v>
      </c>
      <c r="D11" s="2" t="s">
        <v>167</v>
      </c>
      <c r="E11" s="413" t="s">
        <v>85</v>
      </c>
      <c r="U11" s="415" t="s">
        <v>179</v>
      </c>
      <c r="V11" s="425">
        <v>1180.42</v>
      </c>
    </row>
    <row r="12" spans="1:22" s="414" customFormat="1" ht="13.5" customHeight="1" x14ac:dyDescent="0.2">
      <c r="A12" s="792"/>
      <c r="B12" s="792"/>
      <c r="C12" s="792"/>
      <c r="D12" s="2" t="s">
        <v>172</v>
      </c>
      <c r="E12" s="413" t="s">
        <v>173</v>
      </c>
      <c r="U12" s="415" t="s">
        <v>180</v>
      </c>
      <c r="V12" s="425">
        <f>B32</f>
        <v>780</v>
      </c>
    </row>
    <row r="13" spans="1:22" ht="14.25" customHeight="1" x14ac:dyDescent="0.2">
      <c r="A13" s="415" t="s">
        <v>181</v>
      </c>
      <c r="B13" s="416">
        <v>13348</v>
      </c>
      <c r="C13" s="416">
        <v>3000</v>
      </c>
      <c r="D13" s="419">
        <f>SUM(B13:C13)</f>
        <v>16348</v>
      </c>
      <c r="E13" s="420">
        <f>D13/$B$2</f>
        <v>8.5645790636171993E-3</v>
      </c>
      <c r="H13" s="406"/>
      <c r="J13" s="406"/>
      <c r="K13" s="406"/>
      <c r="L13" s="406"/>
      <c r="O13" s="406"/>
      <c r="Q13" s="406"/>
      <c r="U13" s="426" t="s">
        <v>13</v>
      </c>
      <c r="V13" s="427">
        <f>SUM(V11:V12)</f>
        <v>1960.42</v>
      </c>
    </row>
    <row r="14" spans="1:22" ht="13.5" customHeight="1" x14ac:dyDescent="0.2">
      <c r="A14" s="415" t="s">
        <v>182</v>
      </c>
      <c r="B14" s="416">
        <v>19222</v>
      </c>
      <c r="C14" s="416">
        <v>3000</v>
      </c>
      <c r="D14" s="419">
        <f>SUM(B14:C14)</f>
        <v>22222</v>
      </c>
      <c r="E14" s="420">
        <f>D14/$B$2</f>
        <v>1.164191802983248E-2</v>
      </c>
      <c r="H14" s="406"/>
      <c r="J14" s="406"/>
      <c r="K14" s="406"/>
      <c r="L14" s="406"/>
      <c r="O14" s="406"/>
      <c r="Q14" s="406"/>
    </row>
    <row r="15" spans="1:22" ht="12.75" customHeight="1" x14ac:dyDescent="0.2">
      <c r="A15" s="421">
        <f>COUNTA(A13:A14)</f>
        <v>2</v>
      </c>
      <c r="B15" s="422">
        <f>SUM(B13:B14)</f>
        <v>32570</v>
      </c>
      <c r="C15" s="422">
        <f>SUM(C13:C14)</f>
        <v>6000</v>
      </c>
      <c r="D15" s="422">
        <f>SUM(D13:D14)</f>
        <v>38570</v>
      </c>
      <c r="E15" s="428">
        <f>AVERAGE(E13:E14)</f>
        <v>1.0103248546724839E-2</v>
      </c>
      <c r="H15" s="406"/>
      <c r="J15" s="406"/>
      <c r="K15" s="406"/>
      <c r="L15" s="406"/>
      <c r="O15" s="406"/>
      <c r="Q15" s="406"/>
    </row>
    <row r="16" spans="1:22" ht="12.75" customHeight="1" x14ac:dyDescent="0.2">
      <c r="N16" s="429"/>
    </row>
    <row r="17" spans="1:25" ht="12.75" customHeight="1" x14ac:dyDescent="0.2">
      <c r="A17" s="790" t="s">
        <v>183</v>
      </c>
      <c r="B17" s="790"/>
      <c r="N17" s="429"/>
    </row>
    <row r="18" spans="1:25" ht="12.75" customHeight="1" x14ac:dyDescent="0.2">
      <c r="A18" s="298" t="s">
        <v>184</v>
      </c>
      <c r="B18" s="430">
        <v>11403.99</v>
      </c>
      <c r="C18" s="406" t="s">
        <v>185</v>
      </c>
      <c r="M18" s="429"/>
      <c r="U18" s="429"/>
      <c r="V18" s="429"/>
    </row>
    <row r="19" spans="1:25" ht="12.75" customHeight="1" x14ac:dyDescent="0.2">
      <c r="A19" s="298" t="s">
        <v>36</v>
      </c>
      <c r="B19" s="431">
        <f>I9</f>
        <v>1064</v>
      </c>
      <c r="E19" s="429"/>
      <c r="M19" s="429"/>
      <c r="U19" s="429"/>
      <c r="V19" s="429"/>
    </row>
    <row r="20" spans="1:25" ht="12.75" customHeight="1" x14ac:dyDescent="0.2">
      <c r="A20" s="298" t="s">
        <v>186</v>
      </c>
      <c r="B20" s="431">
        <f>H9</f>
        <v>3830.4000000000005</v>
      </c>
    </row>
    <row r="21" spans="1:25" ht="12.75" customHeight="1" x14ac:dyDescent="0.2">
      <c r="A21" s="298" t="s">
        <v>187</v>
      </c>
      <c r="B21" s="431">
        <f>C9+D9+E9+F9</f>
        <v>4661.88</v>
      </c>
    </row>
    <row r="22" spans="1:25" ht="12.75" customHeight="1" x14ac:dyDescent="0.2">
      <c r="A22" s="298" t="s">
        <v>90</v>
      </c>
      <c r="B22" s="432">
        <f>B15</f>
        <v>32570</v>
      </c>
    </row>
    <row r="23" spans="1:25" ht="12.75" customHeight="1" x14ac:dyDescent="0.2">
      <c r="A23" s="298" t="s">
        <v>188</v>
      </c>
      <c r="B23" s="431">
        <f>C15</f>
        <v>6000</v>
      </c>
    </row>
    <row r="24" spans="1:25" ht="12.75" customHeight="1" x14ac:dyDescent="0.2">
      <c r="A24" s="299" t="s">
        <v>13</v>
      </c>
      <c r="B24" s="433">
        <f>SUM(B18:B23)</f>
        <v>59530.270000000004</v>
      </c>
      <c r="S24" s="424"/>
      <c r="T24" s="424"/>
      <c r="W24" s="424"/>
      <c r="X24" s="424"/>
      <c r="Y24" s="424"/>
    </row>
    <row r="26" spans="1:25" ht="12.75" customHeight="1" x14ac:dyDescent="0.2">
      <c r="A26" s="790" t="s">
        <v>189</v>
      </c>
      <c r="B26" s="790"/>
    </row>
    <row r="27" spans="1:25" ht="12.75" customHeight="1" x14ac:dyDescent="0.2">
      <c r="A27" s="298" t="s">
        <v>190</v>
      </c>
      <c r="B27" s="432">
        <f>B9</f>
        <v>13300</v>
      </c>
    </row>
    <row r="28" spans="1:25" ht="12.75" customHeight="1" x14ac:dyDescent="0.2">
      <c r="A28" s="298" t="s">
        <v>36</v>
      </c>
      <c r="B28" s="432">
        <f>I9</f>
        <v>1064</v>
      </c>
    </row>
    <row r="29" spans="1:25" ht="12.75" customHeight="1" x14ac:dyDescent="0.2">
      <c r="A29" s="298" t="s">
        <v>191</v>
      </c>
      <c r="B29" s="432">
        <f>H9</f>
        <v>3830.4000000000005</v>
      </c>
    </row>
    <row r="30" spans="1:25" ht="12.75" customHeight="1" x14ac:dyDescent="0.2">
      <c r="A30" s="298" t="s">
        <v>92</v>
      </c>
      <c r="B30" s="432">
        <f>O9</f>
        <v>3161.6222222222223</v>
      </c>
    </row>
    <row r="31" spans="1:25" ht="12.75" customHeight="1" x14ac:dyDescent="0.2">
      <c r="A31" s="298" t="s">
        <v>192</v>
      </c>
      <c r="B31" s="431">
        <f>C9</f>
        <v>0</v>
      </c>
    </row>
    <row r="32" spans="1:25" ht="12.75" customHeight="1" x14ac:dyDescent="0.2">
      <c r="A32" s="298" t="s">
        <v>95</v>
      </c>
      <c r="B32" s="431">
        <f>D9</f>
        <v>780</v>
      </c>
    </row>
    <row r="33" spans="1:2" ht="12.75" customHeight="1" x14ac:dyDescent="0.2">
      <c r="A33" s="298" t="s">
        <v>94</v>
      </c>
      <c r="B33" s="431">
        <f>E9</f>
        <v>3120</v>
      </c>
    </row>
    <row r="34" spans="1:2" ht="12.75" customHeight="1" x14ac:dyDescent="0.2">
      <c r="A34" s="298" t="s">
        <v>193</v>
      </c>
      <c r="B34" s="431">
        <f>F9</f>
        <v>761.88</v>
      </c>
    </row>
    <row r="35" spans="1:2" ht="12.75" customHeight="1" x14ac:dyDescent="0.2">
      <c r="A35" s="298" t="s">
        <v>194</v>
      </c>
      <c r="B35" s="432">
        <f>B15</f>
        <v>32570</v>
      </c>
    </row>
    <row r="36" spans="1:2" ht="12.75" customHeight="1" x14ac:dyDescent="0.2">
      <c r="A36" s="298" t="s">
        <v>93</v>
      </c>
      <c r="B36" s="432">
        <f>C15</f>
        <v>6000</v>
      </c>
    </row>
    <row r="37" spans="1:2" ht="12.75" customHeight="1" x14ac:dyDescent="0.2">
      <c r="A37" s="299" t="s">
        <v>13</v>
      </c>
      <c r="B37" s="433">
        <f>SUM(B27:B36)</f>
        <v>64587.902222222227</v>
      </c>
    </row>
  </sheetData>
  <mergeCells count="17">
    <mergeCell ref="E3:E4"/>
    <mergeCell ref="A17:B17"/>
    <mergeCell ref="A26:B26"/>
    <mergeCell ref="O3:O4"/>
    <mergeCell ref="U10:V10"/>
    <mergeCell ref="A11:A12"/>
    <mergeCell ref="B11:B12"/>
    <mergeCell ref="C11:C12"/>
    <mergeCell ref="F3:F4"/>
    <mergeCell ref="G3:G4"/>
    <mergeCell ref="H3:I3"/>
    <mergeCell ref="J3:J4"/>
    <mergeCell ref="M3:N3"/>
    <mergeCell ref="A3:A4"/>
    <mergeCell ref="B3:B4"/>
    <mergeCell ref="C3:C4"/>
    <mergeCell ref="D3:D4"/>
  </mergeCells>
  <printOptions horizontalCentered="1" verticalCentered="1"/>
  <pageMargins left="0.120138888888889" right="0.120138888888889" top="0.2" bottom="0.2" header="0.511811023622047" footer="0.511811023622047"/>
  <pageSetup paperSize="9" orientation="landscape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Y39"/>
  <sheetViews>
    <sheetView zoomScaleNormal="100" workbookViewId="0">
      <selection activeCell="E27" sqref="E27"/>
    </sheetView>
  </sheetViews>
  <sheetFormatPr defaultColWidth="8.85546875" defaultRowHeight="12.75" x14ac:dyDescent="0.2"/>
  <cols>
    <col min="1" max="1" width="28.7109375" style="406" customWidth="1"/>
    <col min="2" max="2" width="10.28515625" style="406" customWidth="1"/>
    <col min="3" max="3" width="9" style="406" customWidth="1"/>
    <col min="4" max="4" width="10" style="406" customWidth="1"/>
    <col min="5" max="5" width="12.5703125" style="406" customWidth="1"/>
    <col min="6" max="6" width="12.140625" style="406" customWidth="1"/>
    <col min="7" max="7" width="10" style="406" customWidth="1"/>
    <col min="8" max="8" width="9" style="407" customWidth="1"/>
    <col min="9" max="9" width="7.85546875" style="406" customWidth="1"/>
    <col min="10" max="10" width="9.42578125" style="407" customWidth="1"/>
    <col min="11" max="11" width="8" style="407" customWidth="1"/>
    <col min="12" max="12" width="9.42578125" style="407" customWidth="1"/>
    <col min="13" max="13" width="11" style="406" customWidth="1"/>
    <col min="14" max="14" width="11.140625" style="406" customWidth="1"/>
    <col min="15" max="15" width="9.42578125" style="407" customWidth="1"/>
    <col min="16" max="16" width="10" style="406" customWidth="1"/>
    <col min="17" max="17" width="6.140625" style="408" customWidth="1"/>
    <col min="18" max="18" width="8.85546875" style="406"/>
    <col min="19" max="19" width="13" style="406" customWidth="1"/>
    <col min="20" max="20" width="11.42578125" style="406" customWidth="1"/>
    <col min="21" max="21" width="9.85546875" style="406" customWidth="1"/>
    <col min="22" max="255" width="8.85546875" style="406"/>
    <col min="256" max="256" width="6.85546875" style="406" customWidth="1"/>
    <col min="257" max="257" width="22.140625" style="406" customWidth="1"/>
    <col min="258" max="259" width="13.42578125" style="406" customWidth="1"/>
    <col min="260" max="260" width="10.85546875" style="406" customWidth="1"/>
    <col min="261" max="262" width="13" style="406" customWidth="1"/>
    <col min="263" max="264" width="11.7109375" style="406" customWidth="1"/>
    <col min="265" max="265" width="11.42578125" style="406" customWidth="1"/>
    <col min="266" max="266" width="12.5703125" style="406" customWidth="1"/>
    <col min="267" max="267" width="12" style="406" customWidth="1"/>
    <col min="268" max="268" width="12.7109375" style="406" customWidth="1"/>
    <col min="269" max="269" width="11.7109375" style="406" customWidth="1"/>
    <col min="270" max="270" width="10.85546875" style="406" customWidth="1"/>
    <col min="271" max="271" width="12.7109375" style="406" customWidth="1"/>
    <col min="272" max="272" width="10.5703125" style="406" customWidth="1"/>
    <col min="273" max="273" width="7.5703125" style="406" customWidth="1"/>
    <col min="274" max="274" width="8.85546875" style="406"/>
    <col min="275" max="275" width="13" style="406" customWidth="1"/>
    <col min="276" max="276" width="11.42578125" style="406" customWidth="1"/>
    <col min="277" max="511" width="8.85546875" style="406"/>
    <col min="512" max="512" width="6.85546875" style="406" customWidth="1"/>
    <col min="513" max="513" width="22.140625" style="406" customWidth="1"/>
    <col min="514" max="515" width="13.42578125" style="406" customWidth="1"/>
    <col min="516" max="516" width="10.85546875" style="406" customWidth="1"/>
    <col min="517" max="518" width="13" style="406" customWidth="1"/>
    <col min="519" max="520" width="11.7109375" style="406" customWidth="1"/>
    <col min="521" max="521" width="11.42578125" style="406" customWidth="1"/>
    <col min="522" max="522" width="12.5703125" style="406" customWidth="1"/>
    <col min="523" max="523" width="12" style="406" customWidth="1"/>
    <col min="524" max="524" width="12.7109375" style="406" customWidth="1"/>
    <col min="525" max="525" width="11.7109375" style="406" customWidth="1"/>
    <col min="526" max="526" width="10.85546875" style="406" customWidth="1"/>
    <col min="527" max="527" width="12.7109375" style="406" customWidth="1"/>
    <col min="528" max="528" width="10.5703125" style="406" customWidth="1"/>
    <col min="529" max="529" width="7.5703125" style="406" customWidth="1"/>
    <col min="530" max="530" width="8.85546875" style="406"/>
    <col min="531" max="531" width="13" style="406" customWidth="1"/>
    <col min="532" max="532" width="11.42578125" style="406" customWidth="1"/>
    <col min="533" max="767" width="8.85546875" style="406"/>
    <col min="768" max="768" width="6.85546875" style="406" customWidth="1"/>
    <col min="769" max="769" width="22.140625" style="406" customWidth="1"/>
    <col min="770" max="771" width="13.42578125" style="406" customWidth="1"/>
    <col min="772" max="772" width="10.85546875" style="406" customWidth="1"/>
    <col min="773" max="774" width="13" style="406" customWidth="1"/>
    <col min="775" max="776" width="11.7109375" style="406" customWidth="1"/>
    <col min="777" max="777" width="11.42578125" style="406" customWidth="1"/>
    <col min="778" max="778" width="12.5703125" style="406" customWidth="1"/>
    <col min="779" max="779" width="12" style="406" customWidth="1"/>
    <col min="780" max="780" width="12.7109375" style="406" customWidth="1"/>
    <col min="781" max="781" width="11.7109375" style="406" customWidth="1"/>
    <col min="782" max="782" width="10.85546875" style="406" customWidth="1"/>
    <col min="783" max="783" width="12.7109375" style="406" customWidth="1"/>
    <col min="784" max="784" width="10.5703125" style="406" customWidth="1"/>
    <col min="785" max="785" width="7.5703125" style="406" customWidth="1"/>
    <col min="786" max="786" width="8.85546875" style="406"/>
    <col min="787" max="787" width="13" style="406" customWidth="1"/>
    <col min="788" max="788" width="11.42578125" style="406" customWidth="1"/>
    <col min="789" max="1023" width="8.85546875" style="406"/>
    <col min="1024" max="1024" width="6.85546875" style="406" customWidth="1"/>
    <col min="1025" max="1025" width="22.140625" style="406" customWidth="1"/>
    <col min="1026" max="1027" width="13.42578125" style="406" customWidth="1"/>
    <col min="1028" max="1028" width="10.85546875" style="406" customWidth="1"/>
    <col min="1029" max="1030" width="13" style="406" customWidth="1"/>
    <col min="1031" max="1032" width="11.7109375" style="406" customWidth="1"/>
    <col min="1033" max="1033" width="11.42578125" style="406" customWidth="1"/>
    <col min="1034" max="1034" width="12.5703125" style="406" customWidth="1"/>
    <col min="1035" max="1035" width="12" style="406" customWidth="1"/>
    <col min="1036" max="1036" width="12.7109375" style="406" customWidth="1"/>
    <col min="1037" max="1037" width="11.7109375" style="406" customWidth="1"/>
    <col min="1038" max="1038" width="10.85546875" style="406" customWidth="1"/>
    <col min="1039" max="1039" width="12.7109375" style="406" customWidth="1"/>
    <col min="1040" max="1040" width="10.5703125" style="406" customWidth="1"/>
    <col min="1041" max="1041" width="7.5703125" style="406" customWidth="1"/>
    <col min="1042" max="1042" width="8.85546875" style="406"/>
    <col min="1043" max="1043" width="13" style="406" customWidth="1"/>
    <col min="1044" max="1044" width="11.42578125" style="406" customWidth="1"/>
    <col min="1045" max="1279" width="8.85546875" style="406"/>
    <col min="1280" max="1280" width="6.85546875" style="406" customWidth="1"/>
    <col min="1281" max="1281" width="22.140625" style="406" customWidth="1"/>
    <col min="1282" max="1283" width="13.42578125" style="406" customWidth="1"/>
    <col min="1284" max="1284" width="10.85546875" style="406" customWidth="1"/>
    <col min="1285" max="1286" width="13" style="406" customWidth="1"/>
    <col min="1287" max="1288" width="11.7109375" style="406" customWidth="1"/>
    <col min="1289" max="1289" width="11.42578125" style="406" customWidth="1"/>
    <col min="1290" max="1290" width="12.5703125" style="406" customWidth="1"/>
    <col min="1291" max="1291" width="12" style="406" customWidth="1"/>
    <col min="1292" max="1292" width="12.7109375" style="406" customWidth="1"/>
    <col min="1293" max="1293" width="11.7109375" style="406" customWidth="1"/>
    <col min="1294" max="1294" width="10.85546875" style="406" customWidth="1"/>
    <col min="1295" max="1295" width="12.7109375" style="406" customWidth="1"/>
    <col min="1296" max="1296" width="10.5703125" style="406" customWidth="1"/>
    <col min="1297" max="1297" width="7.5703125" style="406" customWidth="1"/>
    <col min="1298" max="1298" width="8.85546875" style="406"/>
    <col min="1299" max="1299" width="13" style="406" customWidth="1"/>
    <col min="1300" max="1300" width="11.42578125" style="406" customWidth="1"/>
    <col min="1301" max="1535" width="8.85546875" style="406"/>
    <col min="1536" max="1536" width="6.85546875" style="406" customWidth="1"/>
    <col min="1537" max="1537" width="22.140625" style="406" customWidth="1"/>
    <col min="1538" max="1539" width="13.42578125" style="406" customWidth="1"/>
    <col min="1540" max="1540" width="10.85546875" style="406" customWidth="1"/>
    <col min="1541" max="1542" width="13" style="406" customWidth="1"/>
    <col min="1543" max="1544" width="11.7109375" style="406" customWidth="1"/>
    <col min="1545" max="1545" width="11.42578125" style="406" customWidth="1"/>
    <col min="1546" max="1546" width="12.5703125" style="406" customWidth="1"/>
    <col min="1547" max="1547" width="12" style="406" customWidth="1"/>
    <col min="1548" max="1548" width="12.7109375" style="406" customWidth="1"/>
    <col min="1549" max="1549" width="11.7109375" style="406" customWidth="1"/>
    <col min="1550" max="1550" width="10.85546875" style="406" customWidth="1"/>
    <col min="1551" max="1551" width="12.7109375" style="406" customWidth="1"/>
    <col min="1552" max="1552" width="10.5703125" style="406" customWidth="1"/>
    <col min="1553" max="1553" width="7.5703125" style="406" customWidth="1"/>
    <col min="1554" max="1554" width="8.85546875" style="406"/>
    <col min="1555" max="1555" width="13" style="406" customWidth="1"/>
    <col min="1556" max="1556" width="11.42578125" style="406" customWidth="1"/>
    <col min="1557" max="1791" width="8.85546875" style="406"/>
    <col min="1792" max="1792" width="6.85546875" style="406" customWidth="1"/>
    <col min="1793" max="1793" width="22.140625" style="406" customWidth="1"/>
    <col min="1794" max="1795" width="13.42578125" style="406" customWidth="1"/>
    <col min="1796" max="1796" width="10.85546875" style="406" customWidth="1"/>
    <col min="1797" max="1798" width="13" style="406" customWidth="1"/>
    <col min="1799" max="1800" width="11.7109375" style="406" customWidth="1"/>
    <col min="1801" max="1801" width="11.42578125" style="406" customWidth="1"/>
    <col min="1802" max="1802" width="12.5703125" style="406" customWidth="1"/>
    <col min="1803" max="1803" width="12" style="406" customWidth="1"/>
    <col min="1804" max="1804" width="12.7109375" style="406" customWidth="1"/>
    <col min="1805" max="1805" width="11.7109375" style="406" customWidth="1"/>
    <col min="1806" max="1806" width="10.85546875" style="406" customWidth="1"/>
    <col min="1807" max="1807" width="12.7109375" style="406" customWidth="1"/>
    <col min="1808" max="1808" width="10.5703125" style="406" customWidth="1"/>
    <col min="1809" max="1809" width="7.5703125" style="406" customWidth="1"/>
    <col min="1810" max="1810" width="8.85546875" style="406"/>
    <col min="1811" max="1811" width="13" style="406" customWidth="1"/>
    <col min="1812" max="1812" width="11.42578125" style="406" customWidth="1"/>
    <col min="1813" max="2047" width="8.85546875" style="406"/>
    <col min="2048" max="2048" width="6.85546875" style="406" customWidth="1"/>
    <col min="2049" max="2049" width="22.140625" style="406" customWidth="1"/>
    <col min="2050" max="2051" width="13.42578125" style="406" customWidth="1"/>
    <col min="2052" max="2052" width="10.85546875" style="406" customWidth="1"/>
    <col min="2053" max="2054" width="13" style="406" customWidth="1"/>
    <col min="2055" max="2056" width="11.7109375" style="406" customWidth="1"/>
    <col min="2057" max="2057" width="11.42578125" style="406" customWidth="1"/>
    <col min="2058" max="2058" width="12.5703125" style="406" customWidth="1"/>
    <col min="2059" max="2059" width="12" style="406" customWidth="1"/>
    <col min="2060" max="2060" width="12.7109375" style="406" customWidth="1"/>
    <col min="2061" max="2061" width="11.7109375" style="406" customWidth="1"/>
    <col min="2062" max="2062" width="10.85546875" style="406" customWidth="1"/>
    <col min="2063" max="2063" width="12.7109375" style="406" customWidth="1"/>
    <col min="2064" max="2064" width="10.5703125" style="406" customWidth="1"/>
    <col min="2065" max="2065" width="7.5703125" style="406" customWidth="1"/>
    <col min="2066" max="2066" width="8.85546875" style="406"/>
    <col min="2067" max="2067" width="13" style="406" customWidth="1"/>
    <col min="2068" max="2068" width="11.42578125" style="406" customWidth="1"/>
    <col min="2069" max="2303" width="8.85546875" style="406"/>
    <col min="2304" max="2304" width="6.85546875" style="406" customWidth="1"/>
    <col min="2305" max="2305" width="22.140625" style="406" customWidth="1"/>
    <col min="2306" max="2307" width="13.42578125" style="406" customWidth="1"/>
    <col min="2308" max="2308" width="10.85546875" style="406" customWidth="1"/>
    <col min="2309" max="2310" width="13" style="406" customWidth="1"/>
    <col min="2311" max="2312" width="11.7109375" style="406" customWidth="1"/>
    <col min="2313" max="2313" width="11.42578125" style="406" customWidth="1"/>
    <col min="2314" max="2314" width="12.5703125" style="406" customWidth="1"/>
    <col min="2315" max="2315" width="12" style="406" customWidth="1"/>
    <col min="2316" max="2316" width="12.7109375" style="406" customWidth="1"/>
    <col min="2317" max="2317" width="11.7109375" style="406" customWidth="1"/>
    <col min="2318" max="2318" width="10.85546875" style="406" customWidth="1"/>
    <col min="2319" max="2319" width="12.7109375" style="406" customWidth="1"/>
    <col min="2320" max="2320" width="10.5703125" style="406" customWidth="1"/>
    <col min="2321" max="2321" width="7.5703125" style="406" customWidth="1"/>
    <col min="2322" max="2322" width="8.85546875" style="406"/>
    <col min="2323" max="2323" width="13" style="406" customWidth="1"/>
    <col min="2324" max="2324" width="11.42578125" style="406" customWidth="1"/>
    <col min="2325" max="2559" width="8.85546875" style="406"/>
    <col min="2560" max="2560" width="6.85546875" style="406" customWidth="1"/>
    <col min="2561" max="2561" width="22.140625" style="406" customWidth="1"/>
    <col min="2562" max="2563" width="13.42578125" style="406" customWidth="1"/>
    <col min="2564" max="2564" width="10.85546875" style="406" customWidth="1"/>
    <col min="2565" max="2566" width="13" style="406" customWidth="1"/>
    <col min="2567" max="2568" width="11.7109375" style="406" customWidth="1"/>
    <col min="2569" max="2569" width="11.42578125" style="406" customWidth="1"/>
    <col min="2570" max="2570" width="12.5703125" style="406" customWidth="1"/>
    <col min="2571" max="2571" width="12" style="406" customWidth="1"/>
    <col min="2572" max="2572" width="12.7109375" style="406" customWidth="1"/>
    <col min="2573" max="2573" width="11.7109375" style="406" customWidth="1"/>
    <col min="2574" max="2574" width="10.85546875" style="406" customWidth="1"/>
    <col min="2575" max="2575" width="12.7109375" style="406" customWidth="1"/>
    <col min="2576" max="2576" width="10.5703125" style="406" customWidth="1"/>
    <col min="2577" max="2577" width="7.5703125" style="406" customWidth="1"/>
    <col min="2578" max="2578" width="8.85546875" style="406"/>
    <col min="2579" max="2579" width="13" style="406" customWidth="1"/>
    <col min="2580" max="2580" width="11.42578125" style="406" customWidth="1"/>
    <col min="2581" max="2815" width="8.85546875" style="406"/>
    <col min="2816" max="2816" width="6.85546875" style="406" customWidth="1"/>
    <col min="2817" max="2817" width="22.140625" style="406" customWidth="1"/>
    <col min="2818" max="2819" width="13.42578125" style="406" customWidth="1"/>
    <col min="2820" max="2820" width="10.85546875" style="406" customWidth="1"/>
    <col min="2821" max="2822" width="13" style="406" customWidth="1"/>
    <col min="2823" max="2824" width="11.7109375" style="406" customWidth="1"/>
    <col min="2825" max="2825" width="11.42578125" style="406" customWidth="1"/>
    <col min="2826" max="2826" width="12.5703125" style="406" customWidth="1"/>
    <col min="2827" max="2827" width="12" style="406" customWidth="1"/>
    <col min="2828" max="2828" width="12.7109375" style="406" customWidth="1"/>
    <col min="2829" max="2829" width="11.7109375" style="406" customWidth="1"/>
    <col min="2830" max="2830" width="10.85546875" style="406" customWidth="1"/>
    <col min="2831" max="2831" width="12.7109375" style="406" customWidth="1"/>
    <col min="2832" max="2832" width="10.5703125" style="406" customWidth="1"/>
    <col min="2833" max="2833" width="7.5703125" style="406" customWidth="1"/>
    <col min="2834" max="2834" width="8.85546875" style="406"/>
    <col min="2835" max="2835" width="13" style="406" customWidth="1"/>
    <col min="2836" max="2836" width="11.42578125" style="406" customWidth="1"/>
    <col min="2837" max="3071" width="8.85546875" style="406"/>
    <col min="3072" max="3072" width="6.85546875" style="406" customWidth="1"/>
    <col min="3073" max="3073" width="22.140625" style="406" customWidth="1"/>
    <col min="3074" max="3075" width="13.42578125" style="406" customWidth="1"/>
    <col min="3076" max="3076" width="10.85546875" style="406" customWidth="1"/>
    <col min="3077" max="3078" width="13" style="406" customWidth="1"/>
    <col min="3079" max="3080" width="11.7109375" style="406" customWidth="1"/>
    <col min="3081" max="3081" width="11.42578125" style="406" customWidth="1"/>
    <col min="3082" max="3082" width="12.5703125" style="406" customWidth="1"/>
    <col min="3083" max="3083" width="12" style="406" customWidth="1"/>
    <col min="3084" max="3084" width="12.7109375" style="406" customWidth="1"/>
    <col min="3085" max="3085" width="11.7109375" style="406" customWidth="1"/>
    <col min="3086" max="3086" width="10.85546875" style="406" customWidth="1"/>
    <col min="3087" max="3087" width="12.7109375" style="406" customWidth="1"/>
    <col min="3088" max="3088" width="10.5703125" style="406" customWidth="1"/>
    <col min="3089" max="3089" width="7.5703125" style="406" customWidth="1"/>
    <col min="3090" max="3090" width="8.85546875" style="406"/>
    <col min="3091" max="3091" width="13" style="406" customWidth="1"/>
    <col min="3092" max="3092" width="11.42578125" style="406" customWidth="1"/>
    <col min="3093" max="3327" width="8.85546875" style="406"/>
    <col min="3328" max="3328" width="6.85546875" style="406" customWidth="1"/>
    <col min="3329" max="3329" width="22.140625" style="406" customWidth="1"/>
    <col min="3330" max="3331" width="13.42578125" style="406" customWidth="1"/>
    <col min="3332" max="3332" width="10.85546875" style="406" customWidth="1"/>
    <col min="3333" max="3334" width="13" style="406" customWidth="1"/>
    <col min="3335" max="3336" width="11.7109375" style="406" customWidth="1"/>
    <col min="3337" max="3337" width="11.42578125" style="406" customWidth="1"/>
    <col min="3338" max="3338" width="12.5703125" style="406" customWidth="1"/>
    <col min="3339" max="3339" width="12" style="406" customWidth="1"/>
    <col min="3340" max="3340" width="12.7109375" style="406" customWidth="1"/>
    <col min="3341" max="3341" width="11.7109375" style="406" customWidth="1"/>
    <col min="3342" max="3342" width="10.85546875" style="406" customWidth="1"/>
    <col min="3343" max="3343" width="12.7109375" style="406" customWidth="1"/>
    <col min="3344" max="3344" width="10.5703125" style="406" customWidth="1"/>
    <col min="3345" max="3345" width="7.5703125" style="406" customWidth="1"/>
    <col min="3346" max="3346" width="8.85546875" style="406"/>
    <col min="3347" max="3347" width="13" style="406" customWidth="1"/>
    <col min="3348" max="3348" width="11.42578125" style="406" customWidth="1"/>
    <col min="3349" max="3583" width="8.85546875" style="406"/>
    <col min="3584" max="3584" width="6.85546875" style="406" customWidth="1"/>
    <col min="3585" max="3585" width="22.140625" style="406" customWidth="1"/>
    <col min="3586" max="3587" width="13.42578125" style="406" customWidth="1"/>
    <col min="3588" max="3588" width="10.85546875" style="406" customWidth="1"/>
    <col min="3589" max="3590" width="13" style="406" customWidth="1"/>
    <col min="3591" max="3592" width="11.7109375" style="406" customWidth="1"/>
    <col min="3593" max="3593" width="11.42578125" style="406" customWidth="1"/>
    <col min="3594" max="3594" width="12.5703125" style="406" customWidth="1"/>
    <col min="3595" max="3595" width="12" style="406" customWidth="1"/>
    <col min="3596" max="3596" width="12.7109375" style="406" customWidth="1"/>
    <col min="3597" max="3597" width="11.7109375" style="406" customWidth="1"/>
    <col min="3598" max="3598" width="10.85546875" style="406" customWidth="1"/>
    <col min="3599" max="3599" width="12.7109375" style="406" customWidth="1"/>
    <col min="3600" max="3600" width="10.5703125" style="406" customWidth="1"/>
    <col min="3601" max="3601" width="7.5703125" style="406" customWidth="1"/>
    <col min="3602" max="3602" width="8.85546875" style="406"/>
    <col min="3603" max="3603" width="13" style="406" customWidth="1"/>
    <col min="3604" max="3604" width="11.42578125" style="406" customWidth="1"/>
    <col min="3605" max="3839" width="8.85546875" style="406"/>
    <col min="3840" max="3840" width="6.85546875" style="406" customWidth="1"/>
    <col min="3841" max="3841" width="22.140625" style="406" customWidth="1"/>
    <col min="3842" max="3843" width="13.42578125" style="406" customWidth="1"/>
    <col min="3844" max="3844" width="10.85546875" style="406" customWidth="1"/>
    <col min="3845" max="3846" width="13" style="406" customWidth="1"/>
    <col min="3847" max="3848" width="11.7109375" style="406" customWidth="1"/>
    <col min="3849" max="3849" width="11.42578125" style="406" customWidth="1"/>
    <col min="3850" max="3850" width="12.5703125" style="406" customWidth="1"/>
    <col min="3851" max="3851" width="12" style="406" customWidth="1"/>
    <col min="3852" max="3852" width="12.7109375" style="406" customWidth="1"/>
    <col min="3853" max="3853" width="11.7109375" style="406" customWidth="1"/>
    <col min="3854" max="3854" width="10.85546875" style="406" customWidth="1"/>
    <col min="3855" max="3855" width="12.7109375" style="406" customWidth="1"/>
    <col min="3856" max="3856" width="10.5703125" style="406" customWidth="1"/>
    <col min="3857" max="3857" width="7.5703125" style="406" customWidth="1"/>
    <col min="3858" max="3858" width="8.85546875" style="406"/>
    <col min="3859" max="3859" width="13" style="406" customWidth="1"/>
    <col min="3860" max="3860" width="11.42578125" style="406" customWidth="1"/>
    <col min="3861" max="4095" width="8.85546875" style="406"/>
    <col min="4096" max="4096" width="6.85546875" style="406" customWidth="1"/>
    <col min="4097" max="4097" width="22.140625" style="406" customWidth="1"/>
    <col min="4098" max="4099" width="13.42578125" style="406" customWidth="1"/>
    <col min="4100" max="4100" width="10.85546875" style="406" customWidth="1"/>
    <col min="4101" max="4102" width="13" style="406" customWidth="1"/>
    <col min="4103" max="4104" width="11.7109375" style="406" customWidth="1"/>
    <col min="4105" max="4105" width="11.42578125" style="406" customWidth="1"/>
    <col min="4106" max="4106" width="12.5703125" style="406" customWidth="1"/>
    <col min="4107" max="4107" width="12" style="406" customWidth="1"/>
    <col min="4108" max="4108" width="12.7109375" style="406" customWidth="1"/>
    <col min="4109" max="4109" width="11.7109375" style="406" customWidth="1"/>
    <col min="4110" max="4110" width="10.85546875" style="406" customWidth="1"/>
    <col min="4111" max="4111" width="12.7109375" style="406" customWidth="1"/>
    <col min="4112" max="4112" width="10.5703125" style="406" customWidth="1"/>
    <col min="4113" max="4113" width="7.5703125" style="406" customWidth="1"/>
    <col min="4114" max="4114" width="8.85546875" style="406"/>
    <col min="4115" max="4115" width="13" style="406" customWidth="1"/>
    <col min="4116" max="4116" width="11.42578125" style="406" customWidth="1"/>
    <col min="4117" max="4351" width="8.85546875" style="406"/>
    <col min="4352" max="4352" width="6.85546875" style="406" customWidth="1"/>
    <col min="4353" max="4353" width="22.140625" style="406" customWidth="1"/>
    <col min="4354" max="4355" width="13.42578125" style="406" customWidth="1"/>
    <col min="4356" max="4356" width="10.85546875" style="406" customWidth="1"/>
    <col min="4357" max="4358" width="13" style="406" customWidth="1"/>
    <col min="4359" max="4360" width="11.7109375" style="406" customWidth="1"/>
    <col min="4361" max="4361" width="11.42578125" style="406" customWidth="1"/>
    <col min="4362" max="4362" width="12.5703125" style="406" customWidth="1"/>
    <col min="4363" max="4363" width="12" style="406" customWidth="1"/>
    <col min="4364" max="4364" width="12.7109375" style="406" customWidth="1"/>
    <col min="4365" max="4365" width="11.7109375" style="406" customWidth="1"/>
    <col min="4366" max="4366" width="10.85546875" style="406" customWidth="1"/>
    <col min="4367" max="4367" width="12.7109375" style="406" customWidth="1"/>
    <col min="4368" max="4368" width="10.5703125" style="406" customWidth="1"/>
    <col min="4369" max="4369" width="7.5703125" style="406" customWidth="1"/>
    <col min="4370" max="4370" width="8.85546875" style="406"/>
    <col min="4371" max="4371" width="13" style="406" customWidth="1"/>
    <col min="4372" max="4372" width="11.42578125" style="406" customWidth="1"/>
    <col min="4373" max="4607" width="8.85546875" style="406"/>
    <col min="4608" max="4608" width="6.85546875" style="406" customWidth="1"/>
    <col min="4609" max="4609" width="22.140625" style="406" customWidth="1"/>
    <col min="4610" max="4611" width="13.42578125" style="406" customWidth="1"/>
    <col min="4612" max="4612" width="10.85546875" style="406" customWidth="1"/>
    <col min="4613" max="4614" width="13" style="406" customWidth="1"/>
    <col min="4615" max="4616" width="11.7109375" style="406" customWidth="1"/>
    <col min="4617" max="4617" width="11.42578125" style="406" customWidth="1"/>
    <col min="4618" max="4618" width="12.5703125" style="406" customWidth="1"/>
    <col min="4619" max="4619" width="12" style="406" customWidth="1"/>
    <col min="4620" max="4620" width="12.7109375" style="406" customWidth="1"/>
    <col min="4621" max="4621" width="11.7109375" style="406" customWidth="1"/>
    <col min="4622" max="4622" width="10.85546875" style="406" customWidth="1"/>
    <col min="4623" max="4623" width="12.7109375" style="406" customWidth="1"/>
    <col min="4624" max="4624" width="10.5703125" style="406" customWidth="1"/>
    <col min="4625" max="4625" width="7.5703125" style="406" customWidth="1"/>
    <col min="4626" max="4626" width="8.85546875" style="406"/>
    <col min="4627" max="4627" width="13" style="406" customWidth="1"/>
    <col min="4628" max="4628" width="11.42578125" style="406" customWidth="1"/>
    <col min="4629" max="4863" width="8.85546875" style="406"/>
    <col min="4864" max="4864" width="6.85546875" style="406" customWidth="1"/>
    <col min="4865" max="4865" width="22.140625" style="406" customWidth="1"/>
    <col min="4866" max="4867" width="13.42578125" style="406" customWidth="1"/>
    <col min="4868" max="4868" width="10.85546875" style="406" customWidth="1"/>
    <col min="4869" max="4870" width="13" style="406" customWidth="1"/>
    <col min="4871" max="4872" width="11.7109375" style="406" customWidth="1"/>
    <col min="4873" max="4873" width="11.42578125" style="406" customWidth="1"/>
    <col min="4874" max="4874" width="12.5703125" style="406" customWidth="1"/>
    <col min="4875" max="4875" width="12" style="406" customWidth="1"/>
    <col min="4876" max="4876" width="12.7109375" style="406" customWidth="1"/>
    <col min="4877" max="4877" width="11.7109375" style="406" customWidth="1"/>
    <col min="4878" max="4878" width="10.85546875" style="406" customWidth="1"/>
    <col min="4879" max="4879" width="12.7109375" style="406" customWidth="1"/>
    <col min="4880" max="4880" width="10.5703125" style="406" customWidth="1"/>
    <col min="4881" max="4881" width="7.5703125" style="406" customWidth="1"/>
    <col min="4882" max="4882" width="8.85546875" style="406"/>
    <col min="4883" max="4883" width="13" style="406" customWidth="1"/>
    <col min="4884" max="4884" width="11.42578125" style="406" customWidth="1"/>
    <col min="4885" max="5119" width="8.85546875" style="406"/>
    <col min="5120" max="5120" width="6.85546875" style="406" customWidth="1"/>
    <col min="5121" max="5121" width="22.140625" style="406" customWidth="1"/>
    <col min="5122" max="5123" width="13.42578125" style="406" customWidth="1"/>
    <col min="5124" max="5124" width="10.85546875" style="406" customWidth="1"/>
    <col min="5125" max="5126" width="13" style="406" customWidth="1"/>
    <col min="5127" max="5128" width="11.7109375" style="406" customWidth="1"/>
    <col min="5129" max="5129" width="11.42578125" style="406" customWidth="1"/>
    <col min="5130" max="5130" width="12.5703125" style="406" customWidth="1"/>
    <col min="5131" max="5131" width="12" style="406" customWidth="1"/>
    <col min="5132" max="5132" width="12.7109375" style="406" customWidth="1"/>
    <col min="5133" max="5133" width="11.7109375" style="406" customWidth="1"/>
    <col min="5134" max="5134" width="10.85546875" style="406" customWidth="1"/>
    <col min="5135" max="5135" width="12.7109375" style="406" customWidth="1"/>
    <col min="5136" max="5136" width="10.5703125" style="406" customWidth="1"/>
    <col min="5137" max="5137" width="7.5703125" style="406" customWidth="1"/>
    <col min="5138" max="5138" width="8.85546875" style="406"/>
    <col min="5139" max="5139" width="13" style="406" customWidth="1"/>
    <col min="5140" max="5140" width="11.42578125" style="406" customWidth="1"/>
    <col min="5141" max="5375" width="8.85546875" style="406"/>
    <col min="5376" max="5376" width="6.85546875" style="406" customWidth="1"/>
    <col min="5377" max="5377" width="22.140625" style="406" customWidth="1"/>
    <col min="5378" max="5379" width="13.42578125" style="406" customWidth="1"/>
    <col min="5380" max="5380" width="10.85546875" style="406" customWidth="1"/>
    <col min="5381" max="5382" width="13" style="406" customWidth="1"/>
    <col min="5383" max="5384" width="11.7109375" style="406" customWidth="1"/>
    <col min="5385" max="5385" width="11.42578125" style="406" customWidth="1"/>
    <col min="5386" max="5386" width="12.5703125" style="406" customWidth="1"/>
    <col min="5387" max="5387" width="12" style="406" customWidth="1"/>
    <col min="5388" max="5388" width="12.7109375" style="406" customWidth="1"/>
    <col min="5389" max="5389" width="11.7109375" style="406" customWidth="1"/>
    <col min="5390" max="5390" width="10.85546875" style="406" customWidth="1"/>
    <col min="5391" max="5391" width="12.7109375" style="406" customWidth="1"/>
    <col min="5392" max="5392" width="10.5703125" style="406" customWidth="1"/>
    <col min="5393" max="5393" width="7.5703125" style="406" customWidth="1"/>
    <col min="5394" max="5394" width="8.85546875" style="406"/>
    <col min="5395" max="5395" width="13" style="406" customWidth="1"/>
    <col min="5396" max="5396" width="11.42578125" style="406" customWidth="1"/>
    <col min="5397" max="5631" width="8.85546875" style="406"/>
    <col min="5632" max="5632" width="6.85546875" style="406" customWidth="1"/>
    <col min="5633" max="5633" width="22.140625" style="406" customWidth="1"/>
    <col min="5634" max="5635" width="13.42578125" style="406" customWidth="1"/>
    <col min="5636" max="5636" width="10.85546875" style="406" customWidth="1"/>
    <col min="5637" max="5638" width="13" style="406" customWidth="1"/>
    <col min="5639" max="5640" width="11.7109375" style="406" customWidth="1"/>
    <col min="5641" max="5641" width="11.42578125" style="406" customWidth="1"/>
    <col min="5642" max="5642" width="12.5703125" style="406" customWidth="1"/>
    <col min="5643" max="5643" width="12" style="406" customWidth="1"/>
    <col min="5644" max="5644" width="12.7109375" style="406" customWidth="1"/>
    <col min="5645" max="5645" width="11.7109375" style="406" customWidth="1"/>
    <col min="5646" max="5646" width="10.85546875" style="406" customWidth="1"/>
    <col min="5647" max="5647" width="12.7109375" style="406" customWidth="1"/>
    <col min="5648" max="5648" width="10.5703125" style="406" customWidth="1"/>
    <col min="5649" max="5649" width="7.5703125" style="406" customWidth="1"/>
    <col min="5650" max="5650" width="8.85546875" style="406"/>
    <col min="5651" max="5651" width="13" style="406" customWidth="1"/>
    <col min="5652" max="5652" width="11.42578125" style="406" customWidth="1"/>
    <col min="5653" max="5887" width="8.85546875" style="406"/>
    <col min="5888" max="5888" width="6.85546875" style="406" customWidth="1"/>
    <col min="5889" max="5889" width="22.140625" style="406" customWidth="1"/>
    <col min="5890" max="5891" width="13.42578125" style="406" customWidth="1"/>
    <col min="5892" max="5892" width="10.85546875" style="406" customWidth="1"/>
    <col min="5893" max="5894" width="13" style="406" customWidth="1"/>
    <col min="5895" max="5896" width="11.7109375" style="406" customWidth="1"/>
    <col min="5897" max="5897" width="11.42578125" style="406" customWidth="1"/>
    <col min="5898" max="5898" width="12.5703125" style="406" customWidth="1"/>
    <col min="5899" max="5899" width="12" style="406" customWidth="1"/>
    <col min="5900" max="5900" width="12.7109375" style="406" customWidth="1"/>
    <col min="5901" max="5901" width="11.7109375" style="406" customWidth="1"/>
    <col min="5902" max="5902" width="10.85546875" style="406" customWidth="1"/>
    <col min="5903" max="5903" width="12.7109375" style="406" customWidth="1"/>
    <col min="5904" max="5904" width="10.5703125" style="406" customWidth="1"/>
    <col min="5905" max="5905" width="7.5703125" style="406" customWidth="1"/>
    <col min="5906" max="5906" width="8.85546875" style="406"/>
    <col min="5907" max="5907" width="13" style="406" customWidth="1"/>
    <col min="5908" max="5908" width="11.42578125" style="406" customWidth="1"/>
    <col min="5909" max="6143" width="8.85546875" style="406"/>
    <col min="6144" max="6144" width="6.85546875" style="406" customWidth="1"/>
    <col min="6145" max="6145" width="22.140625" style="406" customWidth="1"/>
    <col min="6146" max="6147" width="13.42578125" style="406" customWidth="1"/>
    <col min="6148" max="6148" width="10.85546875" style="406" customWidth="1"/>
    <col min="6149" max="6150" width="13" style="406" customWidth="1"/>
    <col min="6151" max="6152" width="11.7109375" style="406" customWidth="1"/>
    <col min="6153" max="6153" width="11.42578125" style="406" customWidth="1"/>
    <col min="6154" max="6154" width="12.5703125" style="406" customWidth="1"/>
    <col min="6155" max="6155" width="12" style="406" customWidth="1"/>
    <col min="6156" max="6156" width="12.7109375" style="406" customWidth="1"/>
    <col min="6157" max="6157" width="11.7109375" style="406" customWidth="1"/>
    <col min="6158" max="6158" width="10.85546875" style="406" customWidth="1"/>
    <col min="6159" max="6159" width="12.7109375" style="406" customWidth="1"/>
    <col min="6160" max="6160" width="10.5703125" style="406" customWidth="1"/>
    <col min="6161" max="6161" width="7.5703125" style="406" customWidth="1"/>
    <col min="6162" max="6162" width="8.85546875" style="406"/>
    <col min="6163" max="6163" width="13" style="406" customWidth="1"/>
    <col min="6164" max="6164" width="11.42578125" style="406" customWidth="1"/>
    <col min="6165" max="6399" width="8.85546875" style="406"/>
    <col min="6400" max="6400" width="6.85546875" style="406" customWidth="1"/>
    <col min="6401" max="6401" width="22.140625" style="406" customWidth="1"/>
    <col min="6402" max="6403" width="13.42578125" style="406" customWidth="1"/>
    <col min="6404" max="6404" width="10.85546875" style="406" customWidth="1"/>
    <col min="6405" max="6406" width="13" style="406" customWidth="1"/>
    <col min="6407" max="6408" width="11.7109375" style="406" customWidth="1"/>
    <col min="6409" max="6409" width="11.42578125" style="406" customWidth="1"/>
    <col min="6410" max="6410" width="12.5703125" style="406" customWidth="1"/>
    <col min="6411" max="6411" width="12" style="406" customWidth="1"/>
    <col min="6412" max="6412" width="12.7109375" style="406" customWidth="1"/>
    <col min="6413" max="6413" width="11.7109375" style="406" customWidth="1"/>
    <col min="6414" max="6414" width="10.85546875" style="406" customWidth="1"/>
    <col min="6415" max="6415" width="12.7109375" style="406" customWidth="1"/>
    <col min="6416" max="6416" width="10.5703125" style="406" customWidth="1"/>
    <col min="6417" max="6417" width="7.5703125" style="406" customWidth="1"/>
    <col min="6418" max="6418" width="8.85546875" style="406"/>
    <col min="6419" max="6419" width="13" style="406" customWidth="1"/>
    <col min="6420" max="6420" width="11.42578125" style="406" customWidth="1"/>
    <col min="6421" max="6655" width="8.85546875" style="406"/>
    <col min="6656" max="6656" width="6.85546875" style="406" customWidth="1"/>
    <col min="6657" max="6657" width="22.140625" style="406" customWidth="1"/>
    <col min="6658" max="6659" width="13.42578125" style="406" customWidth="1"/>
    <col min="6660" max="6660" width="10.85546875" style="406" customWidth="1"/>
    <col min="6661" max="6662" width="13" style="406" customWidth="1"/>
    <col min="6663" max="6664" width="11.7109375" style="406" customWidth="1"/>
    <col min="6665" max="6665" width="11.42578125" style="406" customWidth="1"/>
    <col min="6666" max="6666" width="12.5703125" style="406" customWidth="1"/>
    <col min="6667" max="6667" width="12" style="406" customWidth="1"/>
    <col min="6668" max="6668" width="12.7109375" style="406" customWidth="1"/>
    <col min="6669" max="6669" width="11.7109375" style="406" customWidth="1"/>
    <col min="6670" max="6670" width="10.85546875" style="406" customWidth="1"/>
    <col min="6671" max="6671" width="12.7109375" style="406" customWidth="1"/>
    <col min="6672" max="6672" width="10.5703125" style="406" customWidth="1"/>
    <col min="6673" max="6673" width="7.5703125" style="406" customWidth="1"/>
    <col min="6674" max="6674" width="8.85546875" style="406"/>
    <col min="6675" max="6675" width="13" style="406" customWidth="1"/>
    <col min="6676" max="6676" width="11.42578125" style="406" customWidth="1"/>
    <col min="6677" max="6911" width="8.85546875" style="406"/>
    <col min="6912" max="6912" width="6.85546875" style="406" customWidth="1"/>
    <col min="6913" max="6913" width="22.140625" style="406" customWidth="1"/>
    <col min="6914" max="6915" width="13.42578125" style="406" customWidth="1"/>
    <col min="6916" max="6916" width="10.85546875" style="406" customWidth="1"/>
    <col min="6917" max="6918" width="13" style="406" customWidth="1"/>
    <col min="6919" max="6920" width="11.7109375" style="406" customWidth="1"/>
    <col min="6921" max="6921" width="11.42578125" style="406" customWidth="1"/>
    <col min="6922" max="6922" width="12.5703125" style="406" customWidth="1"/>
    <col min="6923" max="6923" width="12" style="406" customWidth="1"/>
    <col min="6924" max="6924" width="12.7109375" style="406" customWidth="1"/>
    <col min="6925" max="6925" width="11.7109375" style="406" customWidth="1"/>
    <col min="6926" max="6926" width="10.85546875" style="406" customWidth="1"/>
    <col min="6927" max="6927" width="12.7109375" style="406" customWidth="1"/>
    <col min="6928" max="6928" width="10.5703125" style="406" customWidth="1"/>
    <col min="6929" max="6929" width="7.5703125" style="406" customWidth="1"/>
    <col min="6930" max="6930" width="8.85546875" style="406"/>
    <col min="6931" max="6931" width="13" style="406" customWidth="1"/>
    <col min="6932" max="6932" width="11.42578125" style="406" customWidth="1"/>
    <col min="6933" max="7167" width="8.85546875" style="406"/>
    <col min="7168" max="7168" width="6.85546875" style="406" customWidth="1"/>
    <col min="7169" max="7169" width="22.140625" style="406" customWidth="1"/>
    <col min="7170" max="7171" width="13.42578125" style="406" customWidth="1"/>
    <col min="7172" max="7172" width="10.85546875" style="406" customWidth="1"/>
    <col min="7173" max="7174" width="13" style="406" customWidth="1"/>
    <col min="7175" max="7176" width="11.7109375" style="406" customWidth="1"/>
    <col min="7177" max="7177" width="11.42578125" style="406" customWidth="1"/>
    <col min="7178" max="7178" width="12.5703125" style="406" customWidth="1"/>
    <col min="7179" max="7179" width="12" style="406" customWidth="1"/>
    <col min="7180" max="7180" width="12.7109375" style="406" customWidth="1"/>
    <col min="7181" max="7181" width="11.7109375" style="406" customWidth="1"/>
    <col min="7182" max="7182" width="10.85546875" style="406" customWidth="1"/>
    <col min="7183" max="7183" width="12.7109375" style="406" customWidth="1"/>
    <col min="7184" max="7184" width="10.5703125" style="406" customWidth="1"/>
    <col min="7185" max="7185" width="7.5703125" style="406" customWidth="1"/>
    <col min="7186" max="7186" width="8.85546875" style="406"/>
    <col min="7187" max="7187" width="13" style="406" customWidth="1"/>
    <col min="7188" max="7188" width="11.42578125" style="406" customWidth="1"/>
    <col min="7189" max="7423" width="8.85546875" style="406"/>
    <col min="7424" max="7424" width="6.85546875" style="406" customWidth="1"/>
    <col min="7425" max="7425" width="22.140625" style="406" customWidth="1"/>
    <col min="7426" max="7427" width="13.42578125" style="406" customWidth="1"/>
    <col min="7428" max="7428" width="10.85546875" style="406" customWidth="1"/>
    <col min="7429" max="7430" width="13" style="406" customWidth="1"/>
    <col min="7431" max="7432" width="11.7109375" style="406" customWidth="1"/>
    <col min="7433" max="7433" width="11.42578125" style="406" customWidth="1"/>
    <col min="7434" max="7434" width="12.5703125" style="406" customWidth="1"/>
    <col min="7435" max="7435" width="12" style="406" customWidth="1"/>
    <col min="7436" max="7436" width="12.7109375" style="406" customWidth="1"/>
    <col min="7437" max="7437" width="11.7109375" style="406" customWidth="1"/>
    <col min="7438" max="7438" width="10.85546875" style="406" customWidth="1"/>
    <col min="7439" max="7439" width="12.7109375" style="406" customWidth="1"/>
    <col min="7440" max="7440" width="10.5703125" style="406" customWidth="1"/>
    <col min="7441" max="7441" width="7.5703125" style="406" customWidth="1"/>
    <col min="7442" max="7442" width="8.85546875" style="406"/>
    <col min="7443" max="7443" width="13" style="406" customWidth="1"/>
    <col min="7444" max="7444" width="11.42578125" style="406" customWidth="1"/>
    <col min="7445" max="7679" width="8.85546875" style="406"/>
    <col min="7680" max="7680" width="6.85546875" style="406" customWidth="1"/>
    <col min="7681" max="7681" width="22.140625" style="406" customWidth="1"/>
    <col min="7682" max="7683" width="13.42578125" style="406" customWidth="1"/>
    <col min="7684" max="7684" width="10.85546875" style="406" customWidth="1"/>
    <col min="7685" max="7686" width="13" style="406" customWidth="1"/>
    <col min="7687" max="7688" width="11.7109375" style="406" customWidth="1"/>
    <col min="7689" max="7689" width="11.42578125" style="406" customWidth="1"/>
    <col min="7690" max="7690" width="12.5703125" style="406" customWidth="1"/>
    <col min="7691" max="7691" width="12" style="406" customWidth="1"/>
    <col min="7692" max="7692" width="12.7109375" style="406" customWidth="1"/>
    <col min="7693" max="7693" width="11.7109375" style="406" customWidth="1"/>
    <col min="7694" max="7694" width="10.85546875" style="406" customWidth="1"/>
    <col min="7695" max="7695" width="12.7109375" style="406" customWidth="1"/>
    <col min="7696" max="7696" width="10.5703125" style="406" customWidth="1"/>
    <col min="7697" max="7697" width="7.5703125" style="406" customWidth="1"/>
    <col min="7698" max="7698" width="8.85546875" style="406"/>
    <col min="7699" max="7699" width="13" style="406" customWidth="1"/>
    <col min="7700" max="7700" width="11.42578125" style="406" customWidth="1"/>
    <col min="7701" max="7935" width="8.85546875" style="406"/>
    <col min="7936" max="7936" width="6.85546875" style="406" customWidth="1"/>
    <col min="7937" max="7937" width="22.140625" style="406" customWidth="1"/>
    <col min="7938" max="7939" width="13.42578125" style="406" customWidth="1"/>
    <col min="7940" max="7940" width="10.85546875" style="406" customWidth="1"/>
    <col min="7941" max="7942" width="13" style="406" customWidth="1"/>
    <col min="7943" max="7944" width="11.7109375" style="406" customWidth="1"/>
    <col min="7945" max="7945" width="11.42578125" style="406" customWidth="1"/>
    <col min="7946" max="7946" width="12.5703125" style="406" customWidth="1"/>
    <col min="7947" max="7947" width="12" style="406" customWidth="1"/>
    <col min="7948" max="7948" width="12.7109375" style="406" customWidth="1"/>
    <col min="7949" max="7949" width="11.7109375" style="406" customWidth="1"/>
    <col min="7950" max="7950" width="10.85546875" style="406" customWidth="1"/>
    <col min="7951" max="7951" width="12.7109375" style="406" customWidth="1"/>
    <col min="7952" max="7952" width="10.5703125" style="406" customWidth="1"/>
    <col min="7953" max="7953" width="7.5703125" style="406" customWidth="1"/>
    <col min="7954" max="7954" width="8.85546875" style="406"/>
    <col min="7955" max="7955" width="13" style="406" customWidth="1"/>
    <col min="7956" max="7956" width="11.42578125" style="406" customWidth="1"/>
    <col min="7957" max="8191" width="8.85546875" style="406"/>
    <col min="8192" max="8192" width="6.85546875" style="406" customWidth="1"/>
    <col min="8193" max="8193" width="22.140625" style="406" customWidth="1"/>
    <col min="8194" max="8195" width="13.42578125" style="406" customWidth="1"/>
    <col min="8196" max="8196" width="10.85546875" style="406" customWidth="1"/>
    <col min="8197" max="8198" width="13" style="406" customWidth="1"/>
    <col min="8199" max="8200" width="11.7109375" style="406" customWidth="1"/>
    <col min="8201" max="8201" width="11.42578125" style="406" customWidth="1"/>
    <col min="8202" max="8202" width="12.5703125" style="406" customWidth="1"/>
    <col min="8203" max="8203" width="12" style="406" customWidth="1"/>
    <col min="8204" max="8204" width="12.7109375" style="406" customWidth="1"/>
    <col min="8205" max="8205" width="11.7109375" style="406" customWidth="1"/>
    <col min="8206" max="8206" width="10.85546875" style="406" customWidth="1"/>
    <col min="8207" max="8207" width="12.7109375" style="406" customWidth="1"/>
    <col min="8208" max="8208" width="10.5703125" style="406" customWidth="1"/>
    <col min="8209" max="8209" width="7.5703125" style="406" customWidth="1"/>
    <col min="8210" max="8210" width="8.85546875" style="406"/>
    <col min="8211" max="8211" width="13" style="406" customWidth="1"/>
    <col min="8212" max="8212" width="11.42578125" style="406" customWidth="1"/>
    <col min="8213" max="8447" width="8.85546875" style="406"/>
    <col min="8448" max="8448" width="6.85546875" style="406" customWidth="1"/>
    <col min="8449" max="8449" width="22.140625" style="406" customWidth="1"/>
    <col min="8450" max="8451" width="13.42578125" style="406" customWidth="1"/>
    <col min="8452" max="8452" width="10.85546875" style="406" customWidth="1"/>
    <col min="8453" max="8454" width="13" style="406" customWidth="1"/>
    <col min="8455" max="8456" width="11.7109375" style="406" customWidth="1"/>
    <col min="8457" max="8457" width="11.42578125" style="406" customWidth="1"/>
    <col min="8458" max="8458" width="12.5703125" style="406" customWidth="1"/>
    <col min="8459" max="8459" width="12" style="406" customWidth="1"/>
    <col min="8460" max="8460" width="12.7109375" style="406" customWidth="1"/>
    <col min="8461" max="8461" width="11.7109375" style="406" customWidth="1"/>
    <col min="8462" max="8462" width="10.85546875" style="406" customWidth="1"/>
    <col min="8463" max="8463" width="12.7109375" style="406" customWidth="1"/>
    <col min="8464" max="8464" width="10.5703125" style="406" customWidth="1"/>
    <col min="8465" max="8465" width="7.5703125" style="406" customWidth="1"/>
    <col min="8466" max="8466" width="8.85546875" style="406"/>
    <col min="8467" max="8467" width="13" style="406" customWidth="1"/>
    <col min="8468" max="8468" width="11.42578125" style="406" customWidth="1"/>
    <col min="8469" max="8703" width="8.85546875" style="406"/>
    <col min="8704" max="8704" width="6.85546875" style="406" customWidth="1"/>
    <col min="8705" max="8705" width="22.140625" style="406" customWidth="1"/>
    <col min="8706" max="8707" width="13.42578125" style="406" customWidth="1"/>
    <col min="8708" max="8708" width="10.85546875" style="406" customWidth="1"/>
    <col min="8709" max="8710" width="13" style="406" customWidth="1"/>
    <col min="8711" max="8712" width="11.7109375" style="406" customWidth="1"/>
    <col min="8713" max="8713" width="11.42578125" style="406" customWidth="1"/>
    <col min="8714" max="8714" width="12.5703125" style="406" customWidth="1"/>
    <col min="8715" max="8715" width="12" style="406" customWidth="1"/>
    <col min="8716" max="8716" width="12.7109375" style="406" customWidth="1"/>
    <col min="8717" max="8717" width="11.7109375" style="406" customWidth="1"/>
    <col min="8718" max="8718" width="10.85546875" style="406" customWidth="1"/>
    <col min="8719" max="8719" width="12.7109375" style="406" customWidth="1"/>
    <col min="8720" max="8720" width="10.5703125" style="406" customWidth="1"/>
    <col min="8721" max="8721" width="7.5703125" style="406" customWidth="1"/>
    <col min="8722" max="8722" width="8.85546875" style="406"/>
    <col min="8723" max="8723" width="13" style="406" customWidth="1"/>
    <col min="8724" max="8724" width="11.42578125" style="406" customWidth="1"/>
    <col min="8725" max="8959" width="8.85546875" style="406"/>
    <col min="8960" max="8960" width="6.85546875" style="406" customWidth="1"/>
    <col min="8961" max="8961" width="22.140625" style="406" customWidth="1"/>
    <col min="8962" max="8963" width="13.42578125" style="406" customWidth="1"/>
    <col min="8964" max="8964" width="10.85546875" style="406" customWidth="1"/>
    <col min="8965" max="8966" width="13" style="406" customWidth="1"/>
    <col min="8967" max="8968" width="11.7109375" style="406" customWidth="1"/>
    <col min="8969" max="8969" width="11.42578125" style="406" customWidth="1"/>
    <col min="8970" max="8970" width="12.5703125" style="406" customWidth="1"/>
    <col min="8971" max="8971" width="12" style="406" customWidth="1"/>
    <col min="8972" max="8972" width="12.7109375" style="406" customWidth="1"/>
    <col min="8973" max="8973" width="11.7109375" style="406" customWidth="1"/>
    <col min="8974" max="8974" width="10.85546875" style="406" customWidth="1"/>
    <col min="8975" max="8975" width="12.7109375" style="406" customWidth="1"/>
    <col min="8976" max="8976" width="10.5703125" style="406" customWidth="1"/>
    <col min="8977" max="8977" width="7.5703125" style="406" customWidth="1"/>
    <col min="8978" max="8978" width="8.85546875" style="406"/>
    <col min="8979" max="8979" width="13" style="406" customWidth="1"/>
    <col min="8980" max="8980" width="11.42578125" style="406" customWidth="1"/>
    <col min="8981" max="9215" width="8.85546875" style="406"/>
    <col min="9216" max="9216" width="6.85546875" style="406" customWidth="1"/>
    <col min="9217" max="9217" width="22.140625" style="406" customWidth="1"/>
    <col min="9218" max="9219" width="13.42578125" style="406" customWidth="1"/>
    <col min="9220" max="9220" width="10.85546875" style="406" customWidth="1"/>
    <col min="9221" max="9222" width="13" style="406" customWidth="1"/>
    <col min="9223" max="9224" width="11.7109375" style="406" customWidth="1"/>
    <col min="9225" max="9225" width="11.42578125" style="406" customWidth="1"/>
    <col min="9226" max="9226" width="12.5703125" style="406" customWidth="1"/>
    <col min="9227" max="9227" width="12" style="406" customWidth="1"/>
    <col min="9228" max="9228" width="12.7109375" style="406" customWidth="1"/>
    <col min="9229" max="9229" width="11.7109375" style="406" customWidth="1"/>
    <col min="9230" max="9230" width="10.85546875" style="406" customWidth="1"/>
    <col min="9231" max="9231" width="12.7109375" style="406" customWidth="1"/>
    <col min="9232" max="9232" width="10.5703125" style="406" customWidth="1"/>
    <col min="9233" max="9233" width="7.5703125" style="406" customWidth="1"/>
    <col min="9234" max="9234" width="8.85546875" style="406"/>
    <col min="9235" max="9235" width="13" style="406" customWidth="1"/>
    <col min="9236" max="9236" width="11.42578125" style="406" customWidth="1"/>
    <col min="9237" max="9471" width="8.85546875" style="406"/>
    <col min="9472" max="9472" width="6.85546875" style="406" customWidth="1"/>
    <col min="9473" max="9473" width="22.140625" style="406" customWidth="1"/>
    <col min="9474" max="9475" width="13.42578125" style="406" customWidth="1"/>
    <col min="9476" max="9476" width="10.85546875" style="406" customWidth="1"/>
    <col min="9477" max="9478" width="13" style="406" customWidth="1"/>
    <col min="9479" max="9480" width="11.7109375" style="406" customWidth="1"/>
    <col min="9481" max="9481" width="11.42578125" style="406" customWidth="1"/>
    <col min="9482" max="9482" width="12.5703125" style="406" customWidth="1"/>
    <col min="9483" max="9483" width="12" style="406" customWidth="1"/>
    <col min="9484" max="9484" width="12.7109375" style="406" customWidth="1"/>
    <col min="9485" max="9485" width="11.7109375" style="406" customWidth="1"/>
    <col min="9486" max="9486" width="10.85546875" style="406" customWidth="1"/>
    <col min="9487" max="9487" width="12.7109375" style="406" customWidth="1"/>
    <col min="9488" max="9488" width="10.5703125" style="406" customWidth="1"/>
    <col min="9489" max="9489" width="7.5703125" style="406" customWidth="1"/>
    <col min="9490" max="9490" width="8.85546875" style="406"/>
    <col min="9491" max="9491" width="13" style="406" customWidth="1"/>
    <col min="9492" max="9492" width="11.42578125" style="406" customWidth="1"/>
    <col min="9493" max="9727" width="8.85546875" style="406"/>
    <col min="9728" max="9728" width="6.85546875" style="406" customWidth="1"/>
    <col min="9729" max="9729" width="22.140625" style="406" customWidth="1"/>
    <col min="9730" max="9731" width="13.42578125" style="406" customWidth="1"/>
    <col min="9732" max="9732" width="10.85546875" style="406" customWidth="1"/>
    <col min="9733" max="9734" width="13" style="406" customWidth="1"/>
    <col min="9735" max="9736" width="11.7109375" style="406" customWidth="1"/>
    <col min="9737" max="9737" width="11.42578125" style="406" customWidth="1"/>
    <col min="9738" max="9738" width="12.5703125" style="406" customWidth="1"/>
    <col min="9739" max="9739" width="12" style="406" customWidth="1"/>
    <col min="9740" max="9740" width="12.7109375" style="406" customWidth="1"/>
    <col min="9741" max="9741" width="11.7109375" style="406" customWidth="1"/>
    <col min="9742" max="9742" width="10.85546875" style="406" customWidth="1"/>
    <col min="9743" max="9743" width="12.7109375" style="406" customWidth="1"/>
    <col min="9744" max="9744" width="10.5703125" style="406" customWidth="1"/>
    <col min="9745" max="9745" width="7.5703125" style="406" customWidth="1"/>
    <col min="9746" max="9746" width="8.85546875" style="406"/>
    <col min="9747" max="9747" width="13" style="406" customWidth="1"/>
    <col min="9748" max="9748" width="11.42578125" style="406" customWidth="1"/>
    <col min="9749" max="9983" width="8.85546875" style="406"/>
    <col min="9984" max="9984" width="6.85546875" style="406" customWidth="1"/>
    <col min="9985" max="9985" width="22.140625" style="406" customWidth="1"/>
    <col min="9986" max="9987" width="13.42578125" style="406" customWidth="1"/>
    <col min="9988" max="9988" width="10.85546875" style="406" customWidth="1"/>
    <col min="9989" max="9990" width="13" style="406" customWidth="1"/>
    <col min="9991" max="9992" width="11.7109375" style="406" customWidth="1"/>
    <col min="9993" max="9993" width="11.42578125" style="406" customWidth="1"/>
    <col min="9994" max="9994" width="12.5703125" style="406" customWidth="1"/>
    <col min="9995" max="9995" width="12" style="406" customWidth="1"/>
    <col min="9996" max="9996" width="12.7109375" style="406" customWidth="1"/>
    <col min="9997" max="9997" width="11.7109375" style="406" customWidth="1"/>
    <col min="9998" max="9998" width="10.85546875" style="406" customWidth="1"/>
    <col min="9999" max="9999" width="12.7109375" style="406" customWidth="1"/>
    <col min="10000" max="10000" width="10.5703125" style="406" customWidth="1"/>
    <col min="10001" max="10001" width="7.5703125" style="406" customWidth="1"/>
    <col min="10002" max="10002" width="8.85546875" style="406"/>
    <col min="10003" max="10003" width="13" style="406" customWidth="1"/>
    <col min="10004" max="10004" width="11.42578125" style="406" customWidth="1"/>
    <col min="10005" max="10239" width="8.85546875" style="406"/>
    <col min="10240" max="10240" width="6.85546875" style="406" customWidth="1"/>
    <col min="10241" max="10241" width="22.140625" style="406" customWidth="1"/>
    <col min="10242" max="10243" width="13.42578125" style="406" customWidth="1"/>
    <col min="10244" max="10244" width="10.85546875" style="406" customWidth="1"/>
    <col min="10245" max="10246" width="13" style="406" customWidth="1"/>
    <col min="10247" max="10248" width="11.7109375" style="406" customWidth="1"/>
    <col min="10249" max="10249" width="11.42578125" style="406" customWidth="1"/>
    <col min="10250" max="10250" width="12.5703125" style="406" customWidth="1"/>
    <col min="10251" max="10251" width="12" style="406" customWidth="1"/>
    <col min="10252" max="10252" width="12.7109375" style="406" customWidth="1"/>
    <col min="10253" max="10253" width="11.7109375" style="406" customWidth="1"/>
    <col min="10254" max="10254" width="10.85546875" style="406" customWidth="1"/>
    <col min="10255" max="10255" width="12.7109375" style="406" customWidth="1"/>
    <col min="10256" max="10256" width="10.5703125" style="406" customWidth="1"/>
    <col min="10257" max="10257" width="7.5703125" style="406" customWidth="1"/>
    <col min="10258" max="10258" width="8.85546875" style="406"/>
    <col min="10259" max="10259" width="13" style="406" customWidth="1"/>
    <col min="10260" max="10260" width="11.42578125" style="406" customWidth="1"/>
    <col min="10261" max="10495" width="8.85546875" style="406"/>
    <col min="10496" max="10496" width="6.85546875" style="406" customWidth="1"/>
    <col min="10497" max="10497" width="22.140625" style="406" customWidth="1"/>
    <col min="10498" max="10499" width="13.42578125" style="406" customWidth="1"/>
    <col min="10500" max="10500" width="10.85546875" style="406" customWidth="1"/>
    <col min="10501" max="10502" width="13" style="406" customWidth="1"/>
    <col min="10503" max="10504" width="11.7109375" style="406" customWidth="1"/>
    <col min="10505" max="10505" width="11.42578125" style="406" customWidth="1"/>
    <col min="10506" max="10506" width="12.5703125" style="406" customWidth="1"/>
    <col min="10507" max="10507" width="12" style="406" customWidth="1"/>
    <col min="10508" max="10508" width="12.7109375" style="406" customWidth="1"/>
    <col min="10509" max="10509" width="11.7109375" style="406" customWidth="1"/>
    <col min="10510" max="10510" width="10.85546875" style="406" customWidth="1"/>
    <col min="10511" max="10511" width="12.7109375" style="406" customWidth="1"/>
    <col min="10512" max="10512" width="10.5703125" style="406" customWidth="1"/>
    <col min="10513" max="10513" width="7.5703125" style="406" customWidth="1"/>
    <col min="10514" max="10514" width="8.85546875" style="406"/>
    <col min="10515" max="10515" width="13" style="406" customWidth="1"/>
    <col min="10516" max="10516" width="11.42578125" style="406" customWidth="1"/>
    <col min="10517" max="10751" width="8.85546875" style="406"/>
    <col min="10752" max="10752" width="6.85546875" style="406" customWidth="1"/>
    <col min="10753" max="10753" width="22.140625" style="406" customWidth="1"/>
    <col min="10754" max="10755" width="13.42578125" style="406" customWidth="1"/>
    <col min="10756" max="10756" width="10.85546875" style="406" customWidth="1"/>
    <col min="10757" max="10758" width="13" style="406" customWidth="1"/>
    <col min="10759" max="10760" width="11.7109375" style="406" customWidth="1"/>
    <col min="10761" max="10761" width="11.42578125" style="406" customWidth="1"/>
    <col min="10762" max="10762" width="12.5703125" style="406" customWidth="1"/>
    <col min="10763" max="10763" width="12" style="406" customWidth="1"/>
    <col min="10764" max="10764" width="12.7109375" style="406" customWidth="1"/>
    <col min="10765" max="10765" width="11.7109375" style="406" customWidth="1"/>
    <col min="10766" max="10766" width="10.85546875" style="406" customWidth="1"/>
    <col min="10767" max="10767" width="12.7109375" style="406" customWidth="1"/>
    <col min="10768" max="10768" width="10.5703125" style="406" customWidth="1"/>
    <col min="10769" max="10769" width="7.5703125" style="406" customWidth="1"/>
    <col min="10770" max="10770" width="8.85546875" style="406"/>
    <col min="10771" max="10771" width="13" style="406" customWidth="1"/>
    <col min="10772" max="10772" width="11.42578125" style="406" customWidth="1"/>
    <col min="10773" max="11007" width="8.85546875" style="406"/>
    <col min="11008" max="11008" width="6.85546875" style="406" customWidth="1"/>
    <col min="11009" max="11009" width="22.140625" style="406" customWidth="1"/>
    <col min="11010" max="11011" width="13.42578125" style="406" customWidth="1"/>
    <col min="11012" max="11012" width="10.85546875" style="406" customWidth="1"/>
    <col min="11013" max="11014" width="13" style="406" customWidth="1"/>
    <col min="11015" max="11016" width="11.7109375" style="406" customWidth="1"/>
    <col min="11017" max="11017" width="11.42578125" style="406" customWidth="1"/>
    <col min="11018" max="11018" width="12.5703125" style="406" customWidth="1"/>
    <col min="11019" max="11019" width="12" style="406" customWidth="1"/>
    <col min="11020" max="11020" width="12.7109375" style="406" customWidth="1"/>
    <col min="11021" max="11021" width="11.7109375" style="406" customWidth="1"/>
    <col min="11022" max="11022" width="10.85546875" style="406" customWidth="1"/>
    <col min="11023" max="11023" width="12.7109375" style="406" customWidth="1"/>
    <col min="11024" max="11024" width="10.5703125" style="406" customWidth="1"/>
    <col min="11025" max="11025" width="7.5703125" style="406" customWidth="1"/>
    <col min="11026" max="11026" width="8.85546875" style="406"/>
    <col min="11027" max="11027" width="13" style="406" customWidth="1"/>
    <col min="11028" max="11028" width="11.42578125" style="406" customWidth="1"/>
    <col min="11029" max="11263" width="8.85546875" style="406"/>
    <col min="11264" max="11264" width="6.85546875" style="406" customWidth="1"/>
    <col min="11265" max="11265" width="22.140625" style="406" customWidth="1"/>
    <col min="11266" max="11267" width="13.42578125" style="406" customWidth="1"/>
    <col min="11268" max="11268" width="10.85546875" style="406" customWidth="1"/>
    <col min="11269" max="11270" width="13" style="406" customWidth="1"/>
    <col min="11271" max="11272" width="11.7109375" style="406" customWidth="1"/>
    <col min="11273" max="11273" width="11.42578125" style="406" customWidth="1"/>
    <col min="11274" max="11274" width="12.5703125" style="406" customWidth="1"/>
    <col min="11275" max="11275" width="12" style="406" customWidth="1"/>
    <col min="11276" max="11276" width="12.7109375" style="406" customWidth="1"/>
    <col min="11277" max="11277" width="11.7109375" style="406" customWidth="1"/>
    <col min="11278" max="11278" width="10.85546875" style="406" customWidth="1"/>
    <col min="11279" max="11279" width="12.7109375" style="406" customWidth="1"/>
    <col min="11280" max="11280" width="10.5703125" style="406" customWidth="1"/>
    <col min="11281" max="11281" width="7.5703125" style="406" customWidth="1"/>
    <col min="11282" max="11282" width="8.85546875" style="406"/>
    <col min="11283" max="11283" width="13" style="406" customWidth="1"/>
    <col min="11284" max="11284" width="11.42578125" style="406" customWidth="1"/>
    <col min="11285" max="11519" width="8.85546875" style="406"/>
    <col min="11520" max="11520" width="6.85546875" style="406" customWidth="1"/>
    <col min="11521" max="11521" width="22.140625" style="406" customWidth="1"/>
    <col min="11522" max="11523" width="13.42578125" style="406" customWidth="1"/>
    <col min="11524" max="11524" width="10.85546875" style="406" customWidth="1"/>
    <col min="11525" max="11526" width="13" style="406" customWidth="1"/>
    <col min="11527" max="11528" width="11.7109375" style="406" customWidth="1"/>
    <col min="11529" max="11529" width="11.42578125" style="406" customWidth="1"/>
    <col min="11530" max="11530" width="12.5703125" style="406" customWidth="1"/>
    <col min="11531" max="11531" width="12" style="406" customWidth="1"/>
    <col min="11532" max="11532" width="12.7109375" style="406" customWidth="1"/>
    <col min="11533" max="11533" width="11.7109375" style="406" customWidth="1"/>
    <col min="11534" max="11534" width="10.85546875" style="406" customWidth="1"/>
    <col min="11535" max="11535" width="12.7109375" style="406" customWidth="1"/>
    <col min="11536" max="11536" width="10.5703125" style="406" customWidth="1"/>
    <col min="11537" max="11537" width="7.5703125" style="406" customWidth="1"/>
    <col min="11538" max="11538" width="8.85546875" style="406"/>
    <col min="11539" max="11539" width="13" style="406" customWidth="1"/>
    <col min="11540" max="11540" width="11.42578125" style="406" customWidth="1"/>
    <col min="11541" max="11775" width="8.85546875" style="406"/>
    <col min="11776" max="11776" width="6.85546875" style="406" customWidth="1"/>
    <col min="11777" max="11777" width="22.140625" style="406" customWidth="1"/>
    <col min="11778" max="11779" width="13.42578125" style="406" customWidth="1"/>
    <col min="11780" max="11780" width="10.85546875" style="406" customWidth="1"/>
    <col min="11781" max="11782" width="13" style="406" customWidth="1"/>
    <col min="11783" max="11784" width="11.7109375" style="406" customWidth="1"/>
    <col min="11785" max="11785" width="11.42578125" style="406" customWidth="1"/>
    <col min="11786" max="11786" width="12.5703125" style="406" customWidth="1"/>
    <col min="11787" max="11787" width="12" style="406" customWidth="1"/>
    <col min="11788" max="11788" width="12.7109375" style="406" customWidth="1"/>
    <col min="11789" max="11789" width="11.7109375" style="406" customWidth="1"/>
    <col min="11790" max="11790" width="10.85546875" style="406" customWidth="1"/>
    <col min="11791" max="11791" width="12.7109375" style="406" customWidth="1"/>
    <col min="11792" max="11792" width="10.5703125" style="406" customWidth="1"/>
    <col min="11793" max="11793" width="7.5703125" style="406" customWidth="1"/>
    <col min="11794" max="11794" width="8.85546875" style="406"/>
    <col min="11795" max="11795" width="13" style="406" customWidth="1"/>
    <col min="11796" max="11796" width="11.42578125" style="406" customWidth="1"/>
    <col min="11797" max="12031" width="8.85546875" style="406"/>
    <col min="12032" max="12032" width="6.85546875" style="406" customWidth="1"/>
    <col min="12033" max="12033" width="22.140625" style="406" customWidth="1"/>
    <col min="12034" max="12035" width="13.42578125" style="406" customWidth="1"/>
    <col min="12036" max="12036" width="10.85546875" style="406" customWidth="1"/>
    <col min="12037" max="12038" width="13" style="406" customWidth="1"/>
    <col min="12039" max="12040" width="11.7109375" style="406" customWidth="1"/>
    <col min="12041" max="12041" width="11.42578125" style="406" customWidth="1"/>
    <col min="12042" max="12042" width="12.5703125" style="406" customWidth="1"/>
    <col min="12043" max="12043" width="12" style="406" customWidth="1"/>
    <col min="12044" max="12044" width="12.7109375" style="406" customWidth="1"/>
    <col min="12045" max="12045" width="11.7109375" style="406" customWidth="1"/>
    <col min="12046" max="12046" width="10.85546875" style="406" customWidth="1"/>
    <col min="12047" max="12047" width="12.7109375" style="406" customWidth="1"/>
    <col min="12048" max="12048" width="10.5703125" style="406" customWidth="1"/>
    <col min="12049" max="12049" width="7.5703125" style="406" customWidth="1"/>
    <col min="12050" max="12050" width="8.85546875" style="406"/>
    <col min="12051" max="12051" width="13" style="406" customWidth="1"/>
    <col min="12052" max="12052" width="11.42578125" style="406" customWidth="1"/>
    <col min="12053" max="12287" width="8.85546875" style="406"/>
    <col min="12288" max="12288" width="6.85546875" style="406" customWidth="1"/>
    <col min="12289" max="12289" width="22.140625" style="406" customWidth="1"/>
    <col min="12290" max="12291" width="13.42578125" style="406" customWidth="1"/>
    <col min="12292" max="12292" width="10.85546875" style="406" customWidth="1"/>
    <col min="12293" max="12294" width="13" style="406" customWidth="1"/>
    <col min="12295" max="12296" width="11.7109375" style="406" customWidth="1"/>
    <col min="12297" max="12297" width="11.42578125" style="406" customWidth="1"/>
    <col min="12298" max="12298" width="12.5703125" style="406" customWidth="1"/>
    <col min="12299" max="12299" width="12" style="406" customWidth="1"/>
    <col min="12300" max="12300" width="12.7109375" style="406" customWidth="1"/>
    <col min="12301" max="12301" width="11.7109375" style="406" customWidth="1"/>
    <col min="12302" max="12302" width="10.85546875" style="406" customWidth="1"/>
    <col min="12303" max="12303" width="12.7109375" style="406" customWidth="1"/>
    <col min="12304" max="12304" width="10.5703125" style="406" customWidth="1"/>
    <col min="12305" max="12305" width="7.5703125" style="406" customWidth="1"/>
    <col min="12306" max="12306" width="8.85546875" style="406"/>
    <col min="12307" max="12307" width="13" style="406" customWidth="1"/>
    <col min="12308" max="12308" width="11.42578125" style="406" customWidth="1"/>
    <col min="12309" max="12543" width="8.85546875" style="406"/>
    <col min="12544" max="12544" width="6.85546875" style="406" customWidth="1"/>
    <col min="12545" max="12545" width="22.140625" style="406" customWidth="1"/>
    <col min="12546" max="12547" width="13.42578125" style="406" customWidth="1"/>
    <col min="12548" max="12548" width="10.85546875" style="406" customWidth="1"/>
    <col min="12549" max="12550" width="13" style="406" customWidth="1"/>
    <col min="12551" max="12552" width="11.7109375" style="406" customWidth="1"/>
    <col min="12553" max="12553" width="11.42578125" style="406" customWidth="1"/>
    <col min="12554" max="12554" width="12.5703125" style="406" customWidth="1"/>
    <col min="12555" max="12555" width="12" style="406" customWidth="1"/>
    <col min="12556" max="12556" width="12.7109375" style="406" customWidth="1"/>
    <col min="12557" max="12557" width="11.7109375" style="406" customWidth="1"/>
    <col min="12558" max="12558" width="10.85546875" style="406" customWidth="1"/>
    <col min="12559" max="12559" width="12.7109375" style="406" customWidth="1"/>
    <col min="12560" max="12560" width="10.5703125" style="406" customWidth="1"/>
    <col min="12561" max="12561" width="7.5703125" style="406" customWidth="1"/>
    <col min="12562" max="12562" width="8.85546875" style="406"/>
    <col min="12563" max="12563" width="13" style="406" customWidth="1"/>
    <col min="12564" max="12564" width="11.42578125" style="406" customWidth="1"/>
    <col min="12565" max="12799" width="8.85546875" style="406"/>
    <col min="12800" max="12800" width="6.85546875" style="406" customWidth="1"/>
    <col min="12801" max="12801" width="22.140625" style="406" customWidth="1"/>
    <col min="12802" max="12803" width="13.42578125" style="406" customWidth="1"/>
    <col min="12804" max="12804" width="10.85546875" style="406" customWidth="1"/>
    <col min="12805" max="12806" width="13" style="406" customWidth="1"/>
    <col min="12807" max="12808" width="11.7109375" style="406" customWidth="1"/>
    <col min="12809" max="12809" width="11.42578125" style="406" customWidth="1"/>
    <col min="12810" max="12810" width="12.5703125" style="406" customWidth="1"/>
    <col min="12811" max="12811" width="12" style="406" customWidth="1"/>
    <col min="12812" max="12812" width="12.7109375" style="406" customWidth="1"/>
    <col min="12813" max="12813" width="11.7109375" style="406" customWidth="1"/>
    <col min="12814" max="12814" width="10.85546875" style="406" customWidth="1"/>
    <col min="12815" max="12815" width="12.7109375" style="406" customWidth="1"/>
    <col min="12816" max="12816" width="10.5703125" style="406" customWidth="1"/>
    <col min="12817" max="12817" width="7.5703125" style="406" customWidth="1"/>
    <col min="12818" max="12818" width="8.85546875" style="406"/>
    <col min="12819" max="12819" width="13" style="406" customWidth="1"/>
    <col min="12820" max="12820" width="11.42578125" style="406" customWidth="1"/>
    <col min="12821" max="13055" width="8.85546875" style="406"/>
    <col min="13056" max="13056" width="6.85546875" style="406" customWidth="1"/>
    <col min="13057" max="13057" width="22.140625" style="406" customWidth="1"/>
    <col min="13058" max="13059" width="13.42578125" style="406" customWidth="1"/>
    <col min="13060" max="13060" width="10.85546875" style="406" customWidth="1"/>
    <col min="13061" max="13062" width="13" style="406" customWidth="1"/>
    <col min="13063" max="13064" width="11.7109375" style="406" customWidth="1"/>
    <col min="13065" max="13065" width="11.42578125" style="406" customWidth="1"/>
    <col min="13066" max="13066" width="12.5703125" style="406" customWidth="1"/>
    <col min="13067" max="13067" width="12" style="406" customWidth="1"/>
    <col min="13068" max="13068" width="12.7109375" style="406" customWidth="1"/>
    <col min="13069" max="13069" width="11.7109375" style="406" customWidth="1"/>
    <col min="13070" max="13070" width="10.85546875" style="406" customWidth="1"/>
    <col min="13071" max="13071" width="12.7109375" style="406" customWidth="1"/>
    <col min="13072" max="13072" width="10.5703125" style="406" customWidth="1"/>
    <col min="13073" max="13073" width="7.5703125" style="406" customWidth="1"/>
    <col min="13074" max="13074" width="8.85546875" style="406"/>
    <col min="13075" max="13075" width="13" style="406" customWidth="1"/>
    <col min="13076" max="13076" width="11.42578125" style="406" customWidth="1"/>
    <col min="13077" max="13311" width="8.85546875" style="406"/>
    <col min="13312" max="13312" width="6.85546875" style="406" customWidth="1"/>
    <col min="13313" max="13313" width="22.140625" style="406" customWidth="1"/>
    <col min="13314" max="13315" width="13.42578125" style="406" customWidth="1"/>
    <col min="13316" max="13316" width="10.85546875" style="406" customWidth="1"/>
    <col min="13317" max="13318" width="13" style="406" customWidth="1"/>
    <col min="13319" max="13320" width="11.7109375" style="406" customWidth="1"/>
    <col min="13321" max="13321" width="11.42578125" style="406" customWidth="1"/>
    <col min="13322" max="13322" width="12.5703125" style="406" customWidth="1"/>
    <col min="13323" max="13323" width="12" style="406" customWidth="1"/>
    <col min="13324" max="13324" width="12.7109375" style="406" customWidth="1"/>
    <col min="13325" max="13325" width="11.7109375" style="406" customWidth="1"/>
    <col min="13326" max="13326" width="10.85546875" style="406" customWidth="1"/>
    <col min="13327" max="13327" width="12.7109375" style="406" customWidth="1"/>
    <col min="13328" max="13328" width="10.5703125" style="406" customWidth="1"/>
    <col min="13329" max="13329" width="7.5703125" style="406" customWidth="1"/>
    <col min="13330" max="13330" width="8.85546875" style="406"/>
    <col min="13331" max="13331" width="13" style="406" customWidth="1"/>
    <col min="13332" max="13332" width="11.42578125" style="406" customWidth="1"/>
    <col min="13333" max="13567" width="8.85546875" style="406"/>
    <col min="13568" max="13568" width="6.85546875" style="406" customWidth="1"/>
    <col min="13569" max="13569" width="22.140625" style="406" customWidth="1"/>
    <col min="13570" max="13571" width="13.42578125" style="406" customWidth="1"/>
    <col min="13572" max="13572" width="10.85546875" style="406" customWidth="1"/>
    <col min="13573" max="13574" width="13" style="406" customWidth="1"/>
    <col min="13575" max="13576" width="11.7109375" style="406" customWidth="1"/>
    <col min="13577" max="13577" width="11.42578125" style="406" customWidth="1"/>
    <col min="13578" max="13578" width="12.5703125" style="406" customWidth="1"/>
    <col min="13579" max="13579" width="12" style="406" customWidth="1"/>
    <col min="13580" max="13580" width="12.7109375" style="406" customWidth="1"/>
    <col min="13581" max="13581" width="11.7109375" style="406" customWidth="1"/>
    <col min="13582" max="13582" width="10.85546875" style="406" customWidth="1"/>
    <col min="13583" max="13583" width="12.7109375" style="406" customWidth="1"/>
    <col min="13584" max="13584" width="10.5703125" style="406" customWidth="1"/>
    <col min="13585" max="13585" width="7.5703125" style="406" customWidth="1"/>
    <col min="13586" max="13586" width="8.85546875" style="406"/>
    <col min="13587" max="13587" width="13" style="406" customWidth="1"/>
    <col min="13588" max="13588" width="11.42578125" style="406" customWidth="1"/>
    <col min="13589" max="13823" width="8.85546875" style="406"/>
    <col min="13824" max="13824" width="6.85546875" style="406" customWidth="1"/>
    <col min="13825" max="13825" width="22.140625" style="406" customWidth="1"/>
    <col min="13826" max="13827" width="13.42578125" style="406" customWidth="1"/>
    <col min="13828" max="13828" width="10.85546875" style="406" customWidth="1"/>
    <col min="13829" max="13830" width="13" style="406" customWidth="1"/>
    <col min="13831" max="13832" width="11.7109375" style="406" customWidth="1"/>
    <col min="13833" max="13833" width="11.42578125" style="406" customWidth="1"/>
    <col min="13834" max="13834" width="12.5703125" style="406" customWidth="1"/>
    <col min="13835" max="13835" width="12" style="406" customWidth="1"/>
    <col min="13836" max="13836" width="12.7109375" style="406" customWidth="1"/>
    <col min="13837" max="13837" width="11.7109375" style="406" customWidth="1"/>
    <col min="13838" max="13838" width="10.85546875" style="406" customWidth="1"/>
    <col min="13839" max="13839" width="12.7109375" style="406" customWidth="1"/>
    <col min="13840" max="13840" width="10.5703125" style="406" customWidth="1"/>
    <col min="13841" max="13841" width="7.5703125" style="406" customWidth="1"/>
    <col min="13842" max="13842" width="8.85546875" style="406"/>
    <col min="13843" max="13843" width="13" style="406" customWidth="1"/>
    <col min="13844" max="13844" width="11.42578125" style="406" customWidth="1"/>
    <col min="13845" max="14079" width="8.85546875" style="406"/>
    <col min="14080" max="14080" width="6.85546875" style="406" customWidth="1"/>
    <col min="14081" max="14081" width="22.140625" style="406" customWidth="1"/>
    <col min="14082" max="14083" width="13.42578125" style="406" customWidth="1"/>
    <col min="14084" max="14084" width="10.85546875" style="406" customWidth="1"/>
    <col min="14085" max="14086" width="13" style="406" customWidth="1"/>
    <col min="14087" max="14088" width="11.7109375" style="406" customWidth="1"/>
    <col min="14089" max="14089" width="11.42578125" style="406" customWidth="1"/>
    <col min="14090" max="14090" width="12.5703125" style="406" customWidth="1"/>
    <col min="14091" max="14091" width="12" style="406" customWidth="1"/>
    <col min="14092" max="14092" width="12.7109375" style="406" customWidth="1"/>
    <col min="14093" max="14093" width="11.7109375" style="406" customWidth="1"/>
    <col min="14094" max="14094" width="10.85546875" style="406" customWidth="1"/>
    <col min="14095" max="14095" width="12.7109375" style="406" customWidth="1"/>
    <col min="14096" max="14096" width="10.5703125" style="406" customWidth="1"/>
    <col min="14097" max="14097" width="7.5703125" style="406" customWidth="1"/>
    <col min="14098" max="14098" width="8.85546875" style="406"/>
    <col min="14099" max="14099" width="13" style="406" customWidth="1"/>
    <col min="14100" max="14100" width="11.42578125" style="406" customWidth="1"/>
    <col min="14101" max="14335" width="8.85546875" style="406"/>
    <col min="14336" max="14336" width="6.85546875" style="406" customWidth="1"/>
    <col min="14337" max="14337" width="22.140625" style="406" customWidth="1"/>
    <col min="14338" max="14339" width="13.42578125" style="406" customWidth="1"/>
    <col min="14340" max="14340" width="10.85546875" style="406" customWidth="1"/>
    <col min="14341" max="14342" width="13" style="406" customWidth="1"/>
    <col min="14343" max="14344" width="11.7109375" style="406" customWidth="1"/>
    <col min="14345" max="14345" width="11.42578125" style="406" customWidth="1"/>
    <col min="14346" max="14346" width="12.5703125" style="406" customWidth="1"/>
    <col min="14347" max="14347" width="12" style="406" customWidth="1"/>
    <col min="14348" max="14348" width="12.7109375" style="406" customWidth="1"/>
    <col min="14349" max="14349" width="11.7109375" style="406" customWidth="1"/>
    <col min="14350" max="14350" width="10.85546875" style="406" customWidth="1"/>
    <col min="14351" max="14351" width="12.7109375" style="406" customWidth="1"/>
    <col min="14352" max="14352" width="10.5703125" style="406" customWidth="1"/>
    <col min="14353" max="14353" width="7.5703125" style="406" customWidth="1"/>
    <col min="14354" max="14354" width="8.85546875" style="406"/>
    <col min="14355" max="14355" width="13" style="406" customWidth="1"/>
    <col min="14356" max="14356" width="11.42578125" style="406" customWidth="1"/>
    <col min="14357" max="14591" width="8.85546875" style="406"/>
    <col min="14592" max="14592" width="6.85546875" style="406" customWidth="1"/>
    <col min="14593" max="14593" width="22.140625" style="406" customWidth="1"/>
    <col min="14594" max="14595" width="13.42578125" style="406" customWidth="1"/>
    <col min="14596" max="14596" width="10.85546875" style="406" customWidth="1"/>
    <col min="14597" max="14598" width="13" style="406" customWidth="1"/>
    <col min="14599" max="14600" width="11.7109375" style="406" customWidth="1"/>
    <col min="14601" max="14601" width="11.42578125" style="406" customWidth="1"/>
    <col min="14602" max="14602" width="12.5703125" style="406" customWidth="1"/>
    <col min="14603" max="14603" width="12" style="406" customWidth="1"/>
    <col min="14604" max="14604" width="12.7109375" style="406" customWidth="1"/>
    <col min="14605" max="14605" width="11.7109375" style="406" customWidth="1"/>
    <col min="14606" max="14606" width="10.85546875" style="406" customWidth="1"/>
    <col min="14607" max="14607" width="12.7109375" style="406" customWidth="1"/>
    <col min="14608" max="14608" width="10.5703125" style="406" customWidth="1"/>
    <col min="14609" max="14609" width="7.5703125" style="406" customWidth="1"/>
    <col min="14610" max="14610" width="8.85546875" style="406"/>
    <col min="14611" max="14611" width="13" style="406" customWidth="1"/>
    <col min="14612" max="14612" width="11.42578125" style="406" customWidth="1"/>
    <col min="14613" max="14847" width="8.85546875" style="406"/>
    <col min="14848" max="14848" width="6.85546875" style="406" customWidth="1"/>
    <col min="14849" max="14849" width="22.140625" style="406" customWidth="1"/>
    <col min="14850" max="14851" width="13.42578125" style="406" customWidth="1"/>
    <col min="14852" max="14852" width="10.85546875" style="406" customWidth="1"/>
    <col min="14853" max="14854" width="13" style="406" customWidth="1"/>
    <col min="14855" max="14856" width="11.7109375" style="406" customWidth="1"/>
    <col min="14857" max="14857" width="11.42578125" style="406" customWidth="1"/>
    <col min="14858" max="14858" width="12.5703125" style="406" customWidth="1"/>
    <col min="14859" max="14859" width="12" style="406" customWidth="1"/>
    <col min="14860" max="14860" width="12.7109375" style="406" customWidth="1"/>
    <col min="14861" max="14861" width="11.7109375" style="406" customWidth="1"/>
    <col min="14862" max="14862" width="10.85546875" style="406" customWidth="1"/>
    <col min="14863" max="14863" width="12.7109375" style="406" customWidth="1"/>
    <col min="14864" max="14864" width="10.5703125" style="406" customWidth="1"/>
    <col min="14865" max="14865" width="7.5703125" style="406" customWidth="1"/>
    <col min="14866" max="14866" width="8.85546875" style="406"/>
    <col min="14867" max="14867" width="13" style="406" customWidth="1"/>
    <col min="14868" max="14868" width="11.42578125" style="406" customWidth="1"/>
    <col min="14869" max="15103" width="8.85546875" style="406"/>
    <col min="15104" max="15104" width="6.85546875" style="406" customWidth="1"/>
    <col min="15105" max="15105" width="22.140625" style="406" customWidth="1"/>
    <col min="15106" max="15107" width="13.42578125" style="406" customWidth="1"/>
    <col min="15108" max="15108" width="10.85546875" style="406" customWidth="1"/>
    <col min="15109" max="15110" width="13" style="406" customWidth="1"/>
    <col min="15111" max="15112" width="11.7109375" style="406" customWidth="1"/>
    <col min="15113" max="15113" width="11.42578125" style="406" customWidth="1"/>
    <col min="15114" max="15114" width="12.5703125" style="406" customWidth="1"/>
    <col min="15115" max="15115" width="12" style="406" customWidth="1"/>
    <col min="15116" max="15116" width="12.7109375" style="406" customWidth="1"/>
    <col min="15117" max="15117" width="11.7109375" style="406" customWidth="1"/>
    <col min="15118" max="15118" width="10.85546875" style="406" customWidth="1"/>
    <col min="15119" max="15119" width="12.7109375" style="406" customWidth="1"/>
    <col min="15120" max="15120" width="10.5703125" style="406" customWidth="1"/>
    <col min="15121" max="15121" width="7.5703125" style="406" customWidth="1"/>
    <col min="15122" max="15122" width="8.85546875" style="406"/>
    <col min="15123" max="15123" width="13" style="406" customWidth="1"/>
    <col min="15124" max="15124" width="11.42578125" style="406" customWidth="1"/>
    <col min="15125" max="15359" width="8.85546875" style="406"/>
    <col min="15360" max="15360" width="6.85546875" style="406" customWidth="1"/>
    <col min="15361" max="15361" width="22.140625" style="406" customWidth="1"/>
    <col min="15362" max="15363" width="13.42578125" style="406" customWidth="1"/>
    <col min="15364" max="15364" width="10.85546875" style="406" customWidth="1"/>
    <col min="15365" max="15366" width="13" style="406" customWidth="1"/>
    <col min="15367" max="15368" width="11.7109375" style="406" customWidth="1"/>
    <col min="15369" max="15369" width="11.42578125" style="406" customWidth="1"/>
    <col min="15370" max="15370" width="12.5703125" style="406" customWidth="1"/>
    <col min="15371" max="15371" width="12" style="406" customWidth="1"/>
    <col min="15372" max="15372" width="12.7109375" style="406" customWidth="1"/>
    <col min="15373" max="15373" width="11.7109375" style="406" customWidth="1"/>
    <col min="15374" max="15374" width="10.85546875" style="406" customWidth="1"/>
    <col min="15375" max="15375" width="12.7109375" style="406" customWidth="1"/>
    <col min="15376" max="15376" width="10.5703125" style="406" customWidth="1"/>
    <col min="15377" max="15377" width="7.5703125" style="406" customWidth="1"/>
    <col min="15378" max="15378" width="8.85546875" style="406"/>
    <col min="15379" max="15379" width="13" style="406" customWidth="1"/>
    <col min="15380" max="15380" width="11.42578125" style="406" customWidth="1"/>
    <col min="15381" max="15615" width="8.85546875" style="406"/>
    <col min="15616" max="15616" width="6.85546875" style="406" customWidth="1"/>
    <col min="15617" max="15617" width="22.140625" style="406" customWidth="1"/>
    <col min="15618" max="15619" width="13.42578125" style="406" customWidth="1"/>
    <col min="15620" max="15620" width="10.85546875" style="406" customWidth="1"/>
    <col min="15621" max="15622" width="13" style="406" customWidth="1"/>
    <col min="15623" max="15624" width="11.7109375" style="406" customWidth="1"/>
    <col min="15625" max="15625" width="11.42578125" style="406" customWidth="1"/>
    <col min="15626" max="15626" width="12.5703125" style="406" customWidth="1"/>
    <col min="15627" max="15627" width="12" style="406" customWidth="1"/>
    <col min="15628" max="15628" width="12.7109375" style="406" customWidth="1"/>
    <col min="15629" max="15629" width="11.7109375" style="406" customWidth="1"/>
    <col min="15630" max="15630" width="10.85546875" style="406" customWidth="1"/>
    <col min="15631" max="15631" width="12.7109375" style="406" customWidth="1"/>
    <col min="15632" max="15632" width="10.5703125" style="406" customWidth="1"/>
    <col min="15633" max="15633" width="7.5703125" style="406" customWidth="1"/>
    <col min="15634" max="15634" width="8.85546875" style="406"/>
    <col min="15635" max="15635" width="13" style="406" customWidth="1"/>
    <col min="15636" max="15636" width="11.42578125" style="406" customWidth="1"/>
    <col min="15637" max="15871" width="8.85546875" style="406"/>
    <col min="15872" max="15872" width="6.85546875" style="406" customWidth="1"/>
    <col min="15873" max="15873" width="22.140625" style="406" customWidth="1"/>
    <col min="15874" max="15875" width="13.42578125" style="406" customWidth="1"/>
    <col min="15876" max="15876" width="10.85546875" style="406" customWidth="1"/>
    <col min="15877" max="15878" width="13" style="406" customWidth="1"/>
    <col min="15879" max="15880" width="11.7109375" style="406" customWidth="1"/>
    <col min="15881" max="15881" width="11.42578125" style="406" customWidth="1"/>
    <col min="15882" max="15882" width="12.5703125" style="406" customWidth="1"/>
    <col min="15883" max="15883" width="12" style="406" customWidth="1"/>
    <col min="15884" max="15884" width="12.7109375" style="406" customWidth="1"/>
    <col min="15885" max="15885" width="11.7109375" style="406" customWidth="1"/>
    <col min="15886" max="15886" width="10.85546875" style="406" customWidth="1"/>
    <col min="15887" max="15887" width="12.7109375" style="406" customWidth="1"/>
    <col min="15888" max="15888" width="10.5703125" style="406" customWidth="1"/>
    <col min="15889" max="15889" width="7.5703125" style="406" customWidth="1"/>
    <col min="15890" max="15890" width="8.85546875" style="406"/>
    <col min="15891" max="15891" width="13" style="406" customWidth="1"/>
    <col min="15892" max="15892" width="11.42578125" style="406" customWidth="1"/>
    <col min="15893" max="16127" width="8.85546875" style="406"/>
    <col min="16128" max="16128" width="6.85546875" style="406" customWidth="1"/>
    <col min="16129" max="16129" width="22.140625" style="406" customWidth="1"/>
    <col min="16130" max="16131" width="13.42578125" style="406" customWidth="1"/>
    <col min="16132" max="16132" width="10.85546875" style="406" customWidth="1"/>
    <col min="16133" max="16134" width="13" style="406" customWidth="1"/>
    <col min="16135" max="16136" width="11.7109375" style="406" customWidth="1"/>
    <col min="16137" max="16137" width="11.42578125" style="406" customWidth="1"/>
    <col min="16138" max="16138" width="12.5703125" style="406" customWidth="1"/>
    <col min="16139" max="16139" width="12" style="406" customWidth="1"/>
    <col min="16140" max="16140" width="12.7109375" style="406" customWidth="1"/>
    <col min="16141" max="16141" width="11.7109375" style="406" customWidth="1"/>
    <col min="16142" max="16142" width="10.85546875" style="406" customWidth="1"/>
    <col min="16143" max="16143" width="12.7109375" style="406" customWidth="1"/>
    <col min="16144" max="16144" width="10.5703125" style="406" customWidth="1"/>
    <col min="16145" max="16145" width="7.5703125" style="406" customWidth="1"/>
    <col min="16146" max="16146" width="8.85546875" style="406"/>
    <col min="16147" max="16147" width="13" style="406" customWidth="1"/>
    <col min="16148" max="16148" width="11.42578125" style="406" customWidth="1"/>
    <col min="16149" max="16384" width="8.85546875" style="406"/>
  </cols>
  <sheetData>
    <row r="1" spans="1:22" ht="12.75" customHeight="1" x14ac:dyDescent="0.2">
      <c r="A1" s="409"/>
      <c r="B1" s="410"/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0"/>
      <c r="N1" s="410"/>
      <c r="O1" s="410"/>
      <c r="P1" s="410"/>
      <c r="Q1" s="410"/>
    </row>
    <row r="2" spans="1:22" ht="12.75" customHeight="1" x14ac:dyDescent="0.2">
      <c r="A2" s="411" t="s">
        <v>157</v>
      </c>
      <c r="B2" s="412">
        <v>1434982</v>
      </c>
      <c r="H2" s="406"/>
      <c r="J2" s="406"/>
      <c r="K2" s="406"/>
      <c r="L2" s="406"/>
      <c r="O2" s="406"/>
      <c r="Q2" s="406"/>
    </row>
    <row r="3" spans="1:22" s="414" customFormat="1" ht="14.25" customHeight="1" x14ac:dyDescent="0.2">
      <c r="A3" s="792" t="s">
        <v>158</v>
      </c>
      <c r="B3" s="792" t="s">
        <v>159</v>
      </c>
      <c r="C3" s="792" t="s">
        <v>160</v>
      </c>
      <c r="D3" s="792" t="s">
        <v>161</v>
      </c>
      <c r="E3" s="792" t="s">
        <v>162</v>
      </c>
      <c r="F3" s="792" t="s">
        <v>163</v>
      </c>
      <c r="G3" s="792" t="s">
        <v>164</v>
      </c>
      <c r="H3" s="791" t="s">
        <v>165</v>
      </c>
      <c r="I3" s="791"/>
      <c r="J3" s="791" t="s">
        <v>164</v>
      </c>
      <c r="K3" s="1"/>
      <c r="L3" s="1"/>
      <c r="M3" s="792" t="s">
        <v>166</v>
      </c>
      <c r="N3" s="792"/>
      <c r="O3" s="791" t="s">
        <v>164</v>
      </c>
      <c r="P3" s="2" t="s">
        <v>167</v>
      </c>
      <c r="Q3" s="413" t="s">
        <v>85</v>
      </c>
      <c r="S3" s="406"/>
      <c r="U3" s="409"/>
      <c r="V3" s="409"/>
    </row>
    <row r="4" spans="1:22" s="414" customFormat="1" ht="13.5" customHeight="1" x14ac:dyDescent="0.2">
      <c r="A4" s="792"/>
      <c r="B4" s="792"/>
      <c r="C4" s="792"/>
      <c r="D4" s="792"/>
      <c r="E4" s="792"/>
      <c r="F4" s="792"/>
      <c r="G4" s="792"/>
      <c r="H4" s="1" t="s">
        <v>168</v>
      </c>
      <c r="I4" s="2" t="s">
        <v>36</v>
      </c>
      <c r="J4" s="791"/>
      <c r="K4" s="2" t="s">
        <v>40</v>
      </c>
      <c r="L4" s="2" t="s">
        <v>169</v>
      </c>
      <c r="M4" s="2" t="s">
        <v>170</v>
      </c>
      <c r="N4" s="2" t="s">
        <v>171</v>
      </c>
      <c r="O4" s="791"/>
      <c r="P4" s="2" t="s">
        <v>172</v>
      </c>
      <c r="Q4" s="413" t="s">
        <v>173</v>
      </c>
      <c r="U4" s="409"/>
      <c r="V4" s="409"/>
    </row>
    <row r="5" spans="1:22" ht="13.5" customHeight="1" x14ac:dyDescent="0.2">
      <c r="A5" s="415" t="s">
        <v>195</v>
      </c>
      <c r="B5" s="416">
        <v>3000</v>
      </c>
      <c r="C5" s="416">
        <v>0</v>
      </c>
      <c r="D5" s="416">
        <v>200</v>
      </c>
      <c r="E5" s="416">
        <v>800</v>
      </c>
      <c r="F5" s="415">
        <v>0</v>
      </c>
      <c r="G5" s="417">
        <f t="shared" ref="G5:G10" si="0">SUM(B5:F5)</f>
        <v>4000</v>
      </c>
      <c r="H5" s="418">
        <f t="shared" ref="H5:H10" si="1">B5*28.8%</f>
        <v>864.00000000000011</v>
      </c>
      <c r="I5" s="418">
        <f t="shared" ref="I5:I10" si="2">B5*8%</f>
        <v>240</v>
      </c>
      <c r="J5" s="417">
        <f t="shared" ref="J5:J10" si="3">SUM(H5:I5)</f>
        <v>1104</v>
      </c>
      <c r="K5" s="417">
        <f>(B5/12)+((B5/12)*36.8%)</f>
        <v>342</v>
      </c>
      <c r="L5" s="417">
        <f>(B5/12/3)+((B5/12/3)*36.8%)</f>
        <v>114</v>
      </c>
      <c r="M5" s="416">
        <f t="shared" ref="M5:M10" si="4">((B5/12)*36.8%)+(B5/12)</f>
        <v>342</v>
      </c>
      <c r="N5" s="416">
        <f t="shared" ref="N5:N10" si="5">K5+L5</f>
        <v>456</v>
      </c>
      <c r="O5" s="417">
        <f t="shared" ref="O5:O10" si="6">SUM(M5:N5)</f>
        <v>798</v>
      </c>
      <c r="P5" s="419">
        <f t="shared" ref="P5:P10" si="7">G5+J5+O5</f>
        <v>5902</v>
      </c>
      <c r="Q5" s="420">
        <f t="shared" ref="Q5:Q10" si="8">P5/$B$2</f>
        <v>4.112943576992603E-3</v>
      </c>
    </row>
    <row r="6" spans="1:22" ht="13.5" customHeight="1" x14ac:dyDescent="0.2">
      <c r="A6" s="415" t="s">
        <v>196</v>
      </c>
      <c r="B6" s="416">
        <v>3000</v>
      </c>
      <c r="C6" s="416">
        <v>0</v>
      </c>
      <c r="D6" s="416">
        <v>0</v>
      </c>
      <c r="E6" s="416">
        <v>0</v>
      </c>
      <c r="F6" s="416"/>
      <c r="G6" s="417">
        <f t="shared" si="0"/>
        <v>3000</v>
      </c>
      <c r="H6" s="418">
        <f t="shared" si="1"/>
        <v>864.00000000000011</v>
      </c>
      <c r="I6" s="418">
        <f t="shared" si="2"/>
        <v>240</v>
      </c>
      <c r="J6" s="417">
        <f t="shared" si="3"/>
        <v>1104</v>
      </c>
      <c r="K6" s="417">
        <f>(B6/12)+((B6/12)*36.8%)</f>
        <v>342</v>
      </c>
      <c r="L6" s="417">
        <f>(B6/12/3)+((B6/12/3)*36.8%)</f>
        <v>114</v>
      </c>
      <c r="M6" s="416">
        <f t="shared" si="4"/>
        <v>342</v>
      </c>
      <c r="N6" s="416">
        <f t="shared" si="5"/>
        <v>456</v>
      </c>
      <c r="O6" s="417">
        <f t="shared" si="6"/>
        <v>798</v>
      </c>
      <c r="P6" s="419">
        <f t="shared" si="7"/>
        <v>4902</v>
      </c>
      <c r="Q6" s="420">
        <f t="shared" si="8"/>
        <v>3.4160707242320808E-3</v>
      </c>
    </row>
    <row r="7" spans="1:22" ht="13.5" customHeight="1" x14ac:dyDescent="0.2">
      <c r="A7" s="415" t="s">
        <v>174</v>
      </c>
      <c r="B7" s="416">
        <v>4100</v>
      </c>
      <c r="C7" s="416">
        <v>0</v>
      </c>
      <c r="D7" s="416">
        <v>200</v>
      </c>
      <c r="E7" s="416">
        <v>800</v>
      </c>
      <c r="F7" s="416">
        <v>154.13</v>
      </c>
      <c r="G7" s="417">
        <f t="shared" si="0"/>
        <v>5254.13</v>
      </c>
      <c r="H7" s="418">
        <f t="shared" si="1"/>
        <v>1180.8000000000002</v>
      </c>
      <c r="I7" s="418">
        <f t="shared" si="2"/>
        <v>328</v>
      </c>
      <c r="J7" s="417">
        <f t="shared" si="3"/>
        <v>1508.8000000000002</v>
      </c>
      <c r="K7" s="417">
        <f>(B7/12)+((B7/12)*36.8%)</f>
        <v>467.40000000000003</v>
      </c>
      <c r="L7" s="417">
        <f>(B7/12/3)+((B7/12/3)*36.8%)</f>
        <v>155.80000000000001</v>
      </c>
      <c r="M7" s="416">
        <f t="shared" si="4"/>
        <v>467.40000000000003</v>
      </c>
      <c r="N7" s="416">
        <f t="shared" si="5"/>
        <v>623.20000000000005</v>
      </c>
      <c r="O7" s="417">
        <f t="shared" si="6"/>
        <v>1090.6000000000001</v>
      </c>
      <c r="P7" s="419">
        <f t="shared" si="7"/>
        <v>7853.5300000000007</v>
      </c>
      <c r="Q7" s="420">
        <f t="shared" si="8"/>
        <v>5.4729118553403459E-3</v>
      </c>
    </row>
    <row r="8" spans="1:22" ht="13.5" customHeight="1" x14ac:dyDescent="0.2">
      <c r="A8" s="415" t="s">
        <v>175</v>
      </c>
      <c r="B8" s="416">
        <v>1900</v>
      </c>
      <c r="C8" s="416"/>
      <c r="D8" s="416">
        <v>200</v>
      </c>
      <c r="E8" s="416">
        <v>800</v>
      </c>
      <c r="F8" s="416"/>
      <c r="G8" s="417">
        <f t="shared" si="0"/>
        <v>2900</v>
      </c>
      <c r="H8" s="418">
        <f t="shared" si="1"/>
        <v>547.20000000000005</v>
      </c>
      <c r="I8" s="418">
        <f t="shared" si="2"/>
        <v>152</v>
      </c>
      <c r="J8" s="417">
        <f t="shared" si="3"/>
        <v>699.2</v>
      </c>
      <c r="K8" s="417">
        <f>B8/12</f>
        <v>158.33333333333334</v>
      </c>
      <c r="L8" s="417">
        <f>K8/3</f>
        <v>52.777777777777779</v>
      </c>
      <c r="M8" s="416">
        <f t="shared" si="4"/>
        <v>216.60000000000002</v>
      </c>
      <c r="N8" s="416">
        <f t="shared" si="5"/>
        <v>211.11111111111111</v>
      </c>
      <c r="O8" s="417">
        <f t="shared" si="6"/>
        <v>427.71111111111111</v>
      </c>
      <c r="P8" s="419">
        <f t="shared" si="7"/>
        <v>4026.911111111111</v>
      </c>
      <c r="Q8" s="420">
        <f t="shared" si="8"/>
        <v>2.806245033813045E-3</v>
      </c>
    </row>
    <row r="9" spans="1:22" ht="13.5" customHeight="1" x14ac:dyDescent="0.2">
      <c r="A9" s="415" t="s">
        <v>176</v>
      </c>
      <c r="B9" s="416">
        <v>3700</v>
      </c>
      <c r="C9" s="416">
        <v>0</v>
      </c>
      <c r="D9" s="416">
        <v>200</v>
      </c>
      <c r="E9" s="416">
        <v>800</v>
      </c>
      <c r="F9" s="416">
        <v>154.13</v>
      </c>
      <c r="G9" s="417">
        <f t="shared" si="0"/>
        <v>4854.13</v>
      </c>
      <c r="H9" s="418">
        <f t="shared" si="1"/>
        <v>1065.6000000000001</v>
      </c>
      <c r="I9" s="418">
        <f t="shared" si="2"/>
        <v>296</v>
      </c>
      <c r="J9" s="417">
        <f t="shared" si="3"/>
        <v>1361.6000000000001</v>
      </c>
      <c r="K9" s="417">
        <f>B9/12</f>
        <v>308.33333333333331</v>
      </c>
      <c r="L9" s="417">
        <f>K9/3</f>
        <v>102.77777777777777</v>
      </c>
      <c r="M9" s="416">
        <f t="shared" si="4"/>
        <v>421.79999999999995</v>
      </c>
      <c r="N9" s="416">
        <f t="shared" si="5"/>
        <v>411.11111111111109</v>
      </c>
      <c r="O9" s="417">
        <f t="shared" si="6"/>
        <v>832.91111111111104</v>
      </c>
      <c r="P9" s="419">
        <f t="shared" si="7"/>
        <v>7048.641111111112</v>
      </c>
      <c r="Q9" s="420">
        <f t="shared" si="8"/>
        <v>4.912006639185099E-3</v>
      </c>
    </row>
    <row r="10" spans="1:22" ht="13.5" customHeight="1" x14ac:dyDescent="0.2">
      <c r="A10" s="415" t="s">
        <v>177</v>
      </c>
      <c r="B10" s="416">
        <v>3600</v>
      </c>
      <c r="C10" s="416">
        <v>0</v>
      </c>
      <c r="D10" s="416">
        <v>200</v>
      </c>
      <c r="E10" s="416">
        <v>800</v>
      </c>
      <c r="F10" s="416">
        <v>453.62</v>
      </c>
      <c r="G10" s="417">
        <f t="shared" si="0"/>
        <v>5053.62</v>
      </c>
      <c r="H10" s="418">
        <f t="shared" si="1"/>
        <v>1036.8000000000002</v>
      </c>
      <c r="I10" s="418">
        <f t="shared" si="2"/>
        <v>288</v>
      </c>
      <c r="J10" s="417">
        <f t="shared" si="3"/>
        <v>1324.8000000000002</v>
      </c>
      <c r="K10" s="417">
        <f>B10/12</f>
        <v>300</v>
      </c>
      <c r="L10" s="417">
        <f>K10/3</f>
        <v>100</v>
      </c>
      <c r="M10" s="416">
        <f t="shared" si="4"/>
        <v>410.4</v>
      </c>
      <c r="N10" s="416">
        <f t="shared" si="5"/>
        <v>400</v>
      </c>
      <c r="O10" s="417">
        <f t="shared" si="6"/>
        <v>810.4</v>
      </c>
      <c r="P10" s="419">
        <f t="shared" si="7"/>
        <v>7188.82</v>
      </c>
      <c r="Q10" s="420">
        <f t="shared" si="8"/>
        <v>5.0096935013818986E-3</v>
      </c>
    </row>
    <row r="11" spans="1:22" s="424" customFormat="1" ht="12.75" customHeight="1" x14ac:dyDescent="0.2">
      <c r="A11" s="421">
        <f>COUNTA(A6:A10)</f>
        <v>5</v>
      </c>
      <c r="B11" s="422">
        <f t="shared" ref="B11:Q11" si="9">SUM(B5:B10)</f>
        <v>19300</v>
      </c>
      <c r="C11" s="422">
        <f t="shared" si="9"/>
        <v>0</v>
      </c>
      <c r="D11" s="422">
        <f t="shared" si="9"/>
        <v>1000</v>
      </c>
      <c r="E11" s="422">
        <f t="shared" si="9"/>
        <v>4000</v>
      </c>
      <c r="F11" s="422">
        <f t="shared" si="9"/>
        <v>761.88</v>
      </c>
      <c r="G11" s="422">
        <f t="shared" si="9"/>
        <v>25061.88</v>
      </c>
      <c r="H11" s="422">
        <f t="shared" si="9"/>
        <v>5558.4000000000005</v>
      </c>
      <c r="I11" s="422">
        <f t="shared" si="9"/>
        <v>1544</v>
      </c>
      <c r="J11" s="422">
        <f t="shared" si="9"/>
        <v>7102.4000000000005</v>
      </c>
      <c r="K11" s="422">
        <f t="shared" si="9"/>
        <v>1918.0666666666666</v>
      </c>
      <c r="L11" s="422">
        <f t="shared" si="9"/>
        <v>639.35555555555561</v>
      </c>
      <c r="M11" s="422">
        <f t="shared" si="9"/>
        <v>2200.1999999999998</v>
      </c>
      <c r="N11" s="422">
        <f t="shared" si="9"/>
        <v>2557.4222222222224</v>
      </c>
      <c r="O11" s="422">
        <f t="shared" si="9"/>
        <v>4757.6222222222223</v>
      </c>
      <c r="P11" s="422">
        <f t="shared" si="9"/>
        <v>36921.902222222227</v>
      </c>
      <c r="Q11" s="423">
        <f t="shared" si="9"/>
        <v>2.5729871330945071E-2</v>
      </c>
      <c r="U11" s="406"/>
      <c r="V11" s="406"/>
    </row>
    <row r="12" spans="1:22" ht="12.75" customHeight="1" x14ac:dyDescent="0.2">
      <c r="U12" s="790" t="s">
        <v>178</v>
      </c>
      <c r="V12" s="790"/>
    </row>
    <row r="13" spans="1:22" s="414" customFormat="1" ht="14.25" customHeight="1" x14ac:dyDescent="0.2">
      <c r="A13" s="792" t="s">
        <v>158</v>
      </c>
      <c r="B13" s="792" t="s">
        <v>159</v>
      </c>
      <c r="C13" s="792" t="s">
        <v>161</v>
      </c>
      <c r="D13" s="2" t="s">
        <v>167</v>
      </c>
      <c r="E13" s="413" t="s">
        <v>85</v>
      </c>
      <c r="U13" s="415" t="s">
        <v>179</v>
      </c>
      <c r="V13" s="425">
        <v>1180.42</v>
      </c>
    </row>
    <row r="14" spans="1:22" s="414" customFormat="1" ht="13.5" customHeight="1" x14ac:dyDescent="0.2">
      <c r="A14" s="792"/>
      <c r="B14" s="792"/>
      <c r="C14" s="792"/>
      <c r="D14" s="2" t="s">
        <v>172</v>
      </c>
      <c r="E14" s="413" t="s">
        <v>173</v>
      </c>
      <c r="U14" s="415" t="s">
        <v>180</v>
      </c>
      <c r="V14" s="425">
        <f>B34</f>
        <v>1000</v>
      </c>
    </row>
    <row r="15" spans="1:22" ht="14.25" customHeight="1" x14ac:dyDescent="0.2">
      <c r="A15" s="415" t="s">
        <v>181</v>
      </c>
      <c r="B15" s="416">
        <v>13348</v>
      </c>
      <c r="C15" s="416">
        <v>3000</v>
      </c>
      <c r="D15" s="419">
        <f>SUM(B15:C15)</f>
        <v>16348</v>
      </c>
      <c r="E15" s="420">
        <f>D15/$B$2</f>
        <v>1.1392477396929021E-2</v>
      </c>
      <c r="H15" s="406"/>
      <c r="J15" s="406"/>
      <c r="K15" s="406"/>
      <c r="L15" s="406"/>
      <c r="O15" s="406"/>
      <c r="Q15" s="406"/>
      <c r="U15" s="426" t="s">
        <v>13</v>
      </c>
      <c r="V15" s="427">
        <f>SUM(V13:V14)</f>
        <v>2180.42</v>
      </c>
    </row>
    <row r="16" spans="1:22" ht="13.5" customHeight="1" x14ac:dyDescent="0.2">
      <c r="A16" s="415" t="s">
        <v>182</v>
      </c>
      <c r="B16" s="416">
        <v>19222</v>
      </c>
      <c r="C16" s="416">
        <v>3000</v>
      </c>
      <c r="D16" s="419">
        <f>SUM(B16:C16)</f>
        <v>22222</v>
      </c>
      <c r="E16" s="420">
        <f>D16/$B$2</f>
        <v>1.5485908534044329E-2</v>
      </c>
      <c r="H16" s="406"/>
      <c r="J16" s="406"/>
      <c r="K16" s="406"/>
      <c r="L16" s="406"/>
      <c r="O16" s="406"/>
      <c r="Q16" s="406"/>
    </row>
    <row r="17" spans="1:25" ht="12.75" customHeight="1" x14ac:dyDescent="0.2">
      <c r="A17" s="421">
        <f>COUNTA(A15:A16)</f>
        <v>2</v>
      </c>
      <c r="B17" s="422">
        <f>SUM(B15:B16)</f>
        <v>32570</v>
      </c>
      <c r="C17" s="422">
        <f>SUM(C15:C16)</f>
        <v>6000</v>
      </c>
      <c r="D17" s="422">
        <f>SUM(D15:D16)</f>
        <v>38570</v>
      </c>
      <c r="E17" s="428">
        <f>AVERAGE(E15:E16)</f>
        <v>1.3439192965486676E-2</v>
      </c>
      <c r="H17" s="406"/>
      <c r="J17" s="406"/>
      <c r="K17" s="406"/>
      <c r="L17" s="406"/>
      <c r="O17" s="406"/>
      <c r="Q17" s="406"/>
    </row>
    <row r="18" spans="1:25" ht="12.75" customHeight="1" x14ac:dyDescent="0.2">
      <c r="N18" s="429"/>
    </row>
    <row r="19" spans="1:25" ht="12.75" customHeight="1" x14ac:dyDescent="0.2">
      <c r="A19" s="790" t="s">
        <v>183</v>
      </c>
      <c r="B19" s="790"/>
      <c r="N19" s="429"/>
    </row>
    <row r="20" spans="1:25" ht="12.75" customHeight="1" x14ac:dyDescent="0.2">
      <c r="A20" s="298" t="s">
        <v>184</v>
      </c>
      <c r="B20" s="430">
        <v>17546.73</v>
      </c>
      <c r="C20" s="406" t="s">
        <v>185</v>
      </c>
      <c r="M20" s="429"/>
      <c r="U20" s="429"/>
      <c r="V20" s="429"/>
    </row>
    <row r="21" spans="1:25" ht="12.75" customHeight="1" x14ac:dyDescent="0.2">
      <c r="A21" s="298" t="s">
        <v>36</v>
      </c>
      <c r="B21" s="431">
        <f>I11</f>
        <v>1544</v>
      </c>
      <c r="E21" s="429"/>
      <c r="M21" s="429"/>
      <c r="U21" s="429"/>
      <c r="V21" s="429"/>
    </row>
    <row r="22" spans="1:25" ht="12.75" customHeight="1" x14ac:dyDescent="0.2">
      <c r="A22" s="298" t="s">
        <v>186</v>
      </c>
      <c r="B22" s="431">
        <f>H11</f>
        <v>5558.4000000000005</v>
      </c>
    </row>
    <row r="23" spans="1:25" ht="12.75" customHeight="1" x14ac:dyDescent="0.2">
      <c r="A23" s="298" t="s">
        <v>187</v>
      </c>
      <c r="B23" s="431">
        <f>C11+D11+E11+F11</f>
        <v>5761.88</v>
      </c>
    </row>
    <row r="24" spans="1:25" ht="12.75" customHeight="1" x14ac:dyDescent="0.2">
      <c r="A24" s="298" t="s">
        <v>90</v>
      </c>
      <c r="B24" s="432">
        <f>B17</f>
        <v>32570</v>
      </c>
    </row>
    <row r="25" spans="1:25" ht="12.75" customHeight="1" x14ac:dyDescent="0.2">
      <c r="A25" s="298" t="s">
        <v>188</v>
      </c>
      <c r="B25" s="431">
        <f>C17</f>
        <v>6000</v>
      </c>
    </row>
    <row r="26" spans="1:25" ht="12.75" customHeight="1" x14ac:dyDescent="0.2">
      <c r="A26" s="299" t="s">
        <v>13</v>
      </c>
      <c r="B26" s="433">
        <f>SUM(B20:B25)</f>
        <v>68981.010000000009</v>
      </c>
      <c r="S26" s="424"/>
      <c r="T26" s="424"/>
      <c r="W26" s="424"/>
      <c r="X26" s="424"/>
      <c r="Y26" s="424"/>
    </row>
    <row r="28" spans="1:25" ht="12.75" customHeight="1" x14ac:dyDescent="0.2">
      <c r="A28" s="790" t="s">
        <v>189</v>
      </c>
      <c r="B28" s="790"/>
    </row>
    <row r="29" spans="1:25" ht="12.75" customHeight="1" x14ac:dyDescent="0.2">
      <c r="A29" s="298" t="s">
        <v>190</v>
      </c>
      <c r="B29" s="432">
        <f>B11</f>
        <v>19300</v>
      </c>
    </row>
    <row r="30" spans="1:25" ht="12.75" customHeight="1" x14ac:dyDescent="0.2">
      <c r="A30" s="298" t="s">
        <v>36</v>
      </c>
      <c r="B30" s="432">
        <f>I11</f>
        <v>1544</v>
      </c>
    </row>
    <row r="31" spans="1:25" ht="12.75" customHeight="1" x14ac:dyDescent="0.2">
      <c r="A31" s="298" t="s">
        <v>191</v>
      </c>
      <c r="B31" s="432">
        <f>H11</f>
        <v>5558.4000000000005</v>
      </c>
    </row>
    <row r="32" spans="1:25" ht="12.75" customHeight="1" x14ac:dyDescent="0.2">
      <c r="A32" s="298" t="s">
        <v>92</v>
      </c>
      <c r="B32" s="432">
        <f>O11</f>
        <v>4757.6222222222223</v>
      </c>
    </row>
    <row r="33" spans="1:2" ht="12.75" customHeight="1" x14ac:dyDescent="0.2">
      <c r="A33" s="298" t="s">
        <v>192</v>
      </c>
      <c r="B33" s="431">
        <f>C11</f>
        <v>0</v>
      </c>
    </row>
    <row r="34" spans="1:2" ht="12.75" customHeight="1" x14ac:dyDescent="0.2">
      <c r="A34" s="298" t="s">
        <v>95</v>
      </c>
      <c r="B34" s="431">
        <f>D11</f>
        <v>1000</v>
      </c>
    </row>
    <row r="35" spans="1:2" ht="12.75" customHeight="1" x14ac:dyDescent="0.2">
      <c r="A35" s="298" t="s">
        <v>94</v>
      </c>
      <c r="B35" s="431">
        <f>E11</f>
        <v>4000</v>
      </c>
    </row>
    <row r="36" spans="1:2" ht="12.75" customHeight="1" x14ac:dyDescent="0.2">
      <c r="A36" s="298" t="s">
        <v>193</v>
      </c>
      <c r="B36" s="431">
        <f>F11</f>
        <v>761.88</v>
      </c>
    </row>
    <row r="37" spans="1:2" ht="12.75" customHeight="1" x14ac:dyDescent="0.2">
      <c r="A37" s="298" t="s">
        <v>194</v>
      </c>
      <c r="B37" s="432">
        <f>B17</f>
        <v>32570</v>
      </c>
    </row>
    <row r="38" spans="1:2" ht="12.75" customHeight="1" x14ac:dyDescent="0.2">
      <c r="A38" s="298" t="s">
        <v>93</v>
      </c>
      <c r="B38" s="432">
        <f>C17</f>
        <v>6000</v>
      </c>
    </row>
    <row r="39" spans="1:2" ht="12.75" customHeight="1" x14ac:dyDescent="0.2">
      <c r="A39" s="299" t="s">
        <v>13</v>
      </c>
      <c r="B39" s="433">
        <f>SUM(B29:B38)</f>
        <v>75491.902222222212</v>
      </c>
    </row>
  </sheetData>
  <mergeCells count="17">
    <mergeCell ref="E3:E4"/>
    <mergeCell ref="A19:B19"/>
    <mergeCell ref="A28:B28"/>
    <mergeCell ref="O3:O4"/>
    <mergeCell ref="U12:V12"/>
    <mergeCell ref="A13:A14"/>
    <mergeCell ref="B13:B14"/>
    <mergeCell ref="C13:C14"/>
    <mergeCell ref="F3:F4"/>
    <mergeCell ref="G3:G4"/>
    <mergeCell ref="H3:I3"/>
    <mergeCell ref="J3:J4"/>
    <mergeCell ref="M3:N3"/>
    <mergeCell ref="A3:A4"/>
    <mergeCell ref="B3:B4"/>
    <mergeCell ref="C3:C4"/>
    <mergeCell ref="D3:D4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Y39"/>
  <sheetViews>
    <sheetView zoomScaleNormal="100" workbookViewId="0">
      <selection activeCell="E29" sqref="E29"/>
    </sheetView>
  </sheetViews>
  <sheetFormatPr defaultColWidth="8.85546875" defaultRowHeight="12.75" x14ac:dyDescent="0.2"/>
  <cols>
    <col min="1" max="1" width="28.7109375" style="406" customWidth="1"/>
    <col min="2" max="2" width="10.28515625" style="406" customWidth="1"/>
    <col min="3" max="3" width="9" style="406" customWidth="1"/>
    <col min="4" max="4" width="10" style="406" customWidth="1"/>
    <col min="5" max="5" width="12.5703125" style="406" customWidth="1"/>
    <col min="6" max="6" width="12.140625" style="406" customWidth="1"/>
    <col min="7" max="7" width="10" style="406" customWidth="1"/>
    <col min="8" max="8" width="9" style="407" customWidth="1"/>
    <col min="9" max="9" width="7.85546875" style="406" customWidth="1"/>
    <col min="10" max="10" width="9.42578125" style="407" customWidth="1"/>
    <col min="11" max="11" width="8" style="407" customWidth="1"/>
    <col min="12" max="12" width="9.42578125" style="407" customWidth="1"/>
    <col min="13" max="13" width="11" style="406" customWidth="1"/>
    <col min="14" max="14" width="11.140625" style="406" customWidth="1"/>
    <col min="15" max="15" width="9.42578125" style="407" customWidth="1"/>
    <col min="16" max="16" width="10" style="406" customWidth="1"/>
    <col min="17" max="17" width="8.7109375" style="408" customWidth="1"/>
    <col min="18" max="18" width="8.85546875" style="406"/>
    <col min="19" max="19" width="13" style="406" customWidth="1"/>
    <col min="20" max="20" width="11.42578125" style="406" customWidth="1"/>
    <col min="21" max="21" width="9.85546875" style="406" customWidth="1"/>
    <col min="22" max="255" width="8.85546875" style="406"/>
    <col min="256" max="256" width="6.85546875" style="406" customWidth="1"/>
    <col min="257" max="257" width="22.140625" style="406" customWidth="1"/>
    <col min="258" max="259" width="13.42578125" style="406" customWidth="1"/>
    <col min="260" max="260" width="10.85546875" style="406" customWidth="1"/>
    <col min="261" max="262" width="13" style="406" customWidth="1"/>
    <col min="263" max="264" width="11.7109375" style="406" customWidth="1"/>
    <col min="265" max="265" width="11.42578125" style="406" customWidth="1"/>
    <col min="266" max="266" width="12.5703125" style="406" customWidth="1"/>
    <col min="267" max="267" width="12" style="406" customWidth="1"/>
    <col min="268" max="268" width="12.7109375" style="406" customWidth="1"/>
    <col min="269" max="269" width="11.7109375" style="406" customWidth="1"/>
    <col min="270" max="270" width="10.85546875" style="406" customWidth="1"/>
    <col min="271" max="271" width="12.7109375" style="406" customWidth="1"/>
    <col min="272" max="272" width="10.5703125" style="406" customWidth="1"/>
    <col min="273" max="273" width="7.5703125" style="406" customWidth="1"/>
    <col min="274" max="274" width="8.85546875" style="406"/>
    <col min="275" max="275" width="13" style="406" customWidth="1"/>
    <col min="276" max="276" width="11.42578125" style="406" customWidth="1"/>
    <col min="277" max="511" width="8.85546875" style="406"/>
    <col min="512" max="512" width="6.85546875" style="406" customWidth="1"/>
    <col min="513" max="513" width="22.140625" style="406" customWidth="1"/>
    <col min="514" max="515" width="13.42578125" style="406" customWidth="1"/>
    <col min="516" max="516" width="10.85546875" style="406" customWidth="1"/>
    <col min="517" max="518" width="13" style="406" customWidth="1"/>
    <col min="519" max="520" width="11.7109375" style="406" customWidth="1"/>
    <col min="521" max="521" width="11.42578125" style="406" customWidth="1"/>
    <col min="522" max="522" width="12.5703125" style="406" customWidth="1"/>
    <col min="523" max="523" width="12" style="406" customWidth="1"/>
    <col min="524" max="524" width="12.7109375" style="406" customWidth="1"/>
    <col min="525" max="525" width="11.7109375" style="406" customWidth="1"/>
    <col min="526" max="526" width="10.85546875" style="406" customWidth="1"/>
    <col min="527" max="527" width="12.7109375" style="406" customWidth="1"/>
    <col min="528" max="528" width="10.5703125" style="406" customWidth="1"/>
    <col min="529" max="529" width="7.5703125" style="406" customWidth="1"/>
    <col min="530" max="530" width="8.85546875" style="406"/>
    <col min="531" max="531" width="13" style="406" customWidth="1"/>
    <col min="532" max="532" width="11.42578125" style="406" customWidth="1"/>
    <col min="533" max="767" width="8.85546875" style="406"/>
    <col min="768" max="768" width="6.85546875" style="406" customWidth="1"/>
    <col min="769" max="769" width="22.140625" style="406" customWidth="1"/>
    <col min="770" max="771" width="13.42578125" style="406" customWidth="1"/>
    <col min="772" max="772" width="10.85546875" style="406" customWidth="1"/>
    <col min="773" max="774" width="13" style="406" customWidth="1"/>
    <col min="775" max="776" width="11.7109375" style="406" customWidth="1"/>
    <col min="777" max="777" width="11.42578125" style="406" customWidth="1"/>
    <col min="778" max="778" width="12.5703125" style="406" customWidth="1"/>
    <col min="779" max="779" width="12" style="406" customWidth="1"/>
    <col min="780" max="780" width="12.7109375" style="406" customWidth="1"/>
    <col min="781" max="781" width="11.7109375" style="406" customWidth="1"/>
    <col min="782" max="782" width="10.85546875" style="406" customWidth="1"/>
    <col min="783" max="783" width="12.7109375" style="406" customWidth="1"/>
    <col min="784" max="784" width="10.5703125" style="406" customWidth="1"/>
    <col min="785" max="785" width="7.5703125" style="406" customWidth="1"/>
    <col min="786" max="786" width="8.85546875" style="406"/>
    <col min="787" max="787" width="13" style="406" customWidth="1"/>
    <col min="788" max="788" width="11.42578125" style="406" customWidth="1"/>
    <col min="789" max="1023" width="8.85546875" style="406"/>
    <col min="1024" max="1024" width="6.85546875" style="406" customWidth="1"/>
    <col min="1025" max="1025" width="22.140625" style="406" customWidth="1"/>
    <col min="1026" max="1027" width="13.42578125" style="406" customWidth="1"/>
    <col min="1028" max="1028" width="10.85546875" style="406" customWidth="1"/>
    <col min="1029" max="1030" width="13" style="406" customWidth="1"/>
    <col min="1031" max="1032" width="11.7109375" style="406" customWidth="1"/>
    <col min="1033" max="1033" width="11.42578125" style="406" customWidth="1"/>
    <col min="1034" max="1034" width="12.5703125" style="406" customWidth="1"/>
    <col min="1035" max="1035" width="12" style="406" customWidth="1"/>
    <col min="1036" max="1036" width="12.7109375" style="406" customWidth="1"/>
    <col min="1037" max="1037" width="11.7109375" style="406" customWidth="1"/>
    <col min="1038" max="1038" width="10.85546875" style="406" customWidth="1"/>
    <col min="1039" max="1039" width="12.7109375" style="406" customWidth="1"/>
    <col min="1040" max="1040" width="10.5703125" style="406" customWidth="1"/>
    <col min="1041" max="1041" width="7.5703125" style="406" customWidth="1"/>
    <col min="1042" max="1042" width="8.85546875" style="406"/>
    <col min="1043" max="1043" width="13" style="406" customWidth="1"/>
    <col min="1044" max="1044" width="11.42578125" style="406" customWidth="1"/>
    <col min="1045" max="1279" width="8.85546875" style="406"/>
    <col min="1280" max="1280" width="6.85546875" style="406" customWidth="1"/>
    <col min="1281" max="1281" width="22.140625" style="406" customWidth="1"/>
    <col min="1282" max="1283" width="13.42578125" style="406" customWidth="1"/>
    <col min="1284" max="1284" width="10.85546875" style="406" customWidth="1"/>
    <col min="1285" max="1286" width="13" style="406" customWidth="1"/>
    <col min="1287" max="1288" width="11.7109375" style="406" customWidth="1"/>
    <col min="1289" max="1289" width="11.42578125" style="406" customWidth="1"/>
    <col min="1290" max="1290" width="12.5703125" style="406" customWidth="1"/>
    <col min="1291" max="1291" width="12" style="406" customWidth="1"/>
    <col min="1292" max="1292" width="12.7109375" style="406" customWidth="1"/>
    <col min="1293" max="1293" width="11.7109375" style="406" customWidth="1"/>
    <col min="1294" max="1294" width="10.85546875" style="406" customWidth="1"/>
    <col min="1295" max="1295" width="12.7109375" style="406" customWidth="1"/>
    <col min="1296" max="1296" width="10.5703125" style="406" customWidth="1"/>
    <col min="1297" max="1297" width="7.5703125" style="406" customWidth="1"/>
    <col min="1298" max="1298" width="8.85546875" style="406"/>
    <col min="1299" max="1299" width="13" style="406" customWidth="1"/>
    <col min="1300" max="1300" width="11.42578125" style="406" customWidth="1"/>
    <col min="1301" max="1535" width="8.85546875" style="406"/>
    <col min="1536" max="1536" width="6.85546875" style="406" customWidth="1"/>
    <col min="1537" max="1537" width="22.140625" style="406" customWidth="1"/>
    <col min="1538" max="1539" width="13.42578125" style="406" customWidth="1"/>
    <col min="1540" max="1540" width="10.85546875" style="406" customWidth="1"/>
    <col min="1541" max="1542" width="13" style="406" customWidth="1"/>
    <col min="1543" max="1544" width="11.7109375" style="406" customWidth="1"/>
    <col min="1545" max="1545" width="11.42578125" style="406" customWidth="1"/>
    <col min="1546" max="1546" width="12.5703125" style="406" customWidth="1"/>
    <col min="1547" max="1547" width="12" style="406" customWidth="1"/>
    <col min="1548" max="1548" width="12.7109375" style="406" customWidth="1"/>
    <col min="1549" max="1549" width="11.7109375" style="406" customWidth="1"/>
    <col min="1550" max="1550" width="10.85546875" style="406" customWidth="1"/>
    <col min="1551" max="1551" width="12.7109375" style="406" customWidth="1"/>
    <col min="1552" max="1552" width="10.5703125" style="406" customWidth="1"/>
    <col min="1553" max="1553" width="7.5703125" style="406" customWidth="1"/>
    <col min="1554" max="1554" width="8.85546875" style="406"/>
    <col min="1555" max="1555" width="13" style="406" customWidth="1"/>
    <col min="1556" max="1556" width="11.42578125" style="406" customWidth="1"/>
    <col min="1557" max="1791" width="8.85546875" style="406"/>
    <col min="1792" max="1792" width="6.85546875" style="406" customWidth="1"/>
    <col min="1793" max="1793" width="22.140625" style="406" customWidth="1"/>
    <col min="1794" max="1795" width="13.42578125" style="406" customWidth="1"/>
    <col min="1796" max="1796" width="10.85546875" style="406" customWidth="1"/>
    <col min="1797" max="1798" width="13" style="406" customWidth="1"/>
    <col min="1799" max="1800" width="11.7109375" style="406" customWidth="1"/>
    <col min="1801" max="1801" width="11.42578125" style="406" customWidth="1"/>
    <col min="1802" max="1802" width="12.5703125" style="406" customWidth="1"/>
    <col min="1803" max="1803" width="12" style="406" customWidth="1"/>
    <col min="1804" max="1804" width="12.7109375" style="406" customWidth="1"/>
    <col min="1805" max="1805" width="11.7109375" style="406" customWidth="1"/>
    <col min="1806" max="1806" width="10.85546875" style="406" customWidth="1"/>
    <col min="1807" max="1807" width="12.7109375" style="406" customWidth="1"/>
    <col min="1808" max="1808" width="10.5703125" style="406" customWidth="1"/>
    <col min="1809" max="1809" width="7.5703125" style="406" customWidth="1"/>
    <col min="1810" max="1810" width="8.85546875" style="406"/>
    <col min="1811" max="1811" width="13" style="406" customWidth="1"/>
    <col min="1812" max="1812" width="11.42578125" style="406" customWidth="1"/>
    <col min="1813" max="2047" width="8.85546875" style="406"/>
    <col min="2048" max="2048" width="6.85546875" style="406" customWidth="1"/>
    <col min="2049" max="2049" width="22.140625" style="406" customWidth="1"/>
    <col min="2050" max="2051" width="13.42578125" style="406" customWidth="1"/>
    <col min="2052" max="2052" width="10.85546875" style="406" customWidth="1"/>
    <col min="2053" max="2054" width="13" style="406" customWidth="1"/>
    <col min="2055" max="2056" width="11.7109375" style="406" customWidth="1"/>
    <col min="2057" max="2057" width="11.42578125" style="406" customWidth="1"/>
    <col min="2058" max="2058" width="12.5703125" style="406" customWidth="1"/>
    <col min="2059" max="2059" width="12" style="406" customWidth="1"/>
    <col min="2060" max="2060" width="12.7109375" style="406" customWidth="1"/>
    <col min="2061" max="2061" width="11.7109375" style="406" customWidth="1"/>
    <col min="2062" max="2062" width="10.85546875" style="406" customWidth="1"/>
    <col min="2063" max="2063" width="12.7109375" style="406" customWidth="1"/>
    <col min="2064" max="2064" width="10.5703125" style="406" customWidth="1"/>
    <col min="2065" max="2065" width="7.5703125" style="406" customWidth="1"/>
    <col min="2066" max="2066" width="8.85546875" style="406"/>
    <col min="2067" max="2067" width="13" style="406" customWidth="1"/>
    <col min="2068" max="2068" width="11.42578125" style="406" customWidth="1"/>
    <col min="2069" max="2303" width="8.85546875" style="406"/>
    <col min="2304" max="2304" width="6.85546875" style="406" customWidth="1"/>
    <col min="2305" max="2305" width="22.140625" style="406" customWidth="1"/>
    <col min="2306" max="2307" width="13.42578125" style="406" customWidth="1"/>
    <col min="2308" max="2308" width="10.85546875" style="406" customWidth="1"/>
    <col min="2309" max="2310" width="13" style="406" customWidth="1"/>
    <col min="2311" max="2312" width="11.7109375" style="406" customWidth="1"/>
    <col min="2313" max="2313" width="11.42578125" style="406" customWidth="1"/>
    <col min="2314" max="2314" width="12.5703125" style="406" customWidth="1"/>
    <col min="2315" max="2315" width="12" style="406" customWidth="1"/>
    <col min="2316" max="2316" width="12.7109375" style="406" customWidth="1"/>
    <col min="2317" max="2317" width="11.7109375" style="406" customWidth="1"/>
    <col min="2318" max="2318" width="10.85546875" style="406" customWidth="1"/>
    <col min="2319" max="2319" width="12.7109375" style="406" customWidth="1"/>
    <col min="2320" max="2320" width="10.5703125" style="406" customWidth="1"/>
    <col min="2321" max="2321" width="7.5703125" style="406" customWidth="1"/>
    <col min="2322" max="2322" width="8.85546875" style="406"/>
    <col min="2323" max="2323" width="13" style="406" customWidth="1"/>
    <col min="2324" max="2324" width="11.42578125" style="406" customWidth="1"/>
    <col min="2325" max="2559" width="8.85546875" style="406"/>
    <col min="2560" max="2560" width="6.85546875" style="406" customWidth="1"/>
    <col min="2561" max="2561" width="22.140625" style="406" customWidth="1"/>
    <col min="2562" max="2563" width="13.42578125" style="406" customWidth="1"/>
    <col min="2564" max="2564" width="10.85546875" style="406" customWidth="1"/>
    <col min="2565" max="2566" width="13" style="406" customWidth="1"/>
    <col min="2567" max="2568" width="11.7109375" style="406" customWidth="1"/>
    <col min="2569" max="2569" width="11.42578125" style="406" customWidth="1"/>
    <col min="2570" max="2570" width="12.5703125" style="406" customWidth="1"/>
    <col min="2571" max="2571" width="12" style="406" customWidth="1"/>
    <col min="2572" max="2572" width="12.7109375" style="406" customWidth="1"/>
    <col min="2573" max="2573" width="11.7109375" style="406" customWidth="1"/>
    <col min="2574" max="2574" width="10.85546875" style="406" customWidth="1"/>
    <col min="2575" max="2575" width="12.7109375" style="406" customWidth="1"/>
    <col min="2576" max="2576" width="10.5703125" style="406" customWidth="1"/>
    <col min="2577" max="2577" width="7.5703125" style="406" customWidth="1"/>
    <col min="2578" max="2578" width="8.85546875" style="406"/>
    <col min="2579" max="2579" width="13" style="406" customWidth="1"/>
    <col min="2580" max="2580" width="11.42578125" style="406" customWidth="1"/>
    <col min="2581" max="2815" width="8.85546875" style="406"/>
    <col min="2816" max="2816" width="6.85546875" style="406" customWidth="1"/>
    <col min="2817" max="2817" width="22.140625" style="406" customWidth="1"/>
    <col min="2818" max="2819" width="13.42578125" style="406" customWidth="1"/>
    <col min="2820" max="2820" width="10.85546875" style="406" customWidth="1"/>
    <col min="2821" max="2822" width="13" style="406" customWidth="1"/>
    <col min="2823" max="2824" width="11.7109375" style="406" customWidth="1"/>
    <col min="2825" max="2825" width="11.42578125" style="406" customWidth="1"/>
    <col min="2826" max="2826" width="12.5703125" style="406" customWidth="1"/>
    <col min="2827" max="2827" width="12" style="406" customWidth="1"/>
    <col min="2828" max="2828" width="12.7109375" style="406" customWidth="1"/>
    <col min="2829" max="2829" width="11.7109375" style="406" customWidth="1"/>
    <col min="2830" max="2830" width="10.85546875" style="406" customWidth="1"/>
    <col min="2831" max="2831" width="12.7109375" style="406" customWidth="1"/>
    <col min="2832" max="2832" width="10.5703125" style="406" customWidth="1"/>
    <col min="2833" max="2833" width="7.5703125" style="406" customWidth="1"/>
    <col min="2834" max="2834" width="8.85546875" style="406"/>
    <col min="2835" max="2835" width="13" style="406" customWidth="1"/>
    <col min="2836" max="2836" width="11.42578125" style="406" customWidth="1"/>
    <col min="2837" max="3071" width="8.85546875" style="406"/>
    <col min="3072" max="3072" width="6.85546875" style="406" customWidth="1"/>
    <col min="3073" max="3073" width="22.140625" style="406" customWidth="1"/>
    <col min="3074" max="3075" width="13.42578125" style="406" customWidth="1"/>
    <col min="3076" max="3076" width="10.85546875" style="406" customWidth="1"/>
    <col min="3077" max="3078" width="13" style="406" customWidth="1"/>
    <col min="3079" max="3080" width="11.7109375" style="406" customWidth="1"/>
    <col min="3081" max="3081" width="11.42578125" style="406" customWidth="1"/>
    <col min="3082" max="3082" width="12.5703125" style="406" customWidth="1"/>
    <col min="3083" max="3083" width="12" style="406" customWidth="1"/>
    <col min="3084" max="3084" width="12.7109375" style="406" customWidth="1"/>
    <col min="3085" max="3085" width="11.7109375" style="406" customWidth="1"/>
    <col min="3086" max="3086" width="10.85546875" style="406" customWidth="1"/>
    <col min="3087" max="3087" width="12.7109375" style="406" customWidth="1"/>
    <col min="3088" max="3088" width="10.5703125" style="406" customWidth="1"/>
    <col min="3089" max="3089" width="7.5703125" style="406" customWidth="1"/>
    <col min="3090" max="3090" width="8.85546875" style="406"/>
    <col min="3091" max="3091" width="13" style="406" customWidth="1"/>
    <col min="3092" max="3092" width="11.42578125" style="406" customWidth="1"/>
    <col min="3093" max="3327" width="8.85546875" style="406"/>
    <col min="3328" max="3328" width="6.85546875" style="406" customWidth="1"/>
    <col min="3329" max="3329" width="22.140625" style="406" customWidth="1"/>
    <col min="3330" max="3331" width="13.42578125" style="406" customWidth="1"/>
    <col min="3332" max="3332" width="10.85546875" style="406" customWidth="1"/>
    <col min="3333" max="3334" width="13" style="406" customWidth="1"/>
    <col min="3335" max="3336" width="11.7109375" style="406" customWidth="1"/>
    <col min="3337" max="3337" width="11.42578125" style="406" customWidth="1"/>
    <col min="3338" max="3338" width="12.5703125" style="406" customWidth="1"/>
    <col min="3339" max="3339" width="12" style="406" customWidth="1"/>
    <col min="3340" max="3340" width="12.7109375" style="406" customWidth="1"/>
    <col min="3341" max="3341" width="11.7109375" style="406" customWidth="1"/>
    <col min="3342" max="3342" width="10.85546875" style="406" customWidth="1"/>
    <col min="3343" max="3343" width="12.7109375" style="406" customWidth="1"/>
    <col min="3344" max="3344" width="10.5703125" style="406" customWidth="1"/>
    <col min="3345" max="3345" width="7.5703125" style="406" customWidth="1"/>
    <col min="3346" max="3346" width="8.85546875" style="406"/>
    <col min="3347" max="3347" width="13" style="406" customWidth="1"/>
    <col min="3348" max="3348" width="11.42578125" style="406" customWidth="1"/>
    <col min="3349" max="3583" width="8.85546875" style="406"/>
    <col min="3584" max="3584" width="6.85546875" style="406" customWidth="1"/>
    <col min="3585" max="3585" width="22.140625" style="406" customWidth="1"/>
    <col min="3586" max="3587" width="13.42578125" style="406" customWidth="1"/>
    <col min="3588" max="3588" width="10.85546875" style="406" customWidth="1"/>
    <col min="3589" max="3590" width="13" style="406" customWidth="1"/>
    <col min="3591" max="3592" width="11.7109375" style="406" customWidth="1"/>
    <col min="3593" max="3593" width="11.42578125" style="406" customWidth="1"/>
    <col min="3594" max="3594" width="12.5703125" style="406" customWidth="1"/>
    <col min="3595" max="3595" width="12" style="406" customWidth="1"/>
    <col min="3596" max="3596" width="12.7109375" style="406" customWidth="1"/>
    <col min="3597" max="3597" width="11.7109375" style="406" customWidth="1"/>
    <col min="3598" max="3598" width="10.85546875" style="406" customWidth="1"/>
    <col min="3599" max="3599" width="12.7109375" style="406" customWidth="1"/>
    <col min="3600" max="3600" width="10.5703125" style="406" customWidth="1"/>
    <col min="3601" max="3601" width="7.5703125" style="406" customWidth="1"/>
    <col min="3602" max="3602" width="8.85546875" style="406"/>
    <col min="3603" max="3603" width="13" style="406" customWidth="1"/>
    <col min="3604" max="3604" width="11.42578125" style="406" customWidth="1"/>
    <col min="3605" max="3839" width="8.85546875" style="406"/>
    <col min="3840" max="3840" width="6.85546875" style="406" customWidth="1"/>
    <col min="3841" max="3841" width="22.140625" style="406" customWidth="1"/>
    <col min="3842" max="3843" width="13.42578125" style="406" customWidth="1"/>
    <col min="3844" max="3844" width="10.85546875" style="406" customWidth="1"/>
    <col min="3845" max="3846" width="13" style="406" customWidth="1"/>
    <col min="3847" max="3848" width="11.7109375" style="406" customWidth="1"/>
    <col min="3849" max="3849" width="11.42578125" style="406" customWidth="1"/>
    <col min="3850" max="3850" width="12.5703125" style="406" customWidth="1"/>
    <col min="3851" max="3851" width="12" style="406" customWidth="1"/>
    <col min="3852" max="3852" width="12.7109375" style="406" customWidth="1"/>
    <col min="3853" max="3853" width="11.7109375" style="406" customWidth="1"/>
    <col min="3854" max="3854" width="10.85546875" style="406" customWidth="1"/>
    <col min="3855" max="3855" width="12.7109375" style="406" customWidth="1"/>
    <col min="3856" max="3856" width="10.5703125" style="406" customWidth="1"/>
    <col min="3857" max="3857" width="7.5703125" style="406" customWidth="1"/>
    <col min="3858" max="3858" width="8.85546875" style="406"/>
    <col min="3859" max="3859" width="13" style="406" customWidth="1"/>
    <col min="3860" max="3860" width="11.42578125" style="406" customWidth="1"/>
    <col min="3861" max="4095" width="8.85546875" style="406"/>
    <col min="4096" max="4096" width="6.85546875" style="406" customWidth="1"/>
    <col min="4097" max="4097" width="22.140625" style="406" customWidth="1"/>
    <col min="4098" max="4099" width="13.42578125" style="406" customWidth="1"/>
    <col min="4100" max="4100" width="10.85546875" style="406" customWidth="1"/>
    <col min="4101" max="4102" width="13" style="406" customWidth="1"/>
    <col min="4103" max="4104" width="11.7109375" style="406" customWidth="1"/>
    <col min="4105" max="4105" width="11.42578125" style="406" customWidth="1"/>
    <col min="4106" max="4106" width="12.5703125" style="406" customWidth="1"/>
    <col min="4107" max="4107" width="12" style="406" customWidth="1"/>
    <col min="4108" max="4108" width="12.7109375" style="406" customWidth="1"/>
    <col min="4109" max="4109" width="11.7109375" style="406" customWidth="1"/>
    <col min="4110" max="4110" width="10.85546875" style="406" customWidth="1"/>
    <col min="4111" max="4111" width="12.7109375" style="406" customWidth="1"/>
    <col min="4112" max="4112" width="10.5703125" style="406" customWidth="1"/>
    <col min="4113" max="4113" width="7.5703125" style="406" customWidth="1"/>
    <col min="4114" max="4114" width="8.85546875" style="406"/>
    <col min="4115" max="4115" width="13" style="406" customWidth="1"/>
    <col min="4116" max="4116" width="11.42578125" style="406" customWidth="1"/>
    <col min="4117" max="4351" width="8.85546875" style="406"/>
    <col min="4352" max="4352" width="6.85546875" style="406" customWidth="1"/>
    <col min="4353" max="4353" width="22.140625" style="406" customWidth="1"/>
    <col min="4354" max="4355" width="13.42578125" style="406" customWidth="1"/>
    <col min="4356" max="4356" width="10.85546875" style="406" customWidth="1"/>
    <col min="4357" max="4358" width="13" style="406" customWidth="1"/>
    <col min="4359" max="4360" width="11.7109375" style="406" customWidth="1"/>
    <col min="4361" max="4361" width="11.42578125" style="406" customWidth="1"/>
    <col min="4362" max="4362" width="12.5703125" style="406" customWidth="1"/>
    <col min="4363" max="4363" width="12" style="406" customWidth="1"/>
    <col min="4364" max="4364" width="12.7109375" style="406" customWidth="1"/>
    <col min="4365" max="4365" width="11.7109375" style="406" customWidth="1"/>
    <col min="4366" max="4366" width="10.85546875" style="406" customWidth="1"/>
    <col min="4367" max="4367" width="12.7109375" style="406" customWidth="1"/>
    <col min="4368" max="4368" width="10.5703125" style="406" customWidth="1"/>
    <col min="4369" max="4369" width="7.5703125" style="406" customWidth="1"/>
    <col min="4370" max="4370" width="8.85546875" style="406"/>
    <col min="4371" max="4371" width="13" style="406" customWidth="1"/>
    <col min="4372" max="4372" width="11.42578125" style="406" customWidth="1"/>
    <col min="4373" max="4607" width="8.85546875" style="406"/>
    <col min="4608" max="4608" width="6.85546875" style="406" customWidth="1"/>
    <col min="4609" max="4609" width="22.140625" style="406" customWidth="1"/>
    <col min="4610" max="4611" width="13.42578125" style="406" customWidth="1"/>
    <col min="4612" max="4612" width="10.85546875" style="406" customWidth="1"/>
    <col min="4613" max="4614" width="13" style="406" customWidth="1"/>
    <col min="4615" max="4616" width="11.7109375" style="406" customWidth="1"/>
    <col min="4617" max="4617" width="11.42578125" style="406" customWidth="1"/>
    <col min="4618" max="4618" width="12.5703125" style="406" customWidth="1"/>
    <col min="4619" max="4619" width="12" style="406" customWidth="1"/>
    <col min="4620" max="4620" width="12.7109375" style="406" customWidth="1"/>
    <col min="4621" max="4621" width="11.7109375" style="406" customWidth="1"/>
    <col min="4622" max="4622" width="10.85546875" style="406" customWidth="1"/>
    <col min="4623" max="4623" width="12.7109375" style="406" customWidth="1"/>
    <col min="4624" max="4624" width="10.5703125" style="406" customWidth="1"/>
    <col min="4625" max="4625" width="7.5703125" style="406" customWidth="1"/>
    <col min="4626" max="4626" width="8.85546875" style="406"/>
    <col min="4627" max="4627" width="13" style="406" customWidth="1"/>
    <col min="4628" max="4628" width="11.42578125" style="406" customWidth="1"/>
    <col min="4629" max="4863" width="8.85546875" style="406"/>
    <col min="4864" max="4864" width="6.85546875" style="406" customWidth="1"/>
    <col min="4865" max="4865" width="22.140625" style="406" customWidth="1"/>
    <col min="4866" max="4867" width="13.42578125" style="406" customWidth="1"/>
    <col min="4868" max="4868" width="10.85546875" style="406" customWidth="1"/>
    <col min="4869" max="4870" width="13" style="406" customWidth="1"/>
    <col min="4871" max="4872" width="11.7109375" style="406" customWidth="1"/>
    <col min="4873" max="4873" width="11.42578125" style="406" customWidth="1"/>
    <col min="4874" max="4874" width="12.5703125" style="406" customWidth="1"/>
    <col min="4875" max="4875" width="12" style="406" customWidth="1"/>
    <col min="4876" max="4876" width="12.7109375" style="406" customWidth="1"/>
    <col min="4877" max="4877" width="11.7109375" style="406" customWidth="1"/>
    <col min="4878" max="4878" width="10.85546875" style="406" customWidth="1"/>
    <col min="4879" max="4879" width="12.7109375" style="406" customWidth="1"/>
    <col min="4880" max="4880" width="10.5703125" style="406" customWidth="1"/>
    <col min="4881" max="4881" width="7.5703125" style="406" customWidth="1"/>
    <col min="4882" max="4882" width="8.85546875" style="406"/>
    <col min="4883" max="4883" width="13" style="406" customWidth="1"/>
    <col min="4884" max="4884" width="11.42578125" style="406" customWidth="1"/>
    <col min="4885" max="5119" width="8.85546875" style="406"/>
    <col min="5120" max="5120" width="6.85546875" style="406" customWidth="1"/>
    <col min="5121" max="5121" width="22.140625" style="406" customWidth="1"/>
    <col min="5122" max="5123" width="13.42578125" style="406" customWidth="1"/>
    <col min="5124" max="5124" width="10.85546875" style="406" customWidth="1"/>
    <col min="5125" max="5126" width="13" style="406" customWidth="1"/>
    <col min="5127" max="5128" width="11.7109375" style="406" customWidth="1"/>
    <col min="5129" max="5129" width="11.42578125" style="406" customWidth="1"/>
    <col min="5130" max="5130" width="12.5703125" style="406" customWidth="1"/>
    <col min="5131" max="5131" width="12" style="406" customWidth="1"/>
    <col min="5132" max="5132" width="12.7109375" style="406" customWidth="1"/>
    <col min="5133" max="5133" width="11.7109375" style="406" customWidth="1"/>
    <col min="5134" max="5134" width="10.85546875" style="406" customWidth="1"/>
    <col min="5135" max="5135" width="12.7109375" style="406" customWidth="1"/>
    <col min="5136" max="5136" width="10.5703125" style="406" customWidth="1"/>
    <col min="5137" max="5137" width="7.5703125" style="406" customWidth="1"/>
    <col min="5138" max="5138" width="8.85546875" style="406"/>
    <col min="5139" max="5139" width="13" style="406" customWidth="1"/>
    <col min="5140" max="5140" width="11.42578125" style="406" customWidth="1"/>
    <col min="5141" max="5375" width="8.85546875" style="406"/>
    <col min="5376" max="5376" width="6.85546875" style="406" customWidth="1"/>
    <col min="5377" max="5377" width="22.140625" style="406" customWidth="1"/>
    <col min="5378" max="5379" width="13.42578125" style="406" customWidth="1"/>
    <col min="5380" max="5380" width="10.85546875" style="406" customWidth="1"/>
    <col min="5381" max="5382" width="13" style="406" customWidth="1"/>
    <col min="5383" max="5384" width="11.7109375" style="406" customWidth="1"/>
    <col min="5385" max="5385" width="11.42578125" style="406" customWidth="1"/>
    <col min="5386" max="5386" width="12.5703125" style="406" customWidth="1"/>
    <col min="5387" max="5387" width="12" style="406" customWidth="1"/>
    <col min="5388" max="5388" width="12.7109375" style="406" customWidth="1"/>
    <col min="5389" max="5389" width="11.7109375" style="406" customWidth="1"/>
    <col min="5390" max="5390" width="10.85546875" style="406" customWidth="1"/>
    <col min="5391" max="5391" width="12.7109375" style="406" customWidth="1"/>
    <col min="5392" max="5392" width="10.5703125" style="406" customWidth="1"/>
    <col min="5393" max="5393" width="7.5703125" style="406" customWidth="1"/>
    <col min="5394" max="5394" width="8.85546875" style="406"/>
    <col min="5395" max="5395" width="13" style="406" customWidth="1"/>
    <col min="5396" max="5396" width="11.42578125" style="406" customWidth="1"/>
    <col min="5397" max="5631" width="8.85546875" style="406"/>
    <col min="5632" max="5632" width="6.85546875" style="406" customWidth="1"/>
    <col min="5633" max="5633" width="22.140625" style="406" customWidth="1"/>
    <col min="5634" max="5635" width="13.42578125" style="406" customWidth="1"/>
    <col min="5636" max="5636" width="10.85546875" style="406" customWidth="1"/>
    <col min="5637" max="5638" width="13" style="406" customWidth="1"/>
    <col min="5639" max="5640" width="11.7109375" style="406" customWidth="1"/>
    <col min="5641" max="5641" width="11.42578125" style="406" customWidth="1"/>
    <col min="5642" max="5642" width="12.5703125" style="406" customWidth="1"/>
    <col min="5643" max="5643" width="12" style="406" customWidth="1"/>
    <col min="5644" max="5644" width="12.7109375" style="406" customWidth="1"/>
    <col min="5645" max="5645" width="11.7109375" style="406" customWidth="1"/>
    <col min="5646" max="5646" width="10.85546875" style="406" customWidth="1"/>
    <col min="5647" max="5647" width="12.7109375" style="406" customWidth="1"/>
    <col min="5648" max="5648" width="10.5703125" style="406" customWidth="1"/>
    <col min="5649" max="5649" width="7.5703125" style="406" customWidth="1"/>
    <col min="5650" max="5650" width="8.85546875" style="406"/>
    <col min="5651" max="5651" width="13" style="406" customWidth="1"/>
    <col min="5652" max="5652" width="11.42578125" style="406" customWidth="1"/>
    <col min="5653" max="5887" width="8.85546875" style="406"/>
    <col min="5888" max="5888" width="6.85546875" style="406" customWidth="1"/>
    <col min="5889" max="5889" width="22.140625" style="406" customWidth="1"/>
    <col min="5890" max="5891" width="13.42578125" style="406" customWidth="1"/>
    <col min="5892" max="5892" width="10.85546875" style="406" customWidth="1"/>
    <col min="5893" max="5894" width="13" style="406" customWidth="1"/>
    <col min="5895" max="5896" width="11.7109375" style="406" customWidth="1"/>
    <col min="5897" max="5897" width="11.42578125" style="406" customWidth="1"/>
    <col min="5898" max="5898" width="12.5703125" style="406" customWidth="1"/>
    <col min="5899" max="5899" width="12" style="406" customWidth="1"/>
    <col min="5900" max="5900" width="12.7109375" style="406" customWidth="1"/>
    <col min="5901" max="5901" width="11.7109375" style="406" customWidth="1"/>
    <col min="5902" max="5902" width="10.85546875" style="406" customWidth="1"/>
    <col min="5903" max="5903" width="12.7109375" style="406" customWidth="1"/>
    <col min="5904" max="5904" width="10.5703125" style="406" customWidth="1"/>
    <col min="5905" max="5905" width="7.5703125" style="406" customWidth="1"/>
    <col min="5906" max="5906" width="8.85546875" style="406"/>
    <col min="5907" max="5907" width="13" style="406" customWidth="1"/>
    <col min="5908" max="5908" width="11.42578125" style="406" customWidth="1"/>
    <col min="5909" max="6143" width="8.85546875" style="406"/>
    <col min="6144" max="6144" width="6.85546875" style="406" customWidth="1"/>
    <col min="6145" max="6145" width="22.140625" style="406" customWidth="1"/>
    <col min="6146" max="6147" width="13.42578125" style="406" customWidth="1"/>
    <col min="6148" max="6148" width="10.85546875" style="406" customWidth="1"/>
    <col min="6149" max="6150" width="13" style="406" customWidth="1"/>
    <col min="6151" max="6152" width="11.7109375" style="406" customWidth="1"/>
    <col min="6153" max="6153" width="11.42578125" style="406" customWidth="1"/>
    <col min="6154" max="6154" width="12.5703125" style="406" customWidth="1"/>
    <col min="6155" max="6155" width="12" style="406" customWidth="1"/>
    <col min="6156" max="6156" width="12.7109375" style="406" customWidth="1"/>
    <col min="6157" max="6157" width="11.7109375" style="406" customWidth="1"/>
    <col min="6158" max="6158" width="10.85546875" style="406" customWidth="1"/>
    <col min="6159" max="6159" width="12.7109375" style="406" customWidth="1"/>
    <col min="6160" max="6160" width="10.5703125" style="406" customWidth="1"/>
    <col min="6161" max="6161" width="7.5703125" style="406" customWidth="1"/>
    <col min="6162" max="6162" width="8.85546875" style="406"/>
    <col min="6163" max="6163" width="13" style="406" customWidth="1"/>
    <col min="6164" max="6164" width="11.42578125" style="406" customWidth="1"/>
    <col min="6165" max="6399" width="8.85546875" style="406"/>
    <col min="6400" max="6400" width="6.85546875" style="406" customWidth="1"/>
    <col min="6401" max="6401" width="22.140625" style="406" customWidth="1"/>
    <col min="6402" max="6403" width="13.42578125" style="406" customWidth="1"/>
    <col min="6404" max="6404" width="10.85546875" style="406" customWidth="1"/>
    <col min="6405" max="6406" width="13" style="406" customWidth="1"/>
    <col min="6407" max="6408" width="11.7109375" style="406" customWidth="1"/>
    <col min="6409" max="6409" width="11.42578125" style="406" customWidth="1"/>
    <col min="6410" max="6410" width="12.5703125" style="406" customWidth="1"/>
    <col min="6411" max="6411" width="12" style="406" customWidth="1"/>
    <col min="6412" max="6412" width="12.7109375" style="406" customWidth="1"/>
    <col min="6413" max="6413" width="11.7109375" style="406" customWidth="1"/>
    <col min="6414" max="6414" width="10.85546875" style="406" customWidth="1"/>
    <col min="6415" max="6415" width="12.7109375" style="406" customWidth="1"/>
    <col min="6416" max="6416" width="10.5703125" style="406" customWidth="1"/>
    <col min="6417" max="6417" width="7.5703125" style="406" customWidth="1"/>
    <col min="6418" max="6418" width="8.85546875" style="406"/>
    <col min="6419" max="6419" width="13" style="406" customWidth="1"/>
    <col min="6420" max="6420" width="11.42578125" style="406" customWidth="1"/>
    <col min="6421" max="6655" width="8.85546875" style="406"/>
    <col min="6656" max="6656" width="6.85546875" style="406" customWidth="1"/>
    <col min="6657" max="6657" width="22.140625" style="406" customWidth="1"/>
    <col min="6658" max="6659" width="13.42578125" style="406" customWidth="1"/>
    <col min="6660" max="6660" width="10.85546875" style="406" customWidth="1"/>
    <col min="6661" max="6662" width="13" style="406" customWidth="1"/>
    <col min="6663" max="6664" width="11.7109375" style="406" customWidth="1"/>
    <col min="6665" max="6665" width="11.42578125" style="406" customWidth="1"/>
    <col min="6666" max="6666" width="12.5703125" style="406" customWidth="1"/>
    <col min="6667" max="6667" width="12" style="406" customWidth="1"/>
    <col min="6668" max="6668" width="12.7109375" style="406" customWidth="1"/>
    <col min="6669" max="6669" width="11.7109375" style="406" customWidth="1"/>
    <col min="6670" max="6670" width="10.85546875" style="406" customWidth="1"/>
    <col min="6671" max="6671" width="12.7109375" style="406" customWidth="1"/>
    <col min="6672" max="6672" width="10.5703125" style="406" customWidth="1"/>
    <col min="6673" max="6673" width="7.5703125" style="406" customWidth="1"/>
    <col min="6674" max="6674" width="8.85546875" style="406"/>
    <col min="6675" max="6675" width="13" style="406" customWidth="1"/>
    <col min="6676" max="6676" width="11.42578125" style="406" customWidth="1"/>
    <col min="6677" max="6911" width="8.85546875" style="406"/>
    <col min="6912" max="6912" width="6.85546875" style="406" customWidth="1"/>
    <col min="6913" max="6913" width="22.140625" style="406" customWidth="1"/>
    <col min="6914" max="6915" width="13.42578125" style="406" customWidth="1"/>
    <col min="6916" max="6916" width="10.85546875" style="406" customWidth="1"/>
    <col min="6917" max="6918" width="13" style="406" customWidth="1"/>
    <col min="6919" max="6920" width="11.7109375" style="406" customWidth="1"/>
    <col min="6921" max="6921" width="11.42578125" style="406" customWidth="1"/>
    <col min="6922" max="6922" width="12.5703125" style="406" customWidth="1"/>
    <col min="6923" max="6923" width="12" style="406" customWidth="1"/>
    <col min="6924" max="6924" width="12.7109375" style="406" customWidth="1"/>
    <col min="6925" max="6925" width="11.7109375" style="406" customWidth="1"/>
    <col min="6926" max="6926" width="10.85546875" style="406" customWidth="1"/>
    <col min="6927" max="6927" width="12.7109375" style="406" customWidth="1"/>
    <col min="6928" max="6928" width="10.5703125" style="406" customWidth="1"/>
    <col min="6929" max="6929" width="7.5703125" style="406" customWidth="1"/>
    <col min="6930" max="6930" width="8.85546875" style="406"/>
    <col min="6931" max="6931" width="13" style="406" customWidth="1"/>
    <col min="6932" max="6932" width="11.42578125" style="406" customWidth="1"/>
    <col min="6933" max="7167" width="8.85546875" style="406"/>
    <col min="7168" max="7168" width="6.85546875" style="406" customWidth="1"/>
    <col min="7169" max="7169" width="22.140625" style="406" customWidth="1"/>
    <col min="7170" max="7171" width="13.42578125" style="406" customWidth="1"/>
    <col min="7172" max="7172" width="10.85546875" style="406" customWidth="1"/>
    <col min="7173" max="7174" width="13" style="406" customWidth="1"/>
    <col min="7175" max="7176" width="11.7109375" style="406" customWidth="1"/>
    <col min="7177" max="7177" width="11.42578125" style="406" customWidth="1"/>
    <col min="7178" max="7178" width="12.5703125" style="406" customWidth="1"/>
    <col min="7179" max="7179" width="12" style="406" customWidth="1"/>
    <col min="7180" max="7180" width="12.7109375" style="406" customWidth="1"/>
    <col min="7181" max="7181" width="11.7109375" style="406" customWidth="1"/>
    <col min="7182" max="7182" width="10.85546875" style="406" customWidth="1"/>
    <col min="7183" max="7183" width="12.7109375" style="406" customWidth="1"/>
    <col min="7184" max="7184" width="10.5703125" style="406" customWidth="1"/>
    <col min="7185" max="7185" width="7.5703125" style="406" customWidth="1"/>
    <col min="7186" max="7186" width="8.85546875" style="406"/>
    <col min="7187" max="7187" width="13" style="406" customWidth="1"/>
    <col min="7188" max="7188" width="11.42578125" style="406" customWidth="1"/>
    <col min="7189" max="7423" width="8.85546875" style="406"/>
    <col min="7424" max="7424" width="6.85546875" style="406" customWidth="1"/>
    <col min="7425" max="7425" width="22.140625" style="406" customWidth="1"/>
    <col min="7426" max="7427" width="13.42578125" style="406" customWidth="1"/>
    <col min="7428" max="7428" width="10.85546875" style="406" customWidth="1"/>
    <col min="7429" max="7430" width="13" style="406" customWidth="1"/>
    <col min="7431" max="7432" width="11.7109375" style="406" customWidth="1"/>
    <col min="7433" max="7433" width="11.42578125" style="406" customWidth="1"/>
    <col min="7434" max="7434" width="12.5703125" style="406" customWidth="1"/>
    <col min="7435" max="7435" width="12" style="406" customWidth="1"/>
    <col min="7436" max="7436" width="12.7109375" style="406" customWidth="1"/>
    <col min="7437" max="7437" width="11.7109375" style="406" customWidth="1"/>
    <col min="7438" max="7438" width="10.85546875" style="406" customWidth="1"/>
    <col min="7439" max="7439" width="12.7109375" style="406" customWidth="1"/>
    <col min="7440" max="7440" width="10.5703125" style="406" customWidth="1"/>
    <col min="7441" max="7441" width="7.5703125" style="406" customWidth="1"/>
    <col min="7442" max="7442" width="8.85546875" style="406"/>
    <col min="7443" max="7443" width="13" style="406" customWidth="1"/>
    <col min="7444" max="7444" width="11.42578125" style="406" customWidth="1"/>
    <col min="7445" max="7679" width="8.85546875" style="406"/>
    <col min="7680" max="7680" width="6.85546875" style="406" customWidth="1"/>
    <col min="7681" max="7681" width="22.140625" style="406" customWidth="1"/>
    <col min="7682" max="7683" width="13.42578125" style="406" customWidth="1"/>
    <col min="7684" max="7684" width="10.85546875" style="406" customWidth="1"/>
    <col min="7685" max="7686" width="13" style="406" customWidth="1"/>
    <col min="7687" max="7688" width="11.7109375" style="406" customWidth="1"/>
    <col min="7689" max="7689" width="11.42578125" style="406" customWidth="1"/>
    <col min="7690" max="7690" width="12.5703125" style="406" customWidth="1"/>
    <col min="7691" max="7691" width="12" style="406" customWidth="1"/>
    <col min="7692" max="7692" width="12.7109375" style="406" customWidth="1"/>
    <col min="7693" max="7693" width="11.7109375" style="406" customWidth="1"/>
    <col min="7694" max="7694" width="10.85546875" style="406" customWidth="1"/>
    <col min="7695" max="7695" width="12.7109375" style="406" customWidth="1"/>
    <col min="7696" max="7696" width="10.5703125" style="406" customWidth="1"/>
    <col min="7697" max="7697" width="7.5703125" style="406" customWidth="1"/>
    <col min="7698" max="7698" width="8.85546875" style="406"/>
    <col min="7699" max="7699" width="13" style="406" customWidth="1"/>
    <col min="7700" max="7700" width="11.42578125" style="406" customWidth="1"/>
    <col min="7701" max="7935" width="8.85546875" style="406"/>
    <col min="7936" max="7936" width="6.85546875" style="406" customWidth="1"/>
    <col min="7937" max="7937" width="22.140625" style="406" customWidth="1"/>
    <col min="7938" max="7939" width="13.42578125" style="406" customWidth="1"/>
    <col min="7940" max="7940" width="10.85546875" style="406" customWidth="1"/>
    <col min="7941" max="7942" width="13" style="406" customWidth="1"/>
    <col min="7943" max="7944" width="11.7109375" style="406" customWidth="1"/>
    <col min="7945" max="7945" width="11.42578125" style="406" customWidth="1"/>
    <col min="7946" max="7946" width="12.5703125" style="406" customWidth="1"/>
    <col min="7947" max="7947" width="12" style="406" customWidth="1"/>
    <col min="7948" max="7948" width="12.7109375" style="406" customWidth="1"/>
    <col min="7949" max="7949" width="11.7109375" style="406" customWidth="1"/>
    <col min="7950" max="7950" width="10.85546875" style="406" customWidth="1"/>
    <col min="7951" max="7951" width="12.7109375" style="406" customWidth="1"/>
    <col min="7952" max="7952" width="10.5703125" style="406" customWidth="1"/>
    <col min="7953" max="7953" width="7.5703125" style="406" customWidth="1"/>
    <col min="7954" max="7954" width="8.85546875" style="406"/>
    <col min="7955" max="7955" width="13" style="406" customWidth="1"/>
    <col min="7956" max="7956" width="11.42578125" style="406" customWidth="1"/>
    <col min="7957" max="8191" width="8.85546875" style="406"/>
    <col min="8192" max="8192" width="6.85546875" style="406" customWidth="1"/>
    <col min="8193" max="8193" width="22.140625" style="406" customWidth="1"/>
    <col min="8194" max="8195" width="13.42578125" style="406" customWidth="1"/>
    <col min="8196" max="8196" width="10.85546875" style="406" customWidth="1"/>
    <col min="8197" max="8198" width="13" style="406" customWidth="1"/>
    <col min="8199" max="8200" width="11.7109375" style="406" customWidth="1"/>
    <col min="8201" max="8201" width="11.42578125" style="406" customWidth="1"/>
    <col min="8202" max="8202" width="12.5703125" style="406" customWidth="1"/>
    <col min="8203" max="8203" width="12" style="406" customWidth="1"/>
    <col min="8204" max="8204" width="12.7109375" style="406" customWidth="1"/>
    <col min="8205" max="8205" width="11.7109375" style="406" customWidth="1"/>
    <col min="8206" max="8206" width="10.85546875" style="406" customWidth="1"/>
    <col min="8207" max="8207" width="12.7109375" style="406" customWidth="1"/>
    <col min="8208" max="8208" width="10.5703125" style="406" customWidth="1"/>
    <col min="8209" max="8209" width="7.5703125" style="406" customWidth="1"/>
    <col min="8210" max="8210" width="8.85546875" style="406"/>
    <col min="8211" max="8211" width="13" style="406" customWidth="1"/>
    <col min="8212" max="8212" width="11.42578125" style="406" customWidth="1"/>
    <col min="8213" max="8447" width="8.85546875" style="406"/>
    <col min="8448" max="8448" width="6.85546875" style="406" customWidth="1"/>
    <col min="8449" max="8449" width="22.140625" style="406" customWidth="1"/>
    <col min="8450" max="8451" width="13.42578125" style="406" customWidth="1"/>
    <col min="8452" max="8452" width="10.85546875" style="406" customWidth="1"/>
    <col min="8453" max="8454" width="13" style="406" customWidth="1"/>
    <col min="8455" max="8456" width="11.7109375" style="406" customWidth="1"/>
    <col min="8457" max="8457" width="11.42578125" style="406" customWidth="1"/>
    <col min="8458" max="8458" width="12.5703125" style="406" customWidth="1"/>
    <col min="8459" max="8459" width="12" style="406" customWidth="1"/>
    <col min="8460" max="8460" width="12.7109375" style="406" customWidth="1"/>
    <col min="8461" max="8461" width="11.7109375" style="406" customWidth="1"/>
    <col min="8462" max="8462" width="10.85546875" style="406" customWidth="1"/>
    <col min="8463" max="8463" width="12.7109375" style="406" customWidth="1"/>
    <col min="8464" max="8464" width="10.5703125" style="406" customWidth="1"/>
    <col min="8465" max="8465" width="7.5703125" style="406" customWidth="1"/>
    <col min="8466" max="8466" width="8.85546875" style="406"/>
    <col min="8467" max="8467" width="13" style="406" customWidth="1"/>
    <col min="8468" max="8468" width="11.42578125" style="406" customWidth="1"/>
    <col min="8469" max="8703" width="8.85546875" style="406"/>
    <col min="8704" max="8704" width="6.85546875" style="406" customWidth="1"/>
    <col min="8705" max="8705" width="22.140625" style="406" customWidth="1"/>
    <col min="8706" max="8707" width="13.42578125" style="406" customWidth="1"/>
    <col min="8708" max="8708" width="10.85546875" style="406" customWidth="1"/>
    <col min="8709" max="8710" width="13" style="406" customWidth="1"/>
    <col min="8711" max="8712" width="11.7109375" style="406" customWidth="1"/>
    <col min="8713" max="8713" width="11.42578125" style="406" customWidth="1"/>
    <col min="8714" max="8714" width="12.5703125" style="406" customWidth="1"/>
    <col min="8715" max="8715" width="12" style="406" customWidth="1"/>
    <col min="8716" max="8716" width="12.7109375" style="406" customWidth="1"/>
    <col min="8717" max="8717" width="11.7109375" style="406" customWidth="1"/>
    <col min="8718" max="8718" width="10.85546875" style="406" customWidth="1"/>
    <col min="8719" max="8719" width="12.7109375" style="406" customWidth="1"/>
    <col min="8720" max="8720" width="10.5703125" style="406" customWidth="1"/>
    <col min="8721" max="8721" width="7.5703125" style="406" customWidth="1"/>
    <col min="8722" max="8722" width="8.85546875" style="406"/>
    <col min="8723" max="8723" width="13" style="406" customWidth="1"/>
    <col min="8724" max="8724" width="11.42578125" style="406" customWidth="1"/>
    <col min="8725" max="8959" width="8.85546875" style="406"/>
    <col min="8960" max="8960" width="6.85546875" style="406" customWidth="1"/>
    <col min="8961" max="8961" width="22.140625" style="406" customWidth="1"/>
    <col min="8962" max="8963" width="13.42578125" style="406" customWidth="1"/>
    <col min="8964" max="8964" width="10.85546875" style="406" customWidth="1"/>
    <col min="8965" max="8966" width="13" style="406" customWidth="1"/>
    <col min="8967" max="8968" width="11.7109375" style="406" customWidth="1"/>
    <col min="8969" max="8969" width="11.42578125" style="406" customWidth="1"/>
    <col min="8970" max="8970" width="12.5703125" style="406" customWidth="1"/>
    <col min="8971" max="8971" width="12" style="406" customWidth="1"/>
    <col min="8972" max="8972" width="12.7109375" style="406" customWidth="1"/>
    <col min="8973" max="8973" width="11.7109375" style="406" customWidth="1"/>
    <col min="8974" max="8974" width="10.85546875" style="406" customWidth="1"/>
    <col min="8975" max="8975" width="12.7109375" style="406" customWidth="1"/>
    <col min="8976" max="8976" width="10.5703125" style="406" customWidth="1"/>
    <col min="8977" max="8977" width="7.5703125" style="406" customWidth="1"/>
    <col min="8978" max="8978" width="8.85546875" style="406"/>
    <col min="8979" max="8979" width="13" style="406" customWidth="1"/>
    <col min="8980" max="8980" width="11.42578125" style="406" customWidth="1"/>
    <col min="8981" max="9215" width="8.85546875" style="406"/>
    <col min="9216" max="9216" width="6.85546875" style="406" customWidth="1"/>
    <col min="9217" max="9217" width="22.140625" style="406" customWidth="1"/>
    <col min="9218" max="9219" width="13.42578125" style="406" customWidth="1"/>
    <col min="9220" max="9220" width="10.85546875" style="406" customWidth="1"/>
    <col min="9221" max="9222" width="13" style="406" customWidth="1"/>
    <col min="9223" max="9224" width="11.7109375" style="406" customWidth="1"/>
    <col min="9225" max="9225" width="11.42578125" style="406" customWidth="1"/>
    <col min="9226" max="9226" width="12.5703125" style="406" customWidth="1"/>
    <col min="9227" max="9227" width="12" style="406" customWidth="1"/>
    <col min="9228" max="9228" width="12.7109375" style="406" customWidth="1"/>
    <col min="9229" max="9229" width="11.7109375" style="406" customWidth="1"/>
    <col min="9230" max="9230" width="10.85546875" style="406" customWidth="1"/>
    <col min="9231" max="9231" width="12.7109375" style="406" customWidth="1"/>
    <col min="9232" max="9232" width="10.5703125" style="406" customWidth="1"/>
    <col min="9233" max="9233" width="7.5703125" style="406" customWidth="1"/>
    <col min="9234" max="9234" width="8.85546875" style="406"/>
    <col min="9235" max="9235" width="13" style="406" customWidth="1"/>
    <col min="9236" max="9236" width="11.42578125" style="406" customWidth="1"/>
    <col min="9237" max="9471" width="8.85546875" style="406"/>
    <col min="9472" max="9472" width="6.85546875" style="406" customWidth="1"/>
    <col min="9473" max="9473" width="22.140625" style="406" customWidth="1"/>
    <col min="9474" max="9475" width="13.42578125" style="406" customWidth="1"/>
    <col min="9476" max="9476" width="10.85546875" style="406" customWidth="1"/>
    <col min="9477" max="9478" width="13" style="406" customWidth="1"/>
    <col min="9479" max="9480" width="11.7109375" style="406" customWidth="1"/>
    <col min="9481" max="9481" width="11.42578125" style="406" customWidth="1"/>
    <col min="9482" max="9482" width="12.5703125" style="406" customWidth="1"/>
    <col min="9483" max="9483" width="12" style="406" customWidth="1"/>
    <col min="9484" max="9484" width="12.7109375" style="406" customWidth="1"/>
    <col min="9485" max="9485" width="11.7109375" style="406" customWidth="1"/>
    <col min="9486" max="9486" width="10.85546875" style="406" customWidth="1"/>
    <col min="9487" max="9487" width="12.7109375" style="406" customWidth="1"/>
    <col min="9488" max="9488" width="10.5703125" style="406" customWidth="1"/>
    <col min="9489" max="9489" width="7.5703125" style="406" customWidth="1"/>
    <col min="9490" max="9490" width="8.85546875" style="406"/>
    <col min="9491" max="9491" width="13" style="406" customWidth="1"/>
    <col min="9492" max="9492" width="11.42578125" style="406" customWidth="1"/>
    <col min="9493" max="9727" width="8.85546875" style="406"/>
    <col min="9728" max="9728" width="6.85546875" style="406" customWidth="1"/>
    <col min="9729" max="9729" width="22.140625" style="406" customWidth="1"/>
    <col min="9730" max="9731" width="13.42578125" style="406" customWidth="1"/>
    <col min="9732" max="9732" width="10.85546875" style="406" customWidth="1"/>
    <col min="9733" max="9734" width="13" style="406" customWidth="1"/>
    <col min="9735" max="9736" width="11.7109375" style="406" customWidth="1"/>
    <col min="9737" max="9737" width="11.42578125" style="406" customWidth="1"/>
    <col min="9738" max="9738" width="12.5703125" style="406" customWidth="1"/>
    <col min="9739" max="9739" width="12" style="406" customWidth="1"/>
    <col min="9740" max="9740" width="12.7109375" style="406" customWidth="1"/>
    <col min="9741" max="9741" width="11.7109375" style="406" customWidth="1"/>
    <col min="9742" max="9742" width="10.85546875" style="406" customWidth="1"/>
    <col min="9743" max="9743" width="12.7109375" style="406" customWidth="1"/>
    <col min="9744" max="9744" width="10.5703125" style="406" customWidth="1"/>
    <col min="9745" max="9745" width="7.5703125" style="406" customWidth="1"/>
    <col min="9746" max="9746" width="8.85546875" style="406"/>
    <col min="9747" max="9747" width="13" style="406" customWidth="1"/>
    <col min="9748" max="9748" width="11.42578125" style="406" customWidth="1"/>
    <col min="9749" max="9983" width="8.85546875" style="406"/>
    <col min="9984" max="9984" width="6.85546875" style="406" customWidth="1"/>
    <col min="9985" max="9985" width="22.140625" style="406" customWidth="1"/>
    <col min="9986" max="9987" width="13.42578125" style="406" customWidth="1"/>
    <col min="9988" max="9988" width="10.85546875" style="406" customWidth="1"/>
    <col min="9989" max="9990" width="13" style="406" customWidth="1"/>
    <col min="9991" max="9992" width="11.7109375" style="406" customWidth="1"/>
    <col min="9993" max="9993" width="11.42578125" style="406" customWidth="1"/>
    <col min="9994" max="9994" width="12.5703125" style="406" customWidth="1"/>
    <col min="9995" max="9995" width="12" style="406" customWidth="1"/>
    <col min="9996" max="9996" width="12.7109375" style="406" customWidth="1"/>
    <col min="9997" max="9997" width="11.7109375" style="406" customWidth="1"/>
    <col min="9998" max="9998" width="10.85546875" style="406" customWidth="1"/>
    <col min="9999" max="9999" width="12.7109375" style="406" customWidth="1"/>
    <col min="10000" max="10000" width="10.5703125" style="406" customWidth="1"/>
    <col min="10001" max="10001" width="7.5703125" style="406" customWidth="1"/>
    <col min="10002" max="10002" width="8.85546875" style="406"/>
    <col min="10003" max="10003" width="13" style="406" customWidth="1"/>
    <col min="10004" max="10004" width="11.42578125" style="406" customWidth="1"/>
    <col min="10005" max="10239" width="8.85546875" style="406"/>
    <col min="10240" max="10240" width="6.85546875" style="406" customWidth="1"/>
    <col min="10241" max="10241" width="22.140625" style="406" customWidth="1"/>
    <col min="10242" max="10243" width="13.42578125" style="406" customWidth="1"/>
    <col min="10244" max="10244" width="10.85546875" style="406" customWidth="1"/>
    <col min="10245" max="10246" width="13" style="406" customWidth="1"/>
    <col min="10247" max="10248" width="11.7109375" style="406" customWidth="1"/>
    <col min="10249" max="10249" width="11.42578125" style="406" customWidth="1"/>
    <col min="10250" max="10250" width="12.5703125" style="406" customWidth="1"/>
    <col min="10251" max="10251" width="12" style="406" customWidth="1"/>
    <col min="10252" max="10252" width="12.7109375" style="406" customWidth="1"/>
    <col min="10253" max="10253" width="11.7109375" style="406" customWidth="1"/>
    <col min="10254" max="10254" width="10.85546875" style="406" customWidth="1"/>
    <col min="10255" max="10255" width="12.7109375" style="406" customWidth="1"/>
    <col min="10256" max="10256" width="10.5703125" style="406" customWidth="1"/>
    <col min="10257" max="10257" width="7.5703125" style="406" customWidth="1"/>
    <col min="10258" max="10258" width="8.85546875" style="406"/>
    <col min="10259" max="10259" width="13" style="406" customWidth="1"/>
    <col min="10260" max="10260" width="11.42578125" style="406" customWidth="1"/>
    <col min="10261" max="10495" width="8.85546875" style="406"/>
    <col min="10496" max="10496" width="6.85546875" style="406" customWidth="1"/>
    <col min="10497" max="10497" width="22.140625" style="406" customWidth="1"/>
    <col min="10498" max="10499" width="13.42578125" style="406" customWidth="1"/>
    <col min="10500" max="10500" width="10.85546875" style="406" customWidth="1"/>
    <col min="10501" max="10502" width="13" style="406" customWidth="1"/>
    <col min="10503" max="10504" width="11.7109375" style="406" customWidth="1"/>
    <col min="10505" max="10505" width="11.42578125" style="406" customWidth="1"/>
    <col min="10506" max="10506" width="12.5703125" style="406" customWidth="1"/>
    <col min="10507" max="10507" width="12" style="406" customWidth="1"/>
    <col min="10508" max="10508" width="12.7109375" style="406" customWidth="1"/>
    <col min="10509" max="10509" width="11.7109375" style="406" customWidth="1"/>
    <col min="10510" max="10510" width="10.85546875" style="406" customWidth="1"/>
    <col min="10511" max="10511" width="12.7109375" style="406" customWidth="1"/>
    <col min="10512" max="10512" width="10.5703125" style="406" customWidth="1"/>
    <col min="10513" max="10513" width="7.5703125" style="406" customWidth="1"/>
    <col min="10514" max="10514" width="8.85546875" style="406"/>
    <col min="10515" max="10515" width="13" style="406" customWidth="1"/>
    <col min="10516" max="10516" width="11.42578125" style="406" customWidth="1"/>
    <col min="10517" max="10751" width="8.85546875" style="406"/>
    <col min="10752" max="10752" width="6.85546875" style="406" customWidth="1"/>
    <col min="10753" max="10753" width="22.140625" style="406" customWidth="1"/>
    <col min="10754" max="10755" width="13.42578125" style="406" customWidth="1"/>
    <col min="10756" max="10756" width="10.85546875" style="406" customWidth="1"/>
    <col min="10757" max="10758" width="13" style="406" customWidth="1"/>
    <col min="10759" max="10760" width="11.7109375" style="406" customWidth="1"/>
    <col min="10761" max="10761" width="11.42578125" style="406" customWidth="1"/>
    <col min="10762" max="10762" width="12.5703125" style="406" customWidth="1"/>
    <col min="10763" max="10763" width="12" style="406" customWidth="1"/>
    <col min="10764" max="10764" width="12.7109375" style="406" customWidth="1"/>
    <col min="10765" max="10765" width="11.7109375" style="406" customWidth="1"/>
    <col min="10766" max="10766" width="10.85546875" style="406" customWidth="1"/>
    <col min="10767" max="10767" width="12.7109375" style="406" customWidth="1"/>
    <col min="10768" max="10768" width="10.5703125" style="406" customWidth="1"/>
    <col min="10769" max="10769" width="7.5703125" style="406" customWidth="1"/>
    <col min="10770" max="10770" width="8.85546875" style="406"/>
    <col min="10771" max="10771" width="13" style="406" customWidth="1"/>
    <col min="10772" max="10772" width="11.42578125" style="406" customWidth="1"/>
    <col min="10773" max="11007" width="8.85546875" style="406"/>
    <col min="11008" max="11008" width="6.85546875" style="406" customWidth="1"/>
    <col min="11009" max="11009" width="22.140625" style="406" customWidth="1"/>
    <col min="11010" max="11011" width="13.42578125" style="406" customWidth="1"/>
    <col min="11012" max="11012" width="10.85546875" style="406" customWidth="1"/>
    <col min="11013" max="11014" width="13" style="406" customWidth="1"/>
    <col min="11015" max="11016" width="11.7109375" style="406" customWidth="1"/>
    <col min="11017" max="11017" width="11.42578125" style="406" customWidth="1"/>
    <col min="11018" max="11018" width="12.5703125" style="406" customWidth="1"/>
    <col min="11019" max="11019" width="12" style="406" customWidth="1"/>
    <col min="11020" max="11020" width="12.7109375" style="406" customWidth="1"/>
    <col min="11021" max="11021" width="11.7109375" style="406" customWidth="1"/>
    <col min="11022" max="11022" width="10.85546875" style="406" customWidth="1"/>
    <col min="11023" max="11023" width="12.7109375" style="406" customWidth="1"/>
    <col min="11024" max="11024" width="10.5703125" style="406" customWidth="1"/>
    <col min="11025" max="11025" width="7.5703125" style="406" customWidth="1"/>
    <col min="11026" max="11026" width="8.85546875" style="406"/>
    <col min="11027" max="11027" width="13" style="406" customWidth="1"/>
    <col min="11028" max="11028" width="11.42578125" style="406" customWidth="1"/>
    <col min="11029" max="11263" width="8.85546875" style="406"/>
    <col min="11264" max="11264" width="6.85546875" style="406" customWidth="1"/>
    <col min="11265" max="11265" width="22.140625" style="406" customWidth="1"/>
    <col min="11266" max="11267" width="13.42578125" style="406" customWidth="1"/>
    <col min="11268" max="11268" width="10.85546875" style="406" customWidth="1"/>
    <col min="11269" max="11270" width="13" style="406" customWidth="1"/>
    <col min="11271" max="11272" width="11.7109375" style="406" customWidth="1"/>
    <col min="11273" max="11273" width="11.42578125" style="406" customWidth="1"/>
    <col min="11274" max="11274" width="12.5703125" style="406" customWidth="1"/>
    <col min="11275" max="11275" width="12" style="406" customWidth="1"/>
    <col min="11276" max="11276" width="12.7109375" style="406" customWidth="1"/>
    <col min="11277" max="11277" width="11.7109375" style="406" customWidth="1"/>
    <col min="11278" max="11278" width="10.85546875" style="406" customWidth="1"/>
    <col min="11279" max="11279" width="12.7109375" style="406" customWidth="1"/>
    <col min="11280" max="11280" width="10.5703125" style="406" customWidth="1"/>
    <col min="11281" max="11281" width="7.5703125" style="406" customWidth="1"/>
    <col min="11282" max="11282" width="8.85546875" style="406"/>
    <col min="11283" max="11283" width="13" style="406" customWidth="1"/>
    <col min="11284" max="11284" width="11.42578125" style="406" customWidth="1"/>
    <col min="11285" max="11519" width="8.85546875" style="406"/>
    <col min="11520" max="11520" width="6.85546875" style="406" customWidth="1"/>
    <col min="11521" max="11521" width="22.140625" style="406" customWidth="1"/>
    <col min="11522" max="11523" width="13.42578125" style="406" customWidth="1"/>
    <col min="11524" max="11524" width="10.85546875" style="406" customWidth="1"/>
    <col min="11525" max="11526" width="13" style="406" customWidth="1"/>
    <col min="11527" max="11528" width="11.7109375" style="406" customWidth="1"/>
    <col min="11529" max="11529" width="11.42578125" style="406" customWidth="1"/>
    <col min="11530" max="11530" width="12.5703125" style="406" customWidth="1"/>
    <col min="11531" max="11531" width="12" style="406" customWidth="1"/>
    <col min="11532" max="11532" width="12.7109375" style="406" customWidth="1"/>
    <col min="11533" max="11533" width="11.7109375" style="406" customWidth="1"/>
    <col min="11534" max="11534" width="10.85546875" style="406" customWidth="1"/>
    <col min="11535" max="11535" width="12.7109375" style="406" customWidth="1"/>
    <col min="11536" max="11536" width="10.5703125" style="406" customWidth="1"/>
    <col min="11537" max="11537" width="7.5703125" style="406" customWidth="1"/>
    <col min="11538" max="11538" width="8.85546875" style="406"/>
    <col min="11539" max="11539" width="13" style="406" customWidth="1"/>
    <col min="11540" max="11540" width="11.42578125" style="406" customWidth="1"/>
    <col min="11541" max="11775" width="8.85546875" style="406"/>
    <col min="11776" max="11776" width="6.85546875" style="406" customWidth="1"/>
    <col min="11777" max="11777" width="22.140625" style="406" customWidth="1"/>
    <col min="11778" max="11779" width="13.42578125" style="406" customWidth="1"/>
    <col min="11780" max="11780" width="10.85546875" style="406" customWidth="1"/>
    <col min="11781" max="11782" width="13" style="406" customWidth="1"/>
    <col min="11783" max="11784" width="11.7109375" style="406" customWidth="1"/>
    <col min="11785" max="11785" width="11.42578125" style="406" customWidth="1"/>
    <col min="11786" max="11786" width="12.5703125" style="406" customWidth="1"/>
    <col min="11787" max="11787" width="12" style="406" customWidth="1"/>
    <col min="11788" max="11788" width="12.7109375" style="406" customWidth="1"/>
    <col min="11789" max="11789" width="11.7109375" style="406" customWidth="1"/>
    <col min="11790" max="11790" width="10.85546875" style="406" customWidth="1"/>
    <col min="11791" max="11791" width="12.7109375" style="406" customWidth="1"/>
    <col min="11792" max="11792" width="10.5703125" style="406" customWidth="1"/>
    <col min="11793" max="11793" width="7.5703125" style="406" customWidth="1"/>
    <col min="11794" max="11794" width="8.85546875" style="406"/>
    <col min="11795" max="11795" width="13" style="406" customWidth="1"/>
    <col min="11796" max="11796" width="11.42578125" style="406" customWidth="1"/>
    <col min="11797" max="12031" width="8.85546875" style="406"/>
    <col min="12032" max="12032" width="6.85546875" style="406" customWidth="1"/>
    <col min="12033" max="12033" width="22.140625" style="406" customWidth="1"/>
    <col min="12034" max="12035" width="13.42578125" style="406" customWidth="1"/>
    <col min="12036" max="12036" width="10.85546875" style="406" customWidth="1"/>
    <col min="12037" max="12038" width="13" style="406" customWidth="1"/>
    <col min="12039" max="12040" width="11.7109375" style="406" customWidth="1"/>
    <col min="12041" max="12041" width="11.42578125" style="406" customWidth="1"/>
    <col min="12042" max="12042" width="12.5703125" style="406" customWidth="1"/>
    <col min="12043" max="12043" width="12" style="406" customWidth="1"/>
    <col min="12044" max="12044" width="12.7109375" style="406" customWidth="1"/>
    <col min="12045" max="12045" width="11.7109375" style="406" customWidth="1"/>
    <col min="12046" max="12046" width="10.85546875" style="406" customWidth="1"/>
    <col min="12047" max="12047" width="12.7109375" style="406" customWidth="1"/>
    <col min="12048" max="12048" width="10.5703125" style="406" customWidth="1"/>
    <col min="12049" max="12049" width="7.5703125" style="406" customWidth="1"/>
    <col min="12050" max="12050" width="8.85546875" style="406"/>
    <col min="12051" max="12051" width="13" style="406" customWidth="1"/>
    <col min="12052" max="12052" width="11.42578125" style="406" customWidth="1"/>
    <col min="12053" max="12287" width="8.85546875" style="406"/>
    <col min="12288" max="12288" width="6.85546875" style="406" customWidth="1"/>
    <col min="12289" max="12289" width="22.140625" style="406" customWidth="1"/>
    <col min="12290" max="12291" width="13.42578125" style="406" customWidth="1"/>
    <col min="12292" max="12292" width="10.85546875" style="406" customWidth="1"/>
    <col min="12293" max="12294" width="13" style="406" customWidth="1"/>
    <col min="12295" max="12296" width="11.7109375" style="406" customWidth="1"/>
    <col min="12297" max="12297" width="11.42578125" style="406" customWidth="1"/>
    <col min="12298" max="12298" width="12.5703125" style="406" customWidth="1"/>
    <col min="12299" max="12299" width="12" style="406" customWidth="1"/>
    <col min="12300" max="12300" width="12.7109375" style="406" customWidth="1"/>
    <col min="12301" max="12301" width="11.7109375" style="406" customWidth="1"/>
    <col min="12302" max="12302" width="10.85546875" style="406" customWidth="1"/>
    <col min="12303" max="12303" width="12.7109375" style="406" customWidth="1"/>
    <col min="12304" max="12304" width="10.5703125" style="406" customWidth="1"/>
    <col min="12305" max="12305" width="7.5703125" style="406" customWidth="1"/>
    <col min="12306" max="12306" width="8.85546875" style="406"/>
    <col min="12307" max="12307" width="13" style="406" customWidth="1"/>
    <col min="12308" max="12308" width="11.42578125" style="406" customWidth="1"/>
    <col min="12309" max="12543" width="8.85546875" style="406"/>
    <col min="12544" max="12544" width="6.85546875" style="406" customWidth="1"/>
    <col min="12545" max="12545" width="22.140625" style="406" customWidth="1"/>
    <col min="12546" max="12547" width="13.42578125" style="406" customWidth="1"/>
    <col min="12548" max="12548" width="10.85546875" style="406" customWidth="1"/>
    <col min="12549" max="12550" width="13" style="406" customWidth="1"/>
    <col min="12551" max="12552" width="11.7109375" style="406" customWidth="1"/>
    <col min="12553" max="12553" width="11.42578125" style="406" customWidth="1"/>
    <col min="12554" max="12554" width="12.5703125" style="406" customWidth="1"/>
    <col min="12555" max="12555" width="12" style="406" customWidth="1"/>
    <col min="12556" max="12556" width="12.7109375" style="406" customWidth="1"/>
    <col min="12557" max="12557" width="11.7109375" style="406" customWidth="1"/>
    <col min="12558" max="12558" width="10.85546875" style="406" customWidth="1"/>
    <col min="12559" max="12559" width="12.7109375" style="406" customWidth="1"/>
    <col min="12560" max="12560" width="10.5703125" style="406" customWidth="1"/>
    <col min="12561" max="12561" width="7.5703125" style="406" customWidth="1"/>
    <col min="12562" max="12562" width="8.85546875" style="406"/>
    <col min="12563" max="12563" width="13" style="406" customWidth="1"/>
    <col min="12564" max="12564" width="11.42578125" style="406" customWidth="1"/>
    <col min="12565" max="12799" width="8.85546875" style="406"/>
    <col min="12800" max="12800" width="6.85546875" style="406" customWidth="1"/>
    <col min="12801" max="12801" width="22.140625" style="406" customWidth="1"/>
    <col min="12802" max="12803" width="13.42578125" style="406" customWidth="1"/>
    <col min="12804" max="12804" width="10.85546875" style="406" customWidth="1"/>
    <col min="12805" max="12806" width="13" style="406" customWidth="1"/>
    <col min="12807" max="12808" width="11.7109375" style="406" customWidth="1"/>
    <col min="12809" max="12809" width="11.42578125" style="406" customWidth="1"/>
    <col min="12810" max="12810" width="12.5703125" style="406" customWidth="1"/>
    <col min="12811" max="12811" width="12" style="406" customWidth="1"/>
    <col min="12812" max="12812" width="12.7109375" style="406" customWidth="1"/>
    <col min="12813" max="12813" width="11.7109375" style="406" customWidth="1"/>
    <col min="12814" max="12814" width="10.85546875" style="406" customWidth="1"/>
    <col min="12815" max="12815" width="12.7109375" style="406" customWidth="1"/>
    <col min="12816" max="12816" width="10.5703125" style="406" customWidth="1"/>
    <col min="12817" max="12817" width="7.5703125" style="406" customWidth="1"/>
    <col min="12818" max="12818" width="8.85546875" style="406"/>
    <col min="12819" max="12819" width="13" style="406" customWidth="1"/>
    <col min="12820" max="12820" width="11.42578125" style="406" customWidth="1"/>
    <col min="12821" max="13055" width="8.85546875" style="406"/>
    <col min="13056" max="13056" width="6.85546875" style="406" customWidth="1"/>
    <col min="13057" max="13057" width="22.140625" style="406" customWidth="1"/>
    <col min="13058" max="13059" width="13.42578125" style="406" customWidth="1"/>
    <col min="13060" max="13060" width="10.85546875" style="406" customWidth="1"/>
    <col min="13061" max="13062" width="13" style="406" customWidth="1"/>
    <col min="13063" max="13064" width="11.7109375" style="406" customWidth="1"/>
    <col min="13065" max="13065" width="11.42578125" style="406" customWidth="1"/>
    <col min="13066" max="13066" width="12.5703125" style="406" customWidth="1"/>
    <col min="13067" max="13067" width="12" style="406" customWidth="1"/>
    <col min="13068" max="13068" width="12.7109375" style="406" customWidth="1"/>
    <col min="13069" max="13069" width="11.7109375" style="406" customWidth="1"/>
    <col min="13070" max="13070" width="10.85546875" style="406" customWidth="1"/>
    <col min="13071" max="13071" width="12.7109375" style="406" customWidth="1"/>
    <col min="13072" max="13072" width="10.5703125" style="406" customWidth="1"/>
    <col min="13073" max="13073" width="7.5703125" style="406" customWidth="1"/>
    <col min="13074" max="13074" width="8.85546875" style="406"/>
    <col min="13075" max="13075" width="13" style="406" customWidth="1"/>
    <col min="13076" max="13076" width="11.42578125" style="406" customWidth="1"/>
    <col min="13077" max="13311" width="8.85546875" style="406"/>
    <col min="13312" max="13312" width="6.85546875" style="406" customWidth="1"/>
    <col min="13313" max="13313" width="22.140625" style="406" customWidth="1"/>
    <col min="13314" max="13315" width="13.42578125" style="406" customWidth="1"/>
    <col min="13316" max="13316" width="10.85546875" style="406" customWidth="1"/>
    <col min="13317" max="13318" width="13" style="406" customWidth="1"/>
    <col min="13319" max="13320" width="11.7109375" style="406" customWidth="1"/>
    <col min="13321" max="13321" width="11.42578125" style="406" customWidth="1"/>
    <col min="13322" max="13322" width="12.5703125" style="406" customWidth="1"/>
    <col min="13323" max="13323" width="12" style="406" customWidth="1"/>
    <col min="13324" max="13324" width="12.7109375" style="406" customWidth="1"/>
    <col min="13325" max="13325" width="11.7109375" style="406" customWidth="1"/>
    <col min="13326" max="13326" width="10.85546875" style="406" customWidth="1"/>
    <col min="13327" max="13327" width="12.7109375" style="406" customWidth="1"/>
    <col min="13328" max="13328" width="10.5703125" style="406" customWidth="1"/>
    <col min="13329" max="13329" width="7.5703125" style="406" customWidth="1"/>
    <col min="13330" max="13330" width="8.85546875" style="406"/>
    <col min="13331" max="13331" width="13" style="406" customWidth="1"/>
    <col min="13332" max="13332" width="11.42578125" style="406" customWidth="1"/>
    <col min="13333" max="13567" width="8.85546875" style="406"/>
    <col min="13568" max="13568" width="6.85546875" style="406" customWidth="1"/>
    <col min="13569" max="13569" width="22.140625" style="406" customWidth="1"/>
    <col min="13570" max="13571" width="13.42578125" style="406" customWidth="1"/>
    <col min="13572" max="13572" width="10.85546875" style="406" customWidth="1"/>
    <col min="13573" max="13574" width="13" style="406" customWidth="1"/>
    <col min="13575" max="13576" width="11.7109375" style="406" customWidth="1"/>
    <col min="13577" max="13577" width="11.42578125" style="406" customWidth="1"/>
    <col min="13578" max="13578" width="12.5703125" style="406" customWidth="1"/>
    <col min="13579" max="13579" width="12" style="406" customWidth="1"/>
    <col min="13580" max="13580" width="12.7109375" style="406" customWidth="1"/>
    <col min="13581" max="13581" width="11.7109375" style="406" customWidth="1"/>
    <col min="13582" max="13582" width="10.85546875" style="406" customWidth="1"/>
    <col min="13583" max="13583" width="12.7109375" style="406" customWidth="1"/>
    <col min="13584" max="13584" width="10.5703125" style="406" customWidth="1"/>
    <col min="13585" max="13585" width="7.5703125" style="406" customWidth="1"/>
    <col min="13586" max="13586" width="8.85546875" style="406"/>
    <col min="13587" max="13587" width="13" style="406" customWidth="1"/>
    <col min="13588" max="13588" width="11.42578125" style="406" customWidth="1"/>
    <col min="13589" max="13823" width="8.85546875" style="406"/>
    <col min="13824" max="13824" width="6.85546875" style="406" customWidth="1"/>
    <col min="13825" max="13825" width="22.140625" style="406" customWidth="1"/>
    <col min="13826" max="13827" width="13.42578125" style="406" customWidth="1"/>
    <col min="13828" max="13828" width="10.85546875" style="406" customWidth="1"/>
    <col min="13829" max="13830" width="13" style="406" customWidth="1"/>
    <col min="13831" max="13832" width="11.7109375" style="406" customWidth="1"/>
    <col min="13833" max="13833" width="11.42578125" style="406" customWidth="1"/>
    <col min="13834" max="13834" width="12.5703125" style="406" customWidth="1"/>
    <col min="13835" max="13835" width="12" style="406" customWidth="1"/>
    <col min="13836" max="13836" width="12.7109375" style="406" customWidth="1"/>
    <col min="13837" max="13837" width="11.7109375" style="406" customWidth="1"/>
    <col min="13838" max="13838" width="10.85546875" style="406" customWidth="1"/>
    <col min="13839" max="13839" width="12.7109375" style="406" customWidth="1"/>
    <col min="13840" max="13840" width="10.5703125" style="406" customWidth="1"/>
    <col min="13841" max="13841" width="7.5703125" style="406" customWidth="1"/>
    <col min="13842" max="13842" width="8.85546875" style="406"/>
    <col min="13843" max="13843" width="13" style="406" customWidth="1"/>
    <col min="13844" max="13844" width="11.42578125" style="406" customWidth="1"/>
    <col min="13845" max="14079" width="8.85546875" style="406"/>
    <col min="14080" max="14080" width="6.85546875" style="406" customWidth="1"/>
    <col min="14081" max="14081" width="22.140625" style="406" customWidth="1"/>
    <col min="14082" max="14083" width="13.42578125" style="406" customWidth="1"/>
    <col min="14084" max="14084" width="10.85546875" style="406" customWidth="1"/>
    <col min="14085" max="14086" width="13" style="406" customWidth="1"/>
    <col min="14087" max="14088" width="11.7109375" style="406" customWidth="1"/>
    <col min="14089" max="14089" width="11.42578125" style="406" customWidth="1"/>
    <col min="14090" max="14090" width="12.5703125" style="406" customWidth="1"/>
    <col min="14091" max="14091" width="12" style="406" customWidth="1"/>
    <col min="14092" max="14092" width="12.7109375" style="406" customWidth="1"/>
    <col min="14093" max="14093" width="11.7109375" style="406" customWidth="1"/>
    <col min="14094" max="14094" width="10.85546875" style="406" customWidth="1"/>
    <col min="14095" max="14095" width="12.7109375" style="406" customWidth="1"/>
    <col min="14096" max="14096" width="10.5703125" style="406" customWidth="1"/>
    <col min="14097" max="14097" width="7.5703125" style="406" customWidth="1"/>
    <col min="14098" max="14098" width="8.85546875" style="406"/>
    <col min="14099" max="14099" width="13" style="406" customWidth="1"/>
    <col min="14100" max="14100" width="11.42578125" style="406" customWidth="1"/>
    <col min="14101" max="14335" width="8.85546875" style="406"/>
    <col min="14336" max="14336" width="6.85546875" style="406" customWidth="1"/>
    <col min="14337" max="14337" width="22.140625" style="406" customWidth="1"/>
    <col min="14338" max="14339" width="13.42578125" style="406" customWidth="1"/>
    <col min="14340" max="14340" width="10.85546875" style="406" customWidth="1"/>
    <col min="14341" max="14342" width="13" style="406" customWidth="1"/>
    <col min="14343" max="14344" width="11.7109375" style="406" customWidth="1"/>
    <col min="14345" max="14345" width="11.42578125" style="406" customWidth="1"/>
    <col min="14346" max="14346" width="12.5703125" style="406" customWidth="1"/>
    <col min="14347" max="14347" width="12" style="406" customWidth="1"/>
    <col min="14348" max="14348" width="12.7109375" style="406" customWidth="1"/>
    <col min="14349" max="14349" width="11.7109375" style="406" customWidth="1"/>
    <col min="14350" max="14350" width="10.85546875" style="406" customWidth="1"/>
    <col min="14351" max="14351" width="12.7109375" style="406" customWidth="1"/>
    <col min="14352" max="14352" width="10.5703125" style="406" customWidth="1"/>
    <col min="14353" max="14353" width="7.5703125" style="406" customWidth="1"/>
    <col min="14354" max="14354" width="8.85546875" style="406"/>
    <col min="14355" max="14355" width="13" style="406" customWidth="1"/>
    <col min="14356" max="14356" width="11.42578125" style="406" customWidth="1"/>
    <col min="14357" max="14591" width="8.85546875" style="406"/>
    <col min="14592" max="14592" width="6.85546875" style="406" customWidth="1"/>
    <col min="14593" max="14593" width="22.140625" style="406" customWidth="1"/>
    <col min="14594" max="14595" width="13.42578125" style="406" customWidth="1"/>
    <col min="14596" max="14596" width="10.85546875" style="406" customWidth="1"/>
    <col min="14597" max="14598" width="13" style="406" customWidth="1"/>
    <col min="14599" max="14600" width="11.7109375" style="406" customWidth="1"/>
    <col min="14601" max="14601" width="11.42578125" style="406" customWidth="1"/>
    <col min="14602" max="14602" width="12.5703125" style="406" customWidth="1"/>
    <col min="14603" max="14603" width="12" style="406" customWidth="1"/>
    <col min="14604" max="14604" width="12.7109375" style="406" customWidth="1"/>
    <col min="14605" max="14605" width="11.7109375" style="406" customWidth="1"/>
    <col min="14606" max="14606" width="10.85546875" style="406" customWidth="1"/>
    <col min="14607" max="14607" width="12.7109375" style="406" customWidth="1"/>
    <col min="14608" max="14608" width="10.5703125" style="406" customWidth="1"/>
    <col min="14609" max="14609" width="7.5703125" style="406" customWidth="1"/>
    <col min="14610" max="14610" width="8.85546875" style="406"/>
    <col min="14611" max="14611" width="13" style="406" customWidth="1"/>
    <col min="14612" max="14612" width="11.42578125" style="406" customWidth="1"/>
    <col min="14613" max="14847" width="8.85546875" style="406"/>
    <col min="14848" max="14848" width="6.85546875" style="406" customWidth="1"/>
    <col min="14849" max="14849" width="22.140625" style="406" customWidth="1"/>
    <col min="14850" max="14851" width="13.42578125" style="406" customWidth="1"/>
    <col min="14852" max="14852" width="10.85546875" style="406" customWidth="1"/>
    <col min="14853" max="14854" width="13" style="406" customWidth="1"/>
    <col min="14855" max="14856" width="11.7109375" style="406" customWidth="1"/>
    <col min="14857" max="14857" width="11.42578125" style="406" customWidth="1"/>
    <col min="14858" max="14858" width="12.5703125" style="406" customWidth="1"/>
    <col min="14859" max="14859" width="12" style="406" customWidth="1"/>
    <col min="14860" max="14860" width="12.7109375" style="406" customWidth="1"/>
    <col min="14861" max="14861" width="11.7109375" style="406" customWidth="1"/>
    <col min="14862" max="14862" width="10.85546875" style="406" customWidth="1"/>
    <col min="14863" max="14863" width="12.7109375" style="406" customWidth="1"/>
    <col min="14864" max="14864" width="10.5703125" style="406" customWidth="1"/>
    <col min="14865" max="14865" width="7.5703125" style="406" customWidth="1"/>
    <col min="14866" max="14866" width="8.85546875" style="406"/>
    <col min="14867" max="14867" width="13" style="406" customWidth="1"/>
    <col min="14868" max="14868" width="11.42578125" style="406" customWidth="1"/>
    <col min="14869" max="15103" width="8.85546875" style="406"/>
    <col min="15104" max="15104" width="6.85546875" style="406" customWidth="1"/>
    <col min="15105" max="15105" width="22.140625" style="406" customWidth="1"/>
    <col min="15106" max="15107" width="13.42578125" style="406" customWidth="1"/>
    <col min="15108" max="15108" width="10.85546875" style="406" customWidth="1"/>
    <col min="15109" max="15110" width="13" style="406" customWidth="1"/>
    <col min="15111" max="15112" width="11.7109375" style="406" customWidth="1"/>
    <col min="15113" max="15113" width="11.42578125" style="406" customWidth="1"/>
    <col min="15114" max="15114" width="12.5703125" style="406" customWidth="1"/>
    <col min="15115" max="15115" width="12" style="406" customWidth="1"/>
    <col min="15116" max="15116" width="12.7109375" style="406" customWidth="1"/>
    <col min="15117" max="15117" width="11.7109375" style="406" customWidth="1"/>
    <col min="15118" max="15118" width="10.85546875" style="406" customWidth="1"/>
    <col min="15119" max="15119" width="12.7109375" style="406" customWidth="1"/>
    <col min="15120" max="15120" width="10.5703125" style="406" customWidth="1"/>
    <col min="15121" max="15121" width="7.5703125" style="406" customWidth="1"/>
    <col min="15122" max="15122" width="8.85546875" style="406"/>
    <col min="15123" max="15123" width="13" style="406" customWidth="1"/>
    <col min="15124" max="15124" width="11.42578125" style="406" customWidth="1"/>
    <col min="15125" max="15359" width="8.85546875" style="406"/>
    <col min="15360" max="15360" width="6.85546875" style="406" customWidth="1"/>
    <col min="15361" max="15361" width="22.140625" style="406" customWidth="1"/>
    <col min="15362" max="15363" width="13.42578125" style="406" customWidth="1"/>
    <col min="15364" max="15364" width="10.85546875" style="406" customWidth="1"/>
    <col min="15365" max="15366" width="13" style="406" customWidth="1"/>
    <col min="15367" max="15368" width="11.7109375" style="406" customWidth="1"/>
    <col min="15369" max="15369" width="11.42578125" style="406" customWidth="1"/>
    <col min="15370" max="15370" width="12.5703125" style="406" customWidth="1"/>
    <col min="15371" max="15371" width="12" style="406" customWidth="1"/>
    <col min="15372" max="15372" width="12.7109375" style="406" customWidth="1"/>
    <col min="15373" max="15373" width="11.7109375" style="406" customWidth="1"/>
    <col min="15374" max="15374" width="10.85546875" style="406" customWidth="1"/>
    <col min="15375" max="15375" width="12.7109375" style="406" customWidth="1"/>
    <col min="15376" max="15376" width="10.5703125" style="406" customWidth="1"/>
    <col min="15377" max="15377" width="7.5703125" style="406" customWidth="1"/>
    <col min="15378" max="15378" width="8.85546875" style="406"/>
    <col min="15379" max="15379" width="13" style="406" customWidth="1"/>
    <col min="15380" max="15380" width="11.42578125" style="406" customWidth="1"/>
    <col min="15381" max="15615" width="8.85546875" style="406"/>
    <col min="15616" max="15616" width="6.85546875" style="406" customWidth="1"/>
    <col min="15617" max="15617" width="22.140625" style="406" customWidth="1"/>
    <col min="15618" max="15619" width="13.42578125" style="406" customWidth="1"/>
    <col min="15620" max="15620" width="10.85546875" style="406" customWidth="1"/>
    <col min="15621" max="15622" width="13" style="406" customWidth="1"/>
    <col min="15623" max="15624" width="11.7109375" style="406" customWidth="1"/>
    <col min="15625" max="15625" width="11.42578125" style="406" customWidth="1"/>
    <col min="15626" max="15626" width="12.5703125" style="406" customWidth="1"/>
    <col min="15627" max="15627" width="12" style="406" customWidth="1"/>
    <col min="15628" max="15628" width="12.7109375" style="406" customWidth="1"/>
    <col min="15629" max="15629" width="11.7109375" style="406" customWidth="1"/>
    <col min="15630" max="15630" width="10.85546875" style="406" customWidth="1"/>
    <col min="15631" max="15631" width="12.7109375" style="406" customWidth="1"/>
    <col min="15632" max="15632" width="10.5703125" style="406" customWidth="1"/>
    <col min="15633" max="15633" width="7.5703125" style="406" customWidth="1"/>
    <col min="15634" max="15634" width="8.85546875" style="406"/>
    <col min="15635" max="15635" width="13" style="406" customWidth="1"/>
    <col min="15636" max="15636" width="11.42578125" style="406" customWidth="1"/>
    <col min="15637" max="15871" width="8.85546875" style="406"/>
    <col min="15872" max="15872" width="6.85546875" style="406" customWidth="1"/>
    <col min="15873" max="15873" width="22.140625" style="406" customWidth="1"/>
    <col min="15874" max="15875" width="13.42578125" style="406" customWidth="1"/>
    <col min="15876" max="15876" width="10.85546875" style="406" customWidth="1"/>
    <col min="15877" max="15878" width="13" style="406" customWidth="1"/>
    <col min="15879" max="15880" width="11.7109375" style="406" customWidth="1"/>
    <col min="15881" max="15881" width="11.42578125" style="406" customWidth="1"/>
    <col min="15882" max="15882" width="12.5703125" style="406" customWidth="1"/>
    <col min="15883" max="15883" width="12" style="406" customWidth="1"/>
    <col min="15884" max="15884" width="12.7109375" style="406" customWidth="1"/>
    <col min="15885" max="15885" width="11.7109375" style="406" customWidth="1"/>
    <col min="15886" max="15886" width="10.85546875" style="406" customWidth="1"/>
    <col min="15887" max="15887" width="12.7109375" style="406" customWidth="1"/>
    <col min="15888" max="15888" width="10.5703125" style="406" customWidth="1"/>
    <col min="15889" max="15889" width="7.5703125" style="406" customWidth="1"/>
    <col min="15890" max="15890" width="8.85546875" style="406"/>
    <col min="15891" max="15891" width="13" style="406" customWidth="1"/>
    <col min="15892" max="15892" width="11.42578125" style="406" customWidth="1"/>
    <col min="15893" max="16127" width="8.85546875" style="406"/>
    <col min="16128" max="16128" width="6.85546875" style="406" customWidth="1"/>
    <col min="16129" max="16129" width="22.140625" style="406" customWidth="1"/>
    <col min="16130" max="16131" width="13.42578125" style="406" customWidth="1"/>
    <col min="16132" max="16132" width="10.85546875" style="406" customWidth="1"/>
    <col min="16133" max="16134" width="13" style="406" customWidth="1"/>
    <col min="16135" max="16136" width="11.7109375" style="406" customWidth="1"/>
    <col min="16137" max="16137" width="11.42578125" style="406" customWidth="1"/>
    <col min="16138" max="16138" width="12.5703125" style="406" customWidth="1"/>
    <col min="16139" max="16139" width="12" style="406" customWidth="1"/>
    <col min="16140" max="16140" width="12.7109375" style="406" customWidth="1"/>
    <col min="16141" max="16141" width="11.7109375" style="406" customWidth="1"/>
    <col min="16142" max="16142" width="10.85546875" style="406" customWidth="1"/>
    <col min="16143" max="16143" width="12.7109375" style="406" customWidth="1"/>
    <col min="16144" max="16144" width="10.5703125" style="406" customWidth="1"/>
    <col min="16145" max="16145" width="7.5703125" style="406" customWidth="1"/>
    <col min="16146" max="16146" width="8.85546875" style="406"/>
    <col min="16147" max="16147" width="13" style="406" customWidth="1"/>
    <col min="16148" max="16148" width="11.42578125" style="406" customWidth="1"/>
    <col min="16149" max="16384" width="8.85546875" style="406"/>
  </cols>
  <sheetData>
    <row r="1" spans="1:22" ht="12.75" customHeight="1" x14ac:dyDescent="0.2">
      <c r="A1" s="409"/>
      <c r="B1" s="410"/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0"/>
      <c r="N1" s="410"/>
      <c r="O1" s="410"/>
      <c r="P1" s="410"/>
      <c r="Q1" s="410"/>
    </row>
    <row r="2" spans="1:22" ht="12.75" customHeight="1" x14ac:dyDescent="0.2">
      <c r="A2" s="411" t="s">
        <v>157</v>
      </c>
      <c r="B2" s="412">
        <v>1661970</v>
      </c>
      <c r="H2" s="406"/>
      <c r="J2" s="406"/>
      <c r="K2" s="406"/>
      <c r="L2" s="406"/>
      <c r="O2" s="406"/>
      <c r="Q2" s="406"/>
    </row>
    <row r="3" spans="1:22" s="414" customFormat="1" ht="14.25" customHeight="1" x14ac:dyDescent="0.2">
      <c r="A3" s="792" t="s">
        <v>158</v>
      </c>
      <c r="B3" s="792" t="s">
        <v>159</v>
      </c>
      <c r="C3" s="792" t="s">
        <v>160</v>
      </c>
      <c r="D3" s="792" t="s">
        <v>161</v>
      </c>
      <c r="E3" s="792" t="s">
        <v>162</v>
      </c>
      <c r="F3" s="792" t="s">
        <v>163</v>
      </c>
      <c r="G3" s="792" t="s">
        <v>164</v>
      </c>
      <c r="H3" s="791" t="s">
        <v>165</v>
      </c>
      <c r="I3" s="791"/>
      <c r="J3" s="791" t="s">
        <v>164</v>
      </c>
      <c r="K3" s="1"/>
      <c r="L3" s="1"/>
      <c r="M3" s="792" t="s">
        <v>166</v>
      </c>
      <c r="N3" s="792"/>
      <c r="O3" s="791" t="s">
        <v>164</v>
      </c>
      <c r="P3" s="2" t="s">
        <v>167</v>
      </c>
      <c r="Q3" s="413" t="s">
        <v>85</v>
      </c>
      <c r="S3" s="406"/>
      <c r="U3" s="409"/>
      <c r="V3" s="409"/>
    </row>
    <row r="4" spans="1:22" s="414" customFormat="1" ht="13.5" customHeight="1" x14ac:dyDescent="0.2">
      <c r="A4" s="792"/>
      <c r="B4" s="792"/>
      <c r="C4" s="792"/>
      <c r="D4" s="792"/>
      <c r="E4" s="792"/>
      <c r="F4" s="792"/>
      <c r="G4" s="792"/>
      <c r="H4" s="1" t="s">
        <v>168</v>
      </c>
      <c r="I4" s="2" t="s">
        <v>36</v>
      </c>
      <c r="J4" s="791"/>
      <c r="K4" s="2" t="s">
        <v>40</v>
      </c>
      <c r="L4" s="2" t="s">
        <v>169</v>
      </c>
      <c r="M4" s="2" t="s">
        <v>170</v>
      </c>
      <c r="N4" s="2" t="s">
        <v>171</v>
      </c>
      <c r="O4" s="791"/>
      <c r="P4" s="2" t="s">
        <v>172</v>
      </c>
      <c r="Q4" s="413" t="s">
        <v>173</v>
      </c>
      <c r="U4" s="409"/>
      <c r="V4" s="409"/>
    </row>
    <row r="5" spans="1:22" ht="13.5" customHeight="1" x14ac:dyDescent="0.2">
      <c r="A5" s="434" t="s">
        <v>195</v>
      </c>
      <c r="B5" s="416">
        <v>3000</v>
      </c>
      <c r="C5" s="416">
        <v>0</v>
      </c>
      <c r="D5" s="416">
        <v>220</v>
      </c>
      <c r="E5" s="416">
        <v>880</v>
      </c>
      <c r="F5" s="415">
        <v>0</v>
      </c>
      <c r="G5" s="417">
        <f t="shared" ref="G5:G10" si="0">SUM(B5:F5)</f>
        <v>4100</v>
      </c>
      <c r="H5" s="418">
        <f t="shared" ref="H5:H10" si="1">B5*28.8%</f>
        <v>864.00000000000011</v>
      </c>
      <c r="I5" s="418">
        <f t="shared" ref="I5:I10" si="2">B5*8%</f>
        <v>240</v>
      </c>
      <c r="J5" s="417">
        <f t="shared" ref="J5:J10" si="3">SUM(H5:I5)</f>
        <v>1104</v>
      </c>
      <c r="K5" s="417">
        <f>(B5/12)+((B5/12)*36.8%)</f>
        <v>342</v>
      </c>
      <c r="L5" s="417">
        <f>(B5/12/3)+((B5/12/3)*36.8%)</f>
        <v>114</v>
      </c>
      <c r="M5" s="416">
        <f t="shared" ref="M5:M10" si="4">((B5/12)*36.8%)+(B5/12)</f>
        <v>342</v>
      </c>
      <c r="N5" s="416">
        <f t="shared" ref="N5:N10" si="5">K5+L5</f>
        <v>456</v>
      </c>
      <c r="O5" s="417">
        <f t="shared" ref="O5:O10" si="6">SUM(M5:N5)</f>
        <v>798</v>
      </c>
      <c r="P5" s="419">
        <f t="shared" ref="P5:P10" si="7">G5+J5+O5</f>
        <v>6002</v>
      </c>
      <c r="Q5" s="420">
        <f t="shared" ref="Q5:Q10" si="8">P5/$B$2</f>
        <v>3.611376859991456E-3</v>
      </c>
    </row>
    <row r="6" spans="1:22" ht="13.5" customHeight="1" x14ac:dyDescent="0.2">
      <c r="A6" s="415" t="s">
        <v>196</v>
      </c>
      <c r="B6" s="416">
        <v>3000</v>
      </c>
      <c r="C6" s="416">
        <v>0</v>
      </c>
      <c r="D6" s="416">
        <v>0</v>
      </c>
      <c r="E6" s="416">
        <v>0</v>
      </c>
      <c r="F6" s="416"/>
      <c r="G6" s="417">
        <f t="shared" si="0"/>
        <v>3000</v>
      </c>
      <c r="H6" s="418">
        <f t="shared" si="1"/>
        <v>864.00000000000011</v>
      </c>
      <c r="I6" s="418">
        <f t="shared" si="2"/>
        <v>240</v>
      </c>
      <c r="J6" s="417">
        <f t="shared" si="3"/>
        <v>1104</v>
      </c>
      <c r="K6" s="417">
        <f>(B6/12)+((B6/12)*36.8%)</f>
        <v>342</v>
      </c>
      <c r="L6" s="417">
        <f>(B6/12/3)+((B6/12/3)*36.8%)</f>
        <v>114</v>
      </c>
      <c r="M6" s="416">
        <f t="shared" si="4"/>
        <v>342</v>
      </c>
      <c r="N6" s="416">
        <f t="shared" si="5"/>
        <v>456</v>
      </c>
      <c r="O6" s="417">
        <f t="shared" si="6"/>
        <v>798</v>
      </c>
      <c r="P6" s="419">
        <f t="shared" si="7"/>
        <v>4902</v>
      </c>
      <c r="Q6" s="420">
        <f t="shared" si="8"/>
        <v>2.9495117240383398E-3</v>
      </c>
    </row>
    <row r="7" spans="1:22" ht="13.5" customHeight="1" x14ac:dyDescent="0.2">
      <c r="A7" s="415" t="s">
        <v>174</v>
      </c>
      <c r="B7" s="416">
        <v>4100</v>
      </c>
      <c r="C7" s="416">
        <v>0</v>
      </c>
      <c r="D7" s="416">
        <v>220</v>
      </c>
      <c r="E7" s="416">
        <v>880</v>
      </c>
      <c r="F7" s="416">
        <v>154.13</v>
      </c>
      <c r="G7" s="417">
        <f t="shared" si="0"/>
        <v>5354.13</v>
      </c>
      <c r="H7" s="418">
        <f t="shared" si="1"/>
        <v>1180.8000000000002</v>
      </c>
      <c r="I7" s="418">
        <f t="shared" si="2"/>
        <v>328</v>
      </c>
      <c r="J7" s="417">
        <f t="shared" si="3"/>
        <v>1508.8000000000002</v>
      </c>
      <c r="K7" s="417">
        <f>(B7/12)+((B7/12)*36.8%)</f>
        <v>467.40000000000003</v>
      </c>
      <c r="L7" s="417">
        <f>(B7/12/3)+((B7/12/3)*36.8%)</f>
        <v>155.80000000000001</v>
      </c>
      <c r="M7" s="416">
        <f t="shared" si="4"/>
        <v>467.40000000000003</v>
      </c>
      <c r="N7" s="416">
        <f t="shared" si="5"/>
        <v>623.20000000000005</v>
      </c>
      <c r="O7" s="417">
        <f t="shared" si="6"/>
        <v>1090.6000000000001</v>
      </c>
      <c r="P7" s="419">
        <f t="shared" si="7"/>
        <v>7953.5300000000007</v>
      </c>
      <c r="Q7" s="420">
        <f t="shared" si="8"/>
        <v>4.7856038315974422E-3</v>
      </c>
    </row>
    <row r="8" spans="1:22" ht="13.5" customHeight="1" x14ac:dyDescent="0.2">
      <c r="A8" s="415" t="s">
        <v>175</v>
      </c>
      <c r="B8" s="416">
        <v>3000</v>
      </c>
      <c r="C8" s="416"/>
      <c r="D8" s="416">
        <v>220</v>
      </c>
      <c r="E8" s="416">
        <v>880</v>
      </c>
      <c r="F8" s="416"/>
      <c r="G8" s="417">
        <f t="shared" si="0"/>
        <v>4100</v>
      </c>
      <c r="H8" s="418">
        <f t="shared" si="1"/>
        <v>864.00000000000011</v>
      </c>
      <c r="I8" s="418">
        <f t="shared" si="2"/>
        <v>240</v>
      </c>
      <c r="J8" s="417">
        <f t="shared" si="3"/>
        <v>1104</v>
      </c>
      <c r="K8" s="417">
        <f>B8/12</f>
        <v>250</v>
      </c>
      <c r="L8" s="417">
        <f>K8/3</f>
        <v>83.333333333333329</v>
      </c>
      <c r="M8" s="416">
        <f t="shared" si="4"/>
        <v>342</v>
      </c>
      <c r="N8" s="416">
        <f t="shared" si="5"/>
        <v>333.33333333333331</v>
      </c>
      <c r="O8" s="417">
        <f t="shared" si="6"/>
        <v>675.33333333333326</v>
      </c>
      <c r="P8" s="419">
        <f t="shared" si="7"/>
        <v>5879.333333333333</v>
      </c>
      <c r="Q8" s="420">
        <f t="shared" si="8"/>
        <v>3.5375688690730475E-3</v>
      </c>
    </row>
    <row r="9" spans="1:22" ht="13.5" customHeight="1" x14ac:dyDescent="0.2">
      <c r="A9" s="415" t="s">
        <v>176</v>
      </c>
      <c r="B9" s="416">
        <v>3700</v>
      </c>
      <c r="C9" s="416">
        <v>0</v>
      </c>
      <c r="D9" s="416">
        <v>220</v>
      </c>
      <c r="E9" s="416">
        <v>880</v>
      </c>
      <c r="F9" s="416">
        <v>154.13</v>
      </c>
      <c r="G9" s="417">
        <f t="shared" si="0"/>
        <v>4954.13</v>
      </c>
      <c r="H9" s="418">
        <f t="shared" si="1"/>
        <v>1065.6000000000001</v>
      </c>
      <c r="I9" s="418">
        <f t="shared" si="2"/>
        <v>296</v>
      </c>
      <c r="J9" s="417">
        <f t="shared" si="3"/>
        <v>1361.6000000000001</v>
      </c>
      <c r="K9" s="417">
        <f>B9/12</f>
        <v>308.33333333333331</v>
      </c>
      <c r="L9" s="417">
        <f>K9/3</f>
        <v>102.77777777777777</v>
      </c>
      <c r="M9" s="416">
        <f t="shared" si="4"/>
        <v>421.79999999999995</v>
      </c>
      <c r="N9" s="416">
        <f t="shared" si="5"/>
        <v>411.11111111111109</v>
      </c>
      <c r="O9" s="417">
        <f t="shared" si="6"/>
        <v>832.91111111111104</v>
      </c>
      <c r="P9" s="419">
        <f t="shared" si="7"/>
        <v>7148.641111111112</v>
      </c>
      <c r="Q9" s="420">
        <f t="shared" si="8"/>
        <v>4.3013057462596271E-3</v>
      </c>
    </row>
    <row r="10" spans="1:22" ht="13.5" customHeight="1" x14ac:dyDescent="0.2">
      <c r="A10" s="415" t="s">
        <v>177</v>
      </c>
      <c r="B10" s="416">
        <v>3600</v>
      </c>
      <c r="C10" s="416">
        <v>0</v>
      </c>
      <c r="D10" s="416">
        <v>220</v>
      </c>
      <c r="E10" s="416">
        <v>880</v>
      </c>
      <c r="F10" s="416">
        <v>453.62</v>
      </c>
      <c r="G10" s="417">
        <f t="shared" si="0"/>
        <v>5153.62</v>
      </c>
      <c r="H10" s="418">
        <f t="shared" si="1"/>
        <v>1036.8000000000002</v>
      </c>
      <c r="I10" s="418">
        <f t="shared" si="2"/>
        <v>288</v>
      </c>
      <c r="J10" s="417">
        <f t="shared" si="3"/>
        <v>1324.8000000000002</v>
      </c>
      <c r="K10" s="417">
        <f>B10/12</f>
        <v>300</v>
      </c>
      <c r="L10" s="417">
        <f>K10/3</f>
        <v>100</v>
      </c>
      <c r="M10" s="416">
        <f t="shared" si="4"/>
        <v>410.4</v>
      </c>
      <c r="N10" s="416">
        <f t="shared" si="5"/>
        <v>400</v>
      </c>
      <c r="O10" s="417">
        <f t="shared" si="6"/>
        <v>810.4</v>
      </c>
      <c r="P10" s="419">
        <f t="shared" si="7"/>
        <v>7288.82</v>
      </c>
      <c r="Q10" s="420">
        <f t="shared" si="8"/>
        <v>4.3856507638525364E-3</v>
      </c>
    </row>
    <row r="11" spans="1:22" s="424" customFormat="1" ht="12.75" customHeight="1" x14ac:dyDescent="0.2">
      <c r="A11" s="421">
        <f>COUNTA(A6:A10)</f>
        <v>5</v>
      </c>
      <c r="B11" s="422">
        <f t="shared" ref="B11:Q11" si="9">SUM(B5:B10)</f>
        <v>20400</v>
      </c>
      <c r="C11" s="422">
        <f t="shared" si="9"/>
        <v>0</v>
      </c>
      <c r="D11" s="422">
        <f t="shared" si="9"/>
        <v>1100</v>
      </c>
      <c r="E11" s="422">
        <f t="shared" si="9"/>
        <v>4400</v>
      </c>
      <c r="F11" s="422">
        <f t="shared" si="9"/>
        <v>761.88</v>
      </c>
      <c r="G11" s="422">
        <f t="shared" si="9"/>
        <v>26661.88</v>
      </c>
      <c r="H11" s="422">
        <f t="shared" si="9"/>
        <v>5875.2000000000007</v>
      </c>
      <c r="I11" s="422">
        <f t="shared" si="9"/>
        <v>1632</v>
      </c>
      <c r="J11" s="422">
        <f t="shared" si="9"/>
        <v>7507.2000000000007</v>
      </c>
      <c r="K11" s="422">
        <f t="shared" si="9"/>
        <v>2009.7333333333333</v>
      </c>
      <c r="L11" s="422">
        <f t="shared" si="9"/>
        <v>669.91111111111104</v>
      </c>
      <c r="M11" s="422">
        <f t="shared" si="9"/>
        <v>2325.6</v>
      </c>
      <c r="N11" s="422">
        <f t="shared" si="9"/>
        <v>2679.6444444444442</v>
      </c>
      <c r="O11" s="422">
        <f t="shared" si="9"/>
        <v>5005.2444444444445</v>
      </c>
      <c r="P11" s="422">
        <f t="shared" si="9"/>
        <v>39174.324444444443</v>
      </c>
      <c r="Q11" s="423">
        <f t="shared" si="9"/>
        <v>2.3571017794812445E-2</v>
      </c>
      <c r="U11" s="406"/>
      <c r="V11" s="406"/>
    </row>
    <row r="12" spans="1:22" ht="12.75" customHeight="1" x14ac:dyDescent="0.2">
      <c r="U12" s="790" t="s">
        <v>178</v>
      </c>
      <c r="V12" s="790"/>
    </row>
    <row r="13" spans="1:22" s="414" customFormat="1" ht="14.25" customHeight="1" x14ac:dyDescent="0.2">
      <c r="A13" s="792" t="s">
        <v>158</v>
      </c>
      <c r="B13" s="792" t="s">
        <v>159</v>
      </c>
      <c r="C13" s="792" t="s">
        <v>161</v>
      </c>
      <c r="D13" s="2" t="s">
        <v>167</v>
      </c>
      <c r="E13" s="413" t="s">
        <v>85</v>
      </c>
      <c r="U13" s="415" t="s">
        <v>179</v>
      </c>
      <c r="V13" s="425">
        <v>1180.42</v>
      </c>
    </row>
    <row r="14" spans="1:22" s="414" customFormat="1" ht="13.5" customHeight="1" x14ac:dyDescent="0.2">
      <c r="A14" s="792"/>
      <c r="B14" s="792"/>
      <c r="C14" s="792"/>
      <c r="D14" s="2" t="s">
        <v>172</v>
      </c>
      <c r="E14" s="413" t="s">
        <v>173</v>
      </c>
      <c r="U14" s="415" t="s">
        <v>180</v>
      </c>
      <c r="V14" s="425">
        <f>H11</f>
        <v>5875.2000000000007</v>
      </c>
    </row>
    <row r="15" spans="1:22" ht="14.25" customHeight="1" x14ac:dyDescent="0.2">
      <c r="A15" s="415" t="s">
        <v>181</v>
      </c>
      <c r="B15" s="416">
        <v>13348</v>
      </c>
      <c r="C15" s="416">
        <v>3000</v>
      </c>
      <c r="D15" s="419">
        <f>SUM(B15:C15)</f>
        <v>16348</v>
      </c>
      <c r="E15" s="420">
        <f>D15/$B$2</f>
        <v>9.8365193114195795E-3</v>
      </c>
      <c r="H15" s="406"/>
      <c r="J15" s="406"/>
      <c r="K15" s="406"/>
      <c r="L15" s="406"/>
      <c r="O15" s="406"/>
      <c r="Q15" s="406"/>
      <c r="U15" s="426" t="s">
        <v>13</v>
      </c>
      <c r="V15" s="427">
        <f>SUM(V13:V14)</f>
        <v>7055.6200000000008</v>
      </c>
    </row>
    <row r="16" spans="1:22" ht="13.5" customHeight="1" x14ac:dyDescent="0.2">
      <c r="A16" s="415" t="s">
        <v>182</v>
      </c>
      <c r="B16" s="416">
        <v>19222</v>
      </c>
      <c r="C16" s="416">
        <v>3000</v>
      </c>
      <c r="D16" s="419">
        <f>SUM(B16:C16)</f>
        <v>22222</v>
      </c>
      <c r="E16" s="420">
        <f>D16/$B$2</f>
        <v>1.337087913740922E-2</v>
      </c>
      <c r="H16" s="406"/>
      <c r="J16" s="406"/>
      <c r="K16" s="406"/>
      <c r="L16" s="406"/>
      <c r="O16" s="406"/>
      <c r="Q16" s="406"/>
    </row>
    <row r="17" spans="1:25" ht="12.75" customHeight="1" x14ac:dyDescent="0.2">
      <c r="A17" s="421">
        <f>COUNTA(A15:A16)</f>
        <v>2</v>
      </c>
      <c r="B17" s="422">
        <f>SUM(B15:B16)</f>
        <v>32570</v>
      </c>
      <c r="C17" s="422">
        <f>SUM(C15:C16)</f>
        <v>6000</v>
      </c>
      <c r="D17" s="422">
        <f>SUM(D15:D16)</f>
        <v>38570</v>
      </c>
      <c r="E17" s="428">
        <f>AVERAGE(E15:E16)</f>
        <v>1.1603699224414399E-2</v>
      </c>
      <c r="H17" s="406"/>
      <c r="J17" s="406"/>
      <c r="K17" s="406"/>
      <c r="L17" s="406"/>
      <c r="O17" s="406"/>
      <c r="Q17" s="406"/>
    </row>
    <row r="18" spans="1:25" ht="12.75" customHeight="1" x14ac:dyDescent="0.2">
      <c r="N18" s="429"/>
    </row>
    <row r="19" spans="1:25" ht="12.75" customHeight="1" x14ac:dyDescent="0.2">
      <c r="A19" s="790" t="s">
        <v>183</v>
      </c>
      <c r="B19" s="790"/>
      <c r="N19" s="429"/>
    </row>
    <row r="20" spans="1:25" ht="12.75" customHeight="1" x14ac:dyDescent="0.2">
      <c r="A20" s="298" t="s">
        <v>184</v>
      </c>
      <c r="B20" s="430">
        <v>17904.93</v>
      </c>
      <c r="C20" s="406" t="s">
        <v>185</v>
      </c>
      <c r="M20" s="429"/>
      <c r="U20" s="429"/>
      <c r="V20" s="429"/>
    </row>
    <row r="21" spans="1:25" ht="12.75" customHeight="1" x14ac:dyDescent="0.2">
      <c r="A21" s="298" t="s">
        <v>36</v>
      </c>
      <c r="B21" s="431">
        <f>I11</f>
        <v>1632</v>
      </c>
      <c r="E21" s="429"/>
      <c r="M21" s="429"/>
      <c r="U21" s="429"/>
      <c r="V21" s="429"/>
    </row>
    <row r="22" spans="1:25" ht="12.75" customHeight="1" x14ac:dyDescent="0.2">
      <c r="A22" s="298" t="s">
        <v>186</v>
      </c>
      <c r="B22" s="431">
        <f>H11</f>
        <v>5875.2000000000007</v>
      </c>
    </row>
    <row r="23" spans="1:25" ht="12.75" customHeight="1" x14ac:dyDescent="0.2">
      <c r="A23" s="298" t="s">
        <v>187</v>
      </c>
      <c r="B23" s="431">
        <f>C11+D11+E11+F11</f>
        <v>6261.88</v>
      </c>
    </row>
    <row r="24" spans="1:25" ht="12.75" customHeight="1" x14ac:dyDescent="0.2">
      <c r="A24" s="298" t="s">
        <v>90</v>
      </c>
      <c r="B24" s="432">
        <f>B17</f>
        <v>32570</v>
      </c>
    </row>
    <row r="25" spans="1:25" ht="12.75" customHeight="1" x14ac:dyDescent="0.2">
      <c r="A25" s="298" t="s">
        <v>188</v>
      </c>
      <c r="B25" s="431">
        <f>C17</f>
        <v>6000</v>
      </c>
    </row>
    <row r="26" spans="1:25" ht="12.75" customHeight="1" x14ac:dyDescent="0.2">
      <c r="A26" s="299" t="s">
        <v>13</v>
      </c>
      <c r="B26" s="433">
        <f>SUM(B20:B25)</f>
        <v>70244.010000000009</v>
      </c>
      <c r="S26" s="424"/>
      <c r="T26" s="424"/>
      <c r="W26" s="424"/>
      <c r="X26" s="424"/>
      <c r="Y26" s="424"/>
    </row>
    <row r="28" spans="1:25" ht="12.75" customHeight="1" x14ac:dyDescent="0.2">
      <c r="A28" s="790" t="s">
        <v>189</v>
      </c>
      <c r="B28" s="790"/>
    </row>
    <row r="29" spans="1:25" ht="12.75" customHeight="1" x14ac:dyDescent="0.2">
      <c r="A29" s="298" t="s">
        <v>190</v>
      </c>
      <c r="B29" s="432">
        <f>B11</f>
        <v>20400</v>
      </c>
    </row>
    <row r="30" spans="1:25" ht="12.75" customHeight="1" x14ac:dyDescent="0.2">
      <c r="A30" s="298" t="s">
        <v>36</v>
      </c>
      <c r="B30" s="432">
        <f>I11</f>
        <v>1632</v>
      </c>
    </row>
    <row r="31" spans="1:25" ht="12.75" customHeight="1" x14ac:dyDescent="0.2">
      <c r="A31" s="298" t="s">
        <v>191</v>
      </c>
      <c r="B31" s="432">
        <f>H11</f>
        <v>5875.2000000000007</v>
      </c>
    </row>
    <row r="32" spans="1:25" ht="12.75" customHeight="1" x14ac:dyDescent="0.2">
      <c r="A32" s="298" t="s">
        <v>92</v>
      </c>
      <c r="B32" s="432">
        <f>O11</f>
        <v>5005.2444444444445</v>
      </c>
    </row>
    <row r="33" spans="1:2" ht="12.75" customHeight="1" x14ac:dyDescent="0.2">
      <c r="A33" s="298" t="s">
        <v>192</v>
      </c>
      <c r="B33" s="431">
        <f>C11</f>
        <v>0</v>
      </c>
    </row>
    <row r="34" spans="1:2" ht="12.75" customHeight="1" x14ac:dyDescent="0.2">
      <c r="A34" s="298" t="s">
        <v>95</v>
      </c>
      <c r="B34" s="431">
        <f>D11</f>
        <v>1100</v>
      </c>
    </row>
    <row r="35" spans="1:2" ht="12.75" customHeight="1" x14ac:dyDescent="0.2">
      <c r="A35" s="298" t="s">
        <v>94</v>
      </c>
      <c r="B35" s="431">
        <f>E11</f>
        <v>4400</v>
      </c>
    </row>
    <row r="36" spans="1:2" ht="12.75" customHeight="1" x14ac:dyDescent="0.2">
      <c r="A36" s="298" t="s">
        <v>193</v>
      </c>
      <c r="B36" s="431">
        <f>F11</f>
        <v>761.88</v>
      </c>
    </row>
    <row r="37" spans="1:2" ht="12.75" customHeight="1" x14ac:dyDescent="0.2">
      <c r="A37" s="298" t="s">
        <v>194</v>
      </c>
      <c r="B37" s="432">
        <f>B17</f>
        <v>32570</v>
      </c>
    </row>
    <row r="38" spans="1:2" ht="12.75" customHeight="1" x14ac:dyDescent="0.2">
      <c r="A38" s="298" t="s">
        <v>93</v>
      </c>
      <c r="B38" s="432">
        <f>C17</f>
        <v>6000</v>
      </c>
    </row>
    <row r="39" spans="1:2" ht="12.75" customHeight="1" x14ac:dyDescent="0.2">
      <c r="A39" s="299" t="s">
        <v>13</v>
      </c>
      <c r="B39" s="433">
        <f>SUM(B29:B38)</f>
        <v>77744.324444444443</v>
      </c>
    </row>
  </sheetData>
  <mergeCells count="17">
    <mergeCell ref="E3:E4"/>
    <mergeCell ref="A19:B19"/>
    <mergeCell ref="A28:B28"/>
    <mergeCell ref="O3:O4"/>
    <mergeCell ref="U12:V12"/>
    <mergeCell ref="A13:A14"/>
    <mergeCell ref="B13:B14"/>
    <mergeCell ref="C13:C14"/>
    <mergeCell ref="F3:F4"/>
    <mergeCell ref="G3:G4"/>
    <mergeCell ref="H3:I3"/>
    <mergeCell ref="J3:J4"/>
    <mergeCell ref="M3:N3"/>
    <mergeCell ref="A3:A4"/>
    <mergeCell ref="B3:B4"/>
    <mergeCell ref="C3:C4"/>
    <mergeCell ref="D3:D4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92D050"/>
  </sheetPr>
  <dimension ref="B1:AA132"/>
  <sheetViews>
    <sheetView zoomScale="90" zoomScaleNormal="90" workbookViewId="0">
      <selection activeCell="J10" sqref="J10"/>
    </sheetView>
  </sheetViews>
  <sheetFormatPr defaultColWidth="9.140625" defaultRowHeight="12.75" x14ac:dyDescent="0.25"/>
  <cols>
    <col min="1" max="1" width="9.140625" style="435"/>
    <col min="2" max="2" width="26.28515625" style="435" customWidth="1"/>
    <col min="3" max="3" width="10" style="435" customWidth="1"/>
    <col min="4" max="4" width="9" style="435" customWidth="1"/>
    <col min="5" max="5" width="10" style="435" customWidth="1"/>
    <col min="6" max="6" width="9" style="435" customWidth="1"/>
    <col min="7" max="7" width="11" style="435" customWidth="1"/>
    <col min="8" max="8" width="10.5703125" style="435" customWidth="1"/>
    <col min="9" max="9" width="10" style="435" customWidth="1"/>
    <col min="10" max="10" width="9" style="436" customWidth="1"/>
    <col min="11" max="11" width="7.5703125" style="436" customWidth="1"/>
    <col min="12" max="12" width="9.5703125" style="436" customWidth="1"/>
    <col min="13" max="13" width="9" style="435" customWidth="1"/>
    <col min="14" max="14" width="10" style="435" customWidth="1"/>
    <col min="15" max="16" width="9" style="436" customWidth="1"/>
    <col min="17" max="17" width="10.42578125" style="436" customWidth="1"/>
    <col min="18" max="18" width="9" style="435" customWidth="1"/>
    <col min="19" max="19" width="11.28515625" style="435" customWidth="1"/>
    <col min="20" max="20" width="10.7109375" style="435" customWidth="1"/>
    <col min="21" max="21" width="8.28515625" style="435" customWidth="1"/>
    <col min="22" max="22" width="10.28515625" style="435" customWidth="1"/>
    <col min="23" max="23" width="9" style="435" customWidth="1"/>
    <col min="24" max="24" width="9.7109375" style="435" customWidth="1"/>
    <col min="25" max="25" width="10" style="435" customWidth="1"/>
    <col min="26" max="26" width="9.85546875" style="435" customWidth="1"/>
    <col min="27" max="27" width="10" style="435" customWidth="1"/>
    <col min="28" max="28" width="1.85546875" style="435" customWidth="1"/>
    <col min="29" max="244" width="9.140625" style="435"/>
    <col min="245" max="245" width="6.85546875" style="435" customWidth="1"/>
    <col min="246" max="246" width="22.140625" style="435" customWidth="1"/>
    <col min="247" max="248" width="13.42578125" style="435" customWidth="1"/>
    <col min="249" max="249" width="10.85546875" style="435" customWidth="1"/>
    <col min="250" max="251" width="13" style="435" customWidth="1"/>
    <col min="252" max="253" width="11.7109375" style="435" customWidth="1"/>
    <col min="254" max="254" width="11.42578125" style="435" customWidth="1"/>
    <col min="255" max="255" width="12.5703125" style="435" customWidth="1"/>
    <col min="256" max="256" width="12" style="435" customWidth="1"/>
    <col min="257" max="257" width="12.7109375" style="435" customWidth="1"/>
    <col min="258" max="258" width="11.7109375" style="435" customWidth="1"/>
    <col min="259" max="259" width="10.85546875" style="435" customWidth="1"/>
    <col min="260" max="260" width="12.7109375" style="435" customWidth="1"/>
    <col min="261" max="261" width="10.5703125" style="435" customWidth="1"/>
    <col min="262" max="262" width="7.5703125" style="435" customWidth="1"/>
    <col min="263" max="263" width="9.140625" style="435"/>
    <col min="264" max="264" width="13" style="435" customWidth="1"/>
    <col min="265" max="265" width="11.42578125" style="435" customWidth="1"/>
    <col min="266" max="500" width="9.140625" style="435"/>
    <col min="501" max="501" width="6.85546875" style="435" customWidth="1"/>
    <col min="502" max="502" width="22.140625" style="435" customWidth="1"/>
    <col min="503" max="504" width="13.42578125" style="435" customWidth="1"/>
    <col min="505" max="505" width="10.85546875" style="435" customWidth="1"/>
    <col min="506" max="507" width="13" style="435" customWidth="1"/>
    <col min="508" max="509" width="11.7109375" style="435" customWidth="1"/>
    <col min="510" max="510" width="11.42578125" style="435" customWidth="1"/>
    <col min="511" max="511" width="12.5703125" style="435" customWidth="1"/>
    <col min="512" max="512" width="12" style="435" customWidth="1"/>
    <col min="513" max="513" width="12.7109375" style="435" customWidth="1"/>
    <col min="514" max="514" width="11.7109375" style="435" customWidth="1"/>
    <col min="515" max="515" width="10.85546875" style="435" customWidth="1"/>
    <col min="516" max="516" width="12.7109375" style="435" customWidth="1"/>
    <col min="517" max="517" width="10.5703125" style="435" customWidth="1"/>
    <col min="518" max="518" width="7.5703125" style="435" customWidth="1"/>
    <col min="519" max="519" width="9.140625" style="435"/>
    <col min="520" max="520" width="13" style="435" customWidth="1"/>
    <col min="521" max="521" width="11.42578125" style="435" customWidth="1"/>
    <col min="522" max="756" width="9.140625" style="435"/>
    <col min="757" max="757" width="6.85546875" style="435" customWidth="1"/>
    <col min="758" max="758" width="22.140625" style="435" customWidth="1"/>
    <col min="759" max="760" width="13.42578125" style="435" customWidth="1"/>
    <col min="761" max="761" width="10.85546875" style="435" customWidth="1"/>
    <col min="762" max="763" width="13" style="435" customWidth="1"/>
    <col min="764" max="765" width="11.7109375" style="435" customWidth="1"/>
    <col min="766" max="766" width="11.42578125" style="435" customWidth="1"/>
    <col min="767" max="767" width="12.5703125" style="435" customWidth="1"/>
    <col min="768" max="768" width="12" style="435" customWidth="1"/>
    <col min="769" max="769" width="12.7109375" style="435" customWidth="1"/>
    <col min="770" max="770" width="11.7109375" style="435" customWidth="1"/>
    <col min="771" max="771" width="10.85546875" style="435" customWidth="1"/>
    <col min="772" max="772" width="12.7109375" style="435" customWidth="1"/>
    <col min="773" max="773" width="10.5703125" style="435" customWidth="1"/>
    <col min="774" max="774" width="7.5703125" style="435" customWidth="1"/>
    <col min="775" max="775" width="9.140625" style="435"/>
    <col min="776" max="776" width="13" style="435" customWidth="1"/>
    <col min="777" max="777" width="11.42578125" style="435" customWidth="1"/>
    <col min="778" max="1012" width="9.140625" style="435"/>
    <col min="1013" max="1013" width="6.85546875" style="435" customWidth="1"/>
    <col min="1014" max="1014" width="22.140625" style="435" customWidth="1"/>
    <col min="1015" max="1016" width="13.42578125" style="435" customWidth="1"/>
    <col min="1017" max="1017" width="10.85546875" style="435" customWidth="1"/>
    <col min="1018" max="1019" width="13" style="435" customWidth="1"/>
    <col min="1020" max="1021" width="11.7109375" style="435" customWidth="1"/>
    <col min="1022" max="1022" width="11.42578125" style="435" customWidth="1"/>
    <col min="1023" max="1023" width="12.5703125" style="435" customWidth="1"/>
    <col min="1024" max="1024" width="12" style="435" customWidth="1"/>
    <col min="1025" max="1025" width="12.7109375" style="435" customWidth="1"/>
    <col min="1026" max="1026" width="11.7109375" style="435" customWidth="1"/>
    <col min="1027" max="1027" width="10.85546875" style="435" customWidth="1"/>
    <col min="1028" max="1028" width="12.7109375" style="435" customWidth="1"/>
    <col min="1029" max="1029" width="10.5703125" style="435" customWidth="1"/>
    <col min="1030" max="1030" width="7.5703125" style="435" customWidth="1"/>
    <col min="1031" max="1031" width="9.140625" style="435"/>
    <col min="1032" max="1032" width="13" style="435" customWidth="1"/>
    <col min="1033" max="1033" width="11.42578125" style="435" customWidth="1"/>
    <col min="1034" max="1268" width="9.140625" style="435"/>
    <col min="1269" max="1269" width="6.85546875" style="435" customWidth="1"/>
    <col min="1270" max="1270" width="22.140625" style="435" customWidth="1"/>
    <col min="1271" max="1272" width="13.42578125" style="435" customWidth="1"/>
    <col min="1273" max="1273" width="10.85546875" style="435" customWidth="1"/>
    <col min="1274" max="1275" width="13" style="435" customWidth="1"/>
    <col min="1276" max="1277" width="11.7109375" style="435" customWidth="1"/>
    <col min="1278" max="1278" width="11.42578125" style="435" customWidth="1"/>
    <col min="1279" max="1279" width="12.5703125" style="435" customWidth="1"/>
    <col min="1280" max="1280" width="12" style="435" customWidth="1"/>
    <col min="1281" max="1281" width="12.7109375" style="435" customWidth="1"/>
    <col min="1282" max="1282" width="11.7109375" style="435" customWidth="1"/>
    <col min="1283" max="1283" width="10.85546875" style="435" customWidth="1"/>
    <col min="1284" max="1284" width="12.7109375" style="435" customWidth="1"/>
    <col min="1285" max="1285" width="10.5703125" style="435" customWidth="1"/>
    <col min="1286" max="1286" width="7.5703125" style="435" customWidth="1"/>
    <col min="1287" max="1287" width="9.140625" style="435"/>
    <col min="1288" max="1288" width="13" style="435" customWidth="1"/>
    <col min="1289" max="1289" width="11.42578125" style="435" customWidth="1"/>
    <col min="1290" max="1524" width="9.140625" style="435"/>
    <col min="1525" max="1525" width="6.85546875" style="435" customWidth="1"/>
    <col min="1526" max="1526" width="22.140625" style="435" customWidth="1"/>
    <col min="1527" max="1528" width="13.42578125" style="435" customWidth="1"/>
    <col min="1529" max="1529" width="10.85546875" style="435" customWidth="1"/>
    <col min="1530" max="1531" width="13" style="435" customWidth="1"/>
    <col min="1532" max="1533" width="11.7109375" style="435" customWidth="1"/>
    <col min="1534" max="1534" width="11.42578125" style="435" customWidth="1"/>
    <col min="1535" max="1535" width="12.5703125" style="435" customWidth="1"/>
    <col min="1536" max="1536" width="12" style="435" customWidth="1"/>
    <col min="1537" max="1537" width="12.7109375" style="435" customWidth="1"/>
    <col min="1538" max="1538" width="11.7109375" style="435" customWidth="1"/>
    <col min="1539" max="1539" width="10.85546875" style="435" customWidth="1"/>
    <col min="1540" max="1540" width="12.7109375" style="435" customWidth="1"/>
    <col min="1541" max="1541" width="10.5703125" style="435" customWidth="1"/>
    <col min="1542" max="1542" width="7.5703125" style="435" customWidth="1"/>
    <col min="1543" max="1543" width="9.140625" style="435"/>
    <col min="1544" max="1544" width="13" style="435" customWidth="1"/>
    <col min="1545" max="1545" width="11.42578125" style="435" customWidth="1"/>
    <col min="1546" max="1780" width="9.140625" style="435"/>
    <col min="1781" max="1781" width="6.85546875" style="435" customWidth="1"/>
    <col min="1782" max="1782" width="22.140625" style="435" customWidth="1"/>
    <col min="1783" max="1784" width="13.42578125" style="435" customWidth="1"/>
    <col min="1785" max="1785" width="10.85546875" style="435" customWidth="1"/>
    <col min="1786" max="1787" width="13" style="435" customWidth="1"/>
    <col min="1788" max="1789" width="11.7109375" style="435" customWidth="1"/>
    <col min="1790" max="1790" width="11.42578125" style="435" customWidth="1"/>
    <col min="1791" max="1791" width="12.5703125" style="435" customWidth="1"/>
    <col min="1792" max="1792" width="12" style="435" customWidth="1"/>
    <col min="1793" max="1793" width="12.7109375" style="435" customWidth="1"/>
    <col min="1794" max="1794" width="11.7109375" style="435" customWidth="1"/>
    <col min="1795" max="1795" width="10.85546875" style="435" customWidth="1"/>
    <col min="1796" max="1796" width="12.7109375" style="435" customWidth="1"/>
    <col min="1797" max="1797" width="10.5703125" style="435" customWidth="1"/>
    <col min="1798" max="1798" width="7.5703125" style="435" customWidth="1"/>
    <col min="1799" max="1799" width="9.140625" style="435"/>
    <col min="1800" max="1800" width="13" style="435" customWidth="1"/>
    <col min="1801" max="1801" width="11.42578125" style="435" customWidth="1"/>
    <col min="1802" max="2036" width="9.140625" style="435"/>
    <col min="2037" max="2037" width="6.85546875" style="435" customWidth="1"/>
    <col min="2038" max="2038" width="22.140625" style="435" customWidth="1"/>
    <col min="2039" max="2040" width="13.42578125" style="435" customWidth="1"/>
    <col min="2041" max="2041" width="10.85546875" style="435" customWidth="1"/>
    <col min="2042" max="2043" width="13" style="435" customWidth="1"/>
    <col min="2044" max="2045" width="11.7109375" style="435" customWidth="1"/>
    <col min="2046" max="2046" width="11.42578125" style="435" customWidth="1"/>
    <col min="2047" max="2047" width="12.5703125" style="435" customWidth="1"/>
    <col min="2048" max="2048" width="12" style="435" customWidth="1"/>
    <col min="2049" max="2049" width="12.7109375" style="435" customWidth="1"/>
    <col min="2050" max="2050" width="11.7109375" style="435" customWidth="1"/>
    <col min="2051" max="2051" width="10.85546875" style="435" customWidth="1"/>
    <col min="2052" max="2052" width="12.7109375" style="435" customWidth="1"/>
    <col min="2053" max="2053" width="10.5703125" style="435" customWidth="1"/>
    <col min="2054" max="2054" width="7.5703125" style="435" customWidth="1"/>
    <col min="2055" max="2055" width="9.140625" style="435"/>
    <col min="2056" max="2056" width="13" style="435" customWidth="1"/>
    <col min="2057" max="2057" width="11.42578125" style="435" customWidth="1"/>
    <col min="2058" max="2292" width="9.140625" style="435"/>
    <col min="2293" max="2293" width="6.85546875" style="435" customWidth="1"/>
    <col min="2294" max="2294" width="22.140625" style="435" customWidth="1"/>
    <col min="2295" max="2296" width="13.42578125" style="435" customWidth="1"/>
    <col min="2297" max="2297" width="10.85546875" style="435" customWidth="1"/>
    <col min="2298" max="2299" width="13" style="435" customWidth="1"/>
    <col min="2300" max="2301" width="11.7109375" style="435" customWidth="1"/>
    <col min="2302" max="2302" width="11.42578125" style="435" customWidth="1"/>
    <col min="2303" max="2303" width="12.5703125" style="435" customWidth="1"/>
    <col min="2304" max="2304" width="12" style="435" customWidth="1"/>
    <col min="2305" max="2305" width="12.7109375" style="435" customWidth="1"/>
    <col min="2306" max="2306" width="11.7109375" style="435" customWidth="1"/>
    <col min="2307" max="2307" width="10.85546875" style="435" customWidth="1"/>
    <col min="2308" max="2308" width="12.7109375" style="435" customWidth="1"/>
    <col min="2309" max="2309" width="10.5703125" style="435" customWidth="1"/>
    <col min="2310" max="2310" width="7.5703125" style="435" customWidth="1"/>
    <col min="2311" max="2311" width="9.140625" style="435"/>
    <col min="2312" max="2312" width="13" style="435" customWidth="1"/>
    <col min="2313" max="2313" width="11.42578125" style="435" customWidth="1"/>
    <col min="2314" max="2548" width="9.140625" style="435"/>
    <col min="2549" max="2549" width="6.85546875" style="435" customWidth="1"/>
    <col min="2550" max="2550" width="22.140625" style="435" customWidth="1"/>
    <col min="2551" max="2552" width="13.42578125" style="435" customWidth="1"/>
    <col min="2553" max="2553" width="10.85546875" style="435" customWidth="1"/>
    <col min="2554" max="2555" width="13" style="435" customWidth="1"/>
    <col min="2556" max="2557" width="11.7109375" style="435" customWidth="1"/>
    <col min="2558" max="2558" width="11.42578125" style="435" customWidth="1"/>
    <col min="2559" max="2559" width="12.5703125" style="435" customWidth="1"/>
    <col min="2560" max="2560" width="12" style="435" customWidth="1"/>
    <col min="2561" max="2561" width="12.7109375" style="435" customWidth="1"/>
    <col min="2562" max="2562" width="11.7109375" style="435" customWidth="1"/>
    <col min="2563" max="2563" width="10.85546875" style="435" customWidth="1"/>
    <col min="2564" max="2564" width="12.7109375" style="435" customWidth="1"/>
    <col min="2565" max="2565" width="10.5703125" style="435" customWidth="1"/>
    <col min="2566" max="2566" width="7.5703125" style="435" customWidth="1"/>
    <col min="2567" max="2567" width="9.140625" style="435"/>
    <col min="2568" max="2568" width="13" style="435" customWidth="1"/>
    <col min="2569" max="2569" width="11.42578125" style="435" customWidth="1"/>
    <col min="2570" max="2804" width="9.140625" style="435"/>
    <col min="2805" max="2805" width="6.85546875" style="435" customWidth="1"/>
    <col min="2806" max="2806" width="22.140625" style="435" customWidth="1"/>
    <col min="2807" max="2808" width="13.42578125" style="435" customWidth="1"/>
    <col min="2809" max="2809" width="10.85546875" style="435" customWidth="1"/>
    <col min="2810" max="2811" width="13" style="435" customWidth="1"/>
    <col min="2812" max="2813" width="11.7109375" style="435" customWidth="1"/>
    <col min="2814" max="2814" width="11.42578125" style="435" customWidth="1"/>
    <col min="2815" max="2815" width="12.5703125" style="435" customWidth="1"/>
    <col min="2816" max="2816" width="12" style="435" customWidth="1"/>
    <col min="2817" max="2817" width="12.7109375" style="435" customWidth="1"/>
    <col min="2818" max="2818" width="11.7109375" style="435" customWidth="1"/>
    <col min="2819" max="2819" width="10.85546875" style="435" customWidth="1"/>
    <col min="2820" max="2820" width="12.7109375" style="435" customWidth="1"/>
    <col min="2821" max="2821" width="10.5703125" style="435" customWidth="1"/>
    <col min="2822" max="2822" width="7.5703125" style="435" customWidth="1"/>
    <col min="2823" max="2823" width="9.140625" style="435"/>
    <col min="2824" max="2824" width="13" style="435" customWidth="1"/>
    <col min="2825" max="2825" width="11.42578125" style="435" customWidth="1"/>
    <col min="2826" max="3060" width="9.140625" style="435"/>
    <col min="3061" max="3061" width="6.85546875" style="435" customWidth="1"/>
    <col min="3062" max="3062" width="22.140625" style="435" customWidth="1"/>
    <col min="3063" max="3064" width="13.42578125" style="435" customWidth="1"/>
    <col min="3065" max="3065" width="10.85546875" style="435" customWidth="1"/>
    <col min="3066" max="3067" width="13" style="435" customWidth="1"/>
    <col min="3068" max="3069" width="11.7109375" style="435" customWidth="1"/>
    <col min="3070" max="3070" width="11.42578125" style="435" customWidth="1"/>
    <col min="3071" max="3071" width="12.5703125" style="435" customWidth="1"/>
    <col min="3072" max="3072" width="12" style="435" customWidth="1"/>
    <col min="3073" max="3073" width="12.7109375" style="435" customWidth="1"/>
    <col min="3074" max="3074" width="11.7109375" style="435" customWidth="1"/>
    <col min="3075" max="3075" width="10.85546875" style="435" customWidth="1"/>
    <col min="3076" max="3076" width="12.7109375" style="435" customWidth="1"/>
    <col min="3077" max="3077" width="10.5703125" style="435" customWidth="1"/>
    <col min="3078" max="3078" width="7.5703125" style="435" customWidth="1"/>
    <col min="3079" max="3079" width="9.140625" style="435"/>
    <col min="3080" max="3080" width="13" style="435" customWidth="1"/>
    <col min="3081" max="3081" width="11.42578125" style="435" customWidth="1"/>
    <col min="3082" max="3316" width="9.140625" style="435"/>
    <col min="3317" max="3317" width="6.85546875" style="435" customWidth="1"/>
    <col min="3318" max="3318" width="22.140625" style="435" customWidth="1"/>
    <col min="3319" max="3320" width="13.42578125" style="435" customWidth="1"/>
    <col min="3321" max="3321" width="10.85546875" style="435" customWidth="1"/>
    <col min="3322" max="3323" width="13" style="435" customWidth="1"/>
    <col min="3324" max="3325" width="11.7109375" style="435" customWidth="1"/>
    <col min="3326" max="3326" width="11.42578125" style="435" customWidth="1"/>
    <col min="3327" max="3327" width="12.5703125" style="435" customWidth="1"/>
    <col min="3328" max="3328" width="12" style="435" customWidth="1"/>
    <col min="3329" max="3329" width="12.7109375" style="435" customWidth="1"/>
    <col min="3330" max="3330" width="11.7109375" style="435" customWidth="1"/>
    <col min="3331" max="3331" width="10.85546875" style="435" customWidth="1"/>
    <col min="3332" max="3332" width="12.7109375" style="435" customWidth="1"/>
    <col min="3333" max="3333" width="10.5703125" style="435" customWidth="1"/>
    <col min="3334" max="3334" width="7.5703125" style="435" customWidth="1"/>
    <col min="3335" max="3335" width="9.140625" style="435"/>
    <col min="3336" max="3336" width="13" style="435" customWidth="1"/>
    <col min="3337" max="3337" width="11.42578125" style="435" customWidth="1"/>
    <col min="3338" max="3572" width="9.140625" style="435"/>
    <col min="3573" max="3573" width="6.85546875" style="435" customWidth="1"/>
    <col min="3574" max="3574" width="22.140625" style="435" customWidth="1"/>
    <col min="3575" max="3576" width="13.42578125" style="435" customWidth="1"/>
    <col min="3577" max="3577" width="10.85546875" style="435" customWidth="1"/>
    <col min="3578" max="3579" width="13" style="435" customWidth="1"/>
    <col min="3580" max="3581" width="11.7109375" style="435" customWidth="1"/>
    <col min="3582" max="3582" width="11.42578125" style="435" customWidth="1"/>
    <col min="3583" max="3583" width="12.5703125" style="435" customWidth="1"/>
    <col min="3584" max="3584" width="12" style="435" customWidth="1"/>
    <col min="3585" max="3585" width="12.7109375" style="435" customWidth="1"/>
    <col min="3586" max="3586" width="11.7109375" style="435" customWidth="1"/>
    <col min="3587" max="3587" width="10.85546875" style="435" customWidth="1"/>
    <col min="3588" max="3588" width="12.7109375" style="435" customWidth="1"/>
    <col min="3589" max="3589" width="10.5703125" style="435" customWidth="1"/>
    <col min="3590" max="3590" width="7.5703125" style="435" customWidth="1"/>
    <col min="3591" max="3591" width="9.140625" style="435"/>
    <col min="3592" max="3592" width="13" style="435" customWidth="1"/>
    <col min="3593" max="3593" width="11.42578125" style="435" customWidth="1"/>
    <col min="3594" max="3828" width="9.140625" style="435"/>
    <col min="3829" max="3829" width="6.85546875" style="435" customWidth="1"/>
    <col min="3830" max="3830" width="22.140625" style="435" customWidth="1"/>
    <col min="3831" max="3832" width="13.42578125" style="435" customWidth="1"/>
    <col min="3833" max="3833" width="10.85546875" style="435" customWidth="1"/>
    <col min="3834" max="3835" width="13" style="435" customWidth="1"/>
    <col min="3836" max="3837" width="11.7109375" style="435" customWidth="1"/>
    <col min="3838" max="3838" width="11.42578125" style="435" customWidth="1"/>
    <col min="3839" max="3839" width="12.5703125" style="435" customWidth="1"/>
    <col min="3840" max="3840" width="12" style="435" customWidth="1"/>
    <col min="3841" max="3841" width="12.7109375" style="435" customWidth="1"/>
    <col min="3842" max="3842" width="11.7109375" style="435" customWidth="1"/>
    <col min="3843" max="3843" width="10.85546875" style="435" customWidth="1"/>
    <col min="3844" max="3844" width="12.7109375" style="435" customWidth="1"/>
    <col min="3845" max="3845" width="10.5703125" style="435" customWidth="1"/>
    <col min="3846" max="3846" width="7.5703125" style="435" customWidth="1"/>
    <col min="3847" max="3847" width="9.140625" style="435"/>
    <col min="3848" max="3848" width="13" style="435" customWidth="1"/>
    <col min="3849" max="3849" width="11.42578125" style="435" customWidth="1"/>
    <col min="3850" max="4084" width="9.140625" style="435"/>
    <col min="4085" max="4085" width="6.85546875" style="435" customWidth="1"/>
    <col min="4086" max="4086" width="22.140625" style="435" customWidth="1"/>
    <col min="4087" max="4088" width="13.42578125" style="435" customWidth="1"/>
    <col min="4089" max="4089" width="10.85546875" style="435" customWidth="1"/>
    <col min="4090" max="4091" width="13" style="435" customWidth="1"/>
    <col min="4092" max="4093" width="11.7109375" style="435" customWidth="1"/>
    <col min="4094" max="4094" width="11.42578125" style="435" customWidth="1"/>
    <col min="4095" max="4095" width="12.5703125" style="435" customWidth="1"/>
    <col min="4096" max="4096" width="12" style="435" customWidth="1"/>
    <col min="4097" max="4097" width="12.7109375" style="435" customWidth="1"/>
    <col min="4098" max="4098" width="11.7109375" style="435" customWidth="1"/>
    <col min="4099" max="4099" width="10.85546875" style="435" customWidth="1"/>
    <col min="4100" max="4100" width="12.7109375" style="435" customWidth="1"/>
    <col min="4101" max="4101" width="10.5703125" style="435" customWidth="1"/>
    <col min="4102" max="4102" width="7.5703125" style="435" customWidth="1"/>
    <col min="4103" max="4103" width="9.140625" style="435"/>
    <col min="4104" max="4104" width="13" style="435" customWidth="1"/>
    <col min="4105" max="4105" width="11.42578125" style="435" customWidth="1"/>
    <col min="4106" max="4340" width="9.140625" style="435"/>
    <col min="4341" max="4341" width="6.85546875" style="435" customWidth="1"/>
    <col min="4342" max="4342" width="22.140625" style="435" customWidth="1"/>
    <col min="4343" max="4344" width="13.42578125" style="435" customWidth="1"/>
    <col min="4345" max="4345" width="10.85546875" style="435" customWidth="1"/>
    <col min="4346" max="4347" width="13" style="435" customWidth="1"/>
    <col min="4348" max="4349" width="11.7109375" style="435" customWidth="1"/>
    <col min="4350" max="4350" width="11.42578125" style="435" customWidth="1"/>
    <col min="4351" max="4351" width="12.5703125" style="435" customWidth="1"/>
    <col min="4352" max="4352" width="12" style="435" customWidth="1"/>
    <col min="4353" max="4353" width="12.7109375" style="435" customWidth="1"/>
    <col min="4354" max="4354" width="11.7109375" style="435" customWidth="1"/>
    <col min="4355" max="4355" width="10.85546875" style="435" customWidth="1"/>
    <col min="4356" max="4356" width="12.7109375" style="435" customWidth="1"/>
    <col min="4357" max="4357" width="10.5703125" style="435" customWidth="1"/>
    <col min="4358" max="4358" width="7.5703125" style="435" customWidth="1"/>
    <col min="4359" max="4359" width="9.140625" style="435"/>
    <col min="4360" max="4360" width="13" style="435" customWidth="1"/>
    <col min="4361" max="4361" width="11.42578125" style="435" customWidth="1"/>
    <col min="4362" max="4596" width="9.140625" style="435"/>
    <col min="4597" max="4597" width="6.85546875" style="435" customWidth="1"/>
    <col min="4598" max="4598" width="22.140625" style="435" customWidth="1"/>
    <col min="4599" max="4600" width="13.42578125" style="435" customWidth="1"/>
    <col min="4601" max="4601" width="10.85546875" style="435" customWidth="1"/>
    <col min="4602" max="4603" width="13" style="435" customWidth="1"/>
    <col min="4604" max="4605" width="11.7109375" style="435" customWidth="1"/>
    <col min="4606" max="4606" width="11.42578125" style="435" customWidth="1"/>
    <col min="4607" max="4607" width="12.5703125" style="435" customWidth="1"/>
    <col min="4608" max="4608" width="12" style="435" customWidth="1"/>
    <col min="4609" max="4609" width="12.7109375" style="435" customWidth="1"/>
    <col min="4610" max="4610" width="11.7109375" style="435" customWidth="1"/>
    <col min="4611" max="4611" width="10.85546875" style="435" customWidth="1"/>
    <col min="4612" max="4612" width="12.7109375" style="435" customWidth="1"/>
    <col min="4613" max="4613" width="10.5703125" style="435" customWidth="1"/>
    <col min="4614" max="4614" width="7.5703125" style="435" customWidth="1"/>
    <col min="4615" max="4615" width="9.140625" style="435"/>
    <col min="4616" max="4616" width="13" style="435" customWidth="1"/>
    <col min="4617" max="4617" width="11.42578125" style="435" customWidth="1"/>
    <col min="4618" max="4852" width="9.140625" style="435"/>
    <col min="4853" max="4853" width="6.85546875" style="435" customWidth="1"/>
    <col min="4854" max="4854" width="22.140625" style="435" customWidth="1"/>
    <col min="4855" max="4856" width="13.42578125" style="435" customWidth="1"/>
    <col min="4857" max="4857" width="10.85546875" style="435" customWidth="1"/>
    <col min="4858" max="4859" width="13" style="435" customWidth="1"/>
    <col min="4860" max="4861" width="11.7109375" style="435" customWidth="1"/>
    <col min="4862" max="4862" width="11.42578125" style="435" customWidth="1"/>
    <col min="4863" max="4863" width="12.5703125" style="435" customWidth="1"/>
    <col min="4864" max="4864" width="12" style="435" customWidth="1"/>
    <col min="4865" max="4865" width="12.7109375" style="435" customWidth="1"/>
    <col min="4866" max="4866" width="11.7109375" style="435" customWidth="1"/>
    <col min="4867" max="4867" width="10.85546875" style="435" customWidth="1"/>
    <col min="4868" max="4868" width="12.7109375" style="435" customWidth="1"/>
    <col min="4869" max="4869" width="10.5703125" style="435" customWidth="1"/>
    <col min="4870" max="4870" width="7.5703125" style="435" customWidth="1"/>
    <col min="4871" max="4871" width="9.140625" style="435"/>
    <col min="4872" max="4872" width="13" style="435" customWidth="1"/>
    <col min="4873" max="4873" width="11.42578125" style="435" customWidth="1"/>
    <col min="4874" max="5108" width="9.140625" style="435"/>
    <col min="5109" max="5109" width="6.85546875" style="435" customWidth="1"/>
    <col min="5110" max="5110" width="22.140625" style="435" customWidth="1"/>
    <col min="5111" max="5112" width="13.42578125" style="435" customWidth="1"/>
    <col min="5113" max="5113" width="10.85546875" style="435" customWidth="1"/>
    <col min="5114" max="5115" width="13" style="435" customWidth="1"/>
    <col min="5116" max="5117" width="11.7109375" style="435" customWidth="1"/>
    <col min="5118" max="5118" width="11.42578125" style="435" customWidth="1"/>
    <col min="5119" max="5119" width="12.5703125" style="435" customWidth="1"/>
    <col min="5120" max="5120" width="12" style="435" customWidth="1"/>
    <col min="5121" max="5121" width="12.7109375" style="435" customWidth="1"/>
    <col min="5122" max="5122" width="11.7109375" style="435" customWidth="1"/>
    <col min="5123" max="5123" width="10.85546875" style="435" customWidth="1"/>
    <col min="5124" max="5124" width="12.7109375" style="435" customWidth="1"/>
    <col min="5125" max="5125" width="10.5703125" style="435" customWidth="1"/>
    <col min="5126" max="5126" width="7.5703125" style="435" customWidth="1"/>
    <col min="5127" max="5127" width="9.140625" style="435"/>
    <col min="5128" max="5128" width="13" style="435" customWidth="1"/>
    <col min="5129" max="5129" width="11.42578125" style="435" customWidth="1"/>
    <col min="5130" max="5364" width="9.140625" style="435"/>
    <col min="5365" max="5365" width="6.85546875" style="435" customWidth="1"/>
    <col min="5366" max="5366" width="22.140625" style="435" customWidth="1"/>
    <col min="5367" max="5368" width="13.42578125" style="435" customWidth="1"/>
    <col min="5369" max="5369" width="10.85546875" style="435" customWidth="1"/>
    <col min="5370" max="5371" width="13" style="435" customWidth="1"/>
    <col min="5372" max="5373" width="11.7109375" style="435" customWidth="1"/>
    <col min="5374" max="5374" width="11.42578125" style="435" customWidth="1"/>
    <col min="5375" max="5375" width="12.5703125" style="435" customWidth="1"/>
    <col min="5376" max="5376" width="12" style="435" customWidth="1"/>
    <col min="5377" max="5377" width="12.7109375" style="435" customWidth="1"/>
    <col min="5378" max="5378" width="11.7109375" style="435" customWidth="1"/>
    <col min="5379" max="5379" width="10.85546875" style="435" customWidth="1"/>
    <col min="5380" max="5380" width="12.7109375" style="435" customWidth="1"/>
    <col min="5381" max="5381" width="10.5703125" style="435" customWidth="1"/>
    <col min="5382" max="5382" width="7.5703125" style="435" customWidth="1"/>
    <col min="5383" max="5383" width="9.140625" style="435"/>
    <col min="5384" max="5384" width="13" style="435" customWidth="1"/>
    <col min="5385" max="5385" width="11.42578125" style="435" customWidth="1"/>
    <col min="5386" max="5620" width="9.140625" style="435"/>
    <col min="5621" max="5621" width="6.85546875" style="435" customWidth="1"/>
    <col min="5622" max="5622" width="22.140625" style="435" customWidth="1"/>
    <col min="5623" max="5624" width="13.42578125" style="435" customWidth="1"/>
    <col min="5625" max="5625" width="10.85546875" style="435" customWidth="1"/>
    <col min="5626" max="5627" width="13" style="435" customWidth="1"/>
    <col min="5628" max="5629" width="11.7109375" style="435" customWidth="1"/>
    <col min="5630" max="5630" width="11.42578125" style="435" customWidth="1"/>
    <col min="5631" max="5631" width="12.5703125" style="435" customWidth="1"/>
    <col min="5632" max="5632" width="12" style="435" customWidth="1"/>
    <col min="5633" max="5633" width="12.7109375" style="435" customWidth="1"/>
    <col min="5634" max="5634" width="11.7109375" style="435" customWidth="1"/>
    <col min="5635" max="5635" width="10.85546875" style="435" customWidth="1"/>
    <col min="5636" max="5636" width="12.7109375" style="435" customWidth="1"/>
    <col min="5637" max="5637" width="10.5703125" style="435" customWidth="1"/>
    <col min="5638" max="5638" width="7.5703125" style="435" customWidth="1"/>
    <col min="5639" max="5639" width="9.140625" style="435"/>
    <col min="5640" max="5640" width="13" style="435" customWidth="1"/>
    <col min="5641" max="5641" width="11.42578125" style="435" customWidth="1"/>
    <col min="5642" max="5876" width="9.140625" style="435"/>
    <col min="5877" max="5877" width="6.85546875" style="435" customWidth="1"/>
    <col min="5878" max="5878" width="22.140625" style="435" customWidth="1"/>
    <col min="5879" max="5880" width="13.42578125" style="435" customWidth="1"/>
    <col min="5881" max="5881" width="10.85546875" style="435" customWidth="1"/>
    <col min="5882" max="5883" width="13" style="435" customWidth="1"/>
    <col min="5884" max="5885" width="11.7109375" style="435" customWidth="1"/>
    <col min="5886" max="5886" width="11.42578125" style="435" customWidth="1"/>
    <col min="5887" max="5887" width="12.5703125" style="435" customWidth="1"/>
    <col min="5888" max="5888" width="12" style="435" customWidth="1"/>
    <col min="5889" max="5889" width="12.7109375" style="435" customWidth="1"/>
    <col min="5890" max="5890" width="11.7109375" style="435" customWidth="1"/>
    <col min="5891" max="5891" width="10.85546875" style="435" customWidth="1"/>
    <col min="5892" max="5892" width="12.7109375" style="435" customWidth="1"/>
    <col min="5893" max="5893" width="10.5703125" style="435" customWidth="1"/>
    <col min="5894" max="5894" width="7.5703125" style="435" customWidth="1"/>
    <col min="5895" max="5895" width="9.140625" style="435"/>
    <col min="5896" max="5896" width="13" style="435" customWidth="1"/>
    <col min="5897" max="5897" width="11.42578125" style="435" customWidth="1"/>
    <col min="5898" max="6132" width="9.140625" style="435"/>
    <col min="6133" max="6133" width="6.85546875" style="435" customWidth="1"/>
    <col min="6134" max="6134" width="22.140625" style="435" customWidth="1"/>
    <col min="6135" max="6136" width="13.42578125" style="435" customWidth="1"/>
    <col min="6137" max="6137" width="10.85546875" style="435" customWidth="1"/>
    <col min="6138" max="6139" width="13" style="435" customWidth="1"/>
    <col min="6140" max="6141" width="11.7109375" style="435" customWidth="1"/>
    <col min="6142" max="6142" width="11.42578125" style="435" customWidth="1"/>
    <col min="6143" max="6143" width="12.5703125" style="435" customWidth="1"/>
    <col min="6144" max="6144" width="12" style="435" customWidth="1"/>
    <col min="6145" max="6145" width="12.7109375" style="435" customWidth="1"/>
    <col min="6146" max="6146" width="11.7109375" style="435" customWidth="1"/>
    <col min="6147" max="6147" width="10.85546875" style="435" customWidth="1"/>
    <col min="6148" max="6148" width="12.7109375" style="435" customWidth="1"/>
    <col min="6149" max="6149" width="10.5703125" style="435" customWidth="1"/>
    <col min="6150" max="6150" width="7.5703125" style="435" customWidth="1"/>
    <col min="6151" max="6151" width="9.140625" style="435"/>
    <col min="6152" max="6152" width="13" style="435" customWidth="1"/>
    <col min="6153" max="6153" width="11.42578125" style="435" customWidth="1"/>
    <col min="6154" max="6388" width="9.140625" style="435"/>
    <col min="6389" max="6389" width="6.85546875" style="435" customWidth="1"/>
    <col min="6390" max="6390" width="22.140625" style="435" customWidth="1"/>
    <col min="6391" max="6392" width="13.42578125" style="435" customWidth="1"/>
    <col min="6393" max="6393" width="10.85546875" style="435" customWidth="1"/>
    <col min="6394" max="6395" width="13" style="435" customWidth="1"/>
    <col min="6396" max="6397" width="11.7109375" style="435" customWidth="1"/>
    <col min="6398" max="6398" width="11.42578125" style="435" customWidth="1"/>
    <col min="6399" max="6399" width="12.5703125" style="435" customWidth="1"/>
    <col min="6400" max="6400" width="12" style="435" customWidth="1"/>
    <col min="6401" max="6401" width="12.7109375" style="435" customWidth="1"/>
    <col min="6402" max="6402" width="11.7109375" style="435" customWidth="1"/>
    <col min="6403" max="6403" width="10.85546875" style="435" customWidth="1"/>
    <col min="6404" max="6404" width="12.7109375" style="435" customWidth="1"/>
    <col min="6405" max="6405" width="10.5703125" style="435" customWidth="1"/>
    <col min="6406" max="6406" width="7.5703125" style="435" customWidth="1"/>
    <col min="6407" max="6407" width="9.140625" style="435"/>
    <col min="6408" max="6408" width="13" style="435" customWidth="1"/>
    <col min="6409" max="6409" width="11.42578125" style="435" customWidth="1"/>
    <col min="6410" max="6644" width="9.140625" style="435"/>
    <col min="6645" max="6645" width="6.85546875" style="435" customWidth="1"/>
    <col min="6646" max="6646" width="22.140625" style="435" customWidth="1"/>
    <col min="6647" max="6648" width="13.42578125" style="435" customWidth="1"/>
    <col min="6649" max="6649" width="10.85546875" style="435" customWidth="1"/>
    <col min="6650" max="6651" width="13" style="435" customWidth="1"/>
    <col min="6652" max="6653" width="11.7109375" style="435" customWidth="1"/>
    <col min="6654" max="6654" width="11.42578125" style="435" customWidth="1"/>
    <col min="6655" max="6655" width="12.5703125" style="435" customWidth="1"/>
    <col min="6656" max="6656" width="12" style="435" customWidth="1"/>
    <col min="6657" max="6657" width="12.7109375" style="435" customWidth="1"/>
    <col min="6658" max="6658" width="11.7109375" style="435" customWidth="1"/>
    <col min="6659" max="6659" width="10.85546875" style="435" customWidth="1"/>
    <col min="6660" max="6660" width="12.7109375" style="435" customWidth="1"/>
    <col min="6661" max="6661" width="10.5703125" style="435" customWidth="1"/>
    <col min="6662" max="6662" width="7.5703125" style="435" customWidth="1"/>
    <col min="6663" max="6663" width="9.140625" style="435"/>
    <col min="6664" max="6664" width="13" style="435" customWidth="1"/>
    <col min="6665" max="6665" width="11.42578125" style="435" customWidth="1"/>
    <col min="6666" max="6900" width="9.140625" style="435"/>
    <col min="6901" max="6901" width="6.85546875" style="435" customWidth="1"/>
    <col min="6902" max="6902" width="22.140625" style="435" customWidth="1"/>
    <col min="6903" max="6904" width="13.42578125" style="435" customWidth="1"/>
    <col min="6905" max="6905" width="10.85546875" style="435" customWidth="1"/>
    <col min="6906" max="6907" width="13" style="435" customWidth="1"/>
    <col min="6908" max="6909" width="11.7109375" style="435" customWidth="1"/>
    <col min="6910" max="6910" width="11.42578125" style="435" customWidth="1"/>
    <col min="6911" max="6911" width="12.5703125" style="435" customWidth="1"/>
    <col min="6912" max="6912" width="12" style="435" customWidth="1"/>
    <col min="6913" max="6913" width="12.7109375" style="435" customWidth="1"/>
    <col min="6914" max="6914" width="11.7109375" style="435" customWidth="1"/>
    <col min="6915" max="6915" width="10.85546875" style="435" customWidth="1"/>
    <col min="6916" max="6916" width="12.7109375" style="435" customWidth="1"/>
    <col min="6917" max="6917" width="10.5703125" style="435" customWidth="1"/>
    <col min="6918" max="6918" width="7.5703125" style="435" customWidth="1"/>
    <col min="6919" max="6919" width="9.140625" style="435"/>
    <col min="6920" max="6920" width="13" style="435" customWidth="1"/>
    <col min="6921" max="6921" width="11.42578125" style="435" customWidth="1"/>
    <col min="6922" max="7156" width="9.140625" style="435"/>
    <col min="7157" max="7157" width="6.85546875" style="435" customWidth="1"/>
    <col min="7158" max="7158" width="22.140625" style="435" customWidth="1"/>
    <col min="7159" max="7160" width="13.42578125" style="435" customWidth="1"/>
    <col min="7161" max="7161" width="10.85546875" style="435" customWidth="1"/>
    <col min="7162" max="7163" width="13" style="435" customWidth="1"/>
    <col min="7164" max="7165" width="11.7109375" style="435" customWidth="1"/>
    <col min="7166" max="7166" width="11.42578125" style="435" customWidth="1"/>
    <col min="7167" max="7167" width="12.5703125" style="435" customWidth="1"/>
    <col min="7168" max="7168" width="12" style="435" customWidth="1"/>
    <col min="7169" max="7169" width="12.7109375" style="435" customWidth="1"/>
    <col min="7170" max="7170" width="11.7109375" style="435" customWidth="1"/>
    <col min="7171" max="7171" width="10.85546875" style="435" customWidth="1"/>
    <col min="7172" max="7172" width="12.7109375" style="435" customWidth="1"/>
    <col min="7173" max="7173" width="10.5703125" style="435" customWidth="1"/>
    <col min="7174" max="7174" width="7.5703125" style="435" customWidth="1"/>
    <col min="7175" max="7175" width="9.140625" style="435"/>
    <col min="7176" max="7176" width="13" style="435" customWidth="1"/>
    <col min="7177" max="7177" width="11.42578125" style="435" customWidth="1"/>
    <col min="7178" max="7412" width="9.140625" style="435"/>
    <col min="7413" max="7413" width="6.85546875" style="435" customWidth="1"/>
    <col min="7414" max="7414" width="22.140625" style="435" customWidth="1"/>
    <col min="7415" max="7416" width="13.42578125" style="435" customWidth="1"/>
    <col min="7417" max="7417" width="10.85546875" style="435" customWidth="1"/>
    <col min="7418" max="7419" width="13" style="435" customWidth="1"/>
    <col min="7420" max="7421" width="11.7109375" style="435" customWidth="1"/>
    <col min="7422" max="7422" width="11.42578125" style="435" customWidth="1"/>
    <col min="7423" max="7423" width="12.5703125" style="435" customWidth="1"/>
    <col min="7424" max="7424" width="12" style="435" customWidth="1"/>
    <col min="7425" max="7425" width="12.7109375" style="435" customWidth="1"/>
    <col min="7426" max="7426" width="11.7109375" style="435" customWidth="1"/>
    <col min="7427" max="7427" width="10.85546875" style="435" customWidth="1"/>
    <col min="7428" max="7428" width="12.7109375" style="435" customWidth="1"/>
    <col min="7429" max="7429" width="10.5703125" style="435" customWidth="1"/>
    <col min="7430" max="7430" width="7.5703125" style="435" customWidth="1"/>
    <col min="7431" max="7431" width="9.140625" style="435"/>
    <col min="7432" max="7432" width="13" style="435" customWidth="1"/>
    <col min="7433" max="7433" width="11.42578125" style="435" customWidth="1"/>
    <col min="7434" max="7668" width="9.140625" style="435"/>
    <col min="7669" max="7669" width="6.85546875" style="435" customWidth="1"/>
    <col min="7670" max="7670" width="22.140625" style="435" customWidth="1"/>
    <col min="7671" max="7672" width="13.42578125" style="435" customWidth="1"/>
    <col min="7673" max="7673" width="10.85546875" style="435" customWidth="1"/>
    <col min="7674" max="7675" width="13" style="435" customWidth="1"/>
    <col min="7676" max="7677" width="11.7109375" style="435" customWidth="1"/>
    <col min="7678" max="7678" width="11.42578125" style="435" customWidth="1"/>
    <col min="7679" max="7679" width="12.5703125" style="435" customWidth="1"/>
    <col min="7680" max="7680" width="12" style="435" customWidth="1"/>
    <col min="7681" max="7681" width="12.7109375" style="435" customWidth="1"/>
    <col min="7682" max="7682" width="11.7109375" style="435" customWidth="1"/>
    <col min="7683" max="7683" width="10.85546875" style="435" customWidth="1"/>
    <col min="7684" max="7684" width="12.7109375" style="435" customWidth="1"/>
    <col min="7685" max="7685" width="10.5703125" style="435" customWidth="1"/>
    <col min="7686" max="7686" width="7.5703125" style="435" customWidth="1"/>
    <col min="7687" max="7687" width="9.140625" style="435"/>
    <col min="7688" max="7688" width="13" style="435" customWidth="1"/>
    <col min="7689" max="7689" width="11.42578125" style="435" customWidth="1"/>
    <col min="7690" max="7924" width="9.140625" style="435"/>
    <col min="7925" max="7925" width="6.85546875" style="435" customWidth="1"/>
    <col min="7926" max="7926" width="22.140625" style="435" customWidth="1"/>
    <col min="7927" max="7928" width="13.42578125" style="435" customWidth="1"/>
    <col min="7929" max="7929" width="10.85546875" style="435" customWidth="1"/>
    <col min="7930" max="7931" width="13" style="435" customWidth="1"/>
    <col min="7932" max="7933" width="11.7109375" style="435" customWidth="1"/>
    <col min="7934" max="7934" width="11.42578125" style="435" customWidth="1"/>
    <col min="7935" max="7935" width="12.5703125" style="435" customWidth="1"/>
    <col min="7936" max="7936" width="12" style="435" customWidth="1"/>
    <col min="7937" max="7937" width="12.7109375" style="435" customWidth="1"/>
    <col min="7938" max="7938" width="11.7109375" style="435" customWidth="1"/>
    <col min="7939" max="7939" width="10.85546875" style="435" customWidth="1"/>
    <col min="7940" max="7940" width="12.7109375" style="435" customWidth="1"/>
    <col min="7941" max="7941" width="10.5703125" style="435" customWidth="1"/>
    <col min="7942" max="7942" width="7.5703125" style="435" customWidth="1"/>
    <col min="7943" max="7943" width="9.140625" style="435"/>
    <col min="7944" max="7944" width="13" style="435" customWidth="1"/>
    <col min="7945" max="7945" width="11.42578125" style="435" customWidth="1"/>
    <col min="7946" max="8180" width="9.140625" style="435"/>
    <col min="8181" max="8181" width="6.85546875" style="435" customWidth="1"/>
    <col min="8182" max="8182" width="22.140625" style="435" customWidth="1"/>
    <col min="8183" max="8184" width="13.42578125" style="435" customWidth="1"/>
    <col min="8185" max="8185" width="10.85546875" style="435" customWidth="1"/>
    <col min="8186" max="8187" width="13" style="435" customWidth="1"/>
    <col min="8188" max="8189" width="11.7109375" style="435" customWidth="1"/>
    <col min="8190" max="8190" width="11.42578125" style="435" customWidth="1"/>
    <col min="8191" max="8191" width="12.5703125" style="435" customWidth="1"/>
    <col min="8192" max="8192" width="12" style="435" customWidth="1"/>
    <col min="8193" max="8193" width="12.7109375" style="435" customWidth="1"/>
    <col min="8194" max="8194" width="11.7109375" style="435" customWidth="1"/>
    <col min="8195" max="8195" width="10.85546875" style="435" customWidth="1"/>
    <col min="8196" max="8196" width="12.7109375" style="435" customWidth="1"/>
    <col min="8197" max="8197" width="10.5703125" style="435" customWidth="1"/>
    <col min="8198" max="8198" width="7.5703125" style="435" customWidth="1"/>
    <col min="8199" max="8199" width="9.140625" style="435"/>
    <col min="8200" max="8200" width="13" style="435" customWidth="1"/>
    <col min="8201" max="8201" width="11.42578125" style="435" customWidth="1"/>
    <col min="8202" max="8436" width="9.140625" style="435"/>
    <col min="8437" max="8437" width="6.85546875" style="435" customWidth="1"/>
    <col min="8438" max="8438" width="22.140625" style="435" customWidth="1"/>
    <col min="8439" max="8440" width="13.42578125" style="435" customWidth="1"/>
    <col min="8441" max="8441" width="10.85546875" style="435" customWidth="1"/>
    <col min="8442" max="8443" width="13" style="435" customWidth="1"/>
    <col min="8444" max="8445" width="11.7109375" style="435" customWidth="1"/>
    <col min="8446" max="8446" width="11.42578125" style="435" customWidth="1"/>
    <col min="8447" max="8447" width="12.5703125" style="435" customWidth="1"/>
    <col min="8448" max="8448" width="12" style="435" customWidth="1"/>
    <col min="8449" max="8449" width="12.7109375" style="435" customWidth="1"/>
    <col min="8450" max="8450" width="11.7109375" style="435" customWidth="1"/>
    <col min="8451" max="8451" width="10.85546875" style="435" customWidth="1"/>
    <col min="8452" max="8452" width="12.7109375" style="435" customWidth="1"/>
    <col min="8453" max="8453" width="10.5703125" style="435" customWidth="1"/>
    <col min="8454" max="8454" width="7.5703125" style="435" customWidth="1"/>
    <col min="8455" max="8455" width="9.140625" style="435"/>
    <col min="8456" max="8456" width="13" style="435" customWidth="1"/>
    <col min="8457" max="8457" width="11.42578125" style="435" customWidth="1"/>
    <col min="8458" max="8692" width="9.140625" style="435"/>
    <col min="8693" max="8693" width="6.85546875" style="435" customWidth="1"/>
    <col min="8694" max="8694" width="22.140625" style="435" customWidth="1"/>
    <col min="8695" max="8696" width="13.42578125" style="435" customWidth="1"/>
    <col min="8697" max="8697" width="10.85546875" style="435" customWidth="1"/>
    <col min="8698" max="8699" width="13" style="435" customWidth="1"/>
    <col min="8700" max="8701" width="11.7109375" style="435" customWidth="1"/>
    <col min="8702" max="8702" width="11.42578125" style="435" customWidth="1"/>
    <col min="8703" max="8703" width="12.5703125" style="435" customWidth="1"/>
    <col min="8704" max="8704" width="12" style="435" customWidth="1"/>
    <col min="8705" max="8705" width="12.7109375" style="435" customWidth="1"/>
    <col min="8706" max="8706" width="11.7109375" style="435" customWidth="1"/>
    <col min="8707" max="8707" width="10.85546875" style="435" customWidth="1"/>
    <col min="8708" max="8708" width="12.7109375" style="435" customWidth="1"/>
    <col min="8709" max="8709" width="10.5703125" style="435" customWidth="1"/>
    <col min="8710" max="8710" width="7.5703125" style="435" customWidth="1"/>
    <col min="8711" max="8711" width="9.140625" style="435"/>
    <col min="8712" max="8712" width="13" style="435" customWidth="1"/>
    <col min="8713" max="8713" width="11.42578125" style="435" customWidth="1"/>
    <col min="8714" max="8948" width="9.140625" style="435"/>
    <col min="8949" max="8949" width="6.85546875" style="435" customWidth="1"/>
    <col min="8950" max="8950" width="22.140625" style="435" customWidth="1"/>
    <col min="8951" max="8952" width="13.42578125" style="435" customWidth="1"/>
    <col min="8953" max="8953" width="10.85546875" style="435" customWidth="1"/>
    <col min="8954" max="8955" width="13" style="435" customWidth="1"/>
    <col min="8956" max="8957" width="11.7109375" style="435" customWidth="1"/>
    <col min="8958" max="8958" width="11.42578125" style="435" customWidth="1"/>
    <col min="8959" max="8959" width="12.5703125" style="435" customWidth="1"/>
    <col min="8960" max="8960" width="12" style="435" customWidth="1"/>
    <col min="8961" max="8961" width="12.7109375" style="435" customWidth="1"/>
    <col min="8962" max="8962" width="11.7109375" style="435" customWidth="1"/>
    <col min="8963" max="8963" width="10.85546875" style="435" customWidth="1"/>
    <col min="8964" max="8964" width="12.7109375" style="435" customWidth="1"/>
    <col min="8965" max="8965" width="10.5703125" style="435" customWidth="1"/>
    <col min="8966" max="8966" width="7.5703125" style="435" customWidth="1"/>
    <col min="8967" max="8967" width="9.140625" style="435"/>
    <col min="8968" max="8968" width="13" style="435" customWidth="1"/>
    <col min="8969" max="8969" width="11.42578125" style="435" customWidth="1"/>
    <col min="8970" max="9204" width="9.140625" style="435"/>
    <col min="9205" max="9205" width="6.85546875" style="435" customWidth="1"/>
    <col min="9206" max="9206" width="22.140625" style="435" customWidth="1"/>
    <col min="9207" max="9208" width="13.42578125" style="435" customWidth="1"/>
    <col min="9209" max="9209" width="10.85546875" style="435" customWidth="1"/>
    <col min="9210" max="9211" width="13" style="435" customWidth="1"/>
    <col min="9212" max="9213" width="11.7109375" style="435" customWidth="1"/>
    <col min="9214" max="9214" width="11.42578125" style="435" customWidth="1"/>
    <col min="9215" max="9215" width="12.5703125" style="435" customWidth="1"/>
    <col min="9216" max="9216" width="12" style="435" customWidth="1"/>
    <col min="9217" max="9217" width="12.7109375" style="435" customWidth="1"/>
    <col min="9218" max="9218" width="11.7109375" style="435" customWidth="1"/>
    <col min="9219" max="9219" width="10.85546875" style="435" customWidth="1"/>
    <col min="9220" max="9220" width="12.7109375" style="435" customWidth="1"/>
    <col min="9221" max="9221" width="10.5703125" style="435" customWidth="1"/>
    <col min="9222" max="9222" width="7.5703125" style="435" customWidth="1"/>
    <col min="9223" max="9223" width="9.140625" style="435"/>
    <col min="9224" max="9224" width="13" style="435" customWidth="1"/>
    <col min="9225" max="9225" width="11.42578125" style="435" customWidth="1"/>
    <col min="9226" max="9460" width="9.140625" style="435"/>
    <col min="9461" max="9461" width="6.85546875" style="435" customWidth="1"/>
    <col min="9462" max="9462" width="22.140625" style="435" customWidth="1"/>
    <col min="9463" max="9464" width="13.42578125" style="435" customWidth="1"/>
    <col min="9465" max="9465" width="10.85546875" style="435" customWidth="1"/>
    <col min="9466" max="9467" width="13" style="435" customWidth="1"/>
    <col min="9468" max="9469" width="11.7109375" style="435" customWidth="1"/>
    <col min="9470" max="9470" width="11.42578125" style="435" customWidth="1"/>
    <col min="9471" max="9471" width="12.5703125" style="435" customWidth="1"/>
    <col min="9472" max="9472" width="12" style="435" customWidth="1"/>
    <col min="9473" max="9473" width="12.7109375" style="435" customWidth="1"/>
    <col min="9474" max="9474" width="11.7109375" style="435" customWidth="1"/>
    <col min="9475" max="9475" width="10.85546875" style="435" customWidth="1"/>
    <col min="9476" max="9476" width="12.7109375" style="435" customWidth="1"/>
    <col min="9477" max="9477" width="10.5703125" style="435" customWidth="1"/>
    <col min="9478" max="9478" width="7.5703125" style="435" customWidth="1"/>
    <col min="9479" max="9479" width="9.140625" style="435"/>
    <col min="9480" max="9480" width="13" style="435" customWidth="1"/>
    <col min="9481" max="9481" width="11.42578125" style="435" customWidth="1"/>
    <col min="9482" max="9716" width="9.140625" style="435"/>
    <col min="9717" max="9717" width="6.85546875" style="435" customWidth="1"/>
    <col min="9718" max="9718" width="22.140625" style="435" customWidth="1"/>
    <col min="9719" max="9720" width="13.42578125" style="435" customWidth="1"/>
    <col min="9721" max="9721" width="10.85546875" style="435" customWidth="1"/>
    <col min="9722" max="9723" width="13" style="435" customWidth="1"/>
    <col min="9724" max="9725" width="11.7109375" style="435" customWidth="1"/>
    <col min="9726" max="9726" width="11.42578125" style="435" customWidth="1"/>
    <col min="9727" max="9727" width="12.5703125" style="435" customWidth="1"/>
    <col min="9728" max="9728" width="12" style="435" customWidth="1"/>
    <col min="9729" max="9729" width="12.7109375" style="435" customWidth="1"/>
    <col min="9730" max="9730" width="11.7109375" style="435" customWidth="1"/>
    <col min="9731" max="9731" width="10.85546875" style="435" customWidth="1"/>
    <col min="9732" max="9732" width="12.7109375" style="435" customWidth="1"/>
    <col min="9733" max="9733" width="10.5703125" style="435" customWidth="1"/>
    <col min="9734" max="9734" width="7.5703125" style="435" customWidth="1"/>
    <col min="9735" max="9735" width="9.140625" style="435"/>
    <col min="9736" max="9736" width="13" style="435" customWidth="1"/>
    <col min="9737" max="9737" width="11.42578125" style="435" customWidth="1"/>
    <col min="9738" max="9972" width="9.140625" style="435"/>
    <col min="9973" max="9973" width="6.85546875" style="435" customWidth="1"/>
    <col min="9974" max="9974" width="22.140625" style="435" customWidth="1"/>
    <col min="9975" max="9976" width="13.42578125" style="435" customWidth="1"/>
    <col min="9977" max="9977" width="10.85546875" style="435" customWidth="1"/>
    <col min="9978" max="9979" width="13" style="435" customWidth="1"/>
    <col min="9980" max="9981" width="11.7109375" style="435" customWidth="1"/>
    <col min="9982" max="9982" width="11.42578125" style="435" customWidth="1"/>
    <col min="9983" max="9983" width="12.5703125" style="435" customWidth="1"/>
    <col min="9984" max="9984" width="12" style="435" customWidth="1"/>
    <col min="9985" max="9985" width="12.7109375" style="435" customWidth="1"/>
    <col min="9986" max="9986" width="11.7109375" style="435" customWidth="1"/>
    <col min="9987" max="9987" width="10.85546875" style="435" customWidth="1"/>
    <col min="9988" max="9988" width="12.7109375" style="435" customWidth="1"/>
    <col min="9989" max="9989" width="10.5703125" style="435" customWidth="1"/>
    <col min="9990" max="9990" width="7.5703125" style="435" customWidth="1"/>
    <col min="9991" max="9991" width="9.140625" style="435"/>
    <col min="9992" max="9992" width="13" style="435" customWidth="1"/>
    <col min="9993" max="9993" width="11.42578125" style="435" customWidth="1"/>
    <col min="9994" max="10228" width="9.140625" style="435"/>
    <col min="10229" max="10229" width="6.85546875" style="435" customWidth="1"/>
    <col min="10230" max="10230" width="22.140625" style="435" customWidth="1"/>
    <col min="10231" max="10232" width="13.42578125" style="435" customWidth="1"/>
    <col min="10233" max="10233" width="10.85546875" style="435" customWidth="1"/>
    <col min="10234" max="10235" width="13" style="435" customWidth="1"/>
    <col min="10236" max="10237" width="11.7109375" style="435" customWidth="1"/>
    <col min="10238" max="10238" width="11.42578125" style="435" customWidth="1"/>
    <col min="10239" max="10239" width="12.5703125" style="435" customWidth="1"/>
    <col min="10240" max="10240" width="12" style="435" customWidth="1"/>
    <col min="10241" max="10241" width="12.7109375" style="435" customWidth="1"/>
    <col min="10242" max="10242" width="11.7109375" style="435" customWidth="1"/>
    <col min="10243" max="10243" width="10.85546875" style="435" customWidth="1"/>
    <col min="10244" max="10244" width="12.7109375" style="435" customWidth="1"/>
    <col min="10245" max="10245" width="10.5703125" style="435" customWidth="1"/>
    <col min="10246" max="10246" width="7.5703125" style="435" customWidth="1"/>
    <col min="10247" max="10247" width="9.140625" style="435"/>
    <col min="10248" max="10248" width="13" style="435" customWidth="1"/>
    <col min="10249" max="10249" width="11.42578125" style="435" customWidth="1"/>
    <col min="10250" max="10484" width="9.140625" style="435"/>
    <col min="10485" max="10485" width="6.85546875" style="435" customWidth="1"/>
    <col min="10486" max="10486" width="22.140625" style="435" customWidth="1"/>
    <col min="10487" max="10488" width="13.42578125" style="435" customWidth="1"/>
    <col min="10489" max="10489" width="10.85546875" style="435" customWidth="1"/>
    <col min="10490" max="10491" width="13" style="435" customWidth="1"/>
    <col min="10492" max="10493" width="11.7109375" style="435" customWidth="1"/>
    <col min="10494" max="10494" width="11.42578125" style="435" customWidth="1"/>
    <col min="10495" max="10495" width="12.5703125" style="435" customWidth="1"/>
    <col min="10496" max="10496" width="12" style="435" customWidth="1"/>
    <col min="10497" max="10497" width="12.7109375" style="435" customWidth="1"/>
    <col min="10498" max="10498" width="11.7109375" style="435" customWidth="1"/>
    <col min="10499" max="10499" width="10.85546875" style="435" customWidth="1"/>
    <col min="10500" max="10500" width="12.7109375" style="435" customWidth="1"/>
    <col min="10501" max="10501" width="10.5703125" style="435" customWidth="1"/>
    <col min="10502" max="10502" width="7.5703125" style="435" customWidth="1"/>
    <col min="10503" max="10503" width="9.140625" style="435"/>
    <col min="10504" max="10504" width="13" style="435" customWidth="1"/>
    <col min="10505" max="10505" width="11.42578125" style="435" customWidth="1"/>
    <col min="10506" max="10740" width="9.140625" style="435"/>
    <col min="10741" max="10741" width="6.85546875" style="435" customWidth="1"/>
    <col min="10742" max="10742" width="22.140625" style="435" customWidth="1"/>
    <col min="10743" max="10744" width="13.42578125" style="435" customWidth="1"/>
    <col min="10745" max="10745" width="10.85546875" style="435" customWidth="1"/>
    <col min="10746" max="10747" width="13" style="435" customWidth="1"/>
    <col min="10748" max="10749" width="11.7109375" style="435" customWidth="1"/>
    <col min="10750" max="10750" width="11.42578125" style="435" customWidth="1"/>
    <col min="10751" max="10751" width="12.5703125" style="435" customWidth="1"/>
    <col min="10752" max="10752" width="12" style="435" customWidth="1"/>
    <col min="10753" max="10753" width="12.7109375" style="435" customWidth="1"/>
    <col min="10754" max="10754" width="11.7109375" style="435" customWidth="1"/>
    <col min="10755" max="10755" width="10.85546875" style="435" customWidth="1"/>
    <col min="10756" max="10756" width="12.7109375" style="435" customWidth="1"/>
    <col min="10757" max="10757" width="10.5703125" style="435" customWidth="1"/>
    <col min="10758" max="10758" width="7.5703125" style="435" customWidth="1"/>
    <col min="10759" max="10759" width="9.140625" style="435"/>
    <col min="10760" max="10760" width="13" style="435" customWidth="1"/>
    <col min="10761" max="10761" width="11.42578125" style="435" customWidth="1"/>
    <col min="10762" max="10996" width="9.140625" style="435"/>
    <col min="10997" max="10997" width="6.85546875" style="435" customWidth="1"/>
    <col min="10998" max="10998" width="22.140625" style="435" customWidth="1"/>
    <col min="10999" max="11000" width="13.42578125" style="435" customWidth="1"/>
    <col min="11001" max="11001" width="10.85546875" style="435" customWidth="1"/>
    <col min="11002" max="11003" width="13" style="435" customWidth="1"/>
    <col min="11004" max="11005" width="11.7109375" style="435" customWidth="1"/>
    <col min="11006" max="11006" width="11.42578125" style="435" customWidth="1"/>
    <col min="11007" max="11007" width="12.5703125" style="435" customWidth="1"/>
    <col min="11008" max="11008" width="12" style="435" customWidth="1"/>
    <col min="11009" max="11009" width="12.7109375" style="435" customWidth="1"/>
    <col min="11010" max="11010" width="11.7109375" style="435" customWidth="1"/>
    <col min="11011" max="11011" width="10.85546875" style="435" customWidth="1"/>
    <col min="11012" max="11012" width="12.7109375" style="435" customWidth="1"/>
    <col min="11013" max="11013" width="10.5703125" style="435" customWidth="1"/>
    <col min="11014" max="11014" width="7.5703125" style="435" customWidth="1"/>
    <col min="11015" max="11015" width="9.140625" style="435"/>
    <col min="11016" max="11016" width="13" style="435" customWidth="1"/>
    <col min="11017" max="11017" width="11.42578125" style="435" customWidth="1"/>
    <col min="11018" max="11252" width="9.140625" style="435"/>
    <col min="11253" max="11253" width="6.85546875" style="435" customWidth="1"/>
    <col min="11254" max="11254" width="22.140625" style="435" customWidth="1"/>
    <col min="11255" max="11256" width="13.42578125" style="435" customWidth="1"/>
    <col min="11257" max="11257" width="10.85546875" style="435" customWidth="1"/>
    <col min="11258" max="11259" width="13" style="435" customWidth="1"/>
    <col min="11260" max="11261" width="11.7109375" style="435" customWidth="1"/>
    <col min="11262" max="11262" width="11.42578125" style="435" customWidth="1"/>
    <col min="11263" max="11263" width="12.5703125" style="435" customWidth="1"/>
    <col min="11264" max="11264" width="12" style="435" customWidth="1"/>
    <col min="11265" max="11265" width="12.7109375" style="435" customWidth="1"/>
    <col min="11266" max="11266" width="11.7109375" style="435" customWidth="1"/>
    <col min="11267" max="11267" width="10.85546875" style="435" customWidth="1"/>
    <col min="11268" max="11268" width="12.7109375" style="435" customWidth="1"/>
    <col min="11269" max="11269" width="10.5703125" style="435" customWidth="1"/>
    <col min="11270" max="11270" width="7.5703125" style="435" customWidth="1"/>
    <col min="11271" max="11271" width="9.140625" style="435"/>
    <col min="11272" max="11272" width="13" style="435" customWidth="1"/>
    <col min="11273" max="11273" width="11.42578125" style="435" customWidth="1"/>
    <col min="11274" max="11508" width="9.140625" style="435"/>
    <col min="11509" max="11509" width="6.85546875" style="435" customWidth="1"/>
    <col min="11510" max="11510" width="22.140625" style="435" customWidth="1"/>
    <col min="11511" max="11512" width="13.42578125" style="435" customWidth="1"/>
    <col min="11513" max="11513" width="10.85546875" style="435" customWidth="1"/>
    <col min="11514" max="11515" width="13" style="435" customWidth="1"/>
    <col min="11516" max="11517" width="11.7109375" style="435" customWidth="1"/>
    <col min="11518" max="11518" width="11.42578125" style="435" customWidth="1"/>
    <col min="11519" max="11519" width="12.5703125" style="435" customWidth="1"/>
    <col min="11520" max="11520" width="12" style="435" customWidth="1"/>
    <col min="11521" max="11521" width="12.7109375" style="435" customWidth="1"/>
    <col min="11522" max="11522" width="11.7109375" style="435" customWidth="1"/>
    <col min="11523" max="11523" width="10.85546875" style="435" customWidth="1"/>
    <col min="11524" max="11524" width="12.7109375" style="435" customWidth="1"/>
    <col min="11525" max="11525" width="10.5703125" style="435" customWidth="1"/>
    <col min="11526" max="11526" width="7.5703125" style="435" customWidth="1"/>
    <col min="11527" max="11527" width="9.140625" style="435"/>
    <col min="11528" max="11528" width="13" style="435" customWidth="1"/>
    <col min="11529" max="11529" width="11.42578125" style="435" customWidth="1"/>
    <col min="11530" max="11764" width="9.140625" style="435"/>
    <col min="11765" max="11765" width="6.85546875" style="435" customWidth="1"/>
    <col min="11766" max="11766" width="22.140625" style="435" customWidth="1"/>
    <col min="11767" max="11768" width="13.42578125" style="435" customWidth="1"/>
    <col min="11769" max="11769" width="10.85546875" style="435" customWidth="1"/>
    <col min="11770" max="11771" width="13" style="435" customWidth="1"/>
    <col min="11772" max="11773" width="11.7109375" style="435" customWidth="1"/>
    <col min="11774" max="11774" width="11.42578125" style="435" customWidth="1"/>
    <col min="11775" max="11775" width="12.5703125" style="435" customWidth="1"/>
    <col min="11776" max="11776" width="12" style="435" customWidth="1"/>
    <col min="11777" max="11777" width="12.7109375" style="435" customWidth="1"/>
    <col min="11778" max="11778" width="11.7109375" style="435" customWidth="1"/>
    <col min="11779" max="11779" width="10.85546875" style="435" customWidth="1"/>
    <col min="11780" max="11780" width="12.7109375" style="435" customWidth="1"/>
    <col min="11781" max="11781" width="10.5703125" style="435" customWidth="1"/>
    <col min="11782" max="11782" width="7.5703125" style="435" customWidth="1"/>
    <col min="11783" max="11783" width="9.140625" style="435"/>
    <col min="11784" max="11784" width="13" style="435" customWidth="1"/>
    <col min="11785" max="11785" width="11.42578125" style="435" customWidth="1"/>
    <col min="11786" max="12020" width="9.140625" style="435"/>
    <col min="12021" max="12021" width="6.85546875" style="435" customWidth="1"/>
    <col min="12022" max="12022" width="22.140625" style="435" customWidth="1"/>
    <col min="12023" max="12024" width="13.42578125" style="435" customWidth="1"/>
    <col min="12025" max="12025" width="10.85546875" style="435" customWidth="1"/>
    <col min="12026" max="12027" width="13" style="435" customWidth="1"/>
    <col min="12028" max="12029" width="11.7109375" style="435" customWidth="1"/>
    <col min="12030" max="12030" width="11.42578125" style="435" customWidth="1"/>
    <col min="12031" max="12031" width="12.5703125" style="435" customWidth="1"/>
    <col min="12032" max="12032" width="12" style="435" customWidth="1"/>
    <col min="12033" max="12033" width="12.7109375" style="435" customWidth="1"/>
    <col min="12034" max="12034" width="11.7109375" style="435" customWidth="1"/>
    <col min="12035" max="12035" width="10.85546875" style="435" customWidth="1"/>
    <col min="12036" max="12036" width="12.7109375" style="435" customWidth="1"/>
    <col min="12037" max="12037" width="10.5703125" style="435" customWidth="1"/>
    <col min="12038" max="12038" width="7.5703125" style="435" customWidth="1"/>
    <col min="12039" max="12039" width="9.140625" style="435"/>
    <col min="12040" max="12040" width="13" style="435" customWidth="1"/>
    <col min="12041" max="12041" width="11.42578125" style="435" customWidth="1"/>
    <col min="12042" max="12276" width="9.140625" style="435"/>
    <col min="12277" max="12277" width="6.85546875" style="435" customWidth="1"/>
    <col min="12278" max="12278" width="22.140625" style="435" customWidth="1"/>
    <col min="12279" max="12280" width="13.42578125" style="435" customWidth="1"/>
    <col min="12281" max="12281" width="10.85546875" style="435" customWidth="1"/>
    <col min="12282" max="12283" width="13" style="435" customWidth="1"/>
    <col min="12284" max="12285" width="11.7109375" style="435" customWidth="1"/>
    <col min="12286" max="12286" width="11.42578125" style="435" customWidth="1"/>
    <col min="12287" max="12287" width="12.5703125" style="435" customWidth="1"/>
    <col min="12288" max="12288" width="12" style="435" customWidth="1"/>
    <col min="12289" max="12289" width="12.7109375" style="435" customWidth="1"/>
    <col min="12290" max="12290" width="11.7109375" style="435" customWidth="1"/>
    <col min="12291" max="12291" width="10.85546875" style="435" customWidth="1"/>
    <col min="12292" max="12292" width="12.7109375" style="435" customWidth="1"/>
    <col min="12293" max="12293" width="10.5703125" style="435" customWidth="1"/>
    <col min="12294" max="12294" width="7.5703125" style="435" customWidth="1"/>
    <col min="12295" max="12295" width="9.140625" style="435"/>
    <col min="12296" max="12296" width="13" style="435" customWidth="1"/>
    <col min="12297" max="12297" width="11.42578125" style="435" customWidth="1"/>
    <col min="12298" max="12532" width="9.140625" style="435"/>
    <col min="12533" max="12533" width="6.85546875" style="435" customWidth="1"/>
    <col min="12534" max="12534" width="22.140625" style="435" customWidth="1"/>
    <col min="12535" max="12536" width="13.42578125" style="435" customWidth="1"/>
    <col min="12537" max="12537" width="10.85546875" style="435" customWidth="1"/>
    <col min="12538" max="12539" width="13" style="435" customWidth="1"/>
    <col min="12540" max="12541" width="11.7109375" style="435" customWidth="1"/>
    <col min="12542" max="12542" width="11.42578125" style="435" customWidth="1"/>
    <col min="12543" max="12543" width="12.5703125" style="435" customWidth="1"/>
    <col min="12544" max="12544" width="12" style="435" customWidth="1"/>
    <col min="12545" max="12545" width="12.7109375" style="435" customWidth="1"/>
    <col min="12546" max="12546" width="11.7109375" style="435" customWidth="1"/>
    <col min="12547" max="12547" width="10.85546875" style="435" customWidth="1"/>
    <col min="12548" max="12548" width="12.7109375" style="435" customWidth="1"/>
    <col min="12549" max="12549" width="10.5703125" style="435" customWidth="1"/>
    <col min="12550" max="12550" width="7.5703125" style="435" customWidth="1"/>
    <col min="12551" max="12551" width="9.140625" style="435"/>
    <col min="12552" max="12552" width="13" style="435" customWidth="1"/>
    <col min="12553" max="12553" width="11.42578125" style="435" customWidth="1"/>
    <col min="12554" max="12788" width="9.140625" style="435"/>
    <col min="12789" max="12789" width="6.85546875" style="435" customWidth="1"/>
    <col min="12790" max="12790" width="22.140625" style="435" customWidth="1"/>
    <col min="12791" max="12792" width="13.42578125" style="435" customWidth="1"/>
    <col min="12793" max="12793" width="10.85546875" style="435" customWidth="1"/>
    <col min="12794" max="12795" width="13" style="435" customWidth="1"/>
    <col min="12796" max="12797" width="11.7109375" style="435" customWidth="1"/>
    <col min="12798" max="12798" width="11.42578125" style="435" customWidth="1"/>
    <col min="12799" max="12799" width="12.5703125" style="435" customWidth="1"/>
    <col min="12800" max="12800" width="12" style="435" customWidth="1"/>
    <col min="12801" max="12801" width="12.7109375" style="435" customWidth="1"/>
    <col min="12802" max="12802" width="11.7109375" style="435" customWidth="1"/>
    <col min="12803" max="12803" width="10.85546875" style="435" customWidth="1"/>
    <col min="12804" max="12804" width="12.7109375" style="435" customWidth="1"/>
    <col min="12805" max="12805" width="10.5703125" style="435" customWidth="1"/>
    <col min="12806" max="12806" width="7.5703125" style="435" customWidth="1"/>
    <col min="12807" max="12807" width="9.140625" style="435"/>
    <col min="12808" max="12808" width="13" style="435" customWidth="1"/>
    <col min="12809" max="12809" width="11.42578125" style="435" customWidth="1"/>
    <col min="12810" max="13044" width="9.140625" style="435"/>
    <col min="13045" max="13045" width="6.85546875" style="435" customWidth="1"/>
    <col min="13046" max="13046" width="22.140625" style="435" customWidth="1"/>
    <col min="13047" max="13048" width="13.42578125" style="435" customWidth="1"/>
    <col min="13049" max="13049" width="10.85546875" style="435" customWidth="1"/>
    <col min="13050" max="13051" width="13" style="435" customWidth="1"/>
    <col min="13052" max="13053" width="11.7109375" style="435" customWidth="1"/>
    <col min="13054" max="13054" width="11.42578125" style="435" customWidth="1"/>
    <col min="13055" max="13055" width="12.5703125" style="435" customWidth="1"/>
    <col min="13056" max="13056" width="12" style="435" customWidth="1"/>
    <col min="13057" max="13057" width="12.7109375" style="435" customWidth="1"/>
    <col min="13058" max="13058" width="11.7109375" style="435" customWidth="1"/>
    <col min="13059" max="13059" width="10.85546875" style="435" customWidth="1"/>
    <col min="13060" max="13060" width="12.7109375" style="435" customWidth="1"/>
    <col min="13061" max="13061" width="10.5703125" style="435" customWidth="1"/>
    <col min="13062" max="13062" width="7.5703125" style="435" customWidth="1"/>
    <col min="13063" max="13063" width="9.140625" style="435"/>
    <col min="13064" max="13064" width="13" style="435" customWidth="1"/>
    <col min="13065" max="13065" width="11.42578125" style="435" customWidth="1"/>
    <col min="13066" max="13300" width="9.140625" style="435"/>
    <col min="13301" max="13301" width="6.85546875" style="435" customWidth="1"/>
    <col min="13302" max="13302" width="22.140625" style="435" customWidth="1"/>
    <col min="13303" max="13304" width="13.42578125" style="435" customWidth="1"/>
    <col min="13305" max="13305" width="10.85546875" style="435" customWidth="1"/>
    <col min="13306" max="13307" width="13" style="435" customWidth="1"/>
    <col min="13308" max="13309" width="11.7109375" style="435" customWidth="1"/>
    <col min="13310" max="13310" width="11.42578125" style="435" customWidth="1"/>
    <col min="13311" max="13311" width="12.5703125" style="435" customWidth="1"/>
    <col min="13312" max="13312" width="12" style="435" customWidth="1"/>
    <col min="13313" max="13313" width="12.7109375" style="435" customWidth="1"/>
    <col min="13314" max="13314" width="11.7109375" style="435" customWidth="1"/>
    <col min="13315" max="13315" width="10.85546875" style="435" customWidth="1"/>
    <col min="13316" max="13316" width="12.7109375" style="435" customWidth="1"/>
    <col min="13317" max="13317" width="10.5703125" style="435" customWidth="1"/>
    <col min="13318" max="13318" width="7.5703125" style="435" customWidth="1"/>
    <col min="13319" max="13319" width="9.140625" style="435"/>
    <col min="13320" max="13320" width="13" style="435" customWidth="1"/>
    <col min="13321" max="13321" width="11.42578125" style="435" customWidth="1"/>
    <col min="13322" max="13556" width="9.140625" style="435"/>
    <col min="13557" max="13557" width="6.85546875" style="435" customWidth="1"/>
    <col min="13558" max="13558" width="22.140625" style="435" customWidth="1"/>
    <col min="13559" max="13560" width="13.42578125" style="435" customWidth="1"/>
    <col min="13561" max="13561" width="10.85546875" style="435" customWidth="1"/>
    <col min="13562" max="13563" width="13" style="435" customWidth="1"/>
    <col min="13564" max="13565" width="11.7109375" style="435" customWidth="1"/>
    <col min="13566" max="13566" width="11.42578125" style="435" customWidth="1"/>
    <col min="13567" max="13567" width="12.5703125" style="435" customWidth="1"/>
    <col min="13568" max="13568" width="12" style="435" customWidth="1"/>
    <col min="13569" max="13569" width="12.7109375" style="435" customWidth="1"/>
    <col min="13570" max="13570" width="11.7109375" style="435" customWidth="1"/>
    <col min="13571" max="13571" width="10.85546875" style="435" customWidth="1"/>
    <col min="13572" max="13572" width="12.7109375" style="435" customWidth="1"/>
    <col min="13573" max="13573" width="10.5703125" style="435" customWidth="1"/>
    <col min="13574" max="13574" width="7.5703125" style="435" customWidth="1"/>
    <col min="13575" max="13575" width="9.140625" style="435"/>
    <col min="13576" max="13576" width="13" style="435" customWidth="1"/>
    <col min="13577" max="13577" width="11.42578125" style="435" customWidth="1"/>
    <col min="13578" max="13812" width="9.140625" style="435"/>
    <col min="13813" max="13813" width="6.85546875" style="435" customWidth="1"/>
    <col min="13814" max="13814" width="22.140625" style="435" customWidth="1"/>
    <col min="13815" max="13816" width="13.42578125" style="435" customWidth="1"/>
    <col min="13817" max="13817" width="10.85546875" style="435" customWidth="1"/>
    <col min="13818" max="13819" width="13" style="435" customWidth="1"/>
    <col min="13820" max="13821" width="11.7109375" style="435" customWidth="1"/>
    <col min="13822" max="13822" width="11.42578125" style="435" customWidth="1"/>
    <col min="13823" max="13823" width="12.5703125" style="435" customWidth="1"/>
    <col min="13824" max="13824" width="12" style="435" customWidth="1"/>
    <col min="13825" max="13825" width="12.7109375" style="435" customWidth="1"/>
    <col min="13826" max="13826" width="11.7109375" style="435" customWidth="1"/>
    <col min="13827" max="13827" width="10.85546875" style="435" customWidth="1"/>
    <col min="13828" max="13828" width="12.7109375" style="435" customWidth="1"/>
    <col min="13829" max="13829" width="10.5703125" style="435" customWidth="1"/>
    <col min="13830" max="13830" width="7.5703125" style="435" customWidth="1"/>
    <col min="13831" max="13831" width="9.140625" style="435"/>
    <col min="13832" max="13832" width="13" style="435" customWidth="1"/>
    <col min="13833" max="13833" width="11.42578125" style="435" customWidth="1"/>
    <col min="13834" max="14068" width="9.140625" style="435"/>
    <col min="14069" max="14069" width="6.85546875" style="435" customWidth="1"/>
    <col min="14070" max="14070" width="22.140625" style="435" customWidth="1"/>
    <col min="14071" max="14072" width="13.42578125" style="435" customWidth="1"/>
    <col min="14073" max="14073" width="10.85546875" style="435" customWidth="1"/>
    <col min="14074" max="14075" width="13" style="435" customWidth="1"/>
    <col min="14076" max="14077" width="11.7109375" style="435" customWidth="1"/>
    <col min="14078" max="14078" width="11.42578125" style="435" customWidth="1"/>
    <col min="14079" max="14079" width="12.5703125" style="435" customWidth="1"/>
    <col min="14080" max="14080" width="12" style="435" customWidth="1"/>
    <col min="14081" max="14081" width="12.7109375" style="435" customWidth="1"/>
    <col min="14082" max="14082" width="11.7109375" style="435" customWidth="1"/>
    <col min="14083" max="14083" width="10.85546875" style="435" customWidth="1"/>
    <col min="14084" max="14084" width="12.7109375" style="435" customWidth="1"/>
    <col min="14085" max="14085" width="10.5703125" style="435" customWidth="1"/>
    <col min="14086" max="14086" width="7.5703125" style="435" customWidth="1"/>
    <col min="14087" max="14087" width="9.140625" style="435"/>
    <col min="14088" max="14088" width="13" style="435" customWidth="1"/>
    <col min="14089" max="14089" width="11.42578125" style="435" customWidth="1"/>
    <col min="14090" max="14324" width="9.140625" style="435"/>
    <col min="14325" max="14325" width="6.85546875" style="435" customWidth="1"/>
    <col min="14326" max="14326" width="22.140625" style="435" customWidth="1"/>
    <col min="14327" max="14328" width="13.42578125" style="435" customWidth="1"/>
    <col min="14329" max="14329" width="10.85546875" style="435" customWidth="1"/>
    <col min="14330" max="14331" width="13" style="435" customWidth="1"/>
    <col min="14332" max="14333" width="11.7109375" style="435" customWidth="1"/>
    <col min="14334" max="14334" width="11.42578125" style="435" customWidth="1"/>
    <col min="14335" max="14335" width="12.5703125" style="435" customWidth="1"/>
    <col min="14336" max="14336" width="12" style="435" customWidth="1"/>
    <col min="14337" max="14337" width="12.7109375" style="435" customWidth="1"/>
    <col min="14338" max="14338" width="11.7109375" style="435" customWidth="1"/>
    <col min="14339" max="14339" width="10.85546875" style="435" customWidth="1"/>
    <col min="14340" max="14340" width="12.7109375" style="435" customWidth="1"/>
    <col min="14341" max="14341" width="10.5703125" style="435" customWidth="1"/>
    <col min="14342" max="14342" width="7.5703125" style="435" customWidth="1"/>
    <col min="14343" max="14343" width="9.140625" style="435"/>
    <col min="14344" max="14344" width="13" style="435" customWidth="1"/>
    <col min="14345" max="14345" width="11.42578125" style="435" customWidth="1"/>
    <col min="14346" max="14580" width="9.140625" style="435"/>
    <col min="14581" max="14581" width="6.85546875" style="435" customWidth="1"/>
    <col min="14582" max="14582" width="22.140625" style="435" customWidth="1"/>
    <col min="14583" max="14584" width="13.42578125" style="435" customWidth="1"/>
    <col min="14585" max="14585" width="10.85546875" style="435" customWidth="1"/>
    <col min="14586" max="14587" width="13" style="435" customWidth="1"/>
    <col min="14588" max="14589" width="11.7109375" style="435" customWidth="1"/>
    <col min="14590" max="14590" width="11.42578125" style="435" customWidth="1"/>
    <col min="14591" max="14591" width="12.5703125" style="435" customWidth="1"/>
    <col min="14592" max="14592" width="12" style="435" customWidth="1"/>
    <col min="14593" max="14593" width="12.7109375" style="435" customWidth="1"/>
    <col min="14594" max="14594" width="11.7109375" style="435" customWidth="1"/>
    <col min="14595" max="14595" width="10.85546875" style="435" customWidth="1"/>
    <col min="14596" max="14596" width="12.7109375" style="435" customWidth="1"/>
    <col min="14597" max="14597" width="10.5703125" style="435" customWidth="1"/>
    <col min="14598" max="14598" width="7.5703125" style="435" customWidth="1"/>
    <col min="14599" max="14599" width="9.140625" style="435"/>
    <col min="14600" max="14600" width="13" style="435" customWidth="1"/>
    <col min="14601" max="14601" width="11.42578125" style="435" customWidth="1"/>
    <col min="14602" max="14836" width="9.140625" style="435"/>
    <col min="14837" max="14837" width="6.85546875" style="435" customWidth="1"/>
    <col min="14838" max="14838" width="22.140625" style="435" customWidth="1"/>
    <col min="14839" max="14840" width="13.42578125" style="435" customWidth="1"/>
    <col min="14841" max="14841" width="10.85546875" style="435" customWidth="1"/>
    <col min="14842" max="14843" width="13" style="435" customWidth="1"/>
    <col min="14844" max="14845" width="11.7109375" style="435" customWidth="1"/>
    <col min="14846" max="14846" width="11.42578125" style="435" customWidth="1"/>
    <col min="14847" max="14847" width="12.5703125" style="435" customWidth="1"/>
    <col min="14848" max="14848" width="12" style="435" customWidth="1"/>
    <col min="14849" max="14849" width="12.7109375" style="435" customWidth="1"/>
    <col min="14850" max="14850" width="11.7109375" style="435" customWidth="1"/>
    <col min="14851" max="14851" width="10.85546875" style="435" customWidth="1"/>
    <col min="14852" max="14852" width="12.7109375" style="435" customWidth="1"/>
    <col min="14853" max="14853" width="10.5703125" style="435" customWidth="1"/>
    <col min="14854" max="14854" width="7.5703125" style="435" customWidth="1"/>
    <col min="14855" max="14855" width="9.140625" style="435"/>
    <col min="14856" max="14856" width="13" style="435" customWidth="1"/>
    <col min="14857" max="14857" width="11.42578125" style="435" customWidth="1"/>
    <col min="14858" max="15092" width="9.140625" style="435"/>
    <col min="15093" max="15093" width="6.85546875" style="435" customWidth="1"/>
    <col min="15094" max="15094" width="22.140625" style="435" customWidth="1"/>
    <col min="15095" max="15096" width="13.42578125" style="435" customWidth="1"/>
    <col min="15097" max="15097" width="10.85546875" style="435" customWidth="1"/>
    <col min="15098" max="15099" width="13" style="435" customWidth="1"/>
    <col min="15100" max="15101" width="11.7109375" style="435" customWidth="1"/>
    <col min="15102" max="15102" width="11.42578125" style="435" customWidth="1"/>
    <col min="15103" max="15103" width="12.5703125" style="435" customWidth="1"/>
    <col min="15104" max="15104" width="12" style="435" customWidth="1"/>
    <col min="15105" max="15105" width="12.7109375" style="435" customWidth="1"/>
    <col min="15106" max="15106" width="11.7109375" style="435" customWidth="1"/>
    <col min="15107" max="15107" width="10.85546875" style="435" customWidth="1"/>
    <col min="15108" max="15108" width="12.7109375" style="435" customWidth="1"/>
    <col min="15109" max="15109" width="10.5703125" style="435" customWidth="1"/>
    <col min="15110" max="15110" width="7.5703125" style="435" customWidth="1"/>
    <col min="15111" max="15111" width="9.140625" style="435"/>
    <col min="15112" max="15112" width="13" style="435" customWidth="1"/>
    <col min="15113" max="15113" width="11.42578125" style="435" customWidth="1"/>
    <col min="15114" max="15348" width="9.140625" style="435"/>
    <col min="15349" max="15349" width="6.85546875" style="435" customWidth="1"/>
    <col min="15350" max="15350" width="22.140625" style="435" customWidth="1"/>
    <col min="15351" max="15352" width="13.42578125" style="435" customWidth="1"/>
    <col min="15353" max="15353" width="10.85546875" style="435" customWidth="1"/>
    <col min="15354" max="15355" width="13" style="435" customWidth="1"/>
    <col min="15356" max="15357" width="11.7109375" style="435" customWidth="1"/>
    <col min="15358" max="15358" width="11.42578125" style="435" customWidth="1"/>
    <col min="15359" max="15359" width="12.5703125" style="435" customWidth="1"/>
    <col min="15360" max="15360" width="12" style="435" customWidth="1"/>
    <col min="15361" max="15361" width="12.7109375" style="435" customWidth="1"/>
    <col min="15362" max="15362" width="11.7109375" style="435" customWidth="1"/>
    <col min="15363" max="15363" width="10.85546875" style="435" customWidth="1"/>
    <col min="15364" max="15364" width="12.7109375" style="435" customWidth="1"/>
    <col min="15365" max="15365" width="10.5703125" style="435" customWidth="1"/>
    <col min="15366" max="15366" width="7.5703125" style="435" customWidth="1"/>
    <col min="15367" max="15367" width="9.140625" style="435"/>
    <col min="15368" max="15368" width="13" style="435" customWidth="1"/>
    <col min="15369" max="15369" width="11.42578125" style="435" customWidth="1"/>
    <col min="15370" max="15604" width="9.140625" style="435"/>
    <col min="15605" max="15605" width="6.85546875" style="435" customWidth="1"/>
    <col min="15606" max="15606" width="22.140625" style="435" customWidth="1"/>
    <col min="15607" max="15608" width="13.42578125" style="435" customWidth="1"/>
    <col min="15609" max="15609" width="10.85546875" style="435" customWidth="1"/>
    <col min="15610" max="15611" width="13" style="435" customWidth="1"/>
    <col min="15612" max="15613" width="11.7109375" style="435" customWidth="1"/>
    <col min="15614" max="15614" width="11.42578125" style="435" customWidth="1"/>
    <col min="15615" max="15615" width="12.5703125" style="435" customWidth="1"/>
    <col min="15616" max="15616" width="12" style="435" customWidth="1"/>
    <col min="15617" max="15617" width="12.7109375" style="435" customWidth="1"/>
    <col min="15618" max="15618" width="11.7109375" style="435" customWidth="1"/>
    <col min="15619" max="15619" width="10.85546875" style="435" customWidth="1"/>
    <col min="15620" max="15620" width="12.7109375" style="435" customWidth="1"/>
    <col min="15621" max="15621" width="10.5703125" style="435" customWidth="1"/>
    <col min="15622" max="15622" width="7.5703125" style="435" customWidth="1"/>
    <col min="15623" max="15623" width="9.140625" style="435"/>
    <col min="15624" max="15624" width="13" style="435" customWidth="1"/>
    <col min="15625" max="15625" width="11.42578125" style="435" customWidth="1"/>
    <col min="15626" max="15860" width="9.140625" style="435"/>
    <col min="15861" max="15861" width="6.85546875" style="435" customWidth="1"/>
    <col min="15862" max="15862" width="22.140625" style="435" customWidth="1"/>
    <col min="15863" max="15864" width="13.42578125" style="435" customWidth="1"/>
    <col min="15865" max="15865" width="10.85546875" style="435" customWidth="1"/>
    <col min="15866" max="15867" width="13" style="435" customWidth="1"/>
    <col min="15868" max="15869" width="11.7109375" style="435" customWidth="1"/>
    <col min="15870" max="15870" width="11.42578125" style="435" customWidth="1"/>
    <col min="15871" max="15871" width="12.5703125" style="435" customWidth="1"/>
    <col min="15872" max="15872" width="12" style="435" customWidth="1"/>
    <col min="15873" max="15873" width="12.7109375" style="435" customWidth="1"/>
    <col min="15874" max="15874" width="11.7109375" style="435" customWidth="1"/>
    <col min="15875" max="15875" width="10.85546875" style="435" customWidth="1"/>
    <col min="15876" max="15876" width="12.7109375" style="435" customWidth="1"/>
    <col min="15877" max="15877" width="10.5703125" style="435" customWidth="1"/>
    <col min="15878" max="15878" width="7.5703125" style="435" customWidth="1"/>
    <col min="15879" max="15879" width="9.140625" style="435"/>
    <col min="15880" max="15880" width="13" style="435" customWidth="1"/>
    <col min="15881" max="15881" width="11.42578125" style="435" customWidth="1"/>
    <col min="15882" max="16116" width="9.140625" style="435"/>
    <col min="16117" max="16117" width="6.85546875" style="435" customWidth="1"/>
    <col min="16118" max="16118" width="22.140625" style="435" customWidth="1"/>
    <col min="16119" max="16120" width="13.42578125" style="435" customWidth="1"/>
    <col min="16121" max="16121" width="10.85546875" style="435" customWidth="1"/>
    <col min="16122" max="16123" width="13" style="435" customWidth="1"/>
    <col min="16124" max="16125" width="11.7109375" style="435" customWidth="1"/>
    <col min="16126" max="16126" width="11.42578125" style="435" customWidth="1"/>
    <col min="16127" max="16127" width="12.5703125" style="435" customWidth="1"/>
    <col min="16128" max="16128" width="12" style="435" customWidth="1"/>
    <col min="16129" max="16129" width="12.7109375" style="435" customWidth="1"/>
    <col min="16130" max="16130" width="11.7109375" style="435" customWidth="1"/>
    <col min="16131" max="16131" width="10.85546875" style="435" customWidth="1"/>
    <col min="16132" max="16132" width="12.7109375" style="435" customWidth="1"/>
    <col min="16133" max="16133" width="10.5703125" style="435" customWidth="1"/>
    <col min="16134" max="16134" width="7.5703125" style="435" customWidth="1"/>
    <col min="16135" max="16135" width="9.140625" style="435"/>
    <col min="16136" max="16136" width="13" style="435" customWidth="1"/>
    <col min="16137" max="16137" width="11.42578125" style="435" customWidth="1"/>
    <col min="16138" max="16384" width="9.140625" style="435"/>
  </cols>
  <sheetData>
    <row r="1" spans="2:27" ht="13.5" customHeight="1" x14ac:dyDescent="0.25">
      <c r="B1" s="437"/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0"/>
      <c r="N1" s="410"/>
      <c r="O1" s="410"/>
      <c r="P1" s="410"/>
      <c r="Q1" s="410"/>
    </row>
    <row r="2" spans="2:27" ht="12.75" customHeight="1" x14ac:dyDescent="0.25">
      <c r="B2" s="438" t="s">
        <v>158</v>
      </c>
      <c r="C2" s="439" t="s">
        <v>190</v>
      </c>
      <c r="D2" s="440" t="s">
        <v>194</v>
      </c>
      <c r="E2" s="440" t="s">
        <v>197</v>
      </c>
      <c r="F2" s="440" t="s">
        <v>198</v>
      </c>
      <c r="G2" s="440" t="s">
        <v>94</v>
      </c>
      <c r="H2" s="440" t="s">
        <v>96</v>
      </c>
      <c r="I2" s="441" t="s">
        <v>199</v>
      </c>
      <c r="J2" s="442" t="s">
        <v>168</v>
      </c>
      <c r="K2" s="443" t="s">
        <v>200</v>
      </c>
      <c r="L2" s="443" t="s">
        <v>201</v>
      </c>
      <c r="M2" s="444" t="s">
        <v>36</v>
      </c>
      <c r="N2" s="445" t="s">
        <v>202</v>
      </c>
      <c r="O2" s="446" t="s">
        <v>40</v>
      </c>
      <c r="P2" s="447" t="s">
        <v>169</v>
      </c>
      <c r="Q2" s="447" t="s">
        <v>203</v>
      </c>
      <c r="R2" s="447" t="s">
        <v>204</v>
      </c>
      <c r="S2" s="447" t="s">
        <v>205</v>
      </c>
      <c r="T2" s="447" t="s">
        <v>206</v>
      </c>
      <c r="U2" s="447" t="s">
        <v>207</v>
      </c>
      <c r="V2" s="447" t="s">
        <v>208</v>
      </c>
      <c r="W2" s="447" t="s">
        <v>209</v>
      </c>
      <c r="X2" s="448" t="s">
        <v>210</v>
      </c>
      <c r="Y2" s="449" t="s">
        <v>13</v>
      </c>
      <c r="Z2" s="450" t="s">
        <v>189</v>
      </c>
      <c r="AA2" s="451">
        <v>46023</v>
      </c>
    </row>
    <row r="3" spans="2:27" ht="12.75" customHeight="1" x14ac:dyDescent="0.25">
      <c r="B3" s="452" t="s">
        <v>174</v>
      </c>
      <c r="C3" s="453">
        <v>4100</v>
      </c>
      <c r="D3" s="454"/>
      <c r="E3" s="454"/>
      <c r="F3" s="455">
        <v>210</v>
      </c>
      <c r="G3" s="455">
        <v>840</v>
      </c>
      <c r="H3" s="455">
        <v>154.13</v>
      </c>
      <c r="I3" s="456">
        <f t="shared" ref="I3:I10" si="0">SUM(C3:H3)</f>
        <v>5304.13</v>
      </c>
      <c r="J3" s="457">
        <f t="shared" ref="J3:J8" si="1">C3*20%</f>
        <v>820</v>
      </c>
      <c r="K3" s="458">
        <f t="shared" ref="K3:K8" si="2">C3*1.5%</f>
        <v>61.5</v>
      </c>
      <c r="L3" s="458">
        <f t="shared" ref="L3:L8" si="3">C3*5.8%</f>
        <v>237.79999999999998</v>
      </c>
      <c r="M3" s="458">
        <f t="shared" ref="M3:M8" si="4">C3*8%</f>
        <v>328</v>
      </c>
      <c r="N3" s="459">
        <f t="shared" ref="N3:N10" si="5">SUM(J3:M3)</f>
        <v>1447.3</v>
      </c>
      <c r="O3" s="460">
        <f t="shared" ref="O3:O8" si="6">C3/12</f>
        <v>341.66666666666669</v>
      </c>
      <c r="P3" s="461">
        <f t="shared" ref="P3:P8" si="7">O3/3</f>
        <v>113.8888888888889</v>
      </c>
      <c r="Q3" s="461">
        <f t="shared" ref="Q3:Q8" si="8">(O3+P3)*8%</f>
        <v>36.44444444444445</v>
      </c>
      <c r="R3" s="462">
        <f t="shared" ref="R3:R8" si="9">C3/12</f>
        <v>341.66666666666669</v>
      </c>
      <c r="S3" s="462">
        <f t="shared" ref="S3:S8" si="10">R3*8%</f>
        <v>27.333333333333336</v>
      </c>
      <c r="T3" s="462">
        <f t="shared" ref="T3:T8" si="11">C3/12</f>
        <v>341.66666666666669</v>
      </c>
      <c r="U3" s="462">
        <f t="shared" ref="U3:U8" si="12">T3*8%</f>
        <v>27.333333333333336</v>
      </c>
      <c r="V3" s="462">
        <f t="shared" ref="V3:V8" si="13">(M3+Q3+S3+U3)*50%</f>
        <v>209.55555555555554</v>
      </c>
      <c r="W3" s="462">
        <f t="shared" ref="W3:W8" si="14">(O3+P3+R3+T3)*27.3%</f>
        <v>310.91666666666669</v>
      </c>
      <c r="X3" s="463">
        <f t="shared" ref="X3:X8" si="15">SUM(O3:W3)</f>
        <v>1750.4722222222224</v>
      </c>
      <c r="Y3" s="464">
        <f t="shared" ref="Y3:Y11" si="16">I3+N3+X3</f>
        <v>8501.9022222222229</v>
      </c>
      <c r="Z3" s="465" t="s">
        <v>89</v>
      </c>
      <c r="AA3" s="466">
        <f>C11</f>
        <v>13300</v>
      </c>
    </row>
    <row r="4" spans="2:27" ht="12.75" customHeight="1" x14ac:dyDescent="0.25">
      <c r="B4" s="467" t="s">
        <v>175</v>
      </c>
      <c r="C4" s="468">
        <v>1900</v>
      </c>
      <c r="D4" s="454"/>
      <c r="E4" s="454"/>
      <c r="F4" s="455">
        <v>150</v>
      </c>
      <c r="G4" s="455">
        <v>600</v>
      </c>
      <c r="H4" s="455"/>
      <c r="I4" s="456">
        <f t="shared" si="0"/>
        <v>2650</v>
      </c>
      <c r="J4" s="457">
        <f t="shared" si="1"/>
        <v>380</v>
      </c>
      <c r="K4" s="458">
        <f t="shared" si="2"/>
        <v>28.5</v>
      </c>
      <c r="L4" s="458">
        <f t="shared" si="3"/>
        <v>110.19999999999999</v>
      </c>
      <c r="M4" s="458">
        <f t="shared" si="4"/>
        <v>152</v>
      </c>
      <c r="N4" s="459">
        <f t="shared" si="5"/>
        <v>670.7</v>
      </c>
      <c r="O4" s="460">
        <f t="shared" si="6"/>
        <v>158.33333333333334</v>
      </c>
      <c r="P4" s="461">
        <f t="shared" si="7"/>
        <v>52.777777777777779</v>
      </c>
      <c r="Q4" s="461">
        <f t="shared" si="8"/>
        <v>16.888888888888889</v>
      </c>
      <c r="R4" s="462">
        <f t="shared" si="9"/>
        <v>158.33333333333334</v>
      </c>
      <c r="S4" s="462">
        <f t="shared" si="10"/>
        <v>12.666666666666668</v>
      </c>
      <c r="T4" s="462">
        <f t="shared" si="11"/>
        <v>158.33333333333334</v>
      </c>
      <c r="U4" s="462">
        <f t="shared" si="12"/>
        <v>12.666666666666668</v>
      </c>
      <c r="V4" s="462">
        <f t="shared" si="13"/>
        <v>97.1111111111111</v>
      </c>
      <c r="W4" s="462">
        <f t="shared" si="14"/>
        <v>144.08333333333337</v>
      </c>
      <c r="X4" s="463">
        <f t="shared" si="15"/>
        <v>811.19444444444446</v>
      </c>
      <c r="Y4" s="464">
        <f t="shared" si="16"/>
        <v>4131.8944444444442</v>
      </c>
      <c r="Z4" s="469" t="s">
        <v>194</v>
      </c>
      <c r="AA4" s="466">
        <f>D11</f>
        <v>4863</v>
      </c>
    </row>
    <row r="5" spans="2:27" ht="12.75" customHeight="1" x14ac:dyDescent="0.25">
      <c r="B5" s="467" t="s">
        <v>176</v>
      </c>
      <c r="C5" s="468">
        <v>3700</v>
      </c>
      <c r="D5" s="454"/>
      <c r="E5" s="454"/>
      <c r="F5" s="455">
        <v>210</v>
      </c>
      <c r="G5" s="455">
        <v>840</v>
      </c>
      <c r="H5" s="455">
        <v>154.13</v>
      </c>
      <c r="I5" s="456">
        <f t="shared" si="0"/>
        <v>4904.13</v>
      </c>
      <c r="J5" s="457">
        <f t="shared" si="1"/>
        <v>740</v>
      </c>
      <c r="K5" s="458">
        <f t="shared" si="2"/>
        <v>55.5</v>
      </c>
      <c r="L5" s="458">
        <f t="shared" si="3"/>
        <v>214.6</v>
      </c>
      <c r="M5" s="458">
        <f t="shared" si="4"/>
        <v>296</v>
      </c>
      <c r="N5" s="459">
        <f t="shared" si="5"/>
        <v>1306.0999999999999</v>
      </c>
      <c r="O5" s="460">
        <f t="shared" si="6"/>
        <v>308.33333333333331</v>
      </c>
      <c r="P5" s="461">
        <f t="shared" si="7"/>
        <v>102.77777777777777</v>
      </c>
      <c r="Q5" s="461">
        <f t="shared" si="8"/>
        <v>32.888888888888886</v>
      </c>
      <c r="R5" s="462">
        <f t="shared" si="9"/>
        <v>308.33333333333331</v>
      </c>
      <c r="S5" s="462">
        <f t="shared" si="10"/>
        <v>24.666666666666664</v>
      </c>
      <c r="T5" s="462">
        <f t="shared" si="11"/>
        <v>308.33333333333331</v>
      </c>
      <c r="U5" s="462">
        <f t="shared" si="12"/>
        <v>24.666666666666664</v>
      </c>
      <c r="V5" s="462">
        <f t="shared" si="13"/>
        <v>189.11111111111114</v>
      </c>
      <c r="W5" s="462">
        <f t="shared" si="14"/>
        <v>280.58333333333331</v>
      </c>
      <c r="X5" s="463">
        <f t="shared" si="15"/>
        <v>1579.6944444444443</v>
      </c>
      <c r="Y5" s="464">
        <f t="shared" si="16"/>
        <v>7789.9244444444439</v>
      </c>
      <c r="Z5" s="469" t="s">
        <v>197</v>
      </c>
      <c r="AA5" s="466">
        <f>E11</f>
        <v>27707</v>
      </c>
    </row>
    <row r="6" spans="2:27" ht="12.75" customHeight="1" x14ac:dyDescent="0.25">
      <c r="B6" s="467" t="s">
        <v>177</v>
      </c>
      <c r="C6" s="468">
        <v>3600</v>
      </c>
      <c r="D6" s="454"/>
      <c r="E6" s="454"/>
      <c r="F6" s="455">
        <v>210</v>
      </c>
      <c r="G6" s="455">
        <v>840</v>
      </c>
      <c r="H6" s="455">
        <v>453.62</v>
      </c>
      <c r="I6" s="456">
        <f t="shared" si="0"/>
        <v>5103.62</v>
      </c>
      <c r="J6" s="457">
        <f t="shared" si="1"/>
        <v>720</v>
      </c>
      <c r="K6" s="458">
        <f t="shared" si="2"/>
        <v>54</v>
      </c>
      <c r="L6" s="458">
        <f t="shared" si="3"/>
        <v>208.79999999999998</v>
      </c>
      <c r="M6" s="458">
        <f t="shared" si="4"/>
        <v>288</v>
      </c>
      <c r="N6" s="459">
        <f t="shared" si="5"/>
        <v>1270.8</v>
      </c>
      <c r="O6" s="460">
        <f t="shared" si="6"/>
        <v>300</v>
      </c>
      <c r="P6" s="461">
        <f t="shared" si="7"/>
        <v>100</v>
      </c>
      <c r="Q6" s="461">
        <f t="shared" si="8"/>
        <v>32</v>
      </c>
      <c r="R6" s="462">
        <f t="shared" si="9"/>
        <v>300</v>
      </c>
      <c r="S6" s="462">
        <f t="shared" si="10"/>
        <v>24</v>
      </c>
      <c r="T6" s="462">
        <f t="shared" si="11"/>
        <v>300</v>
      </c>
      <c r="U6" s="462">
        <f t="shared" si="12"/>
        <v>24</v>
      </c>
      <c r="V6" s="462">
        <f t="shared" si="13"/>
        <v>184</v>
      </c>
      <c r="W6" s="462">
        <f t="shared" si="14"/>
        <v>273</v>
      </c>
      <c r="X6" s="463">
        <f t="shared" si="15"/>
        <v>1537</v>
      </c>
      <c r="Y6" s="464">
        <f t="shared" si="16"/>
        <v>7911.42</v>
      </c>
      <c r="Z6" s="469" t="s">
        <v>211</v>
      </c>
      <c r="AA6" s="466">
        <f>SUM(F11:H11)</f>
        <v>8661.8799999999992</v>
      </c>
    </row>
    <row r="7" spans="2:27" ht="12.75" customHeight="1" x14ac:dyDescent="0.25">
      <c r="B7" s="467"/>
      <c r="C7" s="468"/>
      <c r="D7" s="454"/>
      <c r="E7" s="454"/>
      <c r="F7" s="455"/>
      <c r="G7" s="455"/>
      <c r="H7" s="455"/>
      <c r="I7" s="456">
        <f t="shared" si="0"/>
        <v>0</v>
      </c>
      <c r="J7" s="457">
        <f t="shared" si="1"/>
        <v>0</v>
      </c>
      <c r="K7" s="458">
        <f t="shared" si="2"/>
        <v>0</v>
      </c>
      <c r="L7" s="458">
        <f t="shared" si="3"/>
        <v>0</v>
      </c>
      <c r="M7" s="458">
        <f t="shared" si="4"/>
        <v>0</v>
      </c>
      <c r="N7" s="459">
        <f t="shared" si="5"/>
        <v>0</v>
      </c>
      <c r="O7" s="460">
        <f t="shared" si="6"/>
        <v>0</v>
      </c>
      <c r="P7" s="461">
        <f t="shared" si="7"/>
        <v>0</v>
      </c>
      <c r="Q7" s="461">
        <f t="shared" si="8"/>
        <v>0</v>
      </c>
      <c r="R7" s="462">
        <f t="shared" si="9"/>
        <v>0</v>
      </c>
      <c r="S7" s="462">
        <f t="shared" si="10"/>
        <v>0</v>
      </c>
      <c r="T7" s="462">
        <f t="shared" si="11"/>
        <v>0</v>
      </c>
      <c r="U7" s="462">
        <f t="shared" si="12"/>
        <v>0</v>
      </c>
      <c r="V7" s="462">
        <f t="shared" si="13"/>
        <v>0</v>
      </c>
      <c r="W7" s="462">
        <f t="shared" si="14"/>
        <v>0</v>
      </c>
      <c r="X7" s="463">
        <f t="shared" si="15"/>
        <v>0</v>
      </c>
      <c r="Y7" s="464">
        <f t="shared" si="16"/>
        <v>0</v>
      </c>
      <c r="Z7" s="465" t="s">
        <v>209</v>
      </c>
      <c r="AA7" s="466">
        <f>SUM(J11:L11)</f>
        <v>4165.83</v>
      </c>
    </row>
    <row r="8" spans="2:27" ht="12.75" customHeight="1" x14ac:dyDescent="0.25">
      <c r="B8" s="467"/>
      <c r="C8" s="468"/>
      <c r="D8" s="454"/>
      <c r="E8" s="454"/>
      <c r="F8" s="455"/>
      <c r="G8" s="455"/>
      <c r="H8" s="455"/>
      <c r="I8" s="456">
        <f t="shared" si="0"/>
        <v>0</v>
      </c>
      <c r="J8" s="457">
        <f t="shared" si="1"/>
        <v>0</v>
      </c>
      <c r="K8" s="458">
        <f t="shared" si="2"/>
        <v>0</v>
      </c>
      <c r="L8" s="458">
        <f t="shared" si="3"/>
        <v>0</v>
      </c>
      <c r="M8" s="458">
        <f t="shared" si="4"/>
        <v>0</v>
      </c>
      <c r="N8" s="459">
        <f t="shared" si="5"/>
        <v>0</v>
      </c>
      <c r="O8" s="460">
        <f t="shared" si="6"/>
        <v>0</v>
      </c>
      <c r="P8" s="461">
        <f t="shared" si="7"/>
        <v>0</v>
      </c>
      <c r="Q8" s="461">
        <f t="shared" si="8"/>
        <v>0</v>
      </c>
      <c r="R8" s="462">
        <f t="shared" si="9"/>
        <v>0</v>
      </c>
      <c r="S8" s="462">
        <f t="shared" si="10"/>
        <v>0</v>
      </c>
      <c r="T8" s="462">
        <f t="shared" si="11"/>
        <v>0</v>
      </c>
      <c r="U8" s="462">
        <f t="shared" si="12"/>
        <v>0</v>
      </c>
      <c r="V8" s="462">
        <f t="shared" si="13"/>
        <v>0</v>
      </c>
      <c r="W8" s="462">
        <f t="shared" si="14"/>
        <v>0</v>
      </c>
      <c r="X8" s="463">
        <f t="shared" si="15"/>
        <v>0</v>
      </c>
      <c r="Y8" s="464">
        <f t="shared" si="16"/>
        <v>0</v>
      </c>
      <c r="Z8" s="465" t="s">
        <v>36</v>
      </c>
      <c r="AA8" s="466">
        <f>M11</f>
        <v>1064</v>
      </c>
    </row>
    <row r="9" spans="2:27" ht="12.75" customHeight="1" x14ac:dyDescent="0.25">
      <c r="B9" s="467" t="s">
        <v>181</v>
      </c>
      <c r="C9" s="470"/>
      <c r="D9" s="471">
        <v>1621</v>
      </c>
      <c r="E9" s="454">
        <v>11727</v>
      </c>
      <c r="F9" s="472">
        <v>2000</v>
      </c>
      <c r="G9" s="473"/>
      <c r="H9" s="473"/>
      <c r="I9" s="456">
        <f t="shared" si="0"/>
        <v>15348</v>
      </c>
      <c r="J9" s="474">
        <f>1621*11%</f>
        <v>178.31</v>
      </c>
      <c r="K9" s="475"/>
      <c r="L9" s="475"/>
      <c r="M9" s="475"/>
      <c r="N9" s="459">
        <f t="shared" si="5"/>
        <v>178.31</v>
      </c>
      <c r="O9" s="476"/>
      <c r="P9" s="475"/>
      <c r="Q9" s="475"/>
      <c r="R9" s="477"/>
      <c r="S9" s="477"/>
      <c r="T9" s="477"/>
      <c r="U9" s="477"/>
      <c r="V9" s="477"/>
      <c r="W9" s="477"/>
      <c r="X9" s="478"/>
      <c r="Y9" s="464">
        <f t="shared" si="16"/>
        <v>15526.31</v>
      </c>
      <c r="Z9" s="469" t="s">
        <v>212</v>
      </c>
      <c r="AA9" s="466">
        <f>SUM(O11:W11)</f>
        <v>5678.3611111111104</v>
      </c>
    </row>
    <row r="10" spans="2:27" ht="13.5" customHeight="1" x14ac:dyDescent="0.25">
      <c r="B10" s="467" t="s">
        <v>182</v>
      </c>
      <c r="C10" s="470"/>
      <c r="D10" s="471">
        <f>1621*2</f>
        <v>3242</v>
      </c>
      <c r="E10" s="454">
        <v>15980</v>
      </c>
      <c r="F10" s="472">
        <v>2000</v>
      </c>
      <c r="G10" s="473"/>
      <c r="H10" s="473"/>
      <c r="I10" s="456">
        <f t="shared" si="0"/>
        <v>21222</v>
      </c>
      <c r="J10" s="474">
        <f>3242*11%</f>
        <v>356.62</v>
      </c>
      <c r="K10" s="475"/>
      <c r="L10" s="475"/>
      <c r="M10" s="475"/>
      <c r="N10" s="459">
        <f t="shared" si="5"/>
        <v>356.62</v>
      </c>
      <c r="O10" s="479"/>
      <c r="P10" s="480"/>
      <c r="Q10" s="480"/>
      <c r="R10" s="481"/>
      <c r="S10" s="481"/>
      <c r="T10" s="481"/>
      <c r="U10" s="481"/>
      <c r="V10" s="481"/>
      <c r="W10" s="481"/>
      <c r="X10" s="482"/>
      <c r="Y10" s="464">
        <f t="shared" si="16"/>
        <v>21578.62</v>
      </c>
      <c r="Z10" s="483" t="s">
        <v>13</v>
      </c>
      <c r="AA10" s="484">
        <f>SUM(AA3:AA9)</f>
        <v>65440.071111111109</v>
      </c>
    </row>
    <row r="11" spans="2:27" ht="13.5" customHeight="1" x14ac:dyDescent="0.25">
      <c r="B11" s="437"/>
      <c r="C11" s="485">
        <f t="shared" ref="C11:X11" si="17">SUM(C3:C10)</f>
        <v>13300</v>
      </c>
      <c r="D11" s="486">
        <f t="shared" si="17"/>
        <v>4863</v>
      </c>
      <c r="E11" s="486">
        <f t="shared" si="17"/>
        <v>27707</v>
      </c>
      <c r="F11" s="486">
        <f t="shared" si="17"/>
        <v>4780</v>
      </c>
      <c r="G11" s="486">
        <f t="shared" si="17"/>
        <v>3120</v>
      </c>
      <c r="H11" s="486">
        <f t="shared" si="17"/>
        <v>761.88</v>
      </c>
      <c r="I11" s="487">
        <f t="shared" si="17"/>
        <v>54531.880000000005</v>
      </c>
      <c r="J11" s="485">
        <f t="shared" si="17"/>
        <v>3194.93</v>
      </c>
      <c r="K11" s="486">
        <f t="shared" si="17"/>
        <v>199.5</v>
      </c>
      <c r="L11" s="486">
        <f t="shared" si="17"/>
        <v>771.4</v>
      </c>
      <c r="M11" s="486">
        <f t="shared" si="17"/>
        <v>1064</v>
      </c>
      <c r="N11" s="487">
        <f t="shared" si="17"/>
        <v>5229.83</v>
      </c>
      <c r="O11" s="485">
        <f t="shared" si="17"/>
        <v>1108.3333333333333</v>
      </c>
      <c r="P11" s="486">
        <f t="shared" si="17"/>
        <v>369.44444444444446</v>
      </c>
      <c r="Q11" s="486">
        <f t="shared" si="17"/>
        <v>118.22222222222223</v>
      </c>
      <c r="R11" s="486">
        <f t="shared" si="17"/>
        <v>1108.3333333333333</v>
      </c>
      <c r="S11" s="486">
        <f t="shared" si="17"/>
        <v>88.666666666666657</v>
      </c>
      <c r="T11" s="486">
        <f t="shared" si="17"/>
        <v>1108.3333333333333</v>
      </c>
      <c r="U11" s="486">
        <f t="shared" si="17"/>
        <v>88.666666666666657</v>
      </c>
      <c r="V11" s="486">
        <f t="shared" si="17"/>
        <v>679.77777777777783</v>
      </c>
      <c r="W11" s="486">
        <f t="shared" si="17"/>
        <v>1008.5833333333334</v>
      </c>
      <c r="X11" s="487">
        <f t="shared" si="17"/>
        <v>5678.3611111111113</v>
      </c>
      <c r="Y11" s="488">
        <f t="shared" si="16"/>
        <v>65440.071111111116</v>
      </c>
      <c r="Z11" s="437"/>
      <c r="AA11" s="437"/>
    </row>
    <row r="12" spans="2:27" ht="13.5" customHeight="1" x14ac:dyDescent="0.25">
      <c r="B12" s="437"/>
      <c r="C12" s="410"/>
      <c r="D12" s="410"/>
      <c r="E12" s="410"/>
      <c r="F12" s="410"/>
      <c r="G12" s="410"/>
      <c r="H12" s="410"/>
      <c r="I12" s="410"/>
      <c r="J12" s="410"/>
      <c r="K12" s="410"/>
      <c r="L12" s="410"/>
      <c r="M12" s="410"/>
      <c r="N12" s="410"/>
      <c r="O12" s="410"/>
      <c r="P12" s="410"/>
      <c r="Q12" s="410"/>
    </row>
    <row r="13" spans="2:27" ht="12.75" customHeight="1" x14ac:dyDescent="0.25">
      <c r="B13" s="438" t="s">
        <v>158</v>
      </c>
      <c r="C13" s="439" t="s">
        <v>190</v>
      </c>
      <c r="D13" s="440" t="s">
        <v>213</v>
      </c>
      <c r="E13" s="440" t="s">
        <v>197</v>
      </c>
      <c r="F13" s="440" t="s">
        <v>198</v>
      </c>
      <c r="G13" s="440" t="s">
        <v>94</v>
      </c>
      <c r="H13" s="440" t="s">
        <v>96</v>
      </c>
      <c r="I13" s="441" t="s">
        <v>199</v>
      </c>
      <c r="J13" s="442" t="s">
        <v>168</v>
      </c>
      <c r="K13" s="443" t="s">
        <v>200</v>
      </c>
      <c r="L13" s="443" t="s">
        <v>201</v>
      </c>
      <c r="M13" s="444" t="s">
        <v>36</v>
      </c>
      <c r="N13" s="445" t="s">
        <v>202</v>
      </c>
      <c r="O13" s="446" t="s">
        <v>40</v>
      </c>
      <c r="P13" s="447" t="s">
        <v>169</v>
      </c>
      <c r="Q13" s="447" t="s">
        <v>203</v>
      </c>
      <c r="R13" s="447" t="s">
        <v>204</v>
      </c>
      <c r="S13" s="447" t="s">
        <v>205</v>
      </c>
      <c r="T13" s="447" t="s">
        <v>206</v>
      </c>
      <c r="U13" s="447" t="s">
        <v>207</v>
      </c>
      <c r="V13" s="447" t="s">
        <v>208</v>
      </c>
      <c r="W13" s="447" t="s">
        <v>209</v>
      </c>
      <c r="X13" s="448" t="s">
        <v>210</v>
      </c>
      <c r="Y13" s="449" t="s">
        <v>13</v>
      </c>
      <c r="Z13" s="450" t="s">
        <v>189</v>
      </c>
      <c r="AA13" s="451">
        <v>46054</v>
      </c>
    </row>
    <row r="14" spans="2:27" ht="12.75" customHeight="1" x14ac:dyDescent="0.25">
      <c r="B14" s="489" t="s">
        <v>195</v>
      </c>
      <c r="C14" s="490">
        <v>3000</v>
      </c>
      <c r="D14" s="454"/>
      <c r="E14" s="454"/>
      <c r="F14" s="455">
        <v>200</v>
      </c>
      <c r="G14" s="455">
        <v>800</v>
      </c>
      <c r="H14" s="455">
        <v>0</v>
      </c>
      <c r="I14" s="456">
        <f t="shared" ref="I14:I21" si="18">SUM(C14:H14)</f>
        <v>4000</v>
      </c>
      <c r="J14" s="457">
        <f t="shared" ref="J14:J19" si="19">C14*20%</f>
        <v>600</v>
      </c>
      <c r="K14" s="458">
        <f t="shared" ref="K14:K19" si="20">C14*1.5%</f>
        <v>45</v>
      </c>
      <c r="L14" s="458">
        <f t="shared" ref="L14:L19" si="21">C14*5.8%</f>
        <v>174</v>
      </c>
      <c r="M14" s="458">
        <f t="shared" ref="M14:M19" si="22">C14*8%</f>
        <v>240</v>
      </c>
      <c r="N14" s="459">
        <f t="shared" ref="N14:N21" si="23">SUM(J14:M14)</f>
        <v>1059</v>
      </c>
      <c r="O14" s="460">
        <f t="shared" ref="O14:O19" si="24">C14/12</f>
        <v>250</v>
      </c>
      <c r="P14" s="461">
        <f t="shared" ref="P14:P19" si="25">O14/3</f>
        <v>83.333333333333329</v>
      </c>
      <c r="Q14" s="461">
        <f t="shared" ref="Q14:Q19" si="26">(O14+P14)*8%</f>
        <v>26.666666666666664</v>
      </c>
      <c r="R14" s="462">
        <f t="shared" ref="R14:R19" si="27">C14/12</f>
        <v>250</v>
      </c>
      <c r="S14" s="462">
        <f t="shared" ref="S14:S19" si="28">R14*8%</f>
        <v>20</v>
      </c>
      <c r="T14" s="462">
        <f t="shared" ref="T14:T19" si="29">C14/12</f>
        <v>250</v>
      </c>
      <c r="U14" s="462">
        <f t="shared" ref="U14:U19" si="30">T14*8%</f>
        <v>20</v>
      </c>
      <c r="V14" s="462">
        <f t="shared" ref="V14:V19" si="31">(M14+Q14+S14+U14)*50%</f>
        <v>153.33333333333334</v>
      </c>
      <c r="W14" s="462">
        <f t="shared" ref="W14:W19" si="32">(O14+P14+R14+T14)*27.3%</f>
        <v>227.5</v>
      </c>
      <c r="X14" s="463">
        <f t="shared" ref="X14:X19" si="33">SUM(O14:W14)</f>
        <v>1280.8333333333333</v>
      </c>
      <c r="Y14" s="464">
        <f t="shared" ref="Y14:Y22" si="34">I14+N14+X14</f>
        <v>6339.833333333333</v>
      </c>
      <c r="Z14" s="465" t="s">
        <v>89</v>
      </c>
      <c r="AA14" s="466">
        <f>C22</f>
        <v>19300</v>
      </c>
    </row>
    <row r="15" spans="2:27" ht="12.75" customHeight="1" x14ac:dyDescent="0.25">
      <c r="B15" s="467" t="s">
        <v>196</v>
      </c>
      <c r="C15" s="468">
        <v>3000</v>
      </c>
      <c r="D15" s="454"/>
      <c r="E15" s="454"/>
      <c r="F15" s="455">
        <v>0</v>
      </c>
      <c r="G15" s="455">
        <v>0</v>
      </c>
      <c r="H15" s="455"/>
      <c r="I15" s="456">
        <f t="shared" si="18"/>
        <v>3000</v>
      </c>
      <c r="J15" s="457">
        <f t="shared" si="19"/>
        <v>600</v>
      </c>
      <c r="K15" s="458">
        <f t="shared" si="20"/>
        <v>45</v>
      </c>
      <c r="L15" s="458">
        <f t="shared" si="21"/>
        <v>174</v>
      </c>
      <c r="M15" s="458">
        <f t="shared" si="22"/>
        <v>240</v>
      </c>
      <c r="N15" s="459">
        <f t="shared" si="23"/>
        <v>1059</v>
      </c>
      <c r="O15" s="460">
        <f t="shared" si="24"/>
        <v>250</v>
      </c>
      <c r="P15" s="461">
        <f t="shared" si="25"/>
        <v>83.333333333333329</v>
      </c>
      <c r="Q15" s="461">
        <f t="shared" si="26"/>
        <v>26.666666666666664</v>
      </c>
      <c r="R15" s="462">
        <f t="shared" si="27"/>
        <v>250</v>
      </c>
      <c r="S15" s="462">
        <f t="shared" si="28"/>
        <v>20</v>
      </c>
      <c r="T15" s="462">
        <f t="shared" si="29"/>
        <v>250</v>
      </c>
      <c r="U15" s="462">
        <f t="shared" si="30"/>
        <v>20</v>
      </c>
      <c r="V15" s="462">
        <f t="shared" si="31"/>
        <v>153.33333333333334</v>
      </c>
      <c r="W15" s="462">
        <f t="shared" si="32"/>
        <v>227.5</v>
      </c>
      <c r="X15" s="463">
        <f t="shared" si="33"/>
        <v>1280.8333333333333</v>
      </c>
      <c r="Y15" s="464">
        <f t="shared" si="34"/>
        <v>5339.833333333333</v>
      </c>
      <c r="Z15" s="469" t="s">
        <v>194</v>
      </c>
      <c r="AA15" s="466">
        <f>D22</f>
        <v>4863</v>
      </c>
    </row>
    <row r="16" spans="2:27" ht="12.75" customHeight="1" x14ac:dyDescent="0.25">
      <c r="B16" s="467" t="s">
        <v>174</v>
      </c>
      <c r="C16" s="468">
        <v>4100</v>
      </c>
      <c r="D16" s="454"/>
      <c r="E16" s="454"/>
      <c r="F16" s="455">
        <v>200</v>
      </c>
      <c r="G16" s="455">
        <v>800</v>
      </c>
      <c r="H16" s="455">
        <v>154.13</v>
      </c>
      <c r="I16" s="456">
        <f t="shared" si="18"/>
        <v>5254.13</v>
      </c>
      <c r="J16" s="457">
        <f t="shared" si="19"/>
        <v>820</v>
      </c>
      <c r="K16" s="458">
        <f t="shared" si="20"/>
        <v>61.5</v>
      </c>
      <c r="L16" s="458">
        <f t="shared" si="21"/>
        <v>237.79999999999998</v>
      </c>
      <c r="M16" s="458">
        <f t="shared" si="22"/>
        <v>328</v>
      </c>
      <c r="N16" s="459">
        <f t="shared" si="23"/>
        <v>1447.3</v>
      </c>
      <c r="O16" s="460">
        <f t="shared" si="24"/>
        <v>341.66666666666669</v>
      </c>
      <c r="P16" s="461">
        <f t="shared" si="25"/>
        <v>113.8888888888889</v>
      </c>
      <c r="Q16" s="461">
        <f t="shared" si="26"/>
        <v>36.44444444444445</v>
      </c>
      <c r="R16" s="462">
        <f t="shared" si="27"/>
        <v>341.66666666666669</v>
      </c>
      <c r="S16" s="462">
        <f t="shared" si="28"/>
        <v>27.333333333333336</v>
      </c>
      <c r="T16" s="462">
        <f t="shared" si="29"/>
        <v>341.66666666666669</v>
      </c>
      <c r="U16" s="462">
        <f t="shared" si="30"/>
        <v>27.333333333333336</v>
      </c>
      <c r="V16" s="462">
        <f t="shared" si="31"/>
        <v>209.55555555555554</v>
      </c>
      <c r="W16" s="462">
        <f t="shared" si="32"/>
        <v>310.91666666666669</v>
      </c>
      <c r="X16" s="463">
        <f t="shared" si="33"/>
        <v>1750.4722222222224</v>
      </c>
      <c r="Y16" s="464">
        <f t="shared" si="34"/>
        <v>8451.9022222222229</v>
      </c>
      <c r="Z16" s="469" t="s">
        <v>197</v>
      </c>
      <c r="AA16" s="466">
        <f>E22</f>
        <v>27707</v>
      </c>
    </row>
    <row r="17" spans="2:27" ht="12.75" customHeight="1" x14ac:dyDescent="0.25">
      <c r="B17" s="467" t="s">
        <v>175</v>
      </c>
      <c r="C17" s="468">
        <v>1900</v>
      </c>
      <c r="D17" s="454"/>
      <c r="E17" s="454"/>
      <c r="F17" s="455">
        <v>200</v>
      </c>
      <c r="G17" s="455">
        <v>800</v>
      </c>
      <c r="H17" s="455"/>
      <c r="I17" s="456">
        <f t="shared" si="18"/>
        <v>2900</v>
      </c>
      <c r="J17" s="457">
        <f t="shared" si="19"/>
        <v>380</v>
      </c>
      <c r="K17" s="458">
        <f t="shared" si="20"/>
        <v>28.5</v>
      </c>
      <c r="L17" s="458">
        <f t="shared" si="21"/>
        <v>110.19999999999999</v>
      </c>
      <c r="M17" s="458">
        <f t="shared" si="22"/>
        <v>152</v>
      </c>
      <c r="N17" s="459">
        <f t="shared" si="23"/>
        <v>670.7</v>
      </c>
      <c r="O17" s="460">
        <f t="shared" si="24"/>
        <v>158.33333333333334</v>
      </c>
      <c r="P17" s="461">
        <f t="shared" si="25"/>
        <v>52.777777777777779</v>
      </c>
      <c r="Q17" s="461">
        <f t="shared" si="26"/>
        <v>16.888888888888889</v>
      </c>
      <c r="R17" s="462">
        <f t="shared" si="27"/>
        <v>158.33333333333334</v>
      </c>
      <c r="S17" s="462">
        <f t="shared" si="28"/>
        <v>12.666666666666668</v>
      </c>
      <c r="T17" s="462">
        <f t="shared" si="29"/>
        <v>158.33333333333334</v>
      </c>
      <c r="U17" s="462">
        <f t="shared" si="30"/>
        <v>12.666666666666668</v>
      </c>
      <c r="V17" s="462">
        <f t="shared" si="31"/>
        <v>97.1111111111111</v>
      </c>
      <c r="W17" s="462">
        <f t="shared" si="32"/>
        <v>144.08333333333337</v>
      </c>
      <c r="X17" s="463">
        <f t="shared" si="33"/>
        <v>811.19444444444446</v>
      </c>
      <c r="Y17" s="464">
        <f t="shared" si="34"/>
        <v>4381.8944444444442</v>
      </c>
      <c r="Z17" s="469" t="s">
        <v>211</v>
      </c>
      <c r="AA17" s="466">
        <f>SUM(F22:H22)</f>
        <v>11761.88</v>
      </c>
    </row>
    <row r="18" spans="2:27" ht="12.75" customHeight="1" x14ac:dyDescent="0.25">
      <c r="B18" s="467" t="s">
        <v>176</v>
      </c>
      <c r="C18" s="468">
        <v>3700</v>
      </c>
      <c r="D18" s="454"/>
      <c r="E18" s="454"/>
      <c r="F18" s="455">
        <v>200</v>
      </c>
      <c r="G18" s="455">
        <v>800</v>
      </c>
      <c r="H18" s="455">
        <v>154.13</v>
      </c>
      <c r="I18" s="456">
        <f t="shared" si="18"/>
        <v>4854.13</v>
      </c>
      <c r="J18" s="457">
        <f t="shared" si="19"/>
        <v>740</v>
      </c>
      <c r="K18" s="458">
        <f t="shared" si="20"/>
        <v>55.5</v>
      </c>
      <c r="L18" s="458">
        <f t="shared" si="21"/>
        <v>214.6</v>
      </c>
      <c r="M18" s="458">
        <f t="shared" si="22"/>
        <v>296</v>
      </c>
      <c r="N18" s="459">
        <f t="shared" si="23"/>
        <v>1306.0999999999999</v>
      </c>
      <c r="O18" s="460">
        <f t="shared" si="24"/>
        <v>308.33333333333331</v>
      </c>
      <c r="P18" s="461">
        <f t="shared" si="25"/>
        <v>102.77777777777777</v>
      </c>
      <c r="Q18" s="461">
        <f t="shared" si="26"/>
        <v>32.888888888888886</v>
      </c>
      <c r="R18" s="462">
        <f t="shared" si="27"/>
        <v>308.33333333333331</v>
      </c>
      <c r="S18" s="462">
        <f t="shared" si="28"/>
        <v>24.666666666666664</v>
      </c>
      <c r="T18" s="462">
        <f t="shared" si="29"/>
        <v>308.33333333333331</v>
      </c>
      <c r="U18" s="462">
        <f t="shared" si="30"/>
        <v>24.666666666666664</v>
      </c>
      <c r="V18" s="462">
        <f t="shared" si="31"/>
        <v>189.11111111111114</v>
      </c>
      <c r="W18" s="462">
        <f t="shared" si="32"/>
        <v>280.58333333333331</v>
      </c>
      <c r="X18" s="463">
        <f t="shared" si="33"/>
        <v>1579.6944444444443</v>
      </c>
      <c r="Y18" s="464">
        <f t="shared" si="34"/>
        <v>7739.9244444444439</v>
      </c>
      <c r="Z18" s="465" t="s">
        <v>209</v>
      </c>
      <c r="AA18" s="466">
        <f>SUM(J22:L22)</f>
        <v>5803.83</v>
      </c>
    </row>
    <row r="19" spans="2:27" ht="12.75" customHeight="1" x14ac:dyDescent="0.25">
      <c r="B19" s="467" t="s">
        <v>177</v>
      </c>
      <c r="C19" s="468">
        <v>3600</v>
      </c>
      <c r="D19" s="454"/>
      <c r="E19" s="454"/>
      <c r="F19" s="455">
        <v>200</v>
      </c>
      <c r="G19" s="455">
        <v>800</v>
      </c>
      <c r="H19" s="455">
        <v>453.62</v>
      </c>
      <c r="I19" s="456">
        <f t="shared" si="18"/>
        <v>5053.62</v>
      </c>
      <c r="J19" s="457">
        <f t="shared" si="19"/>
        <v>720</v>
      </c>
      <c r="K19" s="458">
        <f t="shared" si="20"/>
        <v>54</v>
      </c>
      <c r="L19" s="458">
        <f t="shared" si="21"/>
        <v>208.79999999999998</v>
      </c>
      <c r="M19" s="458">
        <f t="shared" si="22"/>
        <v>288</v>
      </c>
      <c r="N19" s="459">
        <f t="shared" si="23"/>
        <v>1270.8</v>
      </c>
      <c r="O19" s="460">
        <f t="shared" si="24"/>
        <v>300</v>
      </c>
      <c r="P19" s="461">
        <f t="shared" si="25"/>
        <v>100</v>
      </c>
      <c r="Q19" s="461">
        <f t="shared" si="26"/>
        <v>32</v>
      </c>
      <c r="R19" s="462">
        <f t="shared" si="27"/>
        <v>300</v>
      </c>
      <c r="S19" s="462">
        <f t="shared" si="28"/>
        <v>24</v>
      </c>
      <c r="T19" s="462">
        <f t="shared" si="29"/>
        <v>300</v>
      </c>
      <c r="U19" s="462">
        <f t="shared" si="30"/>
        <v>24</v>
      </c>
      <c r="V19" s="462">
        <f t="shared" si="31"/>
        <v>184</v>
      </c>
      <c r="W19" s="462">
        <f t="shared" si="32"/>
        <v>273</v>
      </c>
      <c r="X19" s="463">
        <f t="shared" si="33"/>
        <v>1537</v>
      </c>
      <c r="Y19" s="464">
        <f t="shared" si="34"/>
        <v>7861.42</v>
      </c>
      <c r="Z19" s="465" t="s">
        <v>36</v>
      </c>
      <c r="AA19" s="466">
        <f>M22</f>
        <v>1544</v>
      </c>
    </row>
    <row r="20" spans="2:27" ht="12.75" customHeight="1" x14ac:dyDescent="0.25">
      <c r="B20" s="467" t="s">
        <v>181</v>
      </c>
      <c r="C20" s="470"/>
      <c r="D20" s="455">
        <v>1621</v>
      </c>
      <c r="E20" s="454">
        <v>11727</v>
      </c>
      <c r="F20" s="472">
        <v>3000</v>
      </c>
      <c r="G20" s="473"/>
      <c r="H20" s="473"/>
      <c r="I20" s="456">
        <f t="shared" si="18"/>
        <v>16348</v>
      </c>
      <c r="J20" s="474">
        <f>1621*11%</f>
        <v>178.31</v>
      </c>
      <c r="K20" s="475"/>
      <c r="L20" s="475"/>
      <c r="M20" s="475"/>
      <c r="N20" s="459">
        <f t="shared" si="23"/>
        <v>178.31</v>
      </c>
      <c r="O20" s="476"/>
      <c r="P20" s="475"/>
      <c r="Q20" s="475"/>
      <c r="R20" s="477"/>
      <c r="S20" s="477"/>
      <c r="T20" s="477"/>
      <c r="U20" s="477"/>
      <c r="V20" s="477"/>
      <c r="W20" s="477"/>
      <c r="X20" s="478"/>
      <c r="Y20" s="464">
        <f t="shared" si="34"/>
        <v>16526.310000000001</v>
      </c>
      <c r="Z20" s="469" t="s">
        <v>212</v>
      </c>
      <c r="AA20" s="466">
        <f>SUM(O22:W22)</f>
        <v>8240.0277777777792</v>
      </c>
    </row>
    <row r="21" spans="2:27" ht="13.5" customHeight="1" x14ac:dyDescent="0.25">
      <c r="B21" s="467" t="s">
        <v>182</v>
      </c>
      <c r="C21" s="470"/>
      <c r="D21" s="471">
        <f>1621*2</f>
        <v>3242</v>
      </c>
      <c r="E21" s="454">
        <v>15980</v>
      </c>
      <c r="F21" s="472">
        <v>3000</v>
      </c>
      <c r="G21" s="473"/>
      <c r="H21" s="473"/>
      <c r="I21" s="456">
        <f t="shared" si="18"/>
        <v>22222</v>
      </c>
      <c r="J21" s="474">
        <f>3242*11%</f>
        <v>356.62</v>
      </c>
      <c r="K21" s="475"/>
      <c r="L21" s="475"/>
      <c r="M21" s="475"/>
      <c r="N21" s="459">
        <f t="shared" si="23"/>
        <v>356.62</v>
      </c>
      <c r="O21" s="479"/>
      <c r="P21" s="480"/>
      <c r="Q21" s="480"/>
      <c r="R21" s="481"/>
      <c r="S21" s="481"/>
      <c r="T21" s="481"/>
      <c r="U21" s="481"/>
      <c r="V21" s="481"/>
      <c r="W21" s="481"/>
      <c r="X21" s="482"/>
      <c r="Y21" s="464">
        <f t="shared" si="34"/>
        <v>22578.62</v>
      </c>
      <c r="Z21" s="483" t="s">
        <v>13</v>
      </c>
      <c r="AA21" s="484">
        <f>SUM(AA14:AA20)</f>
        <v>79219.737777777773</v>
      </c>
    </row>
    <row r="22" spans="2:27" ht="13.5" customHeight="1" x14ac:dyDescent="0.25">
      <c r="B22" s="437"/>
      <c r="C22" s="485">
        <f t="shared" ref="C22:X22" si="35">SUM(C14:C21)</f>
        <v>19300</v>
      </c>
      <c r="D22" s="486">
        <f t="shared" si="35"/>
        <v>4863</v>
      </c>
      <c r="E22" s="486">
        <f t="shared" si="35"/>
        <v>27707</v>
      </c>
      <c r="F22" s="486">
        <f t="shared" si="35"/>
        <v>7000</v>
      </c>
      <c r="G22" s="486">
        <f t="shared" si="35"/>
        <v>4000</v>
      </c>
      <c r="H22" s="486">
        <f t="shared" si="35"/>
        <v>761.88</v>
      </c>
      <c r="I22" s="487">
        <f t="shared" si="35"/>
        <v>63631.880000000005</v>
      </c>
      <c r="J22" s="485">
        <f t="shared" si="35"/>
        <v>4394.93</v>
      </c>
      <c r="K22" s="486">
        <f t="shared" si="35"/>
        <v>289.5</v>
      </c>
      <c r="L22" s="486">
        <f t="shared" si="35"/>
        <v>1119.4000000000001</v>
      </c>
      <c r="M22" s="486">
        <f t="shared" si="35"/>
        <v>1544</v>
      </c>
      <c r="N22" s="487">
        <f t="shared" si="35"/>
        <v>7347.8300000000008</v>
      </c>
      <c r="O22" s="485">
        <f t="shared" si="35"/>
        <v>1608.3333333333335</v>
      </c>
      <c r="P22" s="486">
        <f t="shared" si="35"/>
        <v>536.11111111111109</v>
      </c>
      <c r="Q22" s="486">
        <f t="shared" si="35"/>
        <v>171.55555555555554</v>
      </c>
      <c r="R22" s="486">
        <f t="shared" si="35"/>
        <v>1608.3333333333335</v>
      </c>
      <c r="S22" s="486">
        <f t="shared" si="35"/>
        <v>128.66666666666669</v>
      </c>
      <c r="T22" s="486">
        <f t="shared" si="35"/>
        <v>1608.3333333333335</v>
      </c>
      <c r="U22" s="486">
        <f t="shared" si="35"/>
        <v>128.66666666666669</v>
      </c>
      <c r="V22" s="486">
        <f t="shared" si="35"/>
        <v>986.44444444444434</v>
      </c>
      <c r="W22" s="486">
        <f t="shared" si="35"/>
        <v>1463.5833333333335</v>
      </c>
      <c r="X22" s="487">
        <f t="shared" si="35"/>
        <v>8240.0277777777774</v>
      </c>
      <c r="Y22" s="488">
        <f t="shared" si="34"/>
        <v>79219.737777777787</v>
      </c>
      <c r="Z22" s="437"/>
      <c r="AA22" s="437"/>
    </row>
    <row r="23" spans="2:27" ht="13.5" customHeight="1" x14ac:dyDescent="0.25">
      <c r="B23" s="437"/>
      <c r="C23" s="410"/>
      <c r="D23" s="410"/>
      <c r="E23" s="410"/>
      <c r="F23" s="410"/>
      <c r="G23" s="410"/>
      <c r="H23" s="410"/>
      <c r="I23" s="410"/>
      <c r="J23" s="410"/>
      <c r="K23" s="410"/>
      <c r="L23" s="410"/>
      <c r="M23" s="410"/>
      <c r="N23" s="410"/>
      <c r="O23" s="410"/>
      <c r="P23" s="410"/>
      <c r="Q23" s="410"/>
    </row>
    <row r="24" spans="2:27" ht="12.75" customHeight="1" x14ac:dyDescent="0.25">
      <c r="B24" s="438" t="s">
        <v>158</v>
      </c>
      <c r="C24" s="439" t="s">
        <v>190</v>
      </c>
      <c r="D24" s="440" t="s">
        <v>213</v>
      </c>
      <c r="E24" s="440" t="s">
        <v>197</v>
      </c>
      <c r="F24" s="440" t="s">
        <v>198</v>
      </c>
      <c r="G24" s="440" t="s">
        <v>94</v>
      </c>
      <c r="H24" s="440" t="s">
        <v>96</v>
      </c>
      <c r="I24" s="441" t="s">
        <v>199</v>
      </c>
      <c r="J24" s="442" t="s">
        <v>168</v>
      </c>
      <c r="K24" s="443" t="s">
        <v>200</v>
      </c>
      <c r="L24" s="443" t="s">
        <v>201</v>
      </c>
      <c r="M24" s="444" t="s">
        <v>36</v>
      </c>
      <c r="N24" s="445" t="s">
        <v>202</v>
      </c>
      <c r="O24" s="446" t="s">
        <v>40</v>
      </c>
      <c r="P24" s="447" t="s">
        <v>169</v>
      </c>
      <c r="Q24" s="447" t="s">
        <v>203</v>
      </c>
      <c r="R24" s="447" t="s">
        <v>204</v>
      </c>
      <c r="S24" s="447" t="s">
        <v>205</v>
      </c>
      <c r="T24" s="447" t="s">
        <v>206</v>
      </c>
      <c r="U24" s="447" t="s">
        <v>207</v>
      </c>
      <c r="V24" s="447" t="s">
        <v>208</v>
      </c>
      <c r="W24" s="447" t="s">
        <v>209</v>
      </c>
      <c r="X24" s="448" t="s">
        <v>210</v>
      </c>
      <c r="Y24" s="449" t="s">
        <v>13</v>
      </c>
      <c r="Z24" s="450" t="s">
        <v>189</v>
      </c>
      <c r="AA24" s="451">
        <v>46082</v>
      </c>
    </row>
    <row r="25" spans="2:27" ht="12.75" customHeight="1" x14ac:dyDescent="0.25">
      <c r="B25" s="489" t="s">
        <v>195</v>
      </c>
      <c r="C25" s="490">
        <v>3000</v>
      </c>
      <c r="D25" s="454"/>
      <c r="E25" s="454"/>
      <c r="F25" s="455">
        <v>220</v>
      </c>
      <c r="G25" s="455">
        <v>880</v>
      </c>
      <c r="H25" s="455">
        <v>0</v>
      </c>
      <c r="I25" s="456">
        <f t="shared" ref="I25:I32" si="36">SUM(C25:H25)</f>
        <v>4100</v>
      </c>
      <c r="J25" s="457">
        <f t="shared" ref="J25:J30" si="37">C25*20%</f>
        <v>600</v>
      </c>
      <c r="K25" s="458">
        <f t="shared" ref="K25:K30" si="38">C25*1.5%</f>
        <v>45</v>
      </c>
      <c r="L25" s="458">
        <f t="shared" ref="L25:L30" si="39">C25*5.8%</f>
        <v>174</v>
      </c>
      <c r="M25" s="458">
        <f t="shared" ref="M25:M30" si="40">C25*8%</f>
        <v>240</v>
      </c>
      <c r="N25" s="459">
        <f t="shared" ref="N25:N32" si="41">SUM(J25:M25)</f>
        <v>1059</v>
      </c>
      <c r="O25" s="460">
        <f t="shared" ref="O25:O30" si="42">C25/12</f>
        <v>250</v>
      </c>
      <c r="P25" s="461">
        <f t="shared" ref="P25:P30" si="43">O25/3</f>
        <v>83.333333333333329</v>
      </c>
      <c r="Q25" s="461">
        <f t="shared" ref="Q25:Q30" si="44">(O25+P25)*8%</f>
        <v>26.666666666666664</v>
      </c>
      <c r="R25" s="462">
        <f t="shared" ref="R25:R30" si="45">C25/12</f>
        <v>250</v>
      </c>
      <c r="S25" s="462">
        <f t="shared" ref="S25:S30" si="46">R25*8%</f>
        <v>20</v>
      </c>
      <c r="T25" s="462">
        <f t="shared" ref="T25:T30" si="47">C25/12</f>
        <v>250</v>
      </c>
      <c r="U25" s="462">
        <f t="shared" ref="U25:U30" si="48">T25*8%</f>
        <v>20</v>
      </c>
      <c r="V25" s="462">
        <f t="shared" ref="V25:V30" si="49">(M25+Q25+S25+U25)*50%</f>
        <v>153.33333333333334</v>
      </c>
      <c r="W25" s="462">
        <f t="shared" ref="W25:W30" si="50">(O25+P25+R25+T25)*27.3%</f>
        <v>227.5</v>
      </c>
      <c r="X25" s="463">
        <f t="shared" ref="X25:X30" si="51">SUM(O25:W25)</f>
        <v>1280.8333333333333</v>
      </c>
      <c r="Y25" s="464">
        <f t="shared" ref="Y25:Y33" si="52">I25+N25+X25</f>
        <v>6439.833333333333</v>
      </c>
      <c r="Z25" s="465" t="s">
        <v>89</v>
      </c>
      <c r="AA25" s="466">
        <f>C33</f>
        <v>20400</v>
      </c>
    </row>
    <row r="26" spans="2:27" ht="12.75" customHeight="1" x14ac:dyDescent="0.25">
      <c r="B26" s="467" t="s">
        <v>196</v>
      </c>
      <c r="C26" s="468">
        <v>3000</v>
      </c>
      <c r="D26" s="454"/>
      <c r="E26" s="454"/>
      <c r="F26" s="455">
        <v>0</v>
      </c>
      <c r="G26" s="455">
        <v>0</v>
      </c>
      <c r="H26" s="455"/>
      <c r="I26" s="456">
        <f t="shared" si="36"/>
        <v>3000</v>
      </c>
      <c r="J26" s="457">
        <f t="shared" si="37"/>
        <v>600</v>
      </c>
      <c r="K26" s="458">
        <f t="shared" si="38"/>
        <v>45</v>
      </c>
      <c r="L26" s="458">
        <f t="shared" si="39"/>
        <v>174</v>
      </c>
      <c r="M26" s="458">
        <f t="shared" si="40"/>
        <v>240</v>
      </c>
      <c r="N26" s="459">
        <f t="shared" si="41"/>
        <v>1059</v>
      </c>
      <c r="O26" s="460">
        <f t="shared" si="42"/>
        <v>250</v>
      </c>
      <c r="P26" s="461">
        <f t="shared" si="43"/>
        <v>83.333333333333329</v>
      </c>
      <c r="Q26" s="461">
        <f t="shared" si="44"/>
        <v>26.666666666666664</v>
      </c>
      <c r="R26" s="462">
        <f t="shared" si="45"/>
        <v>250</v>
      </c>
      <c r="S26" s="462">
        <f t="shared" si="46"/>
        <v>20</v>
      </c>
      <c r="T26" s="462">
        <f t="shared" si="47"/>
        <v>250</v>
      </c>
      <c r="U26" s="462">
        <f t="shared" si="48"/>
        <v>20</v>
      </c>
      <c r="V26" s="462">
        <f t="shared" si="49"/>
        <v>153.33333333333334</v>
      </c>
      <c r="W26" s="462">
        <f t="shared" si="50"/>
        <v>227.5</v>
      </c>
      <c r="X26" s="463">
        <f t="shared" si="51"/>
        <v>1280.8333333333333</v>
      </c>
      <c r="Y26" s="464">
        <f t="shared" si="52"/>
        <v>5339.833333333333</v>
      </c>
      <c r="Z26" s="469" t="s">
        <v>194</v>
      </c>
      <c r="AA26" s="466">
        <f>D33</f>
        <v>4863</v>
      </c>
    </row>
    <row r="27" spans="2:27" ht="12.75" customHeight="1" x14ac:dyDescent="0.25">
      <c r="B27" s="467" t="s">
        <v>174</v>
      </c>
      <c r="C27" s="468">
        <v>4100</v>
      </c>
      <c r="D27" s="454"/>
      <c r="E27" s="454"/>
      <c r="F27" s="455">
        <v>220</v>
      </c>
      <c r="G27" s="455">
        <v>880</v>
      </c>
      <c r="H27" s="455">
        <v>154.13</v>
      </c>
      <c r="I27" s="456">
        <f t="shared" si="36"/>
        <v>5354.13</v>
      </c>
      <c r="J27" s="457">
        <f t="shared" si="37"/>
        <v>820</v>
      </c>
      <c r="K27" s="458">
        <f t="shared" si="38"/>
        <v>61.5</v>
      </c>
      <c r="L27" s="458">
        <f t="shared" si="39"/>
        <v>237.79999999999998</v>
      </c>
      <c r="M27" s="458">
        <f t="shared" si="40"/>
        <v>328</v>
      </c>
      <c r="N27" s="459">
        <f t="shared" si="41"/>
        <v>1447.3</v>
      </c>
      <c r="O27" s="460">
        <f t="shared" si="42"/>
        <v>341.66666666666669</v>
      </c>
      <c r="P27" s="461">
        <f t="shared" si="43"/>
        <v>113.8888888888889</v>
      </c>
      <c r="Q27" s="461">
        <f t="shared" si="44"/>
        <v>36.44444444444445</v>
      </c>
      <c r="R27" s="462">
        <f t="shared" si="45"/>
        <v>341.66666666666669</v>
      </c>
      <c r="S27" s="462">
        <f t="shared" si="46"/>
        <v>27.333333333333336</v>
      </c>
      <c r="T27" s="462">
        <f t="shared" si="47"/>
        <v>341.66666666666669</v>
      </c>
      <c r="U27" s="462">
        <f t="shared" si="48"/>
        <v>27.333333333333336</v>
      </c>
      <c r="V27" s="462">
        <f t="shared" si="49"/>
        <v>209.55555555555554</v>
      </c>
      <c r="W27" s="462">
        <f t="shared" si="50"/>
        <v>310.91666666666669</v>
      </c>
      <c r="X27" s="463">
        <f t="shared" si="51"/>
        <v>1750.4722222222224</v>
      </c>
      <c r="Y27" s="464">
        <f t="shared" si="52"/>
        <v>8551.9022222222229</v>
      </c>
      <c r="Z27" s="469" t="s">
        <v>197</v>
      </c>
      <c r="AA27" s="466">
        <f>E33</f>
        <v>27707</v>
      </c>
    </row>
    <row r="28" spans="2:27" ht="12.75" customHeight="1" x14ac:dyDescent="0.25">
      <c r="B28" s="467" t="s">
        <v>175</v>
      </c>
      <c r="C28" s="468">
        <v>3000</v>
      </c>
      <c r="D28" s="454"/>
      <c r="E28" s="454"/>
      <c r="F28" s="455">
        <v>220</v>
      </c>
      <c r="G28" s="455">
        <v>880</v>
      </c>
      <c r="H28" s="455"/>
      <c r="I28" s="456">
        <f t="shared" si="36"/>
        <v>4100</v>
      </c>
      <c r="J28" s="457">
        <f t="shared" si="37"/>
        <v>600</v>
      </c>
      <c r="K28" s="458">
        <f t="shared" si="38"/>
        <v>45</v>
      </c>
      <c r="L28" s="458">
        <f t="shared" si="39"/>
        <v>174</v>
      </c>
      <c r="M28" s="458">
        <f t="shared" si="40"/>
        <v>240</v>
      </c>
      <c r="N28" s="459">
        <f t="shared" si="41"/>
        <v>1059</v>
      </c>
      <c r="O28" s="460">
        <f t="shared" si="42"/>
        <v>250</v>
      </c>
      <c r="P28" s="461">
        <f t="shared" si="43"/>
        <v>83.333333333333329</v>
      </c>
      <c r="Q28" s="461">
        <f t="shared" si="44"/>
        <v>26.666666666666664</v>
      </c>
      <c r="R28" s="462">
        <f t="shared" si="45"/>
        <v>250</v>
      </c>
      <c r="S28" s="462">
        <f t="shared" si="46"/>
        <v>20</v>
      </c>
      <c r="T28" s="462">
        <f t="shared" si="47"/>
        <v>250</v>
      </c>
      <c r="U28" s="462">
        <f t="shared" si="48"/>
        <v>20</v>
      </c>
      <c r="V28" s="462">
        <f t="shared" si="49"/>
        <v>153.33333333333334</v>
      </c>
      <c r="W28" s="462">
        <f t="shared" si="50"/>
        <v>227.5</v>
      </c>
      <c r="X28" s="463">
        <f t="shared" si="51"/>
        <v>1280.8333333333333</v>
      </c>
      <c r="Y28" s="464">
        <f t="shared" si="52"/>
        <v>6439.833333333333</v>
      </c>
      <c r="Z28" s="469" t="s">
        <v>211</v>
      </c>
      <c r="AA28" s="466">
        <f>SUM(F33:H33)</f>
        <v>12261.88</v>
      </c>
    </row>
    <row r="29" spans="2:27" ht="12.75" customHeight="1" x14ac:dyDescent="0.25">
      <c r="B29" s="467" t="s">
        <v>176</v>
      </c>
      <c r="C29" s="468">
        <v>3700</v>
      </c>
      <c r="D29" s="454"/>
      <c r="E29" s="454"/>
      <c r="F29" s="455">
        <v>220</v>
      </c>
      <c r="G29" s="455">
        <v>880</v>
      </c>
      <c r="H29" s="455">
        <v>154.13</v>
      </c>
      <c r="I29" s="456">
        <f t="shared" si="36"/>
        <v>4954.13</v>
      </c>
      <c r="J29" s="457">
        <f t="shared" si="37"/>
        <v>740</v>
      </c>
      <c r="K29" s="458">
        <f t="shared" si="38"/>
        <v>55.5</v>
      </c>
      <c r="L29" s="458">
        <f t="shared" si="39"/>
        <v>214.6</v>
      </c>
      <c r="M29" s="458">
        <f t="shared" si="40"/>
        <v>296</v>
      </c>
      <c r="N29" s="459">
        <f t="shared" si="41"/>
        <v>1306.0999999999999</v>
      </c>
      <c r="O29" s="460">
        <f t="shared" si="42"/>
        <v>308.33333333333331</v>
      </c>
      <c r="P29" s="461">
        <f t="shared" si="43"/>
        <v>102.77777777777777</v>
      </c>
      <c r="Q29" s="461">
        <f t="shared" si="44"/>
        <v>32.888888888888886</v>
      </c>
      <c r="R29" s="462">
        <f t="shared" si="45"/>
        <v>308.33333333333331</v>
      </c>
      <c r="S29" s="462">
        <f t="shared" si="46"/>
        <v>24.666666666666664</v>
      </c>
      <c r="T29" s="462">
        <f t="shared" si="47"/>
        <v>308.33333333333331</v>
      </c>
      <c r="U29" s="462">
        <f t="shared" si="48"/>
        <v>24.666666666666664</v>
      </c>
      <c r="V29" s="462">
        <f t="shared" si="49"/>
        <v>189.11111111111114</v>
      </c>
      <c r="W29" s="462">
        <f t="shared" si="50"/>
        <v>280.58333333333331</v>
      </c>
      <c r="X29" s="463">
        <f t="shared" si="51"/>
        <v>1579.6944444444443</v>
      </c>
      <c r="Y29" s="464">
        <f t="shared" si="52"/>
        <v>7839.9244444444439</v>
      </c>
      <c r="Z29" s="465" t="s">
        <v>209</v>
      </c>
      <c r="AA29" s="466">
        <f>SUM(J33:L33)</f>
        <v>6104.13</v>
      </c>
    </row>
    <row r="30" spans="2:27" ht="12.75" customHeight="1" x14ac:dyDescent="0.25">
      <c r="B30" s="467" t="s">
        <v>177</v>
      </c>
      <c r="C30" s="468">
        <v>3600</v>
      </c>
      <c r="D30" s="454"/>
      <c r="E30" s="454"/>
      <c r="F30" s="455">
        <v>220</v>
      </c>
      <c r="G30" s="455">
        <v>880</v>
      </c>
      <c r="H30" s="455">
        <v>453.62</v>
      </c>
      <c r="I30" s="456">
        <f t="shared" si="36"/>
        <v>5153.62</v>
      </c>
      <c r="J30" s="457">
        <f t="shared" si="37"/>
        <v>720</v>
      </c>
      <c r="K30" s="458">
        <f t="shared" si="38"/>
        <v>54</v>
      </c>
      <c r="L30" s="458">
        <f t="shared" si="39"/>
        <v>208.79999999999998</v>
      </c>
      <c r="M30" s="458">
        <f t="shared" si="40"/>
        <v>288</v>
      </c>
      <c r="N30" s="459">
        <f t="shared" si="41"/>
        <v>1270.8</v>
      </c>
      <c r="O30" s="460">
        <f t="shared" si="42"/>
        <v>300</v>
      </c>
      <c r="P30" s="461">
        <f t="shared" si="43"/>
        <v>100</v>
      </c>
      <c r="Q30" s="461">
        <f t="shared" si="44"/>
        <v>32</v>
      </c>
      <c r="R30" s="462">
        <f t="shared" si="45"/>
        <v>300</v>
      </c>
      <c r="S30" s="462">
        <f t="shared" si="46"/>
        <v>24</v>
      </c>
      <c r="T30" s="462">
        <f t="shared" si="47"/>
        <v>300</v>
      </c>
      <c r="U30" s="462">
        <f t="shared" si="48"/>
        <v>24</v>
      </c>
      <c r="V30" s="462">
        <f t="shared" si="49"/>
        <v>184</v>
      </c>
      <c r="W30" s="462">
        <f t="shared" si="50"/>
        <v>273</v>
      </c>
      <c r="X30" s="463">
        <f t="shared" si="51"/>
        <v>1537</v>
      </c>
      <c r="Y30" s="464">
        <f t="shared" si="52"/>
        <v>7961.42</v>
      </c>
      <c r="Z30" s="465" t="s">
        <v>36</v>
      </c>
      <c r="AA30" s="466">
        <f>M33</f>
        <v>1632</v>
      </c>
    </row>
    <row r="31" spans="2:27" ht="12.75" customHeight="1" x14ac:dyDescent="0.25">
      <c r="B31" s="467" t="s">
        <v>181</v>
      </c>
      <c r="C31" s="470"/>
      <c r="D31" s="455">
        <v>1621</v>
      </c>
      <c r="E31" s="454">
        <v>11727</v>
      </c>
      <c r="F31" s="472">
        <v>3000</v>
      </c>
      <c r="G31" s="473"/>
      <c r="H31" s="473"/>
      <c r="I31" s="456">
        <f t="shared" si="36"/>
        <v>16348</v>
      </c>
      <c r="J31" s="474">
        <f>1621*11%</f>
        <v>178.31</v>
      </c>
      <c r="K31" s="475"/>
      <c r="L31" s="475"/>
      <c r="M31" s="475"/>
      <c r="N31" s="459">
        <f t="shared" si="41"/>
        <v>178.31</v>
      </c>
      <c r="O31" s="476"/>
      <c r="P31" s="475"/>
      <c r="Q31" s="475"/>
      <c r="R31" s="477"/>
      <c r="S31" s="477"/>
      <c r="T31" s="477"/>
      <c r="U31" s="477"/>
      <c r="V31" s="477"/>
      <c r="W31" s="477"/>
      <c r="X31" s="478"/>
      <c r="Y31" s="464">
        <f t="shared" si="52"/>
        <v>16526.310000000001</v>
      </c>
      <c r="Z31" s="469" t="s">
        <v>212</v>
      </c>
      <c r="AA31" s="466">
        <f>SUM(O33:W33)</f>
        <v>8709.6666666666679</v>
      </c>
    </row>
    <row r="32" spans="2:27" ht="13.5" customHeight="1" x14ac:dyDescent="0.25">
      <c r="B32" s="467" t="s">
        <v>182</v>
      </c>
      <c r="C32" s="470"/>
      <c r="D32" s="471">
        <f>1621*2</f>
        <v>3242</v>
      </c>
      <c r="E32" s="454">
        <v>15980</v>
      </c>
      <c r="F32" s="472">
        <v>3000</v>
      </c>
      <c r="G32" s="473"/>
      <c r="H32" s="473"/>
      <c r="I32" s="456">
        <f t="shared" si="36"/>
        <v>22222</v>
      </c>
      <c r="J32" s="474">
        <f>3242*11%</f>
        <v>356.62</v>
      </c>
      <c r="K32" s="475"/>
      <c r="L32" s="475"/>
      <c r="M32" s="475"/>
      <c r="N32" s="459">
        <f t="shared" si="41"/>
        <v>356.62</v>
      </c>
      <c r="O32" s="479"/>
      <c r="P32" s="480"/>
      <c r="Q32" s="480"/>
      <c r="R32" s="481"/>
      <c r="S32" s="481"/>
      <c r="T32" s="481"/>
      <c r="U32" s="481"/>
      <c r="V32" s="481"/>
      <c r="W32" s="481"/>
      <c r="X32" s="482"/>
      <c r="Y32" s="464">
        <f t="shared" si="52"/>
        <v>22578.62</v>
      </c>
      <c r="Z32" s="483" t="s">
        <v>13</v>
      </c>
      <c r="AA32" s="484">
        <f>SUM(AA25:AA31)</f>
        <v>81677.676666666666</v>
      </c>
    </row>
    <row r="33" spans="2:27" ht="13.5" customHeight="1" x14ac:dyDescent="0.25">
      <c r="B33" s="437"/>
      <c r="C33" s="485">
        <f t="shared" ref="C33:X33" si="53">SUM(C25:C32)</f>
        <v>20400</v>
      </c>
      <c r="D33" s="486">
        <f t="shared" si="53"/>
        <v>4863</v>
      </c>
      <c r="E33" s="486">
        <f t="shared" si="53"/>
        <v>27707</v>
      </c>
      <c r="F33" s="486">
        <f t="shared" si="53"/>
        <v>7100</v>
      </c>
      <c r="G33" s="486">
        <f t="shared" si="53"/>
        <v>4400</v>
      </c>
      <c r="H33" s="486">
        <f t="shared" si="53"/>
        <v>761.88</v>
      </c>
      <c r="I33" s="487">
        <f t="shared" si="53"/>
        <v>65231.880000000005</v>
      </c>
      <c r="J33" s="485">
        <f t="shared" si="53"/>
        <v>4614.93</v>
      </c>
      <c r="K33" s="486">
        <f t="shared" si="53"/>
        <v>306</v>
      </c>
      <c r="L33" s="486">
        <f t="shared" si="53"/>
        <v>1183.2</v>
      </c>
      <c r="M33" s="486">
        <f t="shared" si="53"/>
        <v>1632</v>
      </c>
      <c r="N33" s="487">
        <f t="shared" si="53"/>
        <v>7736.13</v>
      </c>
      <c r="O33" s="485">
        <f t="shared" si="53"/>
        <v>1700</v>
      </c>
      <c r="P33" s="486">
        <f t="shared" si="53"/>
        <v>566.66666666666663</v>
      </c>
      <c r="Q33" s="486">
        <f t="shared" si="53"/>
        <v>181.33333333333331</v>
      </c>
      <c r="R33" s="486">
        <f t="shared" si="53"/>
        <v>1700</v>
      </c>
      <c r="S33" s="486">
        <f t="shared" si="53"/>
        <v>136</v>
      </c>
      <c r="T33" s="486">
        <f t="shared" si="53"/>
        <v>1700</v>
      </c>
      <c r="U33" s="486">
        <f t="shared" si="53"/>
        <v>136</v>
      </c>
      <c r="V33" s="486">
        <f t="shared" si="53"/>
        <v>1042.6666666666667</v>
      </c>
      <c r="W33" s="486">
        <f t="shared" si="53"/>
        <v>1547</v>
      </c>
      <c r="X33" s="487">
        <f t="shared" si="53"/>
        <v>8709.6666666666661</v>
      </c>
      <c r="Y33" s="488">
        <f t="shared" si="52"/>
        <v>81677.676666666681</v>
      </c>
      <c r="Z33" s="437"/>
      <c r="AA33" s="437"/>
    </row>
    <row r="34" spans="2:27" ht="13.5" customHeight="1" x14ac:dyDescent="0.25">
      <c r="B34" s="437"/>
      <c r="C34" s="410"/>
      <c r="D34" s="410"/>
      <c r="E34" s="410"/>
      <c r="F34" s="410"/>
      <c r="G34" s="410"/>
      <c r="H34" s="410"/>
      <c r="I34" s="410"/>
      <c r="J34" s="410"/>
      <c r="K34" s="410"/>
      <c r="L34" s="410"/>
      <c r="M34" s="410"/>
      <c r="N34" s="410"/>
      <c r="O34" s="410"/>
      <c r="P34" s="410"/>
      <c r="Q34" s="410"/>
    </row>
    <row r="35" spans="2:27" s="491" customFormat="1" ht="13.5" customHeight="1" x14ac:dyDescent="0.25">
      <c r="B35" s="438" t="s">
        <v>158</v>
      </c>
      <c r="C35" s="439" t="s">
        <v>190</v>
      </c>
      <c r="D35" s="440" t="s">
        <v>213</v>
      </c>
      <c r="E35" s="440" t="s">
        <v>197</v>
      </c>
      <c r="F35" s="440" t="s">
        <v>198</v>
      </c>
      <c r="G35" s="440" t="s">
        <v>94</v>
      </c>
      <c r="H35" s="440" t="s">
        <v>96</v>
      </c>
      <c r="I35" s="441" t="s">
        <v>199</v>
      </c>
      <c r="J35" s="442" t="s">
        <v>168</v>
      </c>
      <c r="K35" s="443" t="s">
        <v>200</v>
      </c>
      <c r="L35" s="443" t="s">
        <v>201</v>
      </c>
      <c r="M35" s="444" t="s">
        <v>36</v>
      </c>
      <c r="N35" s="445" t="s">
        <v>202</v>
      </c>
      <c r="O35" s="446" t="s">
        <v>40</v>
      </c>
      <c r="P35" s="447" t="s">
        <v>169</v>
      </c>
      <c r="Q35" s="447" t="s">
        <v>203</v>
      </c>
      <c r="R35" s="447" t="s">
        <v>204</v>
      </c>
      <c r="S35" s="447" t="s">
        <v>205</v>
      </c>
      <c r="T35" s="447" t="s">
        <v>206</v>
      </c>
      <c r="U35" s="447" t="s">
        <v>207</v>
      </c>
      <c r="V35" s="447" t="s">
        <v>208</v>
      </c>
      <c r="W35" s="447" t="s">
        <v>209</v>
      </c>
      <c r="X35" s="448" t="s">
        <v>210</v>
      </c>
      <c r="Y35" s="449" t="s">
        <v>13</v>
      </c>
      <c r="Z35" s="450" t="s">
        <v>189</v>
      </c>
      <c r="AA35" s="451">
        <v>46113</v>
      </c>
    </row>
    <row r="36" spans="2:27" ht="13.5" customHeight="1" x14ac:dyDescent="0.25">
      <c r="B36" s="452" t="s">
        <v>195</v>
      </c>
      <c r="C36" s="453">
        <v>1700</v>
      </c>
      <c r="D36" s="454">
        <v>0</v>
      </c>
      <c r="E36" s="454">
        <v>0</v>
      </c>
      <c r="F36" s="455">
        <v>190</v>
      </c>
      <c r="G36" s="455">
        <v>760</v>
      </c>
      <c r="H36" s="455">
        <v>0</v>
      </c>
      <c r="I36" s="456">
        <f t="shared" ref="I36:I43" si="54">SUM(C36:H36)</f>
        <v>2650</v>
      </c>
      <c r="J36" s="457">
        <f t="shared" ref="J36:J41" si="55">C36*20%</f>
        <v>340</v>
      </c>
      <c r="K36" s="458">
        <f t="shared" ref="K36:K41" si="56">C36*1.5%</f>
        <v>25.5</v>
      </c>
      <c r="L36" s="458">
        <f t="shared" ref="L36:L41" si="57">C36*5.8%</f>
        <v>98.6</v>
      </c>
      <c r="M36" s="458">
        <f t="shared" ref="M36:M41" si="58">C36*8%</f>
        <v>136</v>
      </c>
      <c r="N36" s="459">
        <f t="shared" ref="N36:N43" si="59">SUM(J36:M36)</f>
        <v>600.1</v>
      </c>
      <c r="O36" s="460">
        <f t="shared" ref="O36:O41" si="60">C36/12</f>
        <v>141.66666666666666</v>
      </c>
      <c r="P36" s="461">
        <f t="shared" ref="P36:P41" si="61">O36/3</f>
        <v>47.222222222222221</v>
      </c>
      <c r="Q36" s="461">
        <f t="shared" ref="Q36:Q41" si="62">(O36+P36)*8%</f>
        <v>15.111111111111111</v>
      </c>
      <c r="R36" s="462">
        <f t="shared" ref="R36:R41" si="63">C36/12</f>
        <v>141.66666666666666</v>
      </c>
      <c r="S36" s="462">
        <f t="shared" ref="S36:S41" si="64">R36*8%</f>
        <v>11.333333333333332</v>
      </c>
      <c r="T36" s="462">
        <f t="shared" ref="T36:T41" si="65">C36/12</f>
        <v>141.66666666666666</v>
      </c>
      <c r="U36" s="462">
        <f t="shared" ref="U36:U41" si="66">T36*8%</f>
        <v>11.333333333333332</v>
      </c>
      <c r="V36" s="462">
        <f t="shared" ref="V36:V41" si="67">(M36+Q36+S36+U36)*50%</f>
        <v>86.8888888888889</v>
      </c>
      <c r="W36" s="462">
        <f t="shared" ref="W36:W41" si="68">(O36+P36+R36+T36)*27.3%</f>
        <v>128.91666666666666</v>
      </c>
      <c r="X36" s="463">
        <f t="shared" ref="X36:X41" si="69">SUM(O36:W36)</f>
        <v>725.80555555555543</v>
      </c>
      <c r="Y36" s="464">
        <f t="shared" ref="Y36:Y44" si="70">I36+N36+X36</f>
        <v>3975.9055555555551</v>
      </c>
      <c r="Z36" s="465" t="s">
        <v>89</v>
      </c>
      <c r="AA36" s="466">
        <f>C44</f>
        <v>19100</v>
      </c>
    </row>
    <row r="37" spans="2:27" ht="13.5" customHeight="1" x14ac:dyDescent="0.25">
      <c r="B37" s="467" t="s">
        <v>196</v>
      </c>
      <c r="C37" s="468">
        <v>3000</v>
      </c>
      <c r="D37" s="454">
        <v>0</v>
      </c>
      <c r="E37" s="454">
        <v>0</v>
      </c>
      <c r="F37" s="455"/>
      <c r="G37" s="455"/>
      <c r="H37" s="455"/>
      <c r="I37" s="456">
        <f t="shared" si="54"/>
        <v>3000</v>
      </c>
      <c r="J37" s="457">
        <f t="shared" si="55"/>
        <v>600</v>
      </c>
      <c r="K37" s="458">
        <f t="shared" si="56"/>
        <v>45</v>
      </c>
      <c r="L37" s="458">
        <f t="shared" si="57"/>
        <v>174</v>
      </c>
      <c r="M37" s="458">
        <f t="shared" si="58"/>
        <v>240</v>
      </c>
      <c r="N37" s="459">
        <f t="shared" si="59"/>
        <v>1059</v>
      </c>
      <c r="O37" s="460">
        <f t="shared" si="60"/>
        <v>250</v>
      </c>
      <c r="P37" s="461">
        <f t="shared" si="61"/>
        <v>83.333333333333329</v>
      </c>
      <c r="Q37" s="461">
        <f t="shared" si="62"/>
        <v>26.666666666666664</v>
      </c>
      <c r="R37" s="462">
        <f t="shared" si="63"/>
        <v>250</v>
      </c>
      <c r="S37" s="462">
        <f t="shared" si="64"/>
        <v>20</v>
      </c>
      <c r="T37" s="462">
        <f t="shared" si="65"/>
        <v>250</v>
      </c>
      <c r="U37" s="462">
        <f t="shared" si="66"/>
        <v>20</v>
      </c>
      <c r="V37" s="462">
        <f t="shared" si="67"/>
        <v>153.33333333333334</v>
      </c>
      <c r="W37" s="462">
        <f t="shared" si="68"/>
        <v>227.5</v>
      </c>
      <c r="X37" s="463">
        <f t="shared" si="69"/>
        <v>1280.8333333333333</v>
      </c>
      <c r="Y37" s="464">
        <f t="shared" si="70"/>
        <v>5339.833333333333</v>
      </c>
      <c r="Z37" s="469" t="s">
        <v>194</v>
      </c>
      <c r="AA37" s="466">
        <f>D44</f>
        <v>4863</v>
      </c>
    </row>
    <row r="38" spans="2:27" ht="13.5" customHeight="1" x14ac:dyDescent="0.25">
      <c r="B38" s="467" t="s">
        <v>174</v>
      </c>
      <c r="C38" s="468">
        <v>4100</v>
      </c>
      <c r="D38" s="454">
        <v>0</v>
      </c>
      <c r="E38" s="454">
        <v>0</v>
      </c>
      <c r="F38" s="455">
        <v>180</v>
      </c>
      <c r="G38" s="455">
        <v>720</v>
      </c>
      <c r="H38" s="455">
        <v>154.13</v>
      </c>
      <c r="I38" s="456">
        <f t="shared" si="54"/>
        <v>5154.13</v>
      </c>
      <c r="J38" s="457">
        <f t="shared" si="55"/>
        <v>820</v>
      </c>
      <c r="K38" s="458">
        <f t="shared" si="56"/>
        <v>61.5</v>
      </c>
      <c r="L38" s="458">
        <f t="shared" si="57"/>
        <v>237.79999999999998</v>
      </c>
      <c r="M38" s="458">
        <f t="shared" si="58"/>
        <v>328</v>
      </c>
      <c r="N38" s="459">
        <f t="shared" si="59"/>
        <v>1447.3</v>
      </c>
      <c r="O38" s="460">
        <f t="shared" si="60"/>
        <v>341.66666666666669</v>
      </c>
      <c r="P38" s="461">
        <f t="shared" si="61"/>
        <v>113.8888888888889</v>
      </c>
      <c r="Q38" s="461">
        <f t="shared" si="62"/>
        <v>36.44444444444445</v>
      </c>
      <c r="R38" s="462">
        <f t="shared" si="63"/>
        <v>341.66666666666669</v>
      </c>
      <c r="S38" s="462">
        <f t="shared" si="64"/>
        <v>27.333333333333336</v>
      </c>
      <c r="T38" s="462">
        <f t="shared" si="65"/>
        <v>341.66666666666669</v>
      </c>
      <c r="U38" s="462">
        <f t="shared" si="66"/>
        <v>27.333333333333336</v>
      </c>
      <c r="V38" s="462">
        <f t="shared" si="67"/>
        <v>209.55555555555554</v>
      </c>
      <c r="W38" s="462">
        <f t="shared" si="68"/>
        <v>310.91666666666669</v>
      </c>
      <c r="X38" s="463">
        <f t="shared" si="69"/>
        <v>1750.4722222222224</v>
      </c>
      <c r="Y38" s="464">
        <f t="shared" si="70"/>
        <v>8351.9022222222229</v>
      </c>
      <c r="Z38" s="469" t="s">
        <v>197</v>
      </c>
      <c r="AA38" s="466">
        <f>E44</f>
        <v>27707</v>
      </c>
    </row>
    <row r="39" spans="2:27" ht="13.5" customHeight="1" x14ac:dyDescent="0.25">
      <c r="B39" s="467" t="s">
        <v>175</v>
      </c>
      <c r="C39" s="468">
        <v>3000</v>
      </c>
      <c r="D39" s="454"/>
      <c r="E39" s="454"/>
      <c r="F39" s="455">
        <v>190</v>
      </c>
      <c r="G39" s="455">
        <v>760</v>
      </c>
      <c r="H39" s="455"/>
      <c r="I39" s="456">
        <f t="shared" si="54"/>
        <v>3950</v>
      </c>
      <c r="J39" s="457">
        <f t="shared" si="55"/>
        <v>600</v>
      </c>
      <c r="K39" s="458">
        <f t="shared" si="56"/>
        <v>45</v>
      </c>
      <c r="L39" s="458">
        <f t="shared" si="57"/>
        <v>174</v>
      </c>
      <c r="M39" s="458">
        <f t="shared" si="58"/>
        <v>240</v>
      </c>
      <c r="N39" s="459">
        <f t="shared" si="59"/>
        <v>1059</v>
      </c>
      <c r="O39" s="460">
        <f t="shared" si="60"/>
        <v>250</v>
      </c>
      <c r="P39" s="461">
        <f t="shared" si="61"/>
        <v>83.333333333333329</v>
      </c>
      <c r="Q39" s="461">
        <f t="shared" si="62"/>
        <v>26.666666666666664</v>
      </c>
      <c r="R39" s="462">
        <f t="shared" si="63"/>
        <v>250</v>
      </c>
      <c r="S39" s="462">
        <f t="shared" si="64"/>
        <v>20</v>
      </c>
      <c r="T39" s="462">
        <f t="shared" si="65"/>
        <v>250</v>
      </c>
      <c r="U39" s="462">
        <f t="shared" si="66"/>
        <v>20</v>
      </c>
      <c r="V39" s="462">
        <f t="shared" si="67"/>
        <v>153.33333333333334</v>
      </c>
      <c r="W39" s="462">
        <f t="shared" si="68"/>
        <v>227.5</v>
      </c>
      <c r="X39" s="463">
        <f t="shared" si="69"/>
        <v>1280.8333333333333</v>
      </c>
      <c r="Y39" s="464">
        <f t="shared" si="70"/>
        <v>6289.833333333333</v>
      </c>
      <c r="Z39" s="469" t="s">
        <v>211</v>
      </c>
      <c r="AA39" s="466">
        <f>SUM(F44:H44)</f>
        <v>11361.88</v>
      </c>
    </row>
    <row r="40" spans="2:27" ht="13.5" customHeight="1" x14ac:dyDescent="0.25">
      <c r="B40" s="467" t="s">
        <v>176</v>
      </c>
      <c r="C40" s="468">
        <v>3700</v>
      </c>
      <c r="D40" s="454">
        <v>0</v>
      </c>
      <c r="E40" s="454">
        <v>0</v>
      </c>
      <c r="F40" s="455">
        <v>180</v>
      </c>
      <c r="G40" s="455">
        <v>720</v>
      </c>
      <c r="H40" s="455">
        <v>154.13</v>
      </c>
      <c r="I40" s="456">
        <f t="shared" si="54"/>
        <v>4754.13</v>
      </c>
      <c r="J40" s="457">
        <f t="shared" si="55"/>
        <v>740</v>
      </c>
      <c r="K40" s="458">
        <f t="shared" si="56"/>
        <v>55.5</v>
      </c>
      <c r="L40" s="458">
        <f t="shared" si="57"/>
        <v>214.6</v>
      </c>
      <c r="M40" s="458">
        <f t="shared" si="58"/>
        <v>296</v>
      </c>
      <c r="N40" s="459">
        <f t="shared" si="59"/>
        <v>1306.0999999999999</v>
      </c>
      <c r="O40" s="460">
        <f t="shared" si="60"/>
        <v>308.33333333333331</v>
      </c>
      <c r="P40" s="461">
        <f t="shared" si="61"/>
        <v>102.77777777777777</v>
      </c>
      <c r="Q40" s="461">
        <f t="shared" si="62"/>
        <v>32.888888888888886</v>
      </c>
      <c r="R40" s="462">
        <f t="shared" si="63"/>
        <v>308.33333333333331</v>
      </c>
      <c r="S40" s="462">
        <f t="shared" si="64"/>
        <v>24.666666666666664</v>
      </c>
      <c r="T40" s="462">
        <f t="shared" si="65"/>
        <v>308.33333333333331</v>
      </c>
      <c r="U40" s="462">
        <f t="shared" si="66"/>
        <v>24.666666666666664</v>
      </c>
      <c r="V40" s="462">
        <f t="shared" si="67"/>
        <v>189.11111111111114</v>
      </c>
      <c r="W40" s="462">
        <f t="shared" si="68"/>
        <v>280.58333333333331</v>
      </c>
      <c r="X40" s="463">
        <f t="shared" si="69"/>
        <v>1579.6944444444443</v>
      </c>
      <c r="Y40" s="464">
        <f t="shared" si="70"/>
        <v>7639.9244444444439</v>
      </c>
      <c r="Z40" s="465" t="s">
        <v>209</v>
      </c>
      <c r="AA40" s="466">
        <f>SUM(J44:L44)</f>
        <v>5749.2300000000005</v>
      </c>
    </row>
    <row r="41" spans="2:27" ht="13.5" customHeight="1" x14ac:dyDescent="0.25">
      <c r="B41" s="467" t="s">
        <v>177</v>
      </c>
      <c r="C41" s="468">
        <v>3600</v>
      </c>
      <c r="D41" s="454">
        <v>0</v>
      </c>
      <c r="E41" s="454">
        <v>0</v>
      </c>
      <c r="F41" s="455">
        <v>180</v>
      </c>
      <c r="G41" s="455">
        <v>720</v>
      </c>
      <c r="H41" s="455">
        <v>453.62</v>
      </c>
      <c r="I41" s="456">
        <f t="shared" si="54"/>
        <v>4953.62</v>
      </c>
      <c r="J41" s="457">
        <f t="shared" si="55"/>
        <v>720</v>
      </c>
      <c r="K41" s="458">
        <f t="shared" si="56"/>
        <v>54</v>
      </c>
      <c r="L41" s="458">
        <f t="shared" si="57"/>
        <v>208.79999999999998</v>
      </c>
      <c r="M41" s="458">
        <f t="shared" si="58"/>
        <v>288</v>
      </c>
      <c r="N41" s="459">
        <f t="shared" si="59"/>
        <v>1270.8</v>
      </c>
      <c r="O41" s="460">
        <f t="shared" si="60"/>
        <v>300</v>
      </c>
      <c r="P41" s="461">
        <f t="shared" si="61"/>
        <v>100</v>
      </c>
      <c r="Q41" s="461">
        <f t="shared" si="62"/>
        <v>32</v>
      </c>
      <c r="R41" s="462">
        <f t="shared" si="63"/>
        <v>300</v>
      </c>
      <c r="S41" s="462">
        <f t="shared" si="64"/>
        <v>24</v>
      </c>
      <c r="T41" s="462">
        <f t="shared" si="65"/>
        <v>300</v>
      </c>
      <c r="U41" s="462">
        <f t="shared" si="66"/>
        <v>24</v>
      </c>
      <c r="V41" s="462">
        <f t="shared" si="67"/>
        <v>184</v>
      </c>
      <c r="W41" s="462">
        <f t="shared" si="68"/>
        <v>273</v>
      </c>
      <c r="X41" s="463">
        <f t="shared" si="69"/>
        <v>1537</v>
      </c>
      <c r="Y41" s="464">
        <f t="shared" si="70"/>
        <v>7761.42</v>
      </c>
      <c r="Z41" s="465" t="s">
        <v>36</v>
      </c>
      <c r="AA41" s="466">
        <f>M44</f>
        <v>1528</v>
      </c>
    </row>
    <row r="42" spans="2:27" s="492" customFormat="1" ht="12.75" customHeight="1" x14ac:dyDescent="0.25">
      <c r="B42" s="467" t="s">
        <v>181</v>
      </c>
      <c r="C42" s="470"/>
      <c r="D42" s="455">
        <v>1621</v>
      </c>
      <c r="E42" s="454">
        <v>11727</v>
      </c>
      <c r="F42" s="472">
        <v>3000</v>
      </c>
      <c r="G42" s="473"/>
      <c r="H42" s="473"/>
      <c r="I42" s="456">
        <f t="shared" si="54"/>
        <v>16348</v>
      </c>
      <c r="J42" s="474">
        <f>1621*11%</f>
        <v>178.31</v>
      </c>
      <c r="K42" s="475"/>
      <c r="L42" s="475"/>
      <c r="M42" s="475"/>
      <c r="N42" s="459">
        <f t="shared" si="59"/>
        <v>178.31</v>
      </c>
      <c r="O42" s="476"/>
      <c r="P42" s="475"/>
      <c r="Q42" s="475"/>
      <c r="R42" s="477"/>
      <c r="S42" s="477"/>
      <c r="T42" s="477"/>
      <c r="U42" s="477"/>
      <c r="V42" s="477"/>
      <c r="W42" s="477"/>
      <c r="X42" s="478"/>
      <c r="Y42" s="464">
        <f t="shared" si="70"/>
        <v>16526.310000000001</v>
      </c>
      <c r="Z42" s="469" t="s">
        <v>212</v>
      </c>
      <c r="AA42" s="466">
        <f>SUM(O44:W44)</f>
        <v>8154.6388888888869</v>
      </c>
    </row>
    <row r="43" spans="2:27" ht="13.5" customHeight="1" x14ac:dyDescent="0.25">
      <c r="B43" s="467" t="s">
        <v>182</v>
      </c>
      <c r="C43" s="470"/>
      <c r="D43" s="471">
        <f>1621*2</f>
        <v>3242</v>
      </c>
      <c r="E43" s="454">
        <v>15980</v>
      </c>
      <c r="F43" s="472">
        <v>3000</v>
      </c>
      <c r="G43" s="473"/>
      <c r="H43" s="473"/>
      <c r="I43" s="456">
        <f t="shared" si="54"/>
        <v>22222</v>
      </c>
      <c r="J43" s="474">
        <f>3242*11%</f>
        <v>356.62</v>
      </c>
      <c r="K43" s="475"/>
      <c r="L43" s="475"/>
      <c r="M43" s="475"/>
      <c r="N43" s="459">
        <f t="shared" si="59"/>
        <v>356.62</v>
      </c>
      <c r="O43" s="479"/>
      <c r="P43" s="480"/>
      <c r="Q43" s="480"/>
      <c r="R43" s="481"/>
      <c r="S43" s="481"/>
      <c r="T43" s="481"/>
      <c r="U43" s="481"/>
      <c r="V43" s="481"/>
      <c r="W43" s="481"/>
      <c r="X43" s="482"/>
      <c r="Y43" s="464">
        <f t="shared" si="70"/>
        <v>22578.62</v>
      </c>
      <c r="Z43" s="483" t="s">
        <v>13</v>
      </c>
      <c r="AA43" s="484">
        <f>SUM(AA36:AA42)</f>
        <v>78463.748888888891</v>
      </c>
    </row>
    <row r="44" spans="2:27" s="437" customFormat="1" ht="13.5" customHeight="1" x14ac:dyDescent="0.25">
      <c r="C44" s="485">
        <f t="shared" ref="C44:X44" si="71">SUM(C36:C43)</f>
        <v>19100</v>
      </c>
      <c r="D44" s="486">
        <f t="shared" si="71"/>
        <v>4863</v>
      </c>
      <c r="E44" s="486">
        <f t="shared" si="71"/>
        <v>27707</v>
      </c>
      <c r="F44" s="486">
        <f t="shared" si="71"/>
        <v>6920</v>
      </c>
      <c r="G44" s="486">
        <f t="shared" si="71"/>
        <v>3680</v>
      </c>
      <c r="H44" s="486">
        <f t="shared" si="71"/>
        <v>761.88</v>
      </c>
      <c r="I44" s="487">
        <f t="shared" si="71"/>
        <v>63031.880000000005</v>
      </c>
      <c r="J44" s="485">
        <f t="shared" si="71"/>
        <v>4354.93</v>
      </c>
      <c r="K44" s="486">
        <f t="shared" si="71"/>
        <v>286.5</v>
      </c>
      <c r="L44" s="486">
        <f t="shared" si="71"/>
        <v>1107.8</v>
      </c>
      <c r="M44" s="486">
        <f t="shared" si="71"/>
        <v>1528</v>
      </c>
      <c r="N44" s="487">
        <f t="shared" si="71"/>
        <v>7277.2300000000005</v>
      </c>
      <c r="O44" s="485">
        <f t="shared" si="71"/>
        <v>1591.6666666666665</v>
      </c>
      <c r="P44" s="486">
        <f t="shared" si="71"/>
        <v>530.55555555555554</v>
      </c>
      <c r="Q44" s="486">
        <f t="shared" si="71"/>
        <v>169.77777777777777</v>
      </c>
      <c r="R44" s="486">
        <f t="shared" si="71"/>
        <v>1591.6666666666665</v>
      </c>
      <c r="S44" s="486">
        <f t="shared" si="71"/>
        <v>127.33333333333334</v>
      </c>
      <c r="T44" s="486">
        <f t="shared" si="71"/>
        <v>1591.6666666666665</v>
      </c>
      <c r="U44" s="486">
        <f t="shared" si="71"/>
        <v>127.33333333333334</v>
      </c>
      <c r="V44" s="486">
        <f t="shared" si="71"/>
        <v>976.22222222222217</v>
      </c>
      <c r="W44" s="486">
        <f t="shared" si="71"/>
        <v>1448.4166666666665</v>
      </c>
      <c r="X44" s="487">
        <f t="shared" si="71"/>
        <v>8154.6388888888887</v>
      </c>
      <c r="Y44" s="488">
        <f t="shared" si="70"/>
        <v>78463.748888888891</v>
      </c>
    </row>
    <row r="45" spans="2:27" ht="13.5" customHeight="1" x14ac:dyDescent="0.25"/>
    <row r="46" spans="2:27" s="410" customFormat="1" ht="12.75" customHeight="1" x14ac:dyDescent="0.25">
      <c r="B46" s="438" t="s">
        <v>158</v>
      </c>
      <c r="C46" s="439" t="s">
        <v>190</v>
      </c>
      <c r="D46" s="440" t="s">
        <v>213</v>
      </c>
      <c r="E46" s="440" t="s">
        <v>197</v>
      </c>
      <c r="F46" s="440" t="s">
        <v>198</v>
      </c>
      <c r="G46" s="440" t="s">
        <v>94</v>
      </c>
      <c r="H46" s="440" t="s">
        <v>96</v>
      </c>
      <c r="I46" s="441" t="s">
        <v>199</v>
      </c>
      <c r="J46" s="442" t="s">
        <v>168</v>
      </c>
      <c r="K46" s="443" t="s">
        <v>200</v>
      </c>
      <c r="L46" s="443" t="s">
        <v>201</v>
      </c>
      <c r="M46" s="444" t="s">
        <v>36</v>
      </c>
      <c r="N46" s="445" t="s">
        <v>202</v>
      </c>
      <c r="O46" s="446" t="s">
        <v>40</v>
      </c>
      <c r="P46" s="447" t="s">
        <v>169</v>
      </c>
      <c r="Q46" s="447" t="s">
        <v>203</v>
      </c>
      <c r="R46" s="447" t="s">
        <v>204</v>
      </c>
      <c r="S46" s="447" t="s">
        <v>205</v>
      </c>
      <c r="T46" s="447" t="s">
        <v>206</v>
      </c>
      <c r="U46" s="447" t="s">
        <v>207</v>
      </c>
      <c r="V46" s="447" t="s">
        <v>208</v>
      </c>
      <c r="W46" s="447" t="s">
        <v>209</v>
      </c>
      <c r="X46" s="448" t="s">
        <v>210</v>
      </c>
      <c r="Y46" s="449" t="s">
        <v>13</v>
      </c>
      <c r="Z46" s="450" t="s">
        <v>189</v>
      </c>
      <c r="AA46" s="451">
        <v>46143</v>
      </c>
    </row>
    <row r="47" spans="2:27" ht="12.75" customHeight="1" x14ac:dyDescent="0.25">
      <c r="B47" s="452"/>
      <c r="C47" s="453"/>
      <c r="D47" s="454"/>
      <c r="E47" s="454"/>
      <c r="F47" s="455"/>
      <c r="G47" s="455"/>
      <c r="H47" s="455"/>
      <c r="I47" s="456"/>
      <c r="J47" s="457">
        <f t="shared" ref="J47:J52" si="72">C47*20%</f>
        <v>0</v>
      </c>
      <c r="K47" s="458">
        <f t="shared" ref="K47:K52" si="73">C47*1.5%</f>
        <v>0</v>
      </c>
      <c r="L47" s="458">
        <f t="shared" ref="L47:L52" si="74">C47*5.8%</f>
        <v>0</v>
      </c>
      <c r="M47" s="458">
        <f t="shared" ref="M47:M52" si="75">C47*8%</f>
        <v>0</v>
      </c>
      <c r="N47" s="459">
        <f t="shared" ref="N47:N54" si="76">SUM(J47:M47)</f>
        <v>0</v>
      </c>
      <c r="O47" s="460">
        <f t="shared" ref="O47:O52" si="77">C47/12</f>
        <v>0</v>
      </c>
      <c r="P47" s="461">
        <f t="shared" ref="P47:P52" si="78">O47/3</f>
        <v>0</v>
      </c>
      <c r="Q47" s="461">
        <f t="shared" ref="Q47:Q52" si="79">(O47+P47)*8%</f>
        <v>0</v>
      </c>
      <c r="R47" s="462">
        <f t="shared" ref="R47:R52" si="80">C47/12</f>
        <v>0</v>
      </c>
      <c r="S47" s="462">
        <f t="shared" ref="S47:S52" si="81">R47*8%</f>
        <v>0</v>
      </c>
      <c r="T47" s="462">
        <f t="shared" ref="T47:T52" si="82">C47/12</f>
        <v>0</v>
      </c>
      <c r="U47" s="462">
        <f t="shared" ref="U47:U52" si="83">T47*8%</f>
        <v>0</v>
      </c>
      <c r="V47" s="462">
        <f t="shared" ref="V47:V52" si="84">(M47+Q47+S47+U47)*50%</f>
        <v>0</v>
      </c>
      <c r="W47" s="462">
        <f t="shared" ref="W47:W52" si="85">(O47+P47+R47+T47)*27.3%</f>
        <v>0</v>
      </c>
      <c r="X47" s="463">
        <f t="shared" ref="X47:X52" si="86">SUM(O47:W47)</f>
        <v>0</v>
      </c>
      <c r="Y47" s="464">
        <f t="shared" ref="Y47:Y55" si="87">I47+N47+X47</f>
        <v>0</v>
      </c>
      <c r="Z47" s="465" t="s">
        <v>89</v>
      </c>
      <c r="AA47" s="466">
        <f>C55</f>
        <v>0</v>
      </c>
    </row>
    <row r="48" spans="2:27" ht="12.75" customHeight="1" x14ac:dyDescent="0.25">
      <c r="B48" s="467"/>
      <c r="C48" s="468"/>
      <c r="D48" s="454"/>
      <c r="E48" s="454"/>
      <c r="F48" s="455"/>
      <c r="G48" s="455"/>
      <c r="H48" s="455"/>
      <c r="I48" s="456"/>
      <c r="J48" s="457">
        <f t="shared" si="72"/>
        <v>0</v>
      </c>
      <c r="K48" s="458">
        <f t="shared" si="73"/>
        <v>0</v>
      </c>
      <c r="L48" s="458">
        <f t="shared" si="74"/>
        <v>0</v>
      </c>
      <c r="M48" s="458">
        <f t="shared" si="75"/>
        <v>0</v>
      </c>
      <c r="N48" s="459">
        <f t="shared" si="76"/>
        <v>0</v>
      </c>
      <c r="O48" s="460">
        <f t="shared" si="77"/>
        <v>0</v>
      </c>
      <c r="P48" s="461">
        <f t="shared" si="78"/>
        <v>0</v>
      </c>
      <c r="Q48" s="461">
        <f t="shared" si="79"/>
        <v>0</v>
      </c>
      <c r="R48" s="462">
        <f t="shared" si="80"/>
        <v>0</v>
      </c>
      <c r="S48" s="462">
        <f t="shared" si="81"/>
        <v>0</v>
      </c>
      <c r="T48" s="462">
        <f t="shared" si="82"/>
        <v>0</v>
      </c>
      <c r="U48" s="462">
        <f t="shared" si="83"/>
        <v>0</v>
      </c>
      <c r="V48" s="462">
        <f t="shared" si="84"/>
        <v>0</v>
      </c>
      <c r="W48" s="462">
        <f t="shared" si="85"/>
        <v>0</v>
      </c>
      <c r="X48" s="463">
        <f t="shared" si="86"/>
        <v>0</v>
      </c>
      <c r="Y48" s="464">
        <f t="shared" si="87"/>
        <v>0</v>
      </c>
      <c r="Z48" s="469" t="s">
        <v>194</v>
      </c>
      <c r="AA48" s="466">
        <f>D55</f>
        <v>0</v>
      </c>
    </row>
    <row r="49" spans="2:27" ht="12.75" customHeight="1" x14ac:dyDescent="0.25">
      <c r="B49" s="467"/>
      <c r="C49" s="468"/>
      <c r="D49" s="454"/>
      <c r="E49" s="454"/>
      <c r="F49" s="455"/>
      <c r="G49" s="455"/>
      <c r="H49" s="455"/>
      <c r="I49" s="456"/>
      <c r="J49" s="457">
        <f t="shared" si="72"/>
        <v>0</v>
      </c>
      <c r="K49" s="458">
        <f t="shared" si="73"/>
        <v>0</v>
      </c>
      <c r="L49" s="458">
        <f t="shared" si="74"/>
        <v>0</v>
      </c>
      <c r="M49" s="458">
        <f t="shared" si="75"/>
        <v>0</v>
      </c>
      <c r="N49" s="459">
        <f t="shared" si="76"/>
        <v>0</v>
      </c>
      <c r="O49" s="460">
        <f t="shared" si="77"/>
        <v>0</v>
      </c>
      <c r="P49" s="461">
        <f t="shared" si="78"/>
        <v>0</v>
      </c>
      <c r="Q49" s="461">
        <f t="shared" si="79"/>
        <v>0</v>
      </c>
      <c r="R49" s="462">
        <f t="shared" si="80"/>
        <v>0</v>
      </c>
      <c r="S49" s="462">
        <f t="shared" si="81"/>
        <v>0</v>
      </c>
      <c r="T49" s="462">
        <f t="shared" si="82"/>
        <v>0</v>
      </c>
      <c r="U49" s="462">
        <f t="shared" si="83"/>
        <v>0</v>
      </c>
      <c r="V49" s="462">
        <f t="shared" si="84"/>
        <v>0</v>
      </c>
      <c r="W49" s="462">
        <f t="shared" si="85"/>
        <v>0</v>
      </c>
      <c r="X49" s="463">
        <f t="shared" si="86"/>
        <v>0</v>
      </c>
      <c r="Y49" s="464">
        <f t="shared" si="87"/>
        <v>0</v>
      </c>
      <c r="Z49" s="469" t="s">
        <v>197</v>
      </c>
      <c r="AA49" s="466">
        <f>E55</f>
        <v>0</v>
      </c>
    </row>
    <row r="50" spans="2:27" ht="12.75" customHeight="1" x14ac:dyDescent="0.25">
      <c r="B50" s="467"/>
      <c r="C50" s="468"/>
      <c r="D50" s="454"/>
      <c r="E50" s="454"/>
      <c r="F50" s="455"/>
      <c r="G50" s="455"/>
      <c r="H50" s="455"/>
      <c r="I50" s="456"/>
      <c r="J50" s="457">
        <f t="shared" si="72"/>
        <v>0</v>
      </c>
      <c r="K50" s="458">
        <f t="shared" si="73"/>
        <v>0</v>
      </c>
      <c r="L50" s="458">
        <f t="shared" si="74"/>
        <v>0</v>
      </c>
      <c r="M50" s="458">
        <f t="shared" si="75"/>
        <v>0</v>
      </c>
      <c r="N50" s="459">
        <f t="shared" si="76"/>
        <v>0</v>
      </c>
      <c r="O50" s="460">
        <f t="shared" si="77"/>
        <v>0</v>
      </c>
      <c r="P50" s="461">
        <f t="shared" si="78"/>
        <v>0</v>
      </c>
      <c r="Q50" s="461">
        <f t="shared" si="79"/>
        <v>0</v>
      </c>
      <c r="R50" s="462">
        <f t="shared" si="80"/>
        <v>0</v>
      </c>
      <c r="S50" s="462">
        <f t="shared" si="81"/>
        <v>0</v>
      </c>
      <c r="T50" s="462">
        <f t="shared" si="82"/>
        <v>0</v>
      </c>
      <c r="U50" s="462">
        <f t="shared" si="83"/>
        <v>0</v>
      </c>
      <c r="V50" s="462">
        <f t="shared" si="84"/>
        <v>0</v>
      </c>
      <c r="W50" s="462">
        <f t="shared" si="85"/>
        <v>0</v>
      </c>
      <c r="X50" s="463">
        <f t="shared" si="86"/>
        <v>0</v>
      </c>
      <c r="Y50" s="464">
        <f t="shared" si="87"/>
        <v>0</v>
      </c>
      <c r="Z50" s="469" t="s">
        <v>211</v>
      </c>
      <c r="AA50" s="466">
        <f>SUM(F55:H55)</f>
        <v>0</v>
      </c>
    </row>
    <row r="51" spans="2:27" ht="12.75" customHeight="1" x14ac:dyDescent="0.25">
      <c r="B51" s="467"/>
      <c r="C51" s="468"/>
      <c r="D51" s="454"/>
      <c r="E51" s="454"/>
      <c r="F51" s="455"/>
      <c r="G51" s="455"/>
      <c r="H51" s="455"/>
      <c r="I51" s="456"/>
      <c r="J51" s="457">
        <f t="shared" si="72"/>
        <v>0</v>
      </c>
      <c r="K51" s="458">
        <f t="shared" si="73"/>
        <v>0</v>
      </c>
      <c r="L51" s="458">
        <f t="shared" si="74"/>
        <v>0</v>
      </c>
      <c r="M51" s="458">
        <f t="shared" si="75"/>
        <v>0</v>
      </c>
      <c r="N51" s="459">
        <f t="shared" si="76"/>
        <v>0</v>
      </c>
      <c r="O51" s="460">
        <f t="shared" si="77"/>
        <v>0</v>
      </c>
      <c r="P51" s="461">
        <f t="shared" si="78"/>
        <v>0</v>
      </c>
      <c r="Q51" s="461">
        <f t="shared" si="79"/>
        <v>0</v>
      </c>
      <c r="R51" s="462">
        <f t="shared" si="80"/>
        <v>0</v>
      </c>
      <c r="S51" s="462">
        <f t="shared" si="81"/>
        <v>0</v>
      </c>
      <c r="T51" s="462">
        <f t="shared" si="82"/>
        <v>0</v>
      </c>
      <c r="U51" s="462">
        <f t="shared" si="83"/>
        <v>0</v>
      </c>
      <c r="V51" s="462">
        <f t="shared" si="84"/>
        <v>0</v>
      </c>
      <c r="W51" s="462">
        <f t="shared" si="85"/>
        <v>0</v>
      </c>
      <c r="X51" s="463">
        <f t="shared" si="86"/>
        <v>0</v>
      </c>
      <c r="Y51" s="464">
        <f t="shared" si="87"/>
        <v>0</v>
      </c>
      <c r="Z51" s="465" t="s">
        <v>209</v>
      </c>
      <c r="AA51" s="466">
        <f>SUM(J55:L55)</f>
        <v>0</v>
      </c>
    </row>
    <row r="52" spans="2:27" ht="12.75" customHeight="1" x14ac:dyDescent="0.25">
      <c r="B52" s="467"/>
      <c r="C52" s="468"/>
      <c r="D52" s="454"/>
      <c r="E52" s="454"/>
      <c r="F52" s="455"/>
      <c r="G52" s="455"/>
      <c r="H52" s="455"/>
      <c r="I52" s="456"/>
      <c r="J52" s="457">
        <f t="shared" si="72"/>
        <v>0</v>
      </c>
      <c r="K52" s="458">
        <f t="shared" si="73"/>
        <v>0</v>
      </c>
      <c r="L52" s="458">
        <f t="shared" si="74"/>
        <v>0</v>
      </c>
      <c r="M52" s="458">
        <f t="shared" si="75"/>
        <v>0</v>
      </c>
      <c r="N52" s="459">
        <f t="shared" si="76"/>
        <v>0</v>
      </c>
      <c r="O52" s="460">
        <f t="shared" si="77"/>
        <v>0</v>
      </c>
      <c r="P52" s="461">
        <f t="shared" si="78"/>
        <v>0</v>
      </c>
      <c r="Q52" s="461">
        <f t="shared" si="79"/>
        <v>0</v>
      </c>
      <c r="R52" s="462">
        <f t="shared" si="80"/>
        <v>0</v>
      </c>
      <c r="S52" s="462">
        <f t="shared" si="81"/>
        <v>0</v>
      </c>
      <c r="T52" s="462">
        <f t="shared" si="82"/>
        <v>0</v>
      </c>
      <c r="U52" s="462">
        <f t="shared" si="83"/>
        <v>0</v>
      </c>
      <c r="V52" s="462">
        <f t="shared" si="84"/>
        <v>0</v>
      </c>
      <c r="W52" s="462">
        <f t="shared" si="85"/>
        <v>0</v>
      </c>
      <c r="X52" s="463">
        <f t="shared" si="86"/>
        <v>0</v>
      </c>
      <c r="Y52" s="464">
        <f t="shared" si="87"/>
        <v>0</v>
      </c>
      <c r="Z52" s="465" t="s">
        <v>36</v>
      </c>
      <c r="AA52" s="466">
        <f>M55</f>
        <v>0</v>
      </c>
    </row>
    <row r="53" spans="2:27" ht="12.75" customHeight="1" x14ac:dyDescent="0.25">
      <c r="B53" s="467"/>
      <c r="C53" s="493"/>
      <c r="D53" s="475"/>
      <c r="E53" s="454"/>
      <c r="F53" s="472"/>
      <c r="G53" s="473"/>
      <c r="H53" s="473"/>
      <c r="I53" s="456"/>
      <c r="J53" s="474"/>
      <c r="K53" s="475"/>
      <c r="L53" s="475"/>
      <c r="M53" s="475"/>
      <c r="N53" s="459">
        <f t="shared" si="76"/>
        <v>0</v>
      </c>
      <c r="O53" s="476"/>
      <c r="P53" s="475"/>
      <c r="Q53" s="475"/>
      <c r="R53" s="477"/>
      <c r="S53" s="477"/>
      <c r="T53" s="477"/>
      <c r="U53" s="477"/>
      <c r="V53" s="477"/>
      <c r="W53" s="477"/>
      <c r="X53" s="478"/>
      <c r="Y53" s="464">
        <f t="shared" si="87"/>
        <v>0</v>
      </c>
      <c r="Z53" s="469" t="s">
        <v>212</v>
      </c>
      <c r="AA53" s="466">
        <f>SUM(O55:W55)</f>
        <v>0</v>
      </c>
    </row>
    <row r="54" spans="2:27" ht="13.5" customHeight="1" x14ac:dyDescent="0.25">
      <c r="B54" s="467"/>
      <c r="C54" s="493"/>
      <c r="D54" s="475"/>
      <c r="E54" s="454"/>
      <c r="F54" s="472"/>
      <c r="G54" s="473"/>
      <c r="H54" s="473"/>
      <c r="I54" s="456"/>
      <c r="J54" s="474"/>
      <c r="K54" s="475"/>
      <c r="L54" s="475"/>
      <c r="M54" s="475"/>
      <c r="N54" s="459">
        <f t="shared" si="76"/>
        <v>0</v>
      </c>
      <c r="O54" s="479"/>
      <c r="P54" s="480"/>
      <c r="Q54" s="480"/>
      <c r="R54" s="481"/>
      <c r="S54" s="481"/>
      <c r="T54" s="481"/>
      <c r="U54" s="481"/>
      <c r="V54" s="481"/>
      <c r="W54" s="481"/>
      <c r="X54" s="482"/>
      <c r="Y54" s="464">
        <f t="shared" si="87"/>
        <v>0</v>
      </c>
      <c r="Z54" s="483" t="s">
        <v>13</v>
      </c>
      <c r="AA54" s="484">
        <f>SUM(AA47:AA53)</f>
        <v>0</v>
      </c>
    </row>
    <row r="55" spans="2:27" ht="13.5" customHeight="1" x14ac:dyDescent="0.25">
      <c r="B55" s="437"/>
      <c r="C55" s="485">
        <f t="shared" ref="C55:X55" si="88">SUM(C47:C54)</f>
        <v>0</v>
      </c>
      <c r="D55" s="486">
        <f t="shared" si="88"/>
        <v>0</v>
      </c>
      <c r="E55" s="486">
        <f t="shared" si="88"/>
        <v>0</v>
      </c>
      <c r="F55" s="486">
        <f t="shared" si="88"/>
        <v>0</v>
      </c>
      <c r="G55" s="486">
        <f t="shared" si="88"/>
        <v>0</v>
      </c>
      <c r="H55" s="486">
        <f t="shared" si="88"/>
        <v>0</v>
      </c>
      <c r="I55" s="487">
        <f t="shared" si="88"/>
        <v>0</v>
      </c>
      <c r="J55" s="485">
        <f t="shared" si="88"/>
        <v>0</v>
      </c>
      <c r="K55" s="486">
        <f t="shared" si="88"/>
        <v>0</v>
      </c>
      <c r="L55" s="486">
        <f t="shared" si="88"/>
        <v>0</v>
      </c>
      <c r="M55" s="486">
        <f t="shared" si="88"/>
        <v>0</v>
      </c>
      <c r="N55" s="487">
        <f t="shared" si="88"/>
        <v>0</v>
      </c>
      <c r="O55" s="485">
        <f t="shared" si="88"/>
        <v>0</v>
      </c>
      <c r="P55" s="486">
        <f t="shared" si="88"/>
        <v>0</v>
      </c>
      <c r="Q55" s="486">
        <f t="shared" si="88"/>
        <v>0</v>
      </c>
      <c r="R55" s="486">
        <f t="shared" si="88"/>
        <v>0</v>
      </c>
      <c r="S55" s="486">
        <f t="shared" si="88"/>
        <v>0</v>
      </c>
      <c r="T55" s="486">
        <f t="shared" si="88"/>
        <v>0</v>
      </c>
      <c r="U55" s="486">
        <f t="shared" si="88"/>
        <v>0</v>
      </c>
      <c r="V55" s="486">
        <f t="shared" si="88"/>
        <v>0</v>
      </c>
      <c r="W55" s="486">
        <f t="shared" si="88"/>
        <v>0</v>
      </c>
      <c r="X55" s="487">
        <f t="shared" si="88"/>
        <v>0</v>
      </c>
      <c r="Y55" s="488">
        <f t="shared" si="87"/>
        <v>0</v>
      </c>
      <c r="Z55" s="437"/>
      <c r="AA55" s="437"/>
    </row>
    <row r="56" spans="2:27" ht="13.5" customHeight="1" x14ac:dyDescent="0.25"/>
    <row r="57" spans="2:27" ht="12.75" customHeight="1" x14ac:dyDescent="0.25">
      <c r="B57" s="438" t="s">
        <v>158</v>
      </c>
      <c r="C57" s="439" t="s">
        <v>190</v>
      </c>
      <c r="D57" s="440" t="s">
        <v>213</v>
      </c>
      <c r="E57" s="440" t="s">
        <v>197</v>
      </c>
      <c r="F57" s="440" t="s">
        <v>198</v>
      </c>
      <c r="G57" s="440" t="s">
        <v>94</v>
      </c>
      <c r="H57" s="440" t="s">
        <v>96</v>
      </c>
      <c r="I57" s="441" t="s">
        <v>199</v>
      </c>
      <c r="J57" s="442" t="s">
        <v>168</v>
      </c>
      <c r="K57" s="443" t="s">
        <v>200</v>
      </c>
      <c r="L57" s="443" t="s">
        <v>201</v>
      </c>
      <c r="M57" s="444" t="s">
        <v>36</v>
      </c>
      <c r="N57" s="445" t="s">
        <v>202</v>
      </c>
      <c r="O57" s="446" t="s">
        <v>40</v>
      </c>
      <c r="P57" s="447" t="s">
        <v>169</v>
      </c>
      <c r="Q57" s="447" t="s">
        <v>203</v>
      </c>
      <c r="R57" s="447" t="s">
        <v>204</v>
      </c>
      <c r="S57" s="447" t="s">
        <v>205</v>
      </c>
      <c r="T57" s="447" t="s">
        <v>206</v>
      </c>
      <c r="U57" s="447" t="s">
        <v>207</v>
      </c>
      <c r="V57" s="447" t="s">
        <v>208</v>
      </c>
      <c r="W57" s="447" t="s">
        <v>209</v>
      </c>
      <c r="X57" s="448" t="s">
        <v>210</v>
      </c>
      <c r="Y57" s="449" t="s">
        <v>13</v>
      </c>
      <c r="Z57" s="450" t="s">
        <v>189</v>
      </c>
      <c r="AA57" s="451">
        <v>46174</v>
      </c>
    </row>
    <row r="58" spans="2:27" ht="12.75" customHeight="1" x14ac:dyDescent="0.25">
      <c r="B58" s="452"/>
      <c r="C58" s="453"/>
      <c r="D58" s="454"/>
      <c r="E58" s="454"/>
      <c r="F58" s="455"/>
      <c r="G58" s="455"/>
      <c r="H58" s="455"/>
      <c r="I58" s="456">
        <f t="shared" ref="I58:I65" si="89">SUM(C58:H58)</f>
        <v>0</v>
      </c>
      <c r="J58" s="457">
        <f t="shared" ref="J58:J63" si="90">C58*20%</f>
        <v>0</v>
      </c>
      <c r="K58" s="458">
        <f t="shared" ref="K58:K63" si="91">C58*1.5%</f>
        <v>0</v>
      </c>
      <c r="L58" s="458">
        <f t="shared" ref="L58:L63" si="92">C58*5.8%</f>
        <v>0</v>
      </c>
      <c r="M58" s="458">
        <f t="shared" ref="M58:M63" si="93">C58*8%</f>
        <v>0</v>
      </c>
      <c r="N58" s="459">
        <f t="shared" ref="N58:N65" si="94">SUM(J58:M58)</f>
        <v>0</v>
      </c>
      <c r="O58" s="460">
        <f t="shared" ref="O58:O63" si="95">C58/12</f>
        <v>0</v>
      </c>
      <c r="P58" s="461">
        <f t="shared" ref="P58:P63" si="96">O58/3</f>
        <v>0</v>
      </c>
      <c r="Q58" s="461">
        <f t="shared" ref="Q58:Q63" si="97">(O58+P58)*8%</f>
        <v>0</v>
      </c>
      <c r="R58" s="462">
        <f t="shared" ref="R58:R63" si="98">C58/12</f>
        <v>0</v>
      </c>
      <c r="S58" s="462">
        <f t="shared" ref="S58:S63" si="99">R58*8%</f>
        <v>0</v>
      </c>
      <c r="T58" s="462">
        <f t="shared" ref="T58:T63" si="100">C58/12</f>
        <v>0</v>
      </c>
      <c r="U58" s="462">
        <f t="shared" ref="U58:U63" si="101">T58*8%</f>
        <v>0</v>
      </c>
      <c r="V58" s="462">
        <f t="shared" ref="V58:V63" si="102">(M58+Q58+S58+U58)*50%</f>
        <v>0</v>
      </c>
      <c r="W58" s="462">
        <f t="shared" ref="W58:W63" si="103">(O58+P58+R58+T58)*27.3%</f>
        <v>0</v>
      </c>
      <c r="X58" s="463">
        <f t="shared" ref="X58:X63" si="104">SUM(O58:W58)</f>
        <v>0</v>
      </c>
      <c r="Y58" s="464">
        <f t="shared" ref="Y58:Y66" si="105">I58+N58+X58</f>
        <v>0</v>
      </c>
      <c r="Z58" s="465" t="s">
        <v>89</v>
      </c>
      <c r="AA58" s="466">
        <f>C66</f>
        <v>0</v>
      </c>
    </row>
    <row r="59" spans="2:27" ht="12.75" customHeight="1" x14ac:dyDescent="0.25">
      <c r="B59" s="467"/>
      <c r="C59" s="468"/>
      <c r="D59" s="454"/>
      <c r="E59" s="454"/>
      <c r="F59" s="455"/>
      <c r="G59" s="455"/>
      <c r="H59" s="455"/>
      <c r="I59" s="456">
        <f t="shared" si="89"/>
        <v>0</v>
      </c>
      <c r="J59" s="457">
        <f t="shared" si="90"/>
        <v>0</v>
      </c>
      <c r="K59" s="458">
        <f t="shared" si="91"/>
        <v>0</v>
      </c>
      <c r="L59" s="458">
        <f t="shared" si="92"/>
        <v>0</v>
      </c>
      <c r="M59" s="458">
        <f t="shared" si="93"/>
        <v>0</v>
      </c>
      <c r="N59" s="459">
        <f t="shared" si="94"/>
        <v>0</v>
      </c>
      <c r="O59" s="460">
        <f t="shared" si="95"/>
        <v>0</v>
      </c>
      <c r="P59" s="461">
        <f t="shared" si="96"/>
        <v>0</v>
      </c>
      <c r="Q59" s="461">
        <f t="shared" si="97"/>
        <v>0</v>
      </c>
      <c r="R59" s="462">
        <f t="shared" si="98"/>
        <v>0</v>
      </c>
      <c r="S59" s="462">
        <f t="shared" si="99"/>
        <v>0</v>
      </c>
      <c r="T59" s="462">
        <f t="shared" si="100"/>
        <v>0</v>
      </c>
      <c r="U59" s="462">
        <f t="shared" si="101"/>
        <v>0</v>
      </c>
      <c r="V59" s="462">
        <f t="shared" si="102"/>
        <v>0</v>
      </c>
      <c r="W59" s="462">
        <f t="shared" si="103"/>
        <v>0</v>
      </c>
      <c r="X59" s="463">
        <f t="shared" si="104"/>
        <v>0</v>
      </c>
      <c r="Y59" s="464">
        <f t="shared" si="105"/>
        <v>0</v>
      </c>
      <c r="Z59" s="469" t="s">
        <v>194</v>
      </c>
      <c r="AA59" s="466">
        <f>D66</f>
        <v>0</v>
      </c>
    </row>
    <row r="60" spans="2:27" ht="12.75" customHeight="1" x14ac:dyDescent="0.25">
      <c r="B60" s="467"/>
      <c r="C60" s="468"/>
      <c r="D60" s="454"/>
      <c r="E60" s="454"/>
      <c r="F60" s="455"/>
      <c r="G60" s="455"/>
      <c r="H60" s="455"/>
      <c r="I60" s="456">
        <f t="shared" si="89"/>
        <v>0</v>
      </c>
      <c r="J60" s="457">
        <f t="shared" si="90"/>
        <v>0</v>
      </c>
      <c r="K60" s="458">
        <f t="shared" si="91"/>
        <v>0</v>
      </c>
      <c r="L60" s="458">
        <f t="shared" si="92"/>
        <v>0</v>
      </c>
      <c r="M60" s="458">
        <f t="shared" si="93"/>
        <v>0</v>
      </c>
      <c r="N60" s="459">
        <f t="shared" si="94"/>
        <v>0</v>
      </c>
      <c r="O60" s="460">
        <f t="shared" si="95"/>
        <v>0</v>
      </c>
      <c r="P60" s="461">
        <f t="shared" si="96"/>
        <v>0</v>
      </c>
      <c r="Q60" s="461">
        <f t="shared" si="97"/>
        <v>0</v>
      </c>
      <c r="R60" s="462">
        <f t="shared" si="98"/>
        <v>0</v>
      </c>
      <c r="S60" s="462">
        <f t="shared" si="99"/>
        <v>0</v>
      </c>
      <c r="T60" s="462">
        <f t="shared" si="100"/>
        <v>0</v>
      </c>
      <c r="U60" s="462">
        <f t="shared" si="101"/>
        <v>0</v>
      </c>
      <c r="V60" s="462">
        <f t="shared" si="102"/>
        <v>0</v>
      </c>
      <c r="W60" s="462">
        <f t="shared" si="103"/>
        <v>0</v>
      </c>
      <c r="X60" s="463">
        <f t="shared" si="104"/>
        <v>0</v>
      </c>
      <c r="Y60" s="464">
        <f t="shared" si="105"/>
        <v>0</v>
      </c>
      <c r="Z60" s="469" t="s">
        <v>197</v>
      </c>
      <c r="AA60" s="466">
        <f>E66</f>
        <v>0</v>
      </c>
    </row>
    <row r="61" spans="2:27" ht="12.75" customHeight="1" x14ac:dyDescent="0.25">
      <c r="B61" s="467"/>
      <c r="C61" s="468"/>
      <c r="D61" s="454"/>
      <c r="E61" s="454"/>
      <c r="F61" s="455"/>
      <c r="G61" s="455"/>
      <c r="H61" s="455"/>
      <c r="I61" s="456">
        <f t="shared" si="89"/>
        <v>0</v>
      </c>
      <c r="J61" s="457">
        <f t="shared" si="90"/>
        <v>0</v>
      </c>
      <c r="K61" s="458">
        <f t="shared" si="91"/>
        <v>0</v>
      </c>
      <c r="L61" s="458">
        <f t="shared" si="92"/>
        <v>0</v>
      </c>
      <c r="M61" s="458">
        <f t="shared" si="93"/>
        <v>0</v>
      </c>
      <c r="N61" s="459">
        <f t="shared" si="94"/>
        <v>0</v>
      </c>
      <c r="O61" s="460">
        <f t="shared" si="95"/>
        <v>0</v>
      </c>
      <c r="P61" s="461">
        <f t="shared" si="96"/>
        <v>0</v>
      </c>
      <c r="Q61" s="461">
        <f t="shared" si="97"/>
        <v>0</v>
      </c>
      <c r="R61" s="462">
        <f t="shared" si="98"/>
        <v>0</v>
      </c>
      <c r="S61" s="462">
        <f t="shared" si="99"/>
        <v>0</v>
      </c>
      <c r="T61" s="462">
        <f t="shared" si="100"/>
        <v>0</v>
      </c>
      <c r="U61" s="462">
        <f t="shared" si="101"/>
        <v>0</v>
      </c>
      <c r="V61" s="462">
        <f t="shared" si="102"/>
        <v>0</v>
      </c>
      <c r="W61" s="462">
        <f t="shared" si="103"/>
        <v>0</v>
      </c>
      <c r="X61" s="463">
        <f t="shared" si="104"/>
        <v>0</v>
      </c>
      <c r="Y61" s="464">
        <f t="shared" si="105"/>
        <v>0</v>
      </c>
      <c r="Z61" s="469" t="s">
        <v>211</v>
      </c>
      <c r="AA61" s="466">
        <f>SUM(F66:H66)</f>
        <v>0</v>
      </c>
    </row>
    <row r="62" spans="2:27" ht="12.75" customHeight="1" x14ac:dyDescent="0.25">
      <c r="B62" s="467"/>
      <c r="C62" s="468"/>
      <c r="D62" s="454"/>
      <c r="E62" s="454"/>
      <c r="F62" s="455"/>
      <c r="G62" s="455"/>
      <c r="H62" s="455"/>
      <c r="I62" s="456">
        <f t="shared" si="89"/>
        <v>0</v>
      </c>
      <c r="J62" s="457">
        <f t="shared" si="90"/>
        <v>0</v>
      </c>
      <c r="K62" s="458">
        <f t="shared" si="91"/>
        <v>0</v>
      </c>
      <c r="L62" s="458">
        <f t="shared" si="92"/>
        <v>0</v>
      </c>
      <c r="M62" s="458">
        <f t="shared" si="93"/>
        <v>0</v>
      </c>
      <c r="N62" s="459">
        <f t="shared" si="94"/>
        <v>0</v>
      </c>
      <c r="O62" s="460">
        <f t="shared" si="95"/>
        <v>0</v>
      </c>
      <c r="P62" s="461">
        <f t="shared" si="96"/>
        <v>0</v>
      </c>
      <c r="Q62" s="461">
        <f t="shared" si="97"/>
        <v>0</v>
      </c>
      <c r="R62" s="462">
        <f t="shared" si="98"/>
        <v>0</v>
      </c>
      <c r="S62" s="462">
        <f t="shared" si="99"/>
        <v>0</v>
      </c>
      <c r="T62" s="462">
        <f t="shared" si="100"/>
        <v>0</v>
      </c>
      <c r="U62" s="462">
        <f t="shared" si="101"/>
        <v>0</v>
      </c>
      <c r="V62" s="462">
        <f t="shared" si="102"/>
        <v>0</v>
      </c>
      <c r="W62" s="462">
        <f t="shared" si="103"/>
        <v>0</v>
      </c>
      <c r="X62" s="463">
        <f t="shared" si="104"/>
        <v>0</v>
      </c>
      <c r="Y62" s="464">
        <f t="shared" si="105"/>
        <v>0</v>
      </c>
      <c r="Z62" s="465" t="s">
        <v>209</v>
      </c>
      <c r="AA62" s="466">
        <f>SUM(J66:L66)</f>
        <v>0</v>
      </c>
    </row>
    <row r="63" spans="2:27" ht="12.75" customHeight="1" x14ac:dyDescent="0.25">
      <c r="B63" s="467"/>
      <c r="C63" s="468"/>
      <c r="D63" s="454"/>
      <c r="E63" s="454"/>
      <c r="F63" s="455"/>
      <c r="G63" s="455"/>
      <c r="H63" s="455"/>
      <c r="I63" s="456">
        <f t="shared" si="89"/>
        <v>0</v>
      </c>
      <c r="J63" s="457">
        <f t="shared" si="90"/>
        <v>0</v>
      </c>
      <c r="K63" s="458">
        <f t="shared" si="91"/>
        <v>0</v>
      </c>
      <c r="L63" s="458">
        <f t="shared" si="92"/>
        <v>0</v>
      </c>
      <c r="M63" s="458">
        <f t="shared" si="93"/>
        <v>0</v>
      </c>
      <c r="N63" s="459">
        <f t="shared" si="94"/>
        <v>0</v>
      </c>
      <c r="O63" s="460">
        <f t="shared" si="95"/>
        <v>0</v>
      </c>
      <c r="P63" s="461">
        <f t="shared" si="96"/>
        <v>0</v>
      </c>
      <c r="Q63" s="461">
        <f t="shared" si="97"/>
        <v>0</v>
      </c>
      <c r="R63" s="462">
        <f t="shared" si="98"/>
        <v>0</v>
      </c>
      <c r="S63" s="462">
        <f t="shared" si="99"/>
        <v>0</v>
      </c>
      <c r="T63" s="462">
        <f t="shared" si="100"/>
        <v>0</v>
      </c>
      <c r="U63" s="462">
        <f t="shared" si="101"/>
        <v>0</v>
      </c>
      <c r="V63" s="462">
        <f t="shared" si="102"/>
        <v>0</v>
      </c>
      <c r="W63" s="462">
        <f t="shared" si="103"/>
        <v>0</v>
      </c>
      <c r="X63" s="463">
        <f t="shared" si="104"/>
        <v>0</v>
      </c>
      <c r="Y63" s="464">
        <f t="shared" si="105"/>
        <v>0</v>
      </c>
      <c r="Z63" s="465" t="s">
        <v>36</v>
      </c>
      <c r="AA63" s="466">
        <f>M66</f>
        <v>0</v>
      </c>
    </row>
    <row r="64" spans="2:27" ht="12.75" customHeight="1" x14ac:dyDescent="0.25">
      <c r="B64" s="467"/>
      <c r="C64" s="493"/>
      <c r="D64" s="475"/>
      <c r="E64" s="454"/>
      <c r="F64" s="472"/>
      <c r="G64" s="473"/>
      <c r="H64" s="473"/>
      <c r="I64" s="456">
        <f t="shared" si="89"/>
        <v>0</v>
      </c>
      <c r="J64" s="474"/>
      <c r="K64" s="475"/>
      <c r="L64" s="475"/>
      <c r="M64" s="475"/>
      <c r="N64" s="459">
        <f t="shared" si="94"/>
        <v>0</v>
      </c>
      <c r="O64" s="476"/>
      <c r="P64" s="475"/>
      <c r="Q64" s="475"/>
      <c r="R64" s="477"/>
      <c r="S64" s="477"/>
      <c r="T64" s="477"/>
      <c r="U64" s="477"/>
      <c r="V64" s="477"/>
      <c r="W64" s="477"/>
      <c r="X64" s="478"/>
      <c r="Y64" s="464">
        <f t="shared" si="105"/>
        <v>0</v>
      </c>
      <c r="Z64" s="469" t="s">
        <v>212</v>
      </c>
      <c r="AA64" s="466">
        <f>SUM(O66:W66)</f>
        <v>0</v>
      </c>
    </row>
    <row r="65" spans="2:27" ht="13.5" customHeight="1" x14ac:dyDescent="0.25">
      <c r="B65" s="467"/>
      <c r="C65" s="493"/>
      <c r="D65" s="475"/>
      <c r="E65" s="454"/>
      <c r="F65" s="472"/>
      <c r="G65" s="473"/>
      <c r="H65" s="473"/>
      <c r="I65" s="456">
        <f t="shared" si="89"/>
        <v>0</v>
      </c>
      <c r="J65" s="474"/>
      <c r="K65" s="475"/>
      <c r="L65" s="475"/>
      <c r="M65" s="475"/>
      <c r="N65" s="459">
        <f t="shared" si="94"/>
        <v>0</v>
      </c>
      <c r="O65" s="479"/>
      <c r="P65" s="480"/>
      <c r="Q65" s="480"/>
      <c r="R65" s="481"/>
      <c r="S65" s="481"/>
      <c r="T65" s="481"/>
      <c r="U65" s="481"/>
      <c r="V65" s="481"/>
      <c r="W65" s="481"/>
      <c r="X65" s="482"/>
      <c r="Y65" s="464">
        <f t="shared" si="105"/>
        <v>0</v>
      </c>
      <c r="Z65" s="483" t="s">
        <v>13</v>
      </c>
      <c r="AA65" s="484">
        <f>SUM(AA58:AA64)</f>
        <v>0</v>
      </c>
    </row>
    <row r="66" spans="2:27" ht="13.5" customHeight="1" x14ac:dyDescent="0.25">
      <c r="B66" s="437"/>
      <c r="C66" s="485">
        <f t="shared" ref="C66:X66" si="106">SUM(C58:C65)</f>
        <v>0</v>
      </c>
      <c r="D66" s="486">
        <f t="shared" si="106"/>
        <v>0</v>
      </c>
      <c r="E66" s="486">
        <f t="shared" si="106"/>
        <v>0</v>
      </c>
      <c r="F66" s="486">
        <f t="shared" si="106"/>
        <v>0</v>
      </c>
      <c r="G66" s="486">
        <f t="shared" si="106"/>
        <v>0</v>
      </c>
      <c r="H66" s="486">
        <f t="shared" si="106"/>
        <v>0</v>
      </c>
      <c r="I66" s="487">
        <f t="shared" si="106"/>
        <v>0</v>
      </c>
      <c r="J66" s="485">
        <f t="shared" si="106"/>
        <v>0</v>
      </c>
      <c r="K66" s="486">
        <f t="shared" si="106"/>
        <v>0</v>
      </c>
      <c r="L66" s="486">
        <f t="shared" si="106"/>
        <v>0</v>
      </c>
      <c r="M66" s="486">
        <f t="shared" si="106"/>
        <v>0</v>
      </c>
      <c r="N66" s="487">
        <f t="shared" si="106"/>
        <v>0</v>
      </c>
      <c r="O66" s="485">
        <f t="shared" si="106"/>
        <v>0</v>
      </c>
      <c r="P66" s="486">
        <f t="shared" si="106"/>
        <v>0</v>
      </c>
      <c r="Q66" s="486">
        <f t="shared" si="106"/>
        <v>0</v>
      </c>
      <c r="R66" s="486">
        <f t="shared" si="106"/>
        <v>0</v>
      </c>
      <c r="S66" s="486">
        <f t="shared" si="106"/>
        <v>0</v>
      </c>
      <c r="T66" s="486">
        <f t="shared" si="106"/>
        <v>0</v>
      </c>
      <c r="U66" s="486">
        <f t="shared" si="106"/>
        <v>0</v>
      </c>
      <c r="V66" s="486">
        <f t="shared" si="106"/>
        <v>0</v>
      </c>
      <c r="W66" s="486">
        <f t="shared" si="106"/>
        <v>0</v>
      </c>
      <c r="X66" s="487">
        <f t="shared" si="106"/>
        <v>0</v>
      </c>
      <c r="Y66" s="488">
        <f t="shared" si="105"/>
        <v>0</v>
      </c>
      <c r="Z66" s="437"/>
      <c r="AA66" s="437"/>
    </row>
    <row r="67" spans="2:27" ht="13.5" customHeight="1" x14ac:dyDescent="0.25"/>
    <row r="68" spans="2:27" ht="12.75" customHeight="1" x14ac:dyDescent="0.25">
      <c r="B68" s="438" t="s">
        <v>158</v>
      </c>
      <c r="C68" s="439" t="s">
        <v>190</v>
      </c>
      <c r="D68" s="440" t="s">
        <v>213</v>
      </c>
      <c r="E68" s="440" t="s">
        <v>197</v>
      </c>
      <c r="F68" s="440" t="s">
        <v>198</v>
      </c>
      <c r="G68" s="440" t="s">
        <v>94</v>
      </c>
      <c r="H68" s="440" t="s">
        <v>96</v>
      </c>
      <c r="I68" s="441" t="s">
        <v>199</v>
      </c>
      <c r="J68" s="442" t="s">
        <v>168</v>
      </c>
      <c r="K68" s="443" t="s">
        <v>200</v>
      </c>
      <c r="L68" s="443" t="s">
        <v>201</v>
      </c>
      <c r="M68" s="444" t="s">
        <v>36</v>
      </c>
      <c r="N68" s="445" t="s">
        <v>202</v>
      </c>
      <c r="O68" s="446" t="s">
        <v>40</v>
      </c>
      <c r="P68" s="447" t="s">
        <v>169</v>
      </c>
      <c r="Q68" s="447" t="s">
        <v>203</v>
      </c>
      <c r="R68" s="447" t="s">
        <v>204</v>
      </c>
      <c r="S68" s="447" t="s">
        <v>205</v>
      </c>
      <c r="T68" s="447" t="s">
        <v>206</v>
      </c>
      <c r="U68" s="447" t="s">
        <v>207</v>
      </c>
      <c r="V68" s="447" t="s">
        <v>208</v>
      </c>
      <c r="W68" s="447" t="s">
        <v>209</v>
      </c>
      <c r="X68" s="448" t="s">
        <v>210</v>
      </c>
      <c r="Y68" s="449" t="s">
        <v>13</v>
      </c>
      <c r="Z68" s="450" t="s">
        <v>189</v>
      </c>
      <c r="AA68" s="451">
        <v>46204</v>
      </c>
    </row>
    <row r="69" spans="2:27" ht="12.75" customHeight="1" x14ac:dyDescent="0.25">
      <c r="B69" s="452"/>
      <c r="C69" s="453"/>
      <c r="D69" s="454"/>
      <c r="E69" s="454"/>
      <c r="F69" s="455"/>
      <c r="G69" s="455"/>
      <c r="H69" s="455"/>
      <c r="I69" s="456">
        <f t="shared" ref="I69:I76" si="107">SUM(C69:H69)</f>
        <v>0</v>
      </c>
      <c r="J69" s="457">
        <f t="shared" ref="J69:J74" si="108">C69*20%</f>
        <v>0</v>
      </c>
      <c r="K69" s="458">
        <f t="shared" ref="K69:K74" si="109">C69*1.5%</f>
        <v>0</v>
      </c>
      <c r="L69" s="458">
        <f t="shared" ref="L69:L74" si="110">C69*5.8%</f>
        <v>0</v>
      </c>
      <c r="M69" s="458">
        <f t="shared" ref="M69:M74" si="111">C69*8%</f>
        <v>0</v>
      </c>
      <c r="N69" s="459">
        <f t="shared" ref="N69:N76" si="112">SUM(J69:M69)</f>
        <v>0</v>
      </c>
      <c r="O69" s="460">
        <f t="shared" ref="O69:O74" si="113">C69/12</f>
        <v>0</v>
      </c>
      <c r="P69" s="461">
        <f t="shared" ref="P69:P74" si="114">O69/3</f>
        <v>0</v>
      </c>
      <c r="Q69" s="461">
        <f t="shared" ref="Q69:Q74" si="115">(O69+P69)*8%</f>
        <v>0</v>
      </c>
      <c r="R69" s="462">
        <f t="shared" ref="R69:R74" si="116">C69/12</f>
        <v>0</v>
      </c>
      <c r="S69" s="462">
        <f t="shared" ref="S69:S74" si="117">R69*8%</f>
        <v>0</v>
      </c>
      <c r="T69" s="462">
        <f t="shared" ref="T69:T74" si="118">C69/12</f>
        <v>0</v>
      </c>
      <c r="U69" s="462">
        <f t="shared" ref="U69:U74" si="119">T69*8%</f>
        <v>0</v>
      </c>
      <c r="V69" s="462">
        <f t="shared" ref="V69:V74" si="120">(M69+Q69+S69+U69)*50%</f>
        <v>0</v>
      </c>
      <c r="W69" s="462">
        <f t="shared" ref="W69:W74" si="121">(O69+P69+R69+T69)*27.3%</f>
        <v>0</v>
      </c>
      <c r="X69" s="463">
        <f t="shared" ref="X69:X74" si="122">SUM(O69:W69)</f>
        <v>0</v>
      </c>
      <c r="Y69" s="464">
        <f t="shared" ref="Y69:Y77" si="123">I69+N69+X69</f>
        <v>0</v>
      </c>
      <c r="Z69" s="465" t="s">
        <v>89</v>
      </c>
      <c r="AA69" s="466">
        <f>C77</f>
        <v>0</v>
      </c>
    </row>
    <row r="70" spans="2:27" ht="12.75" customHeight="1" x14ac:dyDescent="0.25">
      <c r="B70" s="467"/>
      <c r="C70" s="468"/>
      <c r="D70" s="454"/>
      <c r="E70" s="454"/>
      <c r="F70" s="455"/>
      <c r="G70" s="455"/>
      <c r="H70" s="455"/>
      <c r="I70" s="456">
        <f t="shared" si="107"/>
        <v>0</v>
      </c>
      <c r="J70" s="457">
        <f t="shared" si="108"/>
        <v>0</v>
      </c>
      <c r="K70" s="458">
        <f t="shared" si="109"/>
        <v>0</v>
      </c>
      <c r="L70" s="458">
        <f t="shared" si="110"/>
        <v>0</v>
      </c>
      <c r="M70" s="458">
        <f t="shared" si="111"/>
        <v>0</v>
      </c>
      <c r="N70" s="459">
        <f t="shared" si="112"/>
        <v>0</v>
      </c>
      <c r="O70" s="460">
        <f t="shared" si="113"/>
        <v>0</v>
      </c>
      <c r="P70" s="461">
        <f t="shared" si="114"/>
        <v>0</v>
      </c>
      <c r="Q70" s="461">
        <f t="shared" si="115"/>
        <v>0</v>
      </c>
      <c r="R70" s="462">
        <f t="shared" si="116"/>
        <v>0</v>
      </c>
      <c r="S70" s="462">
        <f t="shared" si="117"/>
        <v>0</v>
      </c>
      <c r="T70" s="462">
        <f t="shared" si="118"/>
        <v>0</v>
      </c>
      <c r="U70" s="462">
        <f t="shared" si="119"/>
        <v>0</v>
      </c>
      <c r="V70" s="462">
        <f t="shared" si="120"/>
        <v>0</v>
      </c>
      <c r="W70" s="462">
        <f t="shared" si="121"/>
        <v>0</v>
      </c>
      <c r="X70" s="463">
        <f t="shared" si="122"/>
        <v>0</v>
      </c>
      <c r="Y70" s="464">
        <f t="shared" si="123"/>
        <v>0</v>
      </c>
      <c r="Z70" s="469" t="s">
        <v>194</v>
      </c>
      <c r="AA70" s="466">
        <f>D77</f>
        <v>0</v>
      </c>
    </row>
    <row r="71" spans="2:27" ht="12.75" customHeight="1" x14ac:dyDescent="0.25">
      <c r="B71" s="467"/>
      <c r="C71" s="468"/>
      <c r="D71" s="454"/>
      <c r="E71" s="454"/>
      <c r="F71" s="455"/>
      <c r="G71" s="455"/>
      <c r="H71" s="455"/>
      <c r="I71" s="456">
        <f t="shared" si="107"/>
        <v>0</v>
      </c>
      <c r="J71" s="457">
        <f t="shared" si="108"/>
        <v>0</v>
      </c>
      <c r="K71" s="458">
        <f t="shared" si="109"/>
        <v>0</v>
      </c>
      <c r="L71" s="458">
        <f t="shared" si="110"/>
        <v>0</v>
      </c>
      <c r="M71" s="458">
        <f t="shared" si="111"/>
        <v>0</v>
      </c>
      <c r="N71" s="459">
        <f t="shared" si="112"/>
        <v>0</v>
      </c>
      <c r="O71" s="460">
        <f t="shared" si="113"/>
        <v>0</v>
      </c>
      <c r="P71" s="461">
        <f t="shared" si="114"/>
        <v>0</v>
      </c>
      <c r="Q71" s="461">
        <f t="shared" si="115"/>
        <v>0</v>
      </c>
      <c r="R71" s="462">
        <f t="shared" si="116"/>
        <v>0</v>
      </c>
      <c r="S71" s="462">
        <f t="shared" si="117"/>
        <v>0</v>
      </c>
      <c r="T71" s="462">
        <f t="shared" si="118"/>
        <v>0</v>
      </c>
      <c r="U71" s="462">
        <f t="shared" si="119"/>
        <v>0</v>
      </c>
      <c r="V71" s="462">
        <f t="shared" si="120"/>
        <v>0</v>
      </c>
      <c r="W71" s="462">
        <f t="shared" si="121"/>
        <v>0</v>
      </c>
      <c r="X71" s="463">
        <f t="shared" si="122"/>
        <v>0</v>
      </c>
      <c r="Y71" s="464">
        <f t="shared" si="123"/>
        <v>0</v>
      </c>
      <c r="Z71" s="469" t="s">
        <v>197</v>
      </c>
      <c r="AA71" s="466">
        <f>E77</f>
        <v>0</v>
      </c>
    </row>
    <row r="72" spans="2:27" ht="12.75" customHeight="1" x14ac:dyDescent="0.25">
      <c r="B72" s="467"/>
      <c r="C72" s="468"/>
      <c r="D72" s="454"/>
      <c r="E72" s="454"/>
      <c r="F72" s="455"/>
      <c r="G72" s="455"/>
      <c r="H72" s="455"/>
      <c r="I72" s="456">
        <f t="shared" si="107"/>
        <v>0</v>
      </c>
      <c r="J72" s="457">
        <f t="shared" si="108"/>
        <v>0</v>
      </c>
      <c r="K72" s="458">
        <f t="shared" si="109"/>
        <v>0</v>
      </c>
      <c r="L72" s="458">
        <f t="shared" si="110"/>
        <v>0</v>
      </c>
      <c r="M72" s="458">
        <f t="shared" si="111"/>
        <v>0</v>
      </c>
      <c r="N72" s="459">
        <f t="shared" si="112"/>
        <v>0</v>
      </c>
      <c r="O72" s="460">
        <f t="shared" si="113"/>
        <v>0</v>
      </c>
      <c r="P72" s="461">
        <f t="shared" si="114"/>
        <v>0</v>
      </c>
      <c r="Q72" s="461">
        <f t="shared" si="115"/>
        <v>0</v>
      </c>
      <c r="R72" s="462">
        <f t="shared" si="116"/>
        <v>0</v>
      </c>
      <c r="S72" s="462">
        <f t="shared" si="117"/>
        <v>0</v>
      </c>
      <c r="T72" s="462">
        <f t="shared" si="118"/>
        <v>0</v>
      </c>
      <c r="U72" s="462">
        <f t="shared" si="119"/>
        <v>0</v>
      </c>
      <c r="V72" s="462">
        <f t="shared" si="120"/>
        <v>0</v>
      </c>
      <c r="W72" s="462">
        <f t="shared" si="121"/>
        <v>0</v>
      </c>
      <c r="X72" s="463">
        <f t="shared" si="122"/>
        <v>0</v>
      </c>
      <c r="Y72" s="464">
        <f t="shared" si="123"/>
        <v>0</v>
      </c>
      <c r="Z72" s="469" t="s">
        <v>211</v>
      </c>
      <c r="AA72" s="466">
        <f>SUM(F77:H77)</f>
        <v>0</v>
      </c>
    </row>
    <row r="73" spans="2:27" ht="12.75" customHeight="1" x14ac:dyDescent="0.25">
      <c r="B73" s="467"/>
      <c r="C73" s="468"/>
      <c r="D73" s="454"/>
      <c r="E73" s="454"/>
      <c r="F73" s="455"/>
      <c r="G73" s="455"/>
      <c r="H73" s="455"/>
      <c r="I73" s="456">
        <f t="shared" si="107"/>
        <v>0</v>
      </c>
      <c r="J73" s="457">
        <f t="shared" si="108"/>
        <v>0</v>
      </c>
      <c r="K73" s="458">
        <f t="shared" si="109"/>
        <v>0</v>
      </c>
      <c r="L73" s="458">
        <f t="shared" si="110"/>
        <v>0</v>
      </c>
      <c r="M73" s="458">
        <f t="shared" si="111"/>
        <v>0</v>
      </c>
      <c r="N73" s="459">
        <f t="shared" si="112"/>
        <v>0</v>
      </c>
      <c r="O73" s="460">
        <f t="shared" si="113"/>
        <v>0</v>
      </c>
      <c r="P73" s="461">
        <f t="shared" si="114"/>
        <v>0</v>
      </c>
      <c r="Q73" s="461">
        <f t="shared" si="115"/>
        <v>0</v>
      </c>
      <c r="R73" s="462">
        <f t="shared" si="116"/>
        <v>0</v>
      </c>
      <c r="S73" s="462">
        <f t="shared" si="117"/>
        <v>0</v>
      </c>
      <c r="T73" s="462">
        <f t="shared" si="118"/>
        <v>0</v>
      </c>
      <c r="U73" s="462">
        <f t="shared" si="119"/>
        <v>0</v>
      </c>
      <c r="V73" s="462">
        <f t="shared" si="120"/>
        <v>0</v>
      </c>
      <c r="W73" s="462">
        <f t="shared" si="121"/>
        <v>0</v>
      </c>
      <c r="X73" s="463">
        <f t="shared" si="122"/>
        <v>0</v>
      </c>
      <c r="Y73" s="464">
        <f t="shared" si="123"/>
        <v>0</v>
      </c>
      <c r="Z73" s="465" t="s">
        <v>209</v>
      </c>
      <c r="AA73" s="466">
        <f>SUM(J77:L77)</f>
        <v>0</v>
      </c>
    </row>
    <row r="74" spans="2:27" ht="12.75" customHeight="1" x14ac:dyDescent="0.25">
      <c r="B74" s="467"/>
      <c r="C74" s="468"/>
      <c r="D74" s="454"/>
      <c r="E74" s="454"/>
      <c r="F74" s="455"/>
      <c r="G74" s="455"/>
      <c r="H74" s="455"/>
      <c r="I74" s="456">
        <f t="shared" si="107"/>
        <v>0</v>
      </c>
      <c r="J74" s="457">
        <f t="shared" si="108"/>
        <v>0</v>
      </c>
      <c r="K74" s="458">
        <f t="shared" si="109"/>
        <v>0</v>
      </c>
      <c r="L74" s="458">
        <f t="shared" si="110"/>
        <v>0</v>
      </c>
      <c r="M74" s="458">
        <f t="shared" si="111"/>
        <v>0</v>
      </c>
      <c r="N74" s="459">
        <f t="shared" si="112"/>
        <v>0</v>
      </c>
      <c r="O74" s="460">
        <f t="shared" si="113"/>
        <v>0</v>
      </c>
      <c r="P74" s="461">
        <f t="shared" si="114"/>
        <v>0</v>
      </c>
      <c r="Q74" s="461">
        <f t="shared" si="115"/>
        <v>0</v>
      </c>
      <c r="R74" s="462">
        <f t="shared" si="116"/>
        <v>0</v>
      </c>
      <c r="S74" s="462">
        <f t="shared" si="117"/>
        <v>0</v>
      </c>
      <c r="T74" s="462">
        <f t="shared" si="118"/>
        <v>0</v>
      </c>
      <c r="U74" s="462">
        <f t="shared" si="119"/>
        <v>0</v>
      </c>
      <c r="V74" s="462">
        <f t="shared" si="120"/>
        <v>0</v>
      </c>
      <c r="W74" s="462">
        <f t="shared" si="121"/>
        <v>0</v>
      </c>
      <c r="X74" s="463">
        <f t="shared" si="122"/>
        <v>0</v>
      </c>
      <c r="Y74" s="464">
        <f t="shared" si="123"/>
        <v>0</v>
      </c>
      <c r="Z74" s="465" t="s">
        <v>36</v>
      </c>
      <c r="AA74" s="466">
        <f>M77</f>
        <v>0</v>
      </c>
    </row>
    <row r="75" spans="2:27" ht="12.75" customHeight="1" x14ac:dyDescent="0.25">
      <c r="B75" s="467"/>
      <c r="C75" s="493"/>
      <c r="D75" s="475"/>
      <c r="E75" s="454"/>
      <c r="F75" s="472"/>
      <c r="G75" s="473"/>
      <c r="H75" s="473"/>
      <c r="I75" s="456">
        <f t="shared" si="107"/>
        <v>0</v>
      </c>
      <c r="J75" s="474"/>
      <c r="K75" s="475"/>
      <c r="L75" s="475"/>
      <c r="M75" s="475"/>
      <c r="N75" s="459">
        <f t="shared" si="112"/>
        <v>0</v>
      </c>
      <c r="O75" s="476"/>
      <c r="P75" s="475"/>
      <c r="Q75" s="475"/>
      <c r="R75" s="477"/>
      <c r="S75" s="477"/>
      <c r="T75" s="477"/>
      <c r="U75" s="477"/>
      <c r="V75" s="477"/>
      <c r="W75" s="477"/>
      <c r="X75" s="478"/>
      <c r="Y75" s="464">
        <f t="shared" si="123"/>
        <v>0</v>
      </c>
      <c r="Z75" s="469" t="s">
        <v>212</v>
      </c>
      <c r="AA75" s="466">
        <f>SUM(O77:W77)</f>
        <v>0</v>
      </c>
    </row>
    <row r="76" spans="2:27" ht="13.5" customHeight="1" x14ac:dyDescent="0.25">
      <c r="B76" s="467"/>
      <c r="C76" s="493"/>
      <c r="D76" s="475"/>
      <c r="E76" s="454"/>
      <c r="F76" s="472"/>
      <c r="G76" s="473"/>
      <c r="H76" s="473"/>
      <c r="I76" s="456">
        <f t="shared" si="107"/>
        <v>0</v>
      </c>
      <c r="J76" s="474"/>
      <c r="K76" s="475"/>
      <c r="L76" s="475"/>
      <c r="M76" s="475"/>
      <c r="N76" s="459">
        <f t="shared" si="112"/>
        <v>0</v>
      </c>
      <c r="O76" s="479"/>
      <c r="P76" s="480"/>
      <c r="Q76" s="480"/>
      <c r="R76" s="481"/>
      <c r="S76" s="481"/>
      <c r="T76" s="481"/>
      <c r="U76" s="481"/>
      <c r="V76" s="481"/>
      <c r="W76" s="481"/>
      <c r="X76" s="482"/>
      <c r="Y76" s="464">
        <f t="shared" si="123"/>
        <v>0</v>
      </c>
      <c r="Z76" s="483" t="s">
        <v>13</v>
      </c>
      <c r="AA76" s="484">
        <f>SUM(AA69:AA75)</f>
        <v>0</v>
      </c>
    </row>
    <row r="77" spans="2:27" ht="13.5" customHeight="1" x14ac:dyDescent="0.25">
      <c r="B77" s="437"/>
      <c r="C77" s="485">
        <f t="shared" ref="C77:X77" si="124">SUM(C69:C76)</f>
        <v>0</v>
      </c>
      <c r="D77" s="486">
        <f t="shared" si="124"/>
        <v>0</v>
      </c>
      <c r="E77" s="486">
        <f t="shared" si="124"/>
        <v>0</v>
      </c>
      <c r="F77" s="486">
        <f t="shared" si="124"/>
        <v>0</v>
      </c>
      <c r="G77" s="486">
        <f t="shared" si="124"/>
        <v>0</v>
      </c>
      <c r="H77" s="486">
        <f t="shared" si="124"/>
        <v>0</v>
      </c>
      <c r="I77" s="487">
        <f t="shared" si="124"/>
        <v>0</v>
      </c>
      <c r="J77" s="485">
        <f t="shared" si="124"/>
        <v>0</v>
      </c>
      <c r="K77" s="486">
        <f t="shared" si="124"/>
        <v>0</v>
      </c>
      <c r="L77" s="486">
        <f t="shared" si="124"/>
        <v>0</v>
      </c>
      <c r="M77" s="486">
        <f t="shared" si="124"/>
        <v>0</v>
      </c>
      <c r="N77" s="487">
        <f t="shared" si="124"/>
        <v>0</v>
      </c>
      <c r="O77" s="485">
        <f t="shared" si="124"/>
        <v>0</v>
      </c>
      <c r="P77" s="486">
        <f t="shared" si="124"/>
        <v>0</v>
      </c>
      <c r="Q77" s="486">
        <f t="shared" si="124"/>
        <v>0</v>
      </c>
      <c r="R77" s="486">
        <f t="shared" si="124"/>
        <v>0</v>
      </c>
      <c r="S77" s="486">
        <f t="shared" si="124"/>
        <v>0</v>
      </c>
      <c r="T77" s="486">
        <f t="shared" si="124"/>
        <v>0</v>
      </c>
      <c r="U77" s="486">
        <f t="shared" si="124"/>
        <v>0</v>
      </c>
      <c r="V77" s="486">
        <f t="shared" si="124"/>
        <v>0</v>
      </c>
      <c r="W77" s="486">
        <f t="shared" si="124"/>
        <v>0</v>
      </c>
      <c r="X77" s="487">
        <f t="shared" si="124"/>
        <v>0</v>
      </c>
      <c r="Y77" s="488">
        <f t="shared" si="123"/>
        <v>0</v>
      </c>
      <c r="Z77" s="437"/>
      <c r="AA77" s="437"/>
    </row>
    <row r="78" spans="2:27" ht="13.5" customHeight="1" x14ac:dyDescent="0.25"/>
    <row r="79" spans="2:27" ht="12.75" customHeight="1" x14ac:dyDescent="0.25">
      <c r="B79" s="438" t="s">
        <v>158</v>
      </c>
      <c r="C79" s="439" t="s">
        <v>190</v>
      </c>
      <c r="D79" s="440" t="s">
        <v>213</v>
      </c>
      <c r="E79" s="440" t="s">
        <v>197</v>
      </c>
      <c r="F79" s="440" t="s">
        <v>198</v>
      </c>
      <c r="G79" s="440" t="s">
        <v>94</v>
      </c>
      <c r="H79" s="440" t="s">
        <v>96</v>
      </c>
      <c r="I79" s="441" t="s">
        <v>199</v>
      </c>
      <c r="J79" s="442" t="s">
        <v>168</v>
      </c>
      <c r="K79" s="443" t="s">
        <v>200</v>
      </c>
      <c r="L79" s="443" t="s">
        <v>201</v>
      </c>
      <c r="M79" s="444" t="s">
        <v>36</v>
      </c>
      <c r="N79" s="445" t="s">
        <v>202</v>
      </c>
      <c r="O79" s="446" t="s">
        <v>40</v>
      </c>
      <c r="P79" s="447" t="s">
        <v>169</v>
      </c>
      <c r="Q79" s="447" t="s">
        <v>203</v>
      </c>
      <c r="R79" s="447" t="s">
        <v>204</v>
      </c>
      <c r="S79" s="447" t="s">
        <v>205</v>
      </c>
      <c r="T79" s="447" t="s">
        <v>206</v>
      </c>
      <c r="U79" s="447" t="s">
        <v>207</v>
      </c>
      <c r="V79" s="447" t="s">
        <v>208</v>
      </c>
      <c r="W79" s="447" t="s">
        <v>209</v>
      </c>
      <c r="X79" s="448" t="s">
        <v>210</v>
      </c>
      <c r="Y79" s="449" t="s">
        <v>13</v>
      </c>
      <c r="Z79" s="450" t="s">
        <v>189</v>
      </c>
      <c r="AA79" s="451">
        <v>46235</v>
      </c>
    </row>
    <row r="80" spans="2:27" ht="12.75" customHeight="1" x14ac:dyDescent="0.25">
      <c r="B80" s="452"/>
      <c r="C80" s="453"/>
      <c r="D80" s="454"/>
      <c r="E80" s="454"/>
      <c r="F80" s="455"/>
      <c r="G80" s="455"/>
      <c r="H80" s="455"/>
      <c r="I80" s="456">
        <f t="shared" ref="I80:I87" si="125">SUM(C80:H80)</f>
        <v>0</v>
      </c>
      <c r="J80" s="457">
        <f t="shared" ref="J80:J85" si="126">C80*20%</f>
        <v>0</v>
      </c>
      <c r="K80" s="458">
        <f t="shared" ref="K80:K85" si="127">C80*1.5%</f>
        <v>0</v>
      </c>
      <c r="L80" s="458">
        <f t="shared" ref="L80:L85" si="128">C80*5.8%</f>
        <v>0</v>
      </c>
      <c r="M80" s="458">
        <f t="shared" ref="M80:M85" si="129">C80*8%</f>
        <v>0</v>
      </c>
      <c r="N80" s="459">
        <f t="shared" ref="N80:N87" si="130">SUM(J80:M80)</f>
        <v>0</v>
      </c>
      <c r="O80" s="460">
        <f t="shared" ref="O80:O85" si="131">C80/12</f>
        <v>0</v>
      </c>
      <c r="P80" s="461">
        <f t="shared" ref="P80:P85" si="132">O80/3</f>
        <v>0</v>
      </c>
      <c r="Q80" s="461">
        <f t="shared" ref="Q80:Q85" si="133">(O80+P80)*8%</f>
        <v>0</v>
      </c>
      <c r="R80" s="462">
        <f t="shared" ref="R80:R85" si="134">C80/12</f>
        <v>0</v>
      </c>
      <c r="S80" s="462">
        <f t="shared" ref="S80:S85" si="135">R80*8%</f>
        <v>0</v>
      </c>
      <c r="T80" s="462">
        <f t="shared" ref="T80:T85" si="136">C80/12</f>
        <v>0</v>
      </c>
      <c r="U80" s="462">
        <f t="shared" ref="U80:U85" si="137">T80*8%</f>
        <v>0</v>
      </c>
      <c r="V80" s="462">
        <f t="shared" ref="V80:V85" si="138">(M80+Q80+S80+U80)*50%</f>
        <v>0</v>
      </c>
      <c r="W80" s="462">
        <f t="shared" ref="W80:W85" si="139">(O80+P80+R80+T80)*27.3%</f>
        <v>0</v>
      </c>
      <c r="X80" s="463">
        <f t="shared" ref="X80:X85" si="140">SUM(O80:W80)</f>
        <v>0</v>
      </c>
      <c r="Y80" s="464">
        <f t="shared" ref="Y80:Y88" si="141">I80+N80+X80</f>
        <v>0</v>
      </c>
      <c r="Z80" s="465" t="s">
        <v>89</v>
      </c>
      <c r="AA80" s="466">
        <f>C88</f>
        <v>0</v>
      </c>
    </row>
    <row r="81" spans="2:27" ht="12.75" customHeight="1" x14ac:dyDescent="0.25">
      <c r="B81" s="467"/>
      <c r="C81" s="468"/>
      <c r="D81" s="454"/>
      <c r="E81" s="454"/>
      <c r="F81" s="455"/>
      <c r="G81" s="455"/>
      <c r="H81" s="455"/>
      <c r="I81" s="456">
        <f t="shared" si="125"/>
        <v>0</v>
      </c>
      <c r="J81" s="457">
        <f t="shared" si="126"/>
        <v>0</v>
      </c>
      <c r="K81" s="458">
        <f t="shared" si="127"/>
        <v>0</v>
      </c>
      <c r="L81" s="458">
        <f t="shared" si="128"/>
        <v>0</v>
      </c>
      <c r="M81" s="458">
        <f t="shared" si="129"/>
        <v>0</v>
      </c>
      <c r="N81" s="459">
        <f t="shared" si="130"/>
        <v>0</v>
      </c>
      <c r="O81" s="460">
        <f t="shared" si="131"/>
        <v>0</v>
      </c>
      <c r="P81" s="461">
        <f t="shared" si="132"/>
        <v>0</v>
      </c>
      <c r="Q81" s="461">
        <f t="shared" si="133"/>
        <v>0</v>
      </c>
      <c r="R81" s="462">
        <f t="shared" si="134"/>
        <v>0</v>
      </c>
      <c r="S81" s="462">
        <f t="shared" si="135"/>
        <v>0</v>
      </c>
      <c r="T81" s="462">
        <f t="shared" si="136"/>
        <v>0</v>
      </c>
      <c r="U81" s="462">
        <f t="shared" si="137"/>
        <v>0</v>
      </c>
      <c r="V81" s="462">
        <f t="shared" si="138"/>
        <v>0</v>
      </c>
      <c r="W81" s="462">
        <f t="shared" si="139"/>
        <v>0</v>
      </c>
      <c r="X81" s="463">
        <f t="shared" si="140"/>
        <v>0</v>
      </c>
      <c r="Y81" s="464">
        <f t="shared" si="141"/>
        <v>0</v>
      </c>
      <c r="Z81" s="469" t="s">
        <v>194</v>
      </c>
      <c r="AA81" s="466">
        <f>D88</f>
        <v>0</v>
      </c>
    </row>
    <row r="82" spans="2:27" ht="12.75" customHeight="1" x14ac:dyDescent="0.25">
      <c r="B82" s="467"/>
      <c r="C82" s="468"/>
      <c r="D82" s="454"/>
      <c r="E82" s="454"/>
      <c r="F82" s="455"/>
      <c r="G82" s="455"/>
      <c r="H82" s="455"/>
      <c r="I82" s="456">
        <f t="shared" si="125"/>
        <v>0</v>
      </c>
      <c r="J82" s="457">
        <f t="shared" si="126"/>
        <v>0</v>
      </c>
      <c r="K82" s="458">
        <f t="shared" si="127"/>
        <v>0</v>
      </c>
      <c r="L82" s="458">
        <f t="shared" si="128"/>
        <v>0</v>
      </c>
      <c r="M82" s="458">
        <f t="shared" si="129"/>
        <v>0</v>
      </c>
      <c r="N82" s="459">
        <f t="shared" si="130"/>
        <v>0</v>
      </c>
      <c r="O82" s="460">
        <f t="shared" si="131"/>
        <v>0</v>
      </c>
      <c r="P82" s="461">
        <f t="shared" si="132"/>
        <v>0</v>
      </c>
      <c r="Q82" s="461">
        <f t="shared" si="133"/>
        <v>0</v>
      </c>
      <c r="R82" s="462">
        <f t="shared" si="134"/>
        <v>0</v>
      </c>
      <c r="S82" s="462">
        <f t="shared" si="135"/>
        <v>0</v>
      </c>
      <c r="T82" s="462">
        <f t="shared" si="136"/>
        <v>0</v>
      </c>
      <c r="U82" s="462">
        <f t="shared" si="137"/>
        <v>0</v>
      </c>
      <c r="V82" s="462">
        <f t="shared" si="138"/>
        <v>0</v>
      </c>
      <c r="W82" s="462">
        <f t="shared" si="139"/>
        <v>0</v>
      </c>
      <c r="X82" s="463">
        <f t="shared" si="140"/>
        <v>0</v>
      </c>
      <c r="Y82" s="464">
        <f t="shared" si="141"/>
        <v>0</v>
      </c>
      <c r="Z82" s="469" t="s">
        <v>197</v>
      </c>
      <c r="AA82" s="466">
        <f>E88</f>
        <v>0</v>
      </c>
    </row>
    <row r="83" spans="2:27" ht="12.75" customHeight="1" x14ac:dyDescent="0.25">
      <c r="B83" s="467"/>
      <c r="C83" s="468"/>
      <c r="D83" s="454"/>
      <c r="E83" s="454"/>
      <c r="F83" s="455"/>
      <c r="G83" s="455"/>
      <c r="H83" s="455"/>
      <c r="I83" s="456">
        <f t="shared" si="125"/>
        <v>0</v>
      </c>
      <c r="J83" s="457">
        <f t="shared" si="126"/>
        <v>0</v>
      </c>
      <c r="K83" s="458">
        <f t="shared" si="127"/>
        <v>0</v>
      </c>
      <c r="L83" s="458">
        <f t="shared" si="128"/>
        <v>0</v>
      </c>
      <c r="M83" s="458">
        <f t="shared" si="129"/>
        <v>0</v>
      </c>
      <c r="N83" s="459">
        <f t="shared" si="130"/>
        <v>0</v>
      </c>
      <c r="O83" s="460">
        <f t="shared" si="131"/>
        <v>0</v>
      </c>
      <c r="P83" s="461">
        <f t="shared" si="132"/>
        <v>0</v>
      </c>
      <c r="Q83" s="461">
        <f t="shared" si="133"/>
        <v>0</v>
      </c>
      <c r="R83" s="462">
        <f t="shared" si="134"/>
        <v>0</v>
      </c>
      <c r="S83" s="462">
        <f t="shared" si="135"/>
        <v>0</v>
      </c>
      <c r="T83" s="462">
        <f t="shared" si="136"/>
        <v>0</v>
      </c>
      <c r="U83" s="462">
        <f t="shared" si="137"/>
        <v>0</v>
      </c>
      <c r="V83" s="462">
        <f t="shared" si="138"/>
        <v>0</v>
      </c>
      <c r="W83" s="462">
        <f t="shared" si="139"/>
        <v>0</v>
      </c>
      <c r="X83" s="463">
        <f t="shared" si="140"/>
        <v>0</v>
      </c>
      <c r="Y83" s="464">
        <f t="shared" si="141"/>
        <v>0</v>
      </c>
      <c r="Z83" s="469" t="s">
        <v>211</v>
      </c>
      <c r="AA83" s="466">
        <f>SUM(F88:H88)</f>
        <v>0</v>
      </c>
    </row>
    <row r="84" spans="2:27" ht="12.75" customHeight="1" x14ac:dyDescent="0.25">
      <c r="B84" s="467"/>
      <c r="C84" s="468"/>
      <c r="D84" s="454"/>
      <c r="E84" s="454"/>
      <c r="F84" s="455"/>
      <c r="G84" s="455"/>
      <c r="H84" s="455"/>
      <c r="I84" s="456">
        <f t="shared" si="125"/>
        <v>0</v>
      </c>
      <c r="J84" s="457">
        <f t="shared" si="126"/>
        <v>0</v>
      </c>
      <c r="K84" s="458">
        <f t="shared" si="127"/>
        <v>0</v>
      </c>
      <c r="L84" s="458">
        <f t="shared" si="128"/>
        <v>0</v>
      </c>
      <c r="M84" s="458">
        <f t="shared" si="129"/>
        <v>0</v>
      </c>
      <c r="N84" s="459">
        <f t="shared" si="130"/>
        <v>0</v>
      </c>
      <c r="O84" s="460">
        <f t="shared" si="131"/>
        <v>0</v>
      </c>
      <c r="P84" s="461">
        <f t="shared" si="132"/>
        <v>0</v>
      </c>
      <c r="Q84" s="461">
        <f t="shared" si="133"/>
        <v>0</v>
      </c>
      <c r="R84" s="462">
        <f t="shared" si="134"/>
        <v>0</v>
      </c>
      <c r="S84" s="462">
        <f t="shared" si="135"/>
        <v>0</v>
      </c>
      <c r="T84" s="462">
        <f t="shared" si="136"/>
        <v>0</v>
      </c>
      <c r="U84" s="462">
        <f t="shared" si="137"/>
        <v>0</v>
      </c>
      <c r="V84" s="462">
        <f t="shared" si="138"/>
        <v>0</v>
      </c>
      <c r="W84" s="462">
        <f t="shared" si="139"/>
        <v>0</v>
      </c>
      <c r="X84" s="463">
        <f t="shared" si="140"/>
        <v>0</v>
      </c>
      <c r="Y84" s="464">
        <f t="shared" si="141"/>
        <v>0</v>
      </c>
      <c r="Z84" s="465" t="s">
        <v>209</v>
      </c>
      <c r="AA84" s="466">
        <f>SUM(J88:L88)</f>
        <v>0</v>
      </c>
    </row>
    <row r="85" spans="2:27" ht="12.75" customHeight="1" x14ac:dyDescent="0.25">
      <c r="B85" s="467"/>
      <c r="C85" s="468"/>
      <c r="D85" s="454"/>
      <c r="E85" s="454"/>
      <c r="F85" s="455"/>
      <c r="G85" s="455"/>
      <c r="H85" s="455"/>
      <c r="I85" s="456">
        <f t="shared" si="125"/>
        <v>0</v>
      </c>
      <c r="J85" s="457">
        <f t="shared" si="126"/>
        <v>0</v>
      </c>
      <c r="K85" s="458">
        <f t="shared" si="127"/>
        <v>0</v>
      </c>
      <c r="L85" s="458">
        <f t="shared" si="128"/>
        <v>0</v>
      </c>
      <c r="M85" s="458">
        <f t="shared" si="129"/>
        <v>0</v>
      </c>
      <c r="N85" s="459">
        <f t="shared" si="130"/>
        <v>0</v>
      </c>
      <c r="O85" s="460">
        <f t="shared" si="131"/>
        <v>0</v>
      </c>
      <c r="P85" s="461">
        <f t="shared" si="132"/>
        <v>0</v>
      </c>
      <c r="Q85" s="461">
        <f t="shared" si="133"/>
        <v>0</v>
      </c>
      <c r="R85" s="462">
        <f t="shared" si="134"/>
        <v>0</v>
      </c>
      <c r="S85" s="462">
        <f t="shared" si="135"/>
        <v>0</v>
      </c>
      <c r="T85" s="462">
        <f t="shared" si="136"/>
        <v>0</v>
      </c>
      <c r="U85" s="462">
        <f t="shared" si="137"/>
        <v>0</v>
      </c>
      <c r="V85" s="462">
        <f t="shared" si="138"/>
        <v>0</v>
      </c>
      <c r="W85" s="462">
        <f t="shared" si="139"/>
        <v>0</v>
      </c>
      <c r="X85" s="463">
        <f t="shared" si="140"/>
        <v>0</v>
      </c>
      <c r="Y85" s="464">
        <f t="shared" si="141"/>
        <v>0</v>
      </c>
      <c r="Z85" s="465" t="s">
        <v>36</v>
      </c>
      <c r="AA85" s="466">
        <f>M88</f>
        <v>0</v>
      </c>
    </row>
    <row r="86" spans="2:27" ht="12.75" customHeight="1" x14ac:dyDescent="0.25">
      <c r="B86" s="467"/>
      <c r="C86" s="493"/>
      <c r="D86" s="475"/>
      <c r="E86" s="454"/>
      <c r="F86" s="472"/>
      <c r="G86" s="473"/>
      <c r="H86" s="473"/>
      <c r="I86" s="456">
        <f t="shared" si="125"/>
        <v>0</v>
      </c>
      <c r="J86" s="474"/>
      <c r="K86" s="475"/>
      <c r="L86" s="475"/>
      <c r="M86" s="475"/>
      <c r="N86" s="459">
        <f t="shared" si="130"/>
        <v>0</v>
      </c>
      <c r="O86" s="476"/>
      <c r="P86" s="475"/>
      <c r="Q86" s="475"/>
      <c r="R86" s="477"/>
      <c r="S86" s="477"/>
      <c r="T86" s="477"/>
      <c r="U86" s="477"/>
      <c r="V86" s="477"/>
      <c r="W86" s="477"/>
      <c r="X86" s="478"/>
      <c r="Y86" s="464">
        <f t="shared" si="141"/>
        <v>0</v>
      </c>
      <c r="Z86" s="469" t="s">
        <v>212</v>
      </c>
      <c r="AA86" s="466">
        <f>SUM(O88:W88)</f>
        <v>0</v>
      </c>
    </row>
    <row r="87" spans="2:27" ht="13.5" customHeight="1" x14ac:dyDescent="0.25">
      <c r="B87" s="467"/>
      <c r="C87" s="493"/>
      <c r="D87" s="475"/>
      <c r="E87" s="454"/>
      <c r="F87" s="472"/>
      <c r="G87" s="473"/>
      <c r="H87" s="473"/>
      <c r="I87" s="456">
        <f t="shared" si="125"/>
        <v>0</v>
      </c>
      <c r="J87" s="474"/>
      <c r="K87" s="475"/>
      <c r="L87" s="475"/>
      <c r="M87" s="475"/>
      <c r="N87" s="459">
        <f t="shared" si="130"/>
        <v>0</v>
      </c>
      <c r="O87" s="479"/>
      <c r="P87" s="480"/>
      <c r="Q87" s="480"/>
      <c r="R87" s="481"/>
      <c r="S87" s="481"/>
      <c r="T87" s="481"/>
      <c r="U87" s="481"/>
      <c r="V87" s="481"/>
      <c r="W87" s="481"/>
      <c r="X87" s="482"/>
      <c r="Y87" s="464">
        <f t="shared" si="141"/>
        <v>0</v>
      </c>
      <c r="Z87" s="483" t="s">
        <v>13</v>
      </c>
      <c r="AA87" s="484">
        <f>SUM(AA80:AA86)</f>
        <v>0</v>
      </c>
    </row>
    <row r="88" spans="2:27" ht="13.5" customHeight="1" x14ac:dyDescent="0.25">
      <c r="B88" s="437"/>
      <c r="C88" s="485">
        <f t="shared" ref="C88:X88" si="142">SUM(C80:C87)</f>
        <v>0</v>
      </c>
      <c r="D88" s="486">
        <f t="shared" si="142"/>
        <v>0</v>
      </c>
      <c r="E88" s="486">
        <f t="shared" si="142"/>
        <v>0</v>
      </c>
      <c r="F88" s="486">
        <f t="shared" si="142"/>
        <v>0</v>
      </c>
      <c r="G88" s="486">
        <f t="shared" si="142"/>
        <v>0</v>
      </c>
      <c r="H88" s="486">
        <f t="shared" si="142"/>
        <v>0</v>
      </c>
      <c r="I88" s="487">
        <f t="shared" si="142"/>
        <v>0</v>
      </c>
      <c r="J88" s="485">
        <f t="shared" si="142"/>
        <v>0</v>
      </c>
      <c r="K88" s="486">
        <f t="shared" si="142"/>
        <v>0</v>
      </c>
      <c r="L88" s="486">
        <f t="shared" si="142"/>
        <v>0</v>
      </c>
      <c r="M88" s="486">
        <f t="shared" si="142"/>
        <v>0</v>
      </c>
      <c r="N88" s="487">
        <f t="shared" si="142"/>
        <v>0</v>
      </c>
      <c r="O88" s="485">
        <f t="shared" si="142"/>
        <v>0</v>
      </c>
      <c r="P88" s="486">
        <f t="shared" si="142"/>
        <v>0</v>
      </c>
      <c r="Q88" s="486">
        <f t="shared" si="142"/>
        <v>0</v>
      </c>
      <c r="R88" s="486">
        <f t="shared" si="142"/>
        <v>0</v>
      </c>
      <c r="S88" s="486">
        <f t="shared" si="142"/>
        <v>0</v>
      </c>
      <c r="T88" s="486">
        <f t="shared" si="142"/>
        <v>0</v>
      </c>
      <c r="U88" s="486">
        <f t="shared" si="142"/>
        <v>0</v>
      </c>
      <c r="V88" s="486">
        <f t="shared" si="142"/>
        <v>0</v>
      </c>
      <c r="W88" s="486">
        <f t="shared" si="142"/>
        <v>0</v>
      </c>
      <c r="X88" s="487">
        <f t="shared" si="142"/>
        <v>0</v>
      </c>
      <c r="Y88" s="488">
        <f t="shared" si="141"/>
        <v>0</v>
      </c>
      <c r="Z88" s="437"/>
      <c r="AA88" s="437"/>
    </row>
    <row r="89" spans="2:27" ht="13.5" customHeight="1" x14ac:dyDescent="0.25"/>
    <row r="90" spans="2:27" ht="12.75" customHeight="1" x14ac:dyDescent="0.25">
      <c r="B90" s="438" t="s">
        <v>158</v>
      </c>
      <c r="C90" s="439" t="s">
        <v>190</v>
      </c>
      <c r="D90" s="440" t="s">
        <v>213</v>
      </c>
      <c r="E90" s="440" t="s">
        <v>197</v>
      </c>
      <c r="F90" s="440" t="s">
        <v>198</v>
      </c>
      <c r="G90" s="440" t="s">
        <v>94</v>
      </c>
      <c r="H90" s="440" t="s">
        <v>96</v>
      </c>
      <c r="I90" s="441" t="s">
        <v>199</v>
      </c>
      <c r="J90" s="442" t="s">
        <v>168</v>
      </c>
      <c r="K90" s="443" t="s">
        <v>200</v>
      </c>
      <c r="L90" s="443" t="s">
        <v>201</v>
      </c>
      <c r="M90" s="444" t="s">
        <v>36</v>
      </c>
      <c r="N90" s="445" t="s">
        <v>202</v>
      </c>
      <c r="O90" s="446" t="s">
        <v>40</v>
      </c>
      <c r="P90" s="447" t="s">
        <v>169</v>
      </c>
      <c r="Q90" s="447" t="s">
        <v>203</v>
      </c>
      <c r="R90" s="447" t="s">
        <v>204</v>
      </c>
      <c r="S90" s="447" t="s">
        <v>205</v>
      </c>
      <c r="T90" s="447" t="s">
        <v>206</v>
      </c>
      <c r="U90" s="447" t="s">
        <v>207</v>
      </c>
      <c r="V90" s="447" t="s">
        <v>208</v>
      </c>
      <c r="W90" s="447" t="s">
        <v>209</v>
      </c>
      <c r="X90" s="448" t="s">
        <v>210</v>
      </c>
      <c r="Y90" s="449" t="s">
        <v>13</v>
      </c>
      <c r="Z90" s="450" t="s">
        <v>189</v>
      </c>
      <c r="AA90" s="451">
        <v>46266</v>
      </c>
    </row>
    <row r="91" spans="2:27" ht="12.75" customHeight="1" x14ac:dyDescent="0.25">
      <c r="B91" s="452"/>
      <c r="C91" s="453"/>
      <c r="D91" s="454"/>
      <c r="E91" s="454"/>
      <c r="F91" s="455"/>
      <c r="G91" s="455"/>
      <c r="H91" s="455"/>
      <c r="I91" s="456">
        <f t="shared" ref="I91:I98" si="143">SUM(C91:H91)</f>
        <v>0</v>
      </c>
      <c r="J91" s="457">
        <f t="shared" ref="J91:J96" si="144">C91*20%</f>
        <v>0</v>
      </c>
      <c r="K91" s="458">
        <f t="shared" ref="K91:K96" si="145">C91*1.5%</f>
        <v>0</v>
      </c>
      <c r="L91" s="458">
        <f t="shared" ref="L91:L96" si="146">C91*5.8%</f>
        <v>0</v>
      </c>
      <c r="M91" s="458">
        <f t="shared" ref="M91:M96" si="147">C91*8%</f>
        <v>0</v>
      </c>
      <c r="N91" s="459">
        <f t="shared" ref="N91:N98" si="148">SUM(J91:M91)</f>
        <v>0</v>
      </c>
      <c r="O91" s="460">
        <f t="shared" ref="O91:O96" si="149">C91/12</f>
        <v>0</v>
      </c>
      <c r="P91" s="461">
        <f t="shared" ref="P91:P96" si="150">O91/3</f>
        <v>0</v>
      </c>
      <c r="Q91" s="461">
        <f t="shared" ref="Q91:Q96" si="151">(O91+P91)*8%</f>
        <v>0</v>
      </c>
      <c r="R91" s="462">
        <f t="shared" ref="R91:R96" si="152">C91/12</f>
        <v>0</v>
      </c>
      <c r="S91" s="462">
        <f t="shared" ref="S91:S96" si="153">R91*8%</f>
        <v>0</v>
      </c>
      <c r="T91" s="462">
        <f t="shared" ref="T91:T96" si="154">C91/12</f>
        <v>0</v>
      </c>
      <c r="U91" s="462">
        <f t="shared" ref="U91:U96" si="155">T91*8%</f>
        <v>0</v>
      </c>
      <c r="V91" s="462">
        <f t="shared" ref="V91:V96" si="156">(M91+Q91+S91+U91)*50%</f>
        <v>0</v>
      </c>
      <c r="W91" s="462">
        <f t="shared" ref="W91:W96" si="157">(O91+P91+R91+T91)*27.3%</f>
        <v>0</v>
      </c>
      <c r="X91" s="463">
        <f t="shared" ref="X91:X96" si="158">SUM(O91:W91)</f>
        <v>0</v>
      </c>
      <c r="Y91" s="464">
        <f t="shared" ref="Y91:Y99" si="159">I91+N91+X91</f>
        <v>0</v>
      </c>
      <c r="Z91" s="465" t="s">
        <v>89</v>
      </c>
      <c r="AA91" s="466">
        <f>C99</f>
        <v>0</v>
      </c>
    </row>
    <row r="92" spans="2:27" ht="12.75" customHeight="1" x14ac:dyDescent="0.25">
      <c r="B92" s="467"/>
      <c r="C92" s="468"/>
      <c r="D92" s="454"/>
      <c r="E92" s="454"/>
      <c r="F92" s="455"/>
      <c r="G92" s="455"/>
      <c r="H92" s="455"/>
      <c r="I92" s="456">
        <f t="shared" si="143"/>
        <v>0</v>
      </c>
      <c r="J92" s="457">
        <f t="shared" si="144"/>
        <v>0</v>
      </c>
      <c r="K92" s="458">
        <f t="shared" si="145"/>
        <v>0</v>
      </c>
      <c r="L92" s="458">
        <f t="shared" si="146"/>
        <v>0</v>
      </c>
      <c r="M92" s="458">
        <f t="shared" si="147"/>
        <v>0</v>
      </c>
      <c r="N92" s="459">
        <f t="shared" si="148"/>
        <v>0</v>
      </c>
      <c r="O92" s="460">
        <f t="shared" si="149"/>
        <v>0</v>
      </c>
      <c r="P92" s="461">
        <f t="shared" si="150"/>
        <v>0</v>
      </c>
      <c r="Q92" s="461">
        <f t="shared" si="151"/>
        <v>0</v>
      </c>
      <c r="R92" s="462">
        <f t="shared" si="152"/>
        <v>0</v>
      </c>
      <c r="S92" s="462">
        <f t="shared" si="153"/>
        <v>0</v>
      </c>
      <c r="T92" s="462">
        <f t="shared" si="154"/>
        <v>0</v>
      </c>
      <c r="U92" s="462">
        <f t="shared" si="155"/>
        <v>0</v>
      </c>
      <c r="V92" s="462">
        <f t="shared" si="156"/>
        <v>0</v>
      </c>
      <c r="W92" s="462">
        <f t="shared" si="157"/>
        <v>0</v>
      </c>
      <c r="X92" s="463">
        <f t="shared" si="158"/>
        <v>0</v>
      </c>
      <c r="Y92" s="464">
        <f t="shared" si="159"/>
        <v>0</v>
      </c>
      <c r="Z92" s="469" t="s">
        <v>194</v>
      </c>
      <c r="AA92" s="466">
        <f>D99</f>
        <v>0</v>
      </c>
    </row>
    <row r="93" spans="2:27" ht="12.75" customHeight="1" x14ac:dyDescent="0.25">
      <c r="B93" s="467"/>
      <c r="C93" s="468"/>
      <c r="D93" s="454"/>
      <c r="E93" s="454"/>
      <c r="F93" s="455"/>
      <c r="G93" s="455"/>
      <c r="H93" s="455"/>
      <c r="I93" s="456">
        <f t="shared" si="143"/>
        <v>0</v>
      </c>
      <c r="J93" s="457">
        <f t="shared" si="144"/>
        <v>0</v>
      </c>
      <c r="K93" s="458">
        <f t="shared" si="145"/>
        <v>0</v>
      </c>
      <c r="L93" s="458">
        <f t="shared" si="146"/>
        <v>0</v>
      </c>
      <c r="M93" s="458">
        <f t="shared" si="147"/>
        <v>0</v>
      </c>
      <c r="N93" s="459">
        <f t="shared" si="148"/>
        <v>0</v>
      </c>
      <c r="O93" s="460">
        <f t="shared" si="149"/>
        <v>0</v>
      </c>
      <c r="P93" s="461">
        <f t="shared" si="150"/>
        <v>0</v>
      </c>
      <c r="Q93" s="461">
        <f t="shared" si="151"/>
        <v>0</v>
      </c>
      <c r="R93" s="462">
        <f t="shared" si="152"/>
        <v>0</v>
      </c>
      <c r="S93" s="462">
        <f t="shared" si="153"/>
        <v>0</v>
      </c>
      <c r="T93" s="462">
        <f t="shared" si="154"/>
        <v>0</v>
      </c>
      <c r="U93" s="462">
        <f t="shared" si="155"/>
        <v>0</v>
      </c>
      <c r="V93" s="462">
        <f t="shared" si="156"/>
        <v>0</v>
      </c>
      <c r="W93" s="462">
        <f t="shared" si="157"/>
        <v>0</v>
      </c>
      <c r="X93" s="463">
        <f t="shared" si="158"/>
        <v>0</v>
      </c>
      <c r="Y93" s="464">
        <f t="shared" si="159"/>
        <v>0</v>
      </c>
      <c r="Z93" s="469" t="s">
        <v>197</v>
      </c>
      <c r="AA93" s="466">
        <f>E99</f>
        <v>0</v>
      </c>
    </row>
    <row r="94" spans="2:27" ht="12.75" customHeight="1" x14ac:dyDescent="0.25">
      <c r="B94" s="467"/>
      <c r="C94" s="468"/>
      <c r="D94" s="454"/>
      <c r="E94" s="454"/>
      <c r="F94" s="455"/>
      <c r="G94" s="455"/>
      <c r="H94" s="455"/>
      <c r="I94" s="456">
        <f t="shared" si="143"/>
        <v>0</v>
      </c>
      <c r="J94" s="457">
        <f t="shared" si="144"/>
        <v>0</v>
      </c>
      <c r="K94" s="458">
        <f t="shared" si="145"/>
        <v>0</v>
      </c>
      <c r="L94" s="458">
        <f t="shared" si="146"/>
        <v>0</v>
      </c>
      <c r="M94" s="458">
        <f t="shared" si="147"/>
        <v>0</v>
      </c>
      <c r="N94" s="459">
        <f t="shared" si="148"/>
        <v>0</v>
      </c>
      <c r="O94" s="460">
        <f t="shared" si="149"/>
        <v>0</v>
      </c>
      <c r="P94" s="461">
        <f t="shared" si="150"/>
        <v>0</v>
      </c>
      <c r="Q94" s="461">
        <f t="shared" si="151"/>
        <v>0</v>
      </c>
      <c r="R94" s="462">
        <f t="shared" si="152"/>
        <v>0</v>
      </c>
      <c r="S94" s="462">
        <f t="shared" si="153"/>
        <v>0</v>
      </c>
      <c r="T94" s="462">
        <f t="shared" si="154"/>
        <v>0</v>
      </c>
      <c r="U94" s="462">
        <f t="shared" si="155"/>
        <v>0</v>
      </c>
      <c r="V94" s="462">
        <f t="shared" si="156"/>
        <v>0</v>
      </c>
      <c r="W94" s="462">
        <f t="shared" si="157"/>
        <v>0</v>
      </c>
      <c r="X94" s="463">
        <f t="shared" si="158"/>
        <v>0</v>
      </c>
      <c r="Y94" s="464">
        <f t="shared" si="159"/>
        <v>0</v>
      </c>
      <c r="Z94" s="469" t="s">
        <v>211</v>
      </c>
      <c r="AA94" s="466">
        <f>SUM(F99:H99)</f>
        <v>0</v>
      </c>
    </row>
    <row r="95" spans="2:27" ht="12.75" customHeight="1" x14ac:dyDescent="0.25">
      <c r="B95" s="467"/>
      <c r="C95" s="468"/>
      <c r="D95" s="454"/>
      <c r="E95" s="454"/>
      <c r="F95" s="455"/>
      <c r="G95" s="455"/>
      <c r="H95" s="455"/>
      <c r="I95" s="456">
        <f t="shared" si="143"/>
        <v>0</v>
      </c>
      <c r="J95" s="457">
        <f t="shared" si="144"/>
        <v>0</v>
      </c>
      <c r="K95" s="458">
        <f t="shared" si="145"/>
        <v>0</v>
      </c>
      <c r="L95" s="458">
        <f t="shared" si="146"/>
        <v>0</v>
      </c>
      <c r="M95" s="458">
        <f t="shared" si="147"/>
        <v>0</v>
      </c>
      <c r="N95" s="459">
        <f t="shared" si="148"/>
        <v>0</v>
      </c>
      <c r="O95" s="460">
        <f t="shared" si="149"/>
        <v>0</v>
      </c>
      <c r="P95" s="461">
        <f t="shared" si="150"/>
        <v>0</v>
      </c>
      <c r="Q95" s="461">
        <f t="shared" si="151"/>
        <v>0</v>
      </c>
      <c r="R95" s="462">
        <f t="shared" si="152"/>
        <v>0</v>
      </c>
      <c r="S95" s="462">
        <f t="shared" si="153"/>
        <v>0</v>
      </c>
      <c r="T95" s="462">
        <f t="shared" si="154"/>
        <v>0</v>
      </c>
      <c r="U95" s="462">
        <f t="shared" si="155"/>
        <v>0</v>
      </c>
      <c r="V95" s="462">
        <f t="shared" si="156"/>
        <v>0</v>
      </c>
      <c r="W95" s="462">
        <f t="shared" si="157"/>
        <v>0</v>
      </c>
      <c r="X95" s="463">
        <f t="shared" si="158"/>
        <v>0</v>
      </c>
      <c r="Y95" s="464">
        <f t="shared" si="159"/>
        <v>0</v>
      </c>
      <c r="Z95" s="465" t="s">
        <v>209</v>
      </c>
      <c r="AA95" s="466">
        <f>SUM(J99:L99)</f>
        <v>0</v>
      </c>
    </row>
    <row r="96" spans="2:27" ht="12.75" customHeight="1" x14ac:dyDescent="0.25">
      <c r="B96" s="467"/>
      <c r="C96" s="468"/>
      <c r="D96" s="454"/>
      <c r="E96" s="454"/>
      <c r="F96" s="455"/>
      <c r="G96" s="455"/>
      <c r="H96" s="455"/>
      <c r="I96" s="456">
        <f t="shared" si="143"/>
        <v>0</v>
      </c>
      <c r="J96" s="457">
        <f t="shared" si="144"/>
        <v>0</v>
      </c>
      <c r="K96" s="458">
        <f t="shared" si="145"/>
        <v>0</v>
      </c>
      <c r="L96" s="458">
        <f t="shared" si="146"/>
        <v>0</v>
      </c>
      <c r="M96" s="458">
        <f t="shared" si="147"/>
        <v>0</v>
      </c>
      <c r="N96" s="459">
        <f t="shared" si="148"/>
        <v>0</v>
      </c>
      <c r="O96" s="460">
        <f t="shared" si="149"/>
        <v>0</v>
      </c>
      <c r="P96" s="461">
        <f t="shared" si="150"/>
        <v>0</v>
      </c>
      <c r="Q96" s="461">
        <f t="shared" si="151"/>
        <v>0</v>
      </c>
      <c r="R96" s="462">
        <f t="shared" si="152"/>
        <v>0</v>
      </c>
      <c r="S96" s="462">
        <f t="shared" si="153"/>
        <v>0</v>
      </c>
      <c r="T96" s="462">
        <f t="shared" si="154"/>
        <v>0</v>
      </c>
      <c r="U96" s="462">
        <f t="shared" si="155"/>
        <v>0</v>
      </c>
      <c r="V96" s="462">
        <f t="shared" si="156"/>
        <v>0</v>
      </c>
      <c r="W96" s="462">
        <f t="shared" si="157"/>
        <v>0</v>
      </c>
      <c r="X96" s="463">
        <f t="shared" si="158"/>
        <v>0</v>
      </c>
      <c r="Y96" s="464">
        <f t="shared" si="159"/>
        <v>0</v>
      </c>
      <c r="Z96" s="465" t="s">
        <v>36</v>
      </c>
      <c r="AA96" s="466">
        <f>M99</f>
        <v>0</v>
      </c>
    </row>
    <row r="97" spans="2:27" ht="12.75" customHeight="1" x14ac:dyDescent="0.25">
      <c r="B97" s="467"/>
      <c r="C97" s="493"/>
      <c r="D97" s="475"/>
      <c r="E97" s="454"/>
      <c r="F97" s="472"/>
      <c r="G97" s="473"/>
      <c r="H97" s="473"/>
      <c r="I97" s="456">
        <f t="shared" si="143"/>
        <v>0</v>
      </c>
      <c r="J97" s="474"/>
      <c r="K97" s="475"/>
      <c r="L97" s="475"/>
      <c r="M97" s="475"/>
      <c r="N97" s="459">
        <f t="shared" si="148"/>
        <v>0</v>
      </c>
      <c r="O97" s="476"/>
      <c r="P97" s="475"/>
      <c r="Q97" s="475"/>
      <c r="R97" s="477"/>
      <c r="S97" s="477"/>
      <c r="T97" s="477"/>
      <c r="U97" s="477"/>
      <c r="V97" s="477"/>
      <c r="W97" s="477"/>
      <c r="X97" s="478"/>
      <c r="Y97" s="464">
        <f t="shared" si="159"/>
        <v>0</v>
      </c>
      <c r="Z97" s="469" t="s">
        <v>212</v>
      </c>
      <c r="AA97" s="466">
        <f>SUM(O99:W99)</f>
        <v>0</v>
      </c>
    </row>
    <row r="98" spans="2:27" ht="13.5" customHeight="1" x14ac:dyDescent="0.25">
      <c r="B98" s="467"/>
      <c r="C98" s="493"/>
      <c r="D98" s="475"/>
      <c r="E98" s="454"/>
      <c r="F98" s="472"/>
      <c r="G98" s="473"/>
      <c r="H98" s="473"/>
      <c r="I98" s="456">
        <f t="shared" si="143"/>
        <v>0</v>
      </c>
      <c r="J98" s="474"/>
      <c r="K98" s="475"/>
      <c r="L98" s="475"/>
      <c r="M98" s="475"/>
      <c r="N98" s="459">
        <f t="shared" si="148"/>
        <v>0</v>
      </c>
      <c r="O98" s="479"/>
      <c r="P98" s="480"/>
      <c r="Q98" s="480"/>
      <c r="R98" s="481"/>
      <c r="S98" s="481"/>
      <c r="T98" s="481"/>
      <c r="U98" s="481"/>
      <c r="V98" s="481"/>
      <c r="W98" s="481"/>
      <c r="X98" s="482"/>
      <c r="Y98" s="464">
        <f t="shared" si="159"/>
        <v>0</v>
      </c>
      <c r="Z98" s="483" t="s">
        <v>13</v>
      </c>
      <c r="AA98" s="484">
        <f>SUM(AA91:AA97)</f>
        <v>0</v>
      </c>
    </row>
    <row r="99" spans="2:27" ht="13.5" customHeight="1" x14ac:dyDescent="0.25">
      <c r="B99" s="437"/>
      <c r="C99" s="485">
        <f t="shared" ref="C99:X99" si="160">SUM(C91:C98)</f>
        <v>0</v>
      </c>
      <c r="D99" s="486">
        <f t="shared" si="160"/>
        <v>0</v>
      </c>
      <c r="E99" s="486">
        <f t="shared" si="160"/>
        <v>0</v>
      </c>
      <c r="F99" s="486">
        <f t="shared" si="160"/>
        <v>0</v>
      </c>
      <c r="G99" s="486">
        <f t="shared" si="160"/>
        <v>0</v>
      </c>
      <c r="H99" s="486">
        <f t="shared" si="160"/>
        <v>0</v>
      </c>
      <c r="I99" s="487">
        <f t="shared" si="160"/>
        <v>0</v>
      </c>
      <c r="J99" s="485">
        <f t="shared" si="160"/>
        <v>0</v>
      </c>
      <c r="K99" s="486">
        <f t="shared" si="160"/>
        <v>0</v>
      </c>
      <c r="L99" s="486">
        <f t="shared" si="160"/>
        <v>0</v>
      </c>
      <c r="M99" s="486">
        <f t="shared" si="160"/>
        <v>0</v>
      </c>
      <c r="N99" s="487">
        <f t="shared" si="160"/>
        <v>0</v>
      </c>
      <c r="O99" s="485">
        <f t="shared" si="160"/>
        <v>0</v>
      </c>
      <c r="P99" s="486">
        <f t="shared" si="160"/>
        <v>0</v>
      </c>
      <c r="Q99" s="486">
        <f t="shared" si="160"/>
        <v>0</v>
      </c>
      <c r="R99" s="486">
        <f t="shared" si="160"/>
        <v>0</v>
      </c>
      <c r="S99" s="486">
        <f t="shared" si="160"/>
        <v>0</v>
      </c>
      <c r="T99" s="486">
        <f t="shared" si="160"/>
        <v>0</v>
      </c>
      <c r="U99" s="486">
        <f t="shared" si="160"/>
        <v>0</v>
      </c>
      <c r="V99" s="486">
        <f t="shared" si="160"/>
        <v>0</v>
      </c>
      <c r="W99" s="486">
        <f t="shared" si="160"/>
        <v>0</v>
      </c>
      <c r="X99" s="487">
        <f t="shared" si="160"/>
        <v>0</v>
      </c>
      <c r="Y99" s="488">
        <f t="shared" si="159"/>
        <v>0</v>
      </c>
      <c r="Z99" s="437"/>
      <c r="AA99" s="437"/>
    </row>
    <row r="100" spans="2:27" ht="13.5" customHeight="1" x14ac:dyDescent="0.25"/>
    <row r="101" spans="2:27" ht="12.75" customHeight="1" x14ac:dyDescent="0.25">
      <c r="B101" s="438" t="s">
        <v>158</v>
      </c>
      <c r="C101" s="439" t="s">
        <v>190</v>
      </c>
      <c r="D101" s="440" t="s">
        <v>213</v>
      </c>
      <c r="E101" s="440" t="s">
        <v>197</v>
      </c>
      <c r="F101" s="440" t="s">
        <v>198</v>
      </c>
      <c r="G101" s="440" t="s">
        <v>94</v>
      </c>
      <c r="H101" s="440" t="s">
        <v>96</v>
      </c>
      <c r="I101" s="441" t="s">
        <v>199</v>
      </c>
      <c r="J101" s="442" t="s">
        <v>168</v>
      </c>
      <c r="K101" s="443" t="s">
        <v>200</v>
      </c>
      <c r="L101" s="443" t="s">
        <v>201</v>
      </c>
      <c r="M101" s="444" t="s">
        <v>36</v>
      </c>
      <c r="N101" s="445" t="s">
        <v>202</v>
      </c>
      <c r="O101" s="446" t="s">
        <v>40</v>
      </c>
      <c r="P101" s="447" t="s">
        <v>169</v>
      </c>
      <c r="Q101" s="447" t="s">
        <v>203</v>
      </c>
      <c r="R101" s="447" t="s">
        <v>204</v>
      </c>
      <c r="S101" s="447" t="s">
        <v>205</v>
      </c>
      <c r="T101" s="447" t="s">
        <v>206</v>
      </c>
      <c r="U101" s="447" t="s">
        <v>207</v>
      </c>
      <c r="V101" s="447" t="s">
        <v>208</v>
      </c>
      <c r="W101" s="447" t="s">
        <v>209</v>
      </c>
      <c r="X101" s="448" t="s">
        <v>210</v>
      </c>
      <c r="Y101" s="449" t="s">
        <v>13</v>
      </c>
      <c r="Z101" s="450" t="s">
        <v>189</v>
      </c>
      <c r="AA101" s="451">
        <v>46296</v>
      </c>
    </row>
    <row r="102" spans="2:27" ht="12.75" customHeight="1" x14ac:dyDescent="0.25">
      <c r="B102" s="452"/>
      <c r="C102" s="453"/>
      <c r="D102" s="454"/>
      <c r="E102" s="454"/>
      <c r="F102" s="455"/>
      <c r="G102" s="455"/>
      <c r="H102" s="455"/>
      <c r="I102" s="456">
        <f t="shared" ref="I102:I109" si="161">SUM(C102:H102)</f>
        <v>0</v>
      </c>
      <c r="J102" s="457">
        <f t="shared" ref="J102:J107" si="162">C102*20%</f>
        <v>0</v>
      </c>
      <c r="K102" s="458">
        <f t="shared" ref="K102:K107" si="163">C102*1.5%</f>
        <v>0</v>
      </c>
      <c r="L102" s="458">
        <f t="shared" ref="L102:L107" si="164">C102*5.8%</f>
        <v>0</v>
      </c>
      <c r="M102" s="458">
        <f t="shared" ref="M102:M107" si="165">C102*8%</f>
        <v>0</v>
      </c>
      <c r="N102" s="459">
        <f t="shared" ref="N102:N109" si="166">SUM(J102:M102)</f>
        <v>0</v>
      </c>
      <c r="O102" s="460">
        <f t="shared" ref="O102:O107" si="167">C102/12</f>
        <v>0</v>
      </c>
      <c r="P102" s="461">
        <f t="shared" ref="P102:P107" si="168">O102/3</f>
        <v>0</v>
      </c>
      <c r="Q102" s="461">
        <f t="shared" ref="Q102:Q107" si="169">(O102+P102)*8%</f>
        <v>0</v>
      </c>
      <c r="R102" s="462">
        <f t="shared" ref="R102:R107" si="170">C102/12</f>
        <v>0</v>
      </c>
      <c r="S102" s="462">
        <f t="shared" ref="S102:S107" si="171">R102*8%</f>
        <v>0</v>
      </c>
      <c r="T102" s="462">
        <f t="shared" ref="T102:T107" si="172">C102/12</f>
        <v>0</v>
      </c>
      <c r="U102" s="462">
        <f t="shared" ref="U102:U107" si="173">T102*8%</f>
        <v>0</v>
      </c>
      <c r="V102" s="462">
        <f t="shared" ref="V102:V107" si="174">(M102+Q102+S102+U102)*50%</f>
        <v>0</v>
      </c>
      <c r="W102" s="462">
        <f t="shared" ref="W102:W107" si="175">(O102+P102+R102+T102)*27.3%</f>
        <v>0</v>
      </c>
      <c r="X102" s="463">
        <f t="shared" ref="X102:X107" si="176">SUM(O102:W102)</f>
        <v>0</v>
      </c>
      <c r="Y102" s="464">
        <f t="shared" ref="Y102:Y110" si="177">I102+N102+X102</f>
        <v>0</v>
      </c>
      <c r="Z102" s="465" t="s">
        <v>89</v>
      </c>
      <c r="AA102" s="466">
        <f>C110</f>
        <v>0</v>
      </c>
    </row>
    <row r="103" spans="2:27" ht="12.75" customHeight="1" x14ac:dyDescent="0.25">
      <c r="B103" s="467"/>
      <c r="C103" s="468"/>
      <c r="D103" s="454"/>
      <c r="E103" s="454"/>
      <c r="F103" s="455"/>
      <c r="G103" s="455"/>
      <c r="H103" s="455"/>
      <c r="I103" s="456">
        <f t="shared" si="161"/>
        <v>0</v>
      </c>
      <c r="J103" s="457">
        <f t="shared" si="162"/>
        <v>0</v>
      </c>
      <c r="K103" s="458">
        <f t="shared" si="163"/>
        <v>0</v>
      </c>
      <c r="L103" s="458">
        <f t="shared" si="164"/>
        <v>0</v>
      </c>
      <c r="M103" s="458">
        <f t="shared" si="165"/>
        <v>0</v>
      </c>
      <c r="N103" s="459">
        <f t="shared" si="166"/>
        <v>0</v>
      </c>
      <c r="O103" s="460">
        <f t="shared" si="167"/>
        <v>0</v>
      </c>
      <c r="P103" s="461">
        <f t="shared" si="168"/>
        <v>0</v>
      </c>
      <c r="Q103" s="461">
        <f t="shared" si="169"/>
        <v>0</v>
      </c>
      <c r="R103" s="462">
        <f t="shared" si="170"/>
        <v>0</v>
      </c>
      <c r="S103" s="462">
        <f t="shared" si="171"/>
        <v>0</v>
      </c>
      <c r="T103" s="462">
        <f t="shared" si="172"/>
        <v>0</v>
      </c>
      <c r="U103" s="462">
        <f t="shared" si="173"/>
        <v>0</v>
      </c>
      <c r="V103" s="462">
        <f t="shared" si="174"/>
        <v>0</v>
      </c>
      <c r="W103" s="462">
        <f t="shared" si="175"/>
        <v>0</v>
      </c>
      <c r="X103" s="463">
        <f t="shared" si="176"/>
        <v>0</v>
      </c>
      <c r="Y103" s="464">
        <f t="shared" si="177"/>
        <v>0</v>
      </c>
      <c r="Z103" s="469" t="s">
        <v>194</v>
      </c>
      <c r="AA103" s="466">
        <f>D110</f>
        <v>0</v>
      </c>
    </row>
    <row r="104" spans="2:27" ht="12.75" customHeight="1" x14ac:dyDescent="0.25">
      <c r="B104" s="467"/>
      <c r="C104" s="468"/>
      <c r="D104" s="454"/>
      <c r="E104" s="454"/>
      <c r="F104" s="455"/>
      <c r="G104" s="455"/>
      <c r="H104" s="455"/>
      <c r="I104" s="456">
        <f t="shared" si="161"/>
        <v>0</v>
      </c>
      <c r="J104" s="457">
        <f t="shared" si="162"/>
        <v>0</v>
      </c>
      <c r="K104" s="458">
        <f t="shared" si="163"/>
        <v>0</v>
      </c>
      <c r="L104" s="458">
        <f t="shared" si="164"/>
        <v>0</v>
      </c>
      <c r="M104" s="458">
        <f t="shared" si="165"/>
        <v>0</v>
      </c>
      <c r="N104" s="459">
        <f t="shared" si="166"/>
        <v>0</v>
      </c>
      <c r="O104" s="460">
        <f t="shared" si="167"/>
        <v>0</v>
      </c>
      <c r="P104" s="461">
        <f t="shared" si="168"/>
        <v>0</v>
      </c>
      <c r="Q104" s="461">
        <f t="shared" si="169"/>
        <v>0</v>
      </c>
      <c r="R104" s="462">
        <f t="shared" si="170"/>
        <v>0</v>
      </c>
      <c r="S104" s="462">
        <f t="shared" si="171"/>
        <v>0</v>
      </c>
      <c r="T104" s="462">
        <f t="shared" si="172"/>
        <v>0</v>
      </c>
      <c r="U104" s="462">
        <f t="shared" si="173"/>
        <v>0</v>
      </c>
      <c r="V104" s="462">
        <f t="shared" si="174"/>
        <v>0</v>
      </c>
      <c r="W104" s="462">
        <f t="shared" si="175"/>
        <v>0</v>
      </c>
      <c r="X104" s="463">
        <f t="shared" si="176"/>
        <v>0</v>
      </c>
      <c r="Y104" s="464">
        <f t="shared" si="177"/>
        <v>0</v>
      </c>
      <c r="Z104" s="469" t="s">
        <v>197</v>
      </c>
      <c r="AA104" s="466">
        <f>E110</f>
        <v>0</v>
      </c>
    </row>
    <row r="105" spans="2:27" ht="12.75" customHeight="1" x14ac:dyDescent="0.25">
      <c r="B105" s="467"/>
      <c r="C105" s="468"/>
      <c r="D105" s="454"/>
      <c r="E105" s="454"/>
      <c r="F105" s="455"/>
      <c r="G105" s="455"/>
      <c r="H105" s="455"/>
      <c r="I105" s="456">
        <f t="shared" si="161"/>
        <v>0</v>
      </c>
      <c r="J105" s="457">
        <f t="shared" si="162"/>
        <v>0</v>
      </c>
      <c r="K105" s="458">
        <f t="shared" si="163"/>
        <v>0</v>
      </c>
      <c r="L105" s="458">
        <f t="shared" si="164"/>
        <v>0</v>
      </c>
      <c r="M105" s="458">
        <f t="shared" si="165"/>
        <v>0</v>
      </c>
      <c r="N105" s="459">
        <f t="shared" si="166"/>
        <v>0</v>
      </c>
      <c r="O105" s="460">
        <f t="shared" si="167"/>
        <v>0</v>
      </c>
      <c r="P105" s="461">
        <f t="shared" si="168"/>
        <v>0</v>
      </c>
      <c r="Q105" s="461">
        <f t="shared" si="169"/>
        <v>0</v>
      </c>
      <c r="R105" s="462">
        <f t="shared" si="170"/>
        <v>0</v>
      </c>
      <c r="S105" s="462">
        <f t="shared" si="171"/>
        <v>0</v>
      </c>
      <c r="T105" s="462">
        <f t="shared" si="172"/>
        <v>0</v>
      </c>
      <c r="U105" s="462">
        <f t="shared" si="173"/>
        <v>0</v>
      </c>
      <c r="V105" s="462">
        <f t="shared" si="174"/>
        <v>0</v>
      </c>
      <c r="W105" s="462">
        <f t="shared" si="175"/>
        <v>0</v>
      </c>
      <c r="X105" s="463">
        <f t="shared" si="176"/>
        <v>0</v>
      </c>
      <c r="Y105" s="464">
        <f t="shared" si="177"/>
        <v>0</v>
      </c>
      <c r="Z105" s="469" t="s">
        <v>211</v>
      </c>
      <c r="AA105" s="466">
        <f>SUM(F110:H110)</f>
        <v>0</v>
      </c>
    </row>
    <row r="106" spans="2:27" ht="12.75" customHeight="1" x14ac:dyDescent="0.25">
      <c r="B106" s="467"/>
      <c r="C106" s="468"/>
      <c r="D106" s="454"/>
      <c r="E106" s="454"/>
      <c r="F106" s="455"/>
      <c r="G106" s="455"/>
      <c r="H106" s="455"/>
      <c r="I106" s="456">
        <f t="shared" si="161"/>
        <v>0</v>
      </c>
      <c r="J106" s="457">
        <f t="shared" si="162"/>
        <v>0</v>
      </c>
      <c r="K106" s="458">
        <f t="shared" si="163"/>
        <v>0</v>
      </c>
      <c r="L106" s="458">
        <f t="shared" si="164"/>
        <v>0</v>
      </c>
      <c r="M106" s="458">
        <f t="shared" si="165"/>
        <v>0</v>
      </c>
      <c r="N106" s="459">
        <f t="shared" si="166"/>
        <v>0</v>
      </c>
      <c r="O106" s="460">
        <f t="shared" si="167"/>
        <v>0</v>
      </c>
      <c r="P106" s="461">
        <f t="shared" si="168"/>
        <v>0</v>
      </c>
      <c r="Q106" s="461">
        <f t="shared" si="169"/>
        <v>0</v>
      </c>
      <c r="R106" s="462">
        <f t="shared" si="170"/>
        <v>0</v>
      </c>
      <c r="S106" s="462">
        <f t="shared" si="171"/>
        <v>0</v>
      </c>
      <c r="T106" s="462">
        <f t="shared" si="172"/>
        <v>0</v>
      </c>
      <c r="U106" s="462">
        <f t="shared" si="173"/>
        <v>0</v>
      </c>
      <c r="V106" s="462">
        <f t="shared" si="174"/>
        <v>0</v>
      </c>
      <c r="W106" s="462">
        <f t="shared" si="175"/>
        <v>0</v>
      </c>
      <c r="X106" s="463">
        <f t="shared" si="176"/>
        <v>0</v>
      </c>
      <c r="Y106" s="464">
        <f t="shared" si="177"/>
        <v>0</v>
      </c>
      <c r="Z106" s="465" t="s">
        <v>209</v>
      </c>
      <c r="AA106" s="466">
        <f>SUM(J110:L110)</f>
        <v>0</v>
      </c>
    </row>
    <row r="107" spans="2:27" ht="12.75" customHeight="1" x14ac:dyDescent="0.25">
      <c r="B107" s="467"/>
      <c r="C107" s="468"/>
      <c r="D107" s="454"/>
      <c r="E107" s="454"/>
      <c r="F107" s="455"/>
      <c r="G107" s="455"/>
      <c r="H107" s="455"/>
      <c r="I107" s="456">
        <f t="shared" si="161"/>
        <v>0</v>
      </c>
      <c r="J107" s="457">
        <f t="shared" si="162"/>
        <v>0</v>
      </c>
      <c r="K107" s="458">
        <f t="shared" si="163"/>
        <v>0</v>
      </c>
      <c r="L107" s="458">
        <f t="shared" si="164"/>
        <v>0</v>
      </c>
      <c r="M107" s="458">
        <f t="shared" si="165"/>
        <v>0</v>
      </c>
      <c r="N107" s="459">
        <f t="shared" si="166"/>
        <v>0</v>
      </c>
      <c r="O107" s="460">
        <f t="shared" si="167"/>
        <v>0</v>
      </c>
      <c r="P107" s="461">
        <f t="shared" si="168"/>
        <v>0</v>
      </c>
      <c r="Q107" s="461">
        <f t="shared" si="169"/>
        <v>0</v>
      </c>
      <c r="R107" s="462">
        <f t="shared" si="170"/>
        <v>0</v>
      </c>
      <c r="S107" s="462">
        <f t="shared" si="171"/>
        <v>0</v>
      </c>
      <c r="T107" s="462">
        <f t="shared" si="172"/>
        <v>0</v>
      </c>
      <c r="U107" s="462">
        <f t="shared" si="173"/>
        <v>0</v>
      </c>
      <c r="V107" s="462">
        <f t="shared" si="174"/>
        <v>0</v>
      </c>
      <c r="W107" s="462">
        <f t="shared" si="175"/>
        <v>0</v>
      </c>
      <c r="X107" s="463">
        <f t="shared" si="176"/>
        <v>0</v>
      </c>
      <c r="Y107" s="464">
        <f t="shared" si="177"/>
        <v>0</v>
      </c>
      <c r="Z107" s="465" t="s">
        <v>36</v>
      </c>
      <c r="AA107" s="466">
        <f>M110</f>
        <v>0</v>
      </c>
    </row>
    <row r="108" spans="2:27" ht="12.75" customHeight="1" x14ac:dyDescent="0.25">
      <c r="B108" s="467"/>
      <c r="C108" s="493"/>
      <c r="D108" s="475"/>
      <c r="E108" s="454"/>
      <c r="F108" s="472"/>
      <c r="G108" s="473"/>
      <c r="H108" s="473"/>
      <c r="I108" s="456">
        <f t="shared" si="161"/>
        <v>0</v>
      </c>
      <c r="J108" s="474"/>
      <c r="K108" s="475"/>
      <c r="L108" s="475"/>
      <c r="M108" s="475"/>
      <c r="N108" s="459">
        <f t="shared" si="166"/>
        <v>0</v>
      </c>
      <c r="O108" s="476"/>
      <c r="P108" s="475"/>
      <c r="Q108" s="475"/>
      <c r="R108" s="477"/>
      <c r="S108" s="477"/>
      <c r="T108" s="477"/>
      <c r="U108" s="477"/>
      <c r="V108" s="477"/>
      <c r="W108" s="477"/>
      <c r="X108" s="478"/>
      <c r="Y108" s="464">
        <f t="shared" si="177"/>
        <v>0</v>
      </c>
      <c r="Z108" s="469" t="s">
        <v>212</v>
      </c>
      <c r="AA108" s="466">
        <f>SUM(O110:W110)</f>
        <v>0</v>
      </c>
    </row>
    <row r="109" spans="2:27" ht="13.5" customHeight="1" x14ac:dyDescent="0.25">
      <c r="B109" s="467"/>
      <c r="C109" s="493"/>
      <c r="D109" s="475"/>
      <c r="E109" s="454"/>
      <c r="F109" s="472"/>
      <c r="G109" s="473"/>
      <c r="H109" s="473"/>
      <c r="I109" s="456">
        <f t="shared" si="161"/>
        <v>0</v>
      </c>
      <c r="J109" s="474"/>
      <c r="K109" s="475"/>
      <c r="L109" s="475"/>
      <c r="M109" s="475"/>
      <c r="N109" s="459">
        <f t="shared" si="166"/>
        <v>0</v>
      </c>
      <c r="O109" s="479"/>
      <c r="P109" s="480"/>
      <c r="Q109" s="480"/>
      <c r="R109" s="481"/>
      <c r="S109" s="481"/>
      <c r="T109" s="481"/>
      <c r="U109" s="481"/>
      <c r="V109" s="481"/>
      <c r="W109" s="481"/>
      <c r="X109" s="482"/>
      <c r="Y109" s="464">
        <f t="shared" si="177"/>
        <v>0</v>
      </c>
      <c r="Z109" s="483" t="s">
        <v>13</v>
      </c>
      <c r="AA109" s="484">
        <f>SUM(AA102:AA108)</f>
        <v>0</v>
      </c>
    </row>
    <row r="110" spans="2:27" ht="13.5" customHeight="1" x14ac:dyDescent="0.25">
      <c r="B110" s="437"/>
      <c r="C110" s="485">
        <f t="shared" ref="C110:X110" si="178">SUM(C102:C109)</f>
        <v>0</v>
      </c>
      <c r="D110" s="486">
        <f t="shared" si="178"/>
        <v>0</v>
      </c>
      <c r="E110" s="486">
        <f t="shared" si="178"/>
        <v>0</v>
      </c>
      <c r="F110" s="486">
        <f t="shared" si="178"/>
        <v>0</v>
      </c>
      <c r="G110" s="486">
        <f t="shared" si="178"/>
        <v>0</v>
      </c>
      <c r="H110" s="486">
        <f t="shared" si="178"/>
        <v>0</v>
      </c>
      <c r="I110" s="487">
        <f t="shared" si="178"/>
        <v>0</v>
      </c>
      <c r="J110" s="485">
        <f t="shared" si="178"/>
        <v>0</v>
      </c>
      <c r="K110" s="486">
        <f t="shared" si="178"/>
        <v>0</v>
      </c>
      <c r="L110" s="486">
        <f t="shared" si="178"/>
        <v>0</v>
      </c>
      <c r="M110" s="486">
        <f t="shared" si="178"/>
        <v>0</v>
      </c>
      <c r="N110" s="487">
        <f t="shared" si="178"/>
        <v>0</v>
      </c>
      <c r="O110" s="485">
        <f t="shared" si="178"/>
        <v>0</v>
      </c>
      <c r="P110" s="486">
        <f t="shared" si="178"/>
        <v>0</v>
      </c>
      <c r="Q110" s="486">
        <f t="shared" si="178"/>
        <v>0</v>
      </c>
      <c r="R110" s="486">
        <f t="shared" si="178"/>
        <v>0</v>
      </c>
      <c r="S110" s="486">
        <f t="shared" si="178"/>
        <v>0</v>
      </c>
      <c r="T110" s="486">
        <f t="shared" si="178"/>
        <v>0</v>
      </c>
      <c r="U110" s="486">
        <f t="shared" si="178"/>
        <v>0</v>
      </c>
      <c r="V110" s="486">
        <f t="shared" si="178"/>
        <v>0</v>
      </c>
      <c r="W110" s="486">
        <f t="shared" si="178"/>
        <v>0</v>
      </c>
      <c r="X110" s="487">
        <f t="shared" si="178"/>
        <v>0</v>
      </c>
      <c r="Y110" s="488">
        <f t="shared" si="177"/>
        <v>0</v>
      </c>
      <c r="Z110" s="437"/>
      <c r="AA110" s="437"/>
    </row>
    <row r="111" spans="2:27" ht="13.5" customHeight="1" x14ac:dyDescent="0.25"/>
    <row r="112" spans="2:27" ht="12.75" customHeight="1" x14ac:dyDescent="0.25">
      <c r="B112" s="438" t="s">
        <v>158</v>
      </c>
      <c r="C112" s="439" t="s">
        <v>190</v>
      </c>
      <c r="D112" s="440" t="s">
        <v>213</v>
      </c>
      <c r="E112" s="440" t="s">
        <v>197</v>
      </c>
      <c r="F112" s="440" t="s">
        <v>198</v>
      </c>
      <c r="G112" s="440" t="s">
        <v>94</v>
      </c>
      <c r="H112" s="440" t="s">
        <v>96</v>
      </c>
      <c r="I112" s="441" t="s">
        <v>199</v>
      </c>
      <c r="J112" s="442" t="s">
        <v>168</v>
      </c>
      <c r="K112" s="443" t="s">
        <v>200</v>
      </c>
      <c r="L112" s="443" t="s">
        <v>201</v>
      </c>
      <c r="M112" s="444" t="s">
        <v>36</v>
      </c>
      <c r="N112" s="445" t="s">
        <v>202</v>
      </c>
      <c r="O112" s="446" t="s">
        <v>40</v>
      </c>
      <c r="P112" s="447" t="s">
        <v>169</v>
      </c>
      <c r="Q112" s="447" t="s">
        <v>203</v>
      </c>
      <c r="R112" s="447" t="s">
        <v>204</v>
      </c>
      <c r="S112" s="447" t="s">
        <v>205</v>
      </c>
      <c r="T112" s="447" t="s">
        <v>206</v>
      </c>
      <c r="U112" s="447" t="s">
        <v>207</v>
      </c>
      <c r="V112" s="447" t="s">
        <v>208</v>
      </c>
      <c r="W112" s="447" t="s">
        <v>209</v>
      </c>
      <c r="X112" s="448" t="s">
        <v>210</v>
      </c>
      <c r="Y112" s="449" t="s">
        <v>13</v>
      </c>
      <c r="Z112" s="450" t="s">
        <v>189</v>
      </c>
      <c r="AA112" s="451">
        <v>46327</v>
      </c>
    </row>
    <row r="113" spans="2:27" ht="12.75" customHeight="1" x14ac:dyDescent="0.25">
      <c r="B113" s="452"/>
      <c r="C113" s="453"/>
      <c r="D113" s="454"/>
      <c r="E113" s="454"/>
      <c r="F113" s="455"/>
      <c r="G113" s="455"/>
      <c r="H113" s="455"/>
      <c r="I113" s="456">
        <f t="shared" ref="I113:I120" si="179">SUM(C113:H113)</f>
        <v>0</v>
      </c>
      <c r="J113" s="457">
        <f t="shared" ref="J113:J118" si="180">C113*20%</f>
        <v>0</v>
      </c>
      <c r="K113" s="458">
        <f t="shared" ref="K113:K118" si="181">C113*1.5%</f>
        <v>0</v>
      </c>
      <c r="L113" s="458">
        <f t="shared" ref="L113:L118" si="182">C113*5.8%</f>
        <v>0</v>
      </c>
      <c r="M113" s="458">
        <f t="shared" ref="M113:M118" si="183">C113*8%</f>
        <v>0</v>
      </c>
      <c r="N113" s="459">
        <f t="shared" ref="N113:N120" si="184">SUM(J113:M113)</f>
        <v>0</v>
      </c>
      <c r="O113" s="460">
        <f t="shared" ref="O113:O118" si="185">C113/12</f>
        <v>0</v>
      </c>
      <c r="P113" s="461">
        <f t="shared" ref="P113:P118" si="186">O113/3</f>
        <v>0</v>
      </c>
      <c r="Q113" s="461">
        <f t="shared" ref="Q113:Q118" si="187">(O113+P113)*8%</f>
        <v>0</v>
      </c>
      <c r="R113" s="462">
        <f t="shared" ref="R113:R118" si="188">C113/12</f>
        <v>0</v>
      </c>
      <c r="S113" s="462">
        <f t="shared" ref="S113:S118" si="189">R113*8%</f>
        <v>0</v>
      </c>
      <c r="T113" s="462">
        <f t="shared" ref="T113:T118" si="190">C113/12</f>
        <v>0</v>
      </c>
      <c r="U113" s="462">
        <f t="shared" ref="U113:U118" si="191">T113*8%</f>
        <v>0</v>
      </c>
      <c r="V113" s="462">
        <f t="shared" ref="V113:V118" si="192">(M113+Q113+S113+U113)*50%</f>
        <v>0</v>
      </c>
      <c r="W113" s="462">
        <f t="shared" ref="W113:W118" si="193">(O113+P113+R113+T113)*27.3%</f>
        <v>0</v>
      </c>
      <c r="X113" s="463">
        <f t="shared" ref="X113:X118" si="194">SUM(O113:W113)</f>
        <v>0</v>
      </c>
      <c r="Y113" s="464">
        <f t="shared" ref="Y113:Y121" si="195">I113+N113+X113</f>
        <v>0</v>
      </c>
      <c r="Z113" s="465" t="s">
        <v>89</v>
      </c>
      <c r="AA113" s="466">
        <f>C121</f>
        <v>0</v>
      </c>
    </row>
    <row r="114" spans="2:27" ht="12.75" customHeight="1" x14ac:dyDescent="0.25">
      <c r="B114" s="467"/>
      <c r="C114" s="468"/>
      <c r="D114" s="454"/>
      <c r="E114" s="454"/>
      <c r="F114" s="455"/>
      <c r="G114" s="455"/>
      <c r="H114" s="455"/>
      <c r="I114" s="456">
        <f t="shared" si="179"/>
        <v>0</v>
      </c>
      <c r="J114" s="457">
        <f t="shared" si="180"/>
        <v>0</v>
      </c>
      <c r="K114" s="458">
        <f t="shared" si="181"/>
        <v>0</v>
      </c>
      <c r="L114" s="458">
        <f t="shared" si="182"/>
        <v>0</v>
      </c>
      <c r="M114" s="458">
        <f t="shared" si="183"/>
        <v>0</v>
      </c>
      <c r="N114" s="459">
        <f t="shared" si="184"/>
        <v>0</v>
      </c>
      <c r="O114" s="460">
        <f t="shared" si="185"/>
        <v>0</v>
      </c>
      <c r="P114" s="461">
        <f t="shared" si="186"/>
        <v>0</v>
      </c>
      <c r="Q114" s="461">
        <f t="shared" si="187"/>
        <v>0</v>
      </c>
      <c r="R114" s="462">
        <f t="shared" si="188"/>
        <v>0</v>
      </c>
      <c r="S114" s="462">
        <f t="shared" si="189"/>
        <v>0</v>
      </c>
      <c r="T114" s="462">
        <f t="shared" si="190"/>
        <v>0</v>
      </c>
      <c r="U114" s="462">
        <f t="shared" si="191"/>
        <v>0</v>
      </c>
      <c r="V114" s="462">
        <f t="shared" si="192"/>
        <v>0</v>
      </c>
      <c r="W114" s="462">
        <f t="shared" si="193"/>
        <v>0</v>
      </c>
      <c r="X114" s="463">
        <f t="shared" si="194"/>
        <v>0</v>
      </c>
      <c r="Y114" s="464">
        <f t="shared" si="195"/>
        <v>0</v>
      </c>
      <c r="Z114" s="469" t="s">
        <v>194</v>
      </c>
      <c r="AA114" s="466">
        <f>D121</f>
        <v>0</v>
      </c>
    </row>
    <row r="115" spans="2:27" ht="12.75" customHeight="1" x14ac:dyDescent="0.25">
      <c r="B115" s="467"/>
      <c r="C115" s="468"/>
      <c r="D115" s="454"/>
      <c r="E115" s="454"/>
      <c r="F115" s="455"/>
      <c r="G115" s="455"/>
      <c r="H115" s="455"/>
      <c r="I115" s="456">
        <f t="shared" si="179"/>
        <v>0</v>
      </c>
      <c r="J115" s="457">
        <f t="shared" si="180"/>
        <v>0</v>
      </c>
      <c r="K115" s="458">
        <f t="shared" si="181"/>
        <v>0</v>
      </c>
      <c r="L115" s="458">
        <f t="shared" si="182"/>
        <v>0</v>
      </c>
      <c r="M115" s="458">
        <f t="shared" si="183"/>
        <v>0</v>
      </c>
      <c r="N115" s="459">
        <f t="shared" si="184"/>
        <v>0</v>
      </c>
      <c r="O115" s="460">
        <f t="shared" si="185"/>
        <v>0</v>
      </c>
      <c r="P115" s="461">
        <f t="shared" si="186"/>
        <v>0</v>
      </c>
      <c r="Q115" s="461">
        <f t="shared" si="187"/>
        <v>0</v>
      </c>
      <c r="R115" s="462">
        <f t="shared" si="188"/>
        <v>0</v>
      </c>
      <c r="S115" s="462">
        <f t="shared" si="189"/>
        <v>0</v>
      </c>
      <c r="T115" s="462">
        <f t="shared" si="190"/>
        <v>0</v>
      </c>
      <c r="U115" s="462">
        <f t="shared" si="191"/>
        <v>0</v>
      </c>
      <c r="V115" s="462">
        <f t="shared" si="192"/>
        <v>0</v>
      </c>
      <c r="W115" s="462">
        <f t="shared" si="193"/>
        <v>0</v>
      </c>
      <c r="X115" s="463">
        <f t="shared" si="194"/>
        <v>0</v>
      </c>
      <c r="Y115" s="464">
        <f t="shared" si="195"/>
        <v>0</v>
      </c>
      <c r="Z115" s="469" t="s">
        <v>197</v>
      </c>
      <c r="AA115" s="466">
        <f>E121</f>
        <v>0</v>
      </c>
    </row>
    <row r="116" spans="2:27" ht="12.75" customHeight="1" x14ac:dyDescent="0.25">
      <c r="B116" s="467"/>
      <c r="C116" s="468"/>
      <c r="D116" s="454"/>
      <c r="E116" s="454"/>
      <c r="F116" s="455"/>
      <c r="G116" s="455"/>
      <c r="H116" s="455"/>
      <c r="I116" s="456">
        <f t="shared" si="179"/>
        <v>0</v>
      </c>
      <c r="J116" s="457">
        <f t="shared" si="180"/>
        <v>0</v>
      </c>
      <c r="K116" s="458">
        <f t="shared" si="181"/>
        <v>0</v>
      </c>
      <c r="L116" s="458">
        <f t="shared" si="182"/>
        <v>0</v>
      </c>
      <c r="M116" s="458">
        <f t="shared" si="183"/>
        <v>0</v>
      </c>
      <c r="N116" s="459">
        <f t="shared" si="184"/>
        <v>0</v>
      </c>
      <c r="O116" s="460">
        <f t="shared" si="185"/>
        <v>0</v>
      </c>
      <c r="P116" s="461">
        <f t="shared" si="186"/>
        <v>0</v>
      </c>
      <c r="Q116" s="461">
        <f t="shared" si="187"/>
        <v>0</v>
      </c>
      <c r="R116" s="462">
        <f t="shared" si="188"/>
        <v>0</v>
      </c>
      <c r="S116" s="462">
        <f t="shared" si="189"/>
        <v>0</v>
      </c>
      <c r="T116" s="462">
        <f t="shared" si="190"/>
        <v>0</v>
      </c>
      <c r="U116" s="462">
        <f t="shared" si="191"/>
        <v>0</v>
      </c>
      <c r="V116" s="462">
        <f t="shared" si="192"/>
        <v>0</v>
      </c>
      <c r="W116" s="462">
        <f t="shared" si="193"/>
        <v>0</v>
      </c>
      <c r="X116" s="463">
        <f t="shared" si="194"/>
        <v>0</v>
      </c>
      <c r="Y116" s="464">
        <f t="shared" si="195"/>
        <v>0</v>
      </c>
      <c r="Z116" s="469" t="s">
        <v>211</v>
      </c>
      <c r="AA116" s="466">
        <f>SUM(F121:H121)</f>
        <v>0</v>
      </c>
    </row>
    <row r="117" spans="2:27" ht="12.75" customHeight="1" x14ac:dyDescent="0.25">
      <c r="B117" s="467"/>
      <c r="C117" s="468"/>
      <c r="D117" s="454"/>
      <c r="E117" s="454"/>
      <c r="F117" s="455"/>
      <c r="G117" s="455"/>
      <c r="H117" s="455"/>
      <c r="I117" s="456">
        <f t="shared" si="179"/>
        <v>0</v>
      </c>
      <c r="J117" s="457">
        <f t="shared" si="180"/>
        <v>0</v>
      </c>
      <c r="K117" s="458">
        <f t="shared" si="181"/>
        <v>0</v>
      </c>
      <c r="L117" s="458">
        <f t="shared" si="182"/>
        <v>0</v>
      </c>
      <c r="M117" s="458">
        <f t="shared" si="183"/>
        <v>0</v>
      </c>
      <c r="N117" s="459">
        <f t="shared" si="184"/>
        <v>0</v>
      </c>
      <c r="O117" s="460">
        <f t="shared" si="185"/>
        <v>0</v>
      </c>
      <c r="P117" s="461">
        <f t="shared" si="186"/>
        <v>0</v>
      </c>
      <c r="Q117" s="461">
        <f t="shared" si="187"/>
        <v>0</v>
      </c>
      <c r="R117" s="462">
        <f t="shared" si="188"/>
        <v>0</v>
      </c>
      <c r="S117" s="462">
        <f t="shared" si="189"/>
        <v>0</v>
      </c>
      <c r="T117" s="462">
        <f t="shared" si="190"/>
        <v>0</v>
      </c>
      <c r="U117" s="462">
        <f t="shared" si="191"/>
        <v>0</v>
      </c>
      <c r="V117" s="462">
        <f t="shared" si="192"/>
        <v>0</v>
      </c>
      <c r="W117" s="462">
        <f t="shared" si="193"/>
        <v>0</v>
      </c>
      <c r="X117" s="463">
        <f t="shared" si="194"/>
        <v>0</v>
      </c>
      <c r="Y117" s="464">
        <f t="shared" si="195"/>
        <v>0</v>
      </c>
      <c r="Z117" s="465" t="s">
        <v>209</v>
      </c>
      <c r="AA117" s="466">
        <f>SUM(J121:L121)</f>
        <v>0</v>
      </c>
    </row>
    <row r="118" spans="2:27" ht="12.75" customHeight="1" x14ac:dyDescent="0.25">
      <c r="B118" s="467"/>
      <c r="C118" s="468"/>
      <c r="D118" s="454"/>
      <c r="E118" s="454"/>
      <c r="F118" s="455"/>
      <c r="G118" s="455"/>
      <c r="H118" s="455"/>
      <c r="I118" s="456">
        <f t="shared" si="179"/>
        <v>0</v>
      </c>
      <c r="J118" s="457">
        <f t="shared" si="180"/>
        <v>0</v>
      </c>
      <c r="K118" s="458">
        <f t="shared" si="181"/>
        <v>0</v>
      </c>
      <c r="L118" s="458">
        <f t="shared" si="182"/>
        <v>0</v>
      </c>
      <c r="M118" s="458">
        <f t="shared" si="183"/>
        <v>0</v>
      </c>
      <c r="N118" s="459">
        <f t="shared" si="184"/>
        <v>0</v>
      </c>
      <c r="O118" s="460">
        <f t="shared" si="185"/>
        <v>0</v>
      </c>
      <c r="P118" s="461">
        <f t="shared" si="186"/>
        <v>0</v>
      </c>
      <c r="Q118" s="461">
        <f t="shared" si="187"/>
        <v>0</v>
      </c>
      <c r="R118" s="462">
        <f t="shared" si="188"/>
        <v>0</v>
      </c>
      <c r="S118" s="462">
        <f t="shared" si="189"/>
        <v>0</v>
      </c>
      <c r="T118" s="462">
        <f t="shared" si="190"/>
        <v>0</v>
      </c>
      <c r="U118" s="462">
        <f t="shared" si="191"/>
        <v>0</v>
      </c>
      <c r="V118" s="462">
        <f t="shared" si="192"/>
        <v>0</v>
      </c>
      <c r="W118" s="462">
        <f t="shared" si="193"/>
        <v>0</v>
      </c>
      <c r="X118" s="463">
        <f t="shared" si="194"/>
        <v>0</v>
      </c>
      <c r="Y118" s="464">
        <f t="shared" si="195"/>
        <v>0</v>
      </c>
      <c r="Z118" s="465" t="s">
        <v>36</v>
      </c>
      <c r="AA118" s="466">
        <f>M121</f>
        <v>0</v>
      </c>
    </row>
    <row r="119" spans="2:27" ht="12.75" customHeight="1" x14ac:dyDescent="0.25">
      <c r="B119" s="467"/>
      <c r="C119" s="493"/>
      <c r="D119" s="475"/>
      <c r="E119" s="454"/>
      <c r="F119" s="472"/>
      <c r="G119" s="473"/>
      <c r="H119" s="473"/>
      <c r="I119" s="456">
        <f t="shared" si="179"/>
        <v>0</v>
      </c>
      <c r="J119" s="474"/>
      <c r="K119" s="475"/>
      <c r="L119" s="475"/>
      <c r="M119" s="475"/>
      <c r="N119" s="459">
        <f t="shared" si="184"/>
        <v>0</v>
      </c>
      <c r="O119" s="476"/>
      <c r="P119" s="475"/>
      <c r="Q119" s="475"/>
      <c r="R119" s="477"/>
      <c r="S119" s="477"/>
      <c r="T119" s="477"/>
      <c r="U119" s="477"/>
      <c r="V119" s="477"/>
      <c r="W119" s="477"/>
      <c r="X119" s="478"/>
      <c r="Y119" s="464">
        <f t="shared" si="195"/>
        <v>0</v>
      </c>
      <c r="Z119" s="469" t="s">
        <v>212</v>
      </c>
      <c r="AA119" s="466">
        <f>SUM(O121:W121)</f>
        <v>0</v>
      </c>
    </row>
    <row r="120" spans="2:27" ht="13.5" customHeight="1" x14ac:dyDescent="0.25">
      <c r="B120" s="467"/>
      <c r="C120" s="493"/>
      <c r="D120" s="475"/>
      <c r="E120" s="454"/>
      <c r="F120" s="472"/>
      <c r="G120" s="473"/>
      <c r="H120" s="473"/>
      <c r="I120" s="456">
        <f t="shared" si="179"/>
        <v>0</v>
      </c>
      <c r="J120" s="474"/>
      <c r="K120" s="475"/>
      <c r="L120" s="475"/>
      <c r="M120" s="475"/>
      <c r="N120" s="459">
        <f t="shared" si="184"/>
        <v>0</v>
      </c>
      <c r="O120" s="479"/>
      <c r="P120" s="480"/>
      <c r="Q120" s="480"/>
      <c r="R120" s="481"/>
      <c r="S120" s="481"/>
      <c r="T120" s="481"/>
      <c r="U120" s="481"/>
      <c r="V120" s="481"/>
      <c r="W120" s="481"/>
      <c r="X120" s="482"/>
      <c r="Y120" s="464">
        <f t="shared" si="195"/>
        <v>0</v>
      </c>
      <c r="Z120" s="483" t="s">
        <v>13</v>
      </c>
      <c r="AA120" s="484">
        <f>SUM(AA113:AA119)</f>
        <v>0</v>
      </c>
    </row>
    <row r="121" spans="2:27" ht="13.5" customHeight="1" x14ac:dyDescent="0.25">
      <c r="B121" s="437"/>
      <c r="C121" s="485">
        <f t="shared" ref="C121:X121" si="196">SUM(C113:C120)</f>
        <v>0</v>
      </c>
      <c r="D121" s="486">
        <f t="shared" si="196"/>
        <v>0</v>
      </c>
      <c r="E121" s="486">
        <f t="shared" si="196"/>
        <v>0</v>
      </c>
      <c r="F121" s="486">
        <f t="shared" si="196"/>
        <v>0</v>
      </c>
      <c r="G121" s="486">
        <f t="shared" si="196"/>
        <v>0</v>
      </c>
      <c r="H121" s="486">
        <f t="shared" si="196"/>
        <v>0</v>
      </c>
      <c r="I121" s="487">
        <f t="shared" si="196"/>
        <v>0</v>
      </c>
      <c r="J121" s="485">
        <f t="shared" si="196"/>
        <v>0</v>
      </c>
      <c r="K121" s="486">
        <f t="shared" si="196"/>
        <v>0</v>
      </c>
      <c r="L121" s="486">
        <f t="shared" si="196"/>
        <v>0</v>
      </c>
      <c r="M121" s="486">
        <f t="shared" si="196"/>
        <v>0</v>
      </c>
      <c r="N121" s="487">
        <f t="shared" si="196"/>
        <v>0</v>
      </c>
      <c r="O121" s="485">
        <f t="shared" si="196"/>
        <v>0</v>
      </c>
      <c r="P121" s="486">
        <f t="shared" si="196"/>
        <v>0</v>
      </c>
      <c r="Q121" s="486">
        <f t="shared" si="196"/>
        <v>0</v>
      </c>
      <c r="R121" s="486">
        <f t="shared" si="196"/>
        <v>0</v>
      </c>
      <c r="S121" s="486">
        <f t="shared" si="196"/>
        <v>0</v>
      </c>
      <c r="T121" s="486">
        <f t="shared" si="196"/>
        <v>0</v>
      </c>
      <c r="U121" s="486">
        <f t="shared" si="196"/>
        <v>0</v>
      </c>
      <c r="V121" s="486">
        <f t="shared" si="196"/>
        <v>0</v>
      </c>
      <c r="W121" s="486">
        <f t="shared" si="196"/>
        <v>0</v>
      </c>
      <c r="X121" s="487">
        <f t="shared" si="196"/>
        <v>0</v>
      </c>
      <c r="Y121" s="488">
        <f t="shared" si="195"/>
        <v>0</v>
      </c>
      <c r="Z121" s="437"/>
      <c r="AA121" s="437"/>
    </row>
    <row r="122" spans="2:27" ht="13.5" customHeight="1" x14ac:dyDescent="0.25"/>
    <row r="123" spans="2:27" ht="12.75" customHeight="1" x14ac:dyDescent="0.25">
      <c r="B123" s="438" t="s">
        <v>158</v>
      </c>
      <c r="C123" s="439" t="s">
        <v>190</v>
      </c>
      <c r="D123" s="440" t="s">
        <v>213</v>
      </c>
      <c r="E123" s="440" t="s">
        <v>197</v>
      </c>
      <c r="F123" s="440" t="s">
        <v>198</v>
      </c>
      <c r="G123" s="440" t="s">
        <v>94</v>
      </c>
      <c r="H123" s="440" t="s">
        <v>96</v>
      </c>
      <c r="I123" s="441" t="s">
        <v>199</v>
      </c>
      <c r="J123" s="442" t="s">
        <v>168</v>
      </c>
      <c r="K123" s="443" t="s">
        <v>200</v>
      </c>
      <c r="L123" s="443" t="s">
        <v>201</v>
      </c>
      <c r="M123" s="444" t="s">
        <v>36</v>
      </c>
      <c r="N123" s="445" t="s">
        <v>202</v>
      </c>
      <c r="O123" s="446" t="s">
        <v>40</v>
      </c>
      <c r="P123" s="447" t="s">
        <v>169</v>
      </c>
      <c r="Q123" s="447" t="s">
        <v>203</v>
      </c>
      <c r="R123" s="447" t="s">
        <v>204</v>
      </c>
      <c r="S123" s="447" t="s">
        <v>205</v>
      </c>
      <c r="T123" s="447" t="s">
        <v>206</v>
      </c>
      <c r="U123" s="447" t="s">
        <v>207</v>
      </c>
      <c r="V123" s="447" t="s">
        <v>208</v>
      </c>
      <c r="W123" s="447" t="s">
        <v>209</v>
      </c>
      <c r="X123" s="448" t="s">
        <v>210</v>
      </c>
      <c r="Y123" s="449" t="s">
        <v>13</v>
      </c>
      <c r="Z123" s="450" t="s">
        <v>189</v>
      </c>
      <c r="AA123" s="451">
        <v>46357</v>
      </c>
    </row>
    <row r="124" spans="2:27" ht="12.75" customHeight="1" x14ac:dyDescent="0.25">
      <c r="B124" s="452"/>
      <c r="C124" s="453"/>
      <c r="D124" s="454"/>
      <c r="E124" s="454"/>
      <c r="F124" s="455"/>
      <c r="G124" s="455"/>
      <c r="H124" s="455"/>
      <c r="I124" s="456">
        <f t="shared" ref="I124:I131" si="197">SUM(C124:H124)</f>
        <v>0</v>
      </c>
      <c r="J124" s="457">
        <f t="shared" ref="J124:J129" si="198">C124*20%</f>
        <v>0</v>
      </c>
      <c r="K124" s="458">
        <f t="shared" ref="K124:K129" si="199">C124*1.5%</f>
        <v>0</v>
      </c>
      <c r="L124" s="458">
        <f t="shared" ref="L124:L129" si="200">C124*5.8%</f>
        <v>0</v>
      </c>
      <c r="M124" s="458">
        <f t="shared" ref="M124:M129" si="201">C124*8%</f>
        <v>0</v>
      </c>
      <c r="N124" s="459">
        <f t="shared" ref="N124:N131" si="202">SUM(J124:M124)</f>
        <v>0</v>
      </c>
      <c r="O124" s="460">
        <f t="shared" ref="O124:O129" si="203">C124/12</f>
        <v>0</v>
      </c>
      <c r="P124" s="461">
        <f t="shared" ref="P124:P129" si="204">O124/3</f>
        <v>0</v>
      </c>
      <c r="Q124" s="461">
        <f t="shared" ref="Q124:Q129" si="205">(O124+P124)*8%</f>
        <v>0</v>
      </c>
      <c r="R124" s="462">
        <f t="shared" ref="R124:R129" si="206">C124/12</f>
        <v>0</v>
      </c>
      <c r="S124" s="462">
        <f t="shared" ref="S124:S129" si="207">R124*8%</f>
        <v>0</v>
      </c>
      <c r="T124" s="462">
        <f t="shared" ref="T124:T129" si="208">C124/12</f>
        <v>0</v>
      </c>
      <c r="U124" s="462">
        <f t="shared" ref="U124:U129" si="209">T124*8%</f>
        <v>0</v>
      </c>
      <c r="V124" s="462">
        <f t="shared" ref="V124:V129" si="210">(M124+Q124+S124+U124)*50%</f>
        <v>0</v>
      </c>
      <c r="W124" s="462">
        <f t="shared" ref="W124:W129" si="211">(O124+P124+R124+T124)*27.3%</f>
        <v>0</v>
      </c>
      <c r="X124" s="463">
        <f t="shared" ref="X124:X129" si="212">SUM(O124:W124)</f>
        <v>0</v>
      </c>
      <c r="Y124" s="464">
        <f t="shared" ref="Y124:Y132" si="213">I124+N124+X124</f>
        <v>0</v>
      </c>
      <c r="Z124" s="465" t="s">
        <v>89</v>
      </c>
      <c r="AA124" s="466">
        <f>C132</f>
        <v>0</v>
      </c>
    </row>
    <row r="125" spans="2:27" ht="12.75" customHeight="1" x14ac:dyDescent="0.25">
      <c r="B125" s="467"/>
      <c r="C125" s="468"/>
      <c r="D125" s="454"/>
      <c r="E125" s="454"/>
      <c r="F125" s="455"/>
      <c r="G125" s="455"/>
      <c r="H125" s="455"/>
      <c r="I125" s="456">
        <f t="shared" si="197"/>
        <v>0</v>
      </c>
      <c r="J125" s="457">
        <f t="shared" si="198"/>
        <v>0</v>
      </c>
      <c r="K125" s="458">
        <f t="shared" si="199"/>
        <v>0</v>
      </c>
      <c r="L125" s="458">
        <f t="shared" si="200"/>
        <v>0</v>
      </c>
      <c r="M125" s="458">
        <f t="shared" si="201"/>
        <v>0</v>
      </c>
      <c r="N125" s="459">
        <f t="shared" si="202"/>
        <v>0</v>
      </c>
      <c r="O125" s="460">
        <f t="shared" si="203"/>
        <v>0</v>
      </c>
      <c r="P125" s="461">
        <f t="shared" si="204"/>
        <v>0</v>
      </c>
      <c r="Q125" s="461">
        <f t="shared" si="205"/>
        <v>0</v>
      </c>
      <c r="R125" s="462">
        <f t="shared" si="206"/>
        <v>0</v>
      </c>
      <c r="S125" s="462">
        <f t="shared" si="207"/>
        <v>0</v>
      </c>
      <c r="T125" s="462">
        <f t="shared" si="208"/>
        <v>0</v>
      </c>
      <c r="U125" s="462">
        <f t="shared" si="209"/>
        <v>0</v>
      </c>
      <c r="V125" s="462">
        <f t="shared" si="210"/>
        <v>0</v>
      </c>
      <c r="W125" s="462">
        <f t="shared" si="211"/>
        <v>0</v>
      </c>
      <c r="X125" s="463">
        <f t="shared" si="212"/>
        <v>0</v>
      </c>
      <c r="Y125" s="464">
        <f t="shared" si="213"/>
        <v>0</v>
      </c>
      <c r="Z125" s="469" t="s">
        <v>194</v>
      </c>
      <c r="AA125" s="466">
        <f>D132</f>
        <v>0</v>
      </c>
    </row>
    <row r="126" spans="2:27" ht="12.75" customHeight="1" x14ac:dyDescent="0.25">
      <c r="B126" s="467"/>
      <c r="C126" s="468"/>
      <c r="D126" s="454"/>
      <c r="E126" s="454"/>
      <c r="F126" s="455"/>
      <c r="G126" s="455"/>
      <c r="H126" s="455"/>
      <c r="I126" s="456">
        <f t="shared" si="197"/>
        <v>0</v>
      </c>
      <c r="J126" s="457">
        <f t="shared" si="198"/>
        <v>0</v>
      </c>
      <c r="K126" s="458">
        <f t="shared" si="199"/>
        <v>0</v>
      </c>
      <c r="L126" s="458">
        <f t="shared" si="200"/>
        <v>0</v>
      </c>
      <c r="M126" s="458">
        <f t="shared" si="201"/>
        <v>0</v>
      </c>
      <c r="N126" s="459">
        <f t="shared" si="202"/>
        <v>0</v>
      </c>
      <c r="O126" s="460">
        <f t="shared" si="203"/>
        <v>0</v>
      </c>
      <c r="P126" s="461">
        <f t="shared" si="204"/>
        <v>0</v>
      </c>
      <c r="Q126" s="461">
        <f t="shared" si="205"/>
        <v>0</v>
      </c>
      <c r="R126" s="462">
        <f t="shared" si="206"/>
        <v>0</v>
      </c>
      <c r="S126" s="462">
        <f t="shared" si="207"/>
        <v>0</v>
      </c>
      <c r="T126" s="462">
        <f t="shared" si="208"/>
        <v>0</v>
      </c>
      <c r="U126" s="462">
        <f t="shared" si="209"/>
        <v>0</v>
      </c>
      <c r="V126" s="462">
        <f t="shared" si="210"/>
        <v>0</v>
      </c>
      <c r="W126" s="462">
        <f t="shared" si="211"/>
        <v>0</v>
      </c>
      <c r="X126" s="463">
        <f t="shared" si="212"/>
        <v>0</v>
      </c>
      <c r="Y126" s="464">
        <f t="shared" si="213"/>
        <v>0</v>
      </c>
      <c r="Z126" s="469" t="s">
        <v>197</v>
      </c>
      <c r="AA126" s="466">
        <f>E132</f>
        <v>0</v>
      </c>
    </row>
    <row r="127" spans="2:27" ht="12.75" customHeight="1" x14ac:dyDescent="0.25">
      <c r="B127" s="467"/>
      <c r="C127" s="468"/>
      <c r="D127" s="454"/>
      <c r="E127" s="454"/>
      <c r="F127" s="455"/>
      <c r="G127" s="455"/>
      <c r="H127" s="455"/>
      <c r="I127" s="456">
        <f t="shared" si="197"/>
        <v>0</v>
      </c>
      <c r="J127" s="457">
        <f t="shared" si="198"/>
        <v>0</v>
      </c>
      <c r="K127" s="458">
        <f t="shared" si="199"/>
        <v>0</v>
      </c>
      <c r="L127" s="458">
        <f t="shared" si="200"/>
        <v>0</v>
      </c>
      <c r="M127" s="458">
        <f t="shared" si="201"/>
        <v>0</v>
      </c>
      <c r="N127" s="459">
        <f t="shared" si="202"/>
        <v>0</v>
      </c>
      <c r="O127" s="460">
        <f t="shared" si="203"/>
        <v>0</v>
      </c>
      <c r="P127" s="461">
        <f t="shared" si="204"/>
        <v>0</v>
      </c>
      <c r="Q127" s="461">
        <f t="shared" si="205"/>
        <v>0</v>
      </c>
      <c r="R127" s="462">
        <f t="shared" si="206"/>
        <v>0</v>
      </c>
      <c r="S127" s="462">
        <f t="shared" si="207"/>
        <v>0</v>
      </c>
      <c r="T127" s="462">
        <f t="shared" si="208"/>
        <v>0</v>
      </c>
      <c r="U127" s="462">
        <f t="shared" si="209"/>
        <v>0</v>
      </c>
      <c r="V127" s="462">
        <f t="shared" si="210"/>
        <v>0</v>
      </c>
      <c r="W127" s="462">
        <f t="shared" si="211"/>
        <v>0</v>
      </c>
      <c r="X127" s="463">
        <f t="shared" si="212"/>
        <v>0</v>
      </c>
      <c r="Y127" s="464">
        <f t="shared" si="213"/>
        <v>0</v>
      </c>
      <c r="Z127" s="469" t="s">
        <v>211</v>
      </c>
      <c r="AA127" s="466">
        <f>SUM(F132:H132)</f>
        <v>0</v>
      </c>
    </row>
    <row r="128" spans="2:27" ht="12.75" customHeight="1" x14ac:dyDescent="0.25">
      <c r="B128" s="467"/>
      <c r="C128" s="468"/>
      <c r="D128" s="454"/>
      <c r="E128" s="454"/>
      <c r="F128" s="455"/>
      <c r="G128" s="455"/>
      <c r="H128" s="455"/>
      <c r="I128" s="456">
        <f t="shared" si="197"/>
        <v>0</v>
      </c>
      <c r="J128" s="457">
        <f t="shared" si="198"/>
        <v>0</v>
      </c>
      <c r="K128" s="458">
        <f t="shared" si="199"/>
        <v>0</v>
      </c>
      <c r="L128" s="458">
        <f t="shared" si="200"/>
        <v>0</v>
      </c>
      <c r="M128" s="458">
        <f t="shared" si="201"/>
        <v>0</v>
      </c>
      <c r="N128" s="459">
        <f t="shared" si="202"/>
        <v>0</v>
      </c>
      <c r="O128" s="460">
        <f t="shared" si="203"/>
        <v>0</v>
      </c>
      <c r="P128" s="461">
        <f t="shared" si="204"/>
        <v>0</v>
      </c>
      <c r="Q128" s="461">
        <f t="shared" si="205"/>
        <v>0</v>
      </c>
      <c r="R128" s="462">
        <f t="shared" si="206"/>
        <v>0</v>
      </c>
      <c r="S128" s="462">
        <f t="shared" si="207"/>
        <v>0</v>
      </c>
      <c r="T128" s="462">
        <f t="shared" si="208"/>
        <v>0</v>
      </c>
      <c r="U128" s="462">
        <f t="shared" si="209"/>
        <v>0</v>
      </c>
      <c r="V128" s="462">
        <f t="shared" si="210"/>
        <v>0</v>
      </c>
      <c r="W128" s="462">
        <f t="shared" si="211"/>
        <v>0</v>
      </c>
      <c r="X128" s="463">
        <f t="shared" si="212"/>
        <v>0</v>
      </c>
      <c r="Y128" s="464">
        <f t="shared" si="213"/>
        <v>0</v>
      </c>
      <c r="Z128" s="465" t="s">
        <v>209</v>
      </c>
      <c r="AA128" s="466">
        <f>SUM(J132:L132)</f>
        <v>0</v>
      </c>
    </row>
    <row r="129" spans="2:27" ht="12.75" customHeight="1" x14ac:dyDescent="0.25">
      <c r="B129" s="467"/>
      <c r="C129" s="468"/>
      <c r="D129" s="454"/>
      <c r="E129" s="454"/>
      <c r="F129" s="455"/>
      <c r="G129" s="455"/>
      <c r="H129" s="455"/>
      <c r="I129" s="456">
        <f t="shared" si="197"/>
        <v>0</v>
      </c>
      <c r="J129" s="457">
        <f t="shared" si="198"/>
        <v>0</v>
      </c>
      <c r="K129" s="458">
        <f t="shared" si="199"/>
        <v>0</v>
      </c>
      <c r="L129" s="458">
        <f t="shared" si="200"/>
        <v>0</v>
      </c>
      <c r="M129" s="458">
        <f t="shared" si="201"/>
        <v>0</v>
      </c>
      <c r="N129" s="459">
        <f t="shared" si="202"/>
        <v>0</v>
      </c>
      <c r="O129" s="460">
        <f t="shared" si="203"/>
        <v>0</v>
      </c>
      <c r="P129" s="461">
        <f t="shared" si="204"/>
        <v>0</v>
      </c>
      <c r="Q129" s="461">
        <f t="shared" si="205"/>
        <v>0</v>
      </c>
      <c r="R129" s="462">
        <f t="shared" si="206"/>
        <v>0</v>
      </c>
      <c r="S129" s="462">
        <f t="shared" si="207"/>
        <v>0</v>
      </c>
      <c r="T129" s="462">
        <f t="shared" si="208"/>
        <v>0</v>
      </c>
      <c r="U129" s="462">
        <f t="shared" si="209"/>
        <v>0</v>
      </c>
      <c r="V129" s="462">
        <f t="shared" si="210"/>
        <v>0</v>
      </c>
      <c r="W129" s="462">
        <f t="shared" si="211"/>
        <v>0</v>
      </c>
      <c r="X129" s="463">
        <f t="shared" si="212"/>
        <v>0</v>
      </c>
      <c r="Y129" s="464">
        <f t="shared" si="213"/>
        <v>0</v>
      </c>
      <c r="Z129" s="465" t="s">
        <v>36</v>
      </c>
      <c r="AA129" s="466">
        <f>M132</f>
        <v>0</v>
      </c>
    </row>
    <row r="130" spans="2:27" ht="12.75" customHeight="1" x14ac:dyDescent="0.25">
      <c r="B130" s="467"/>
      <c r="C130" s="493"/>
      <c r="D130" s="475"/>
      <c r="E130" s="454"/>
      <c r="F130" s="472"/>
      <c r="G130" s="473"/>
      <c r="H130" s="473"/>
      <c r="I130" s="456">
        <f t="shared" si="197"/>
        <v>0</v>
      </c>
      <c r="J130" s="474"/>
      <c r="K130" s="475"/>
      <c r="L130" s="475"/>
      <c r="M130" s="475"/>
      <c r="N130" s="459">
        <f t="shared" si="202"/>
        <v>0</v>
      </c>
      <c r="O130" s="476"/>
      <c r="P130" s="475"/>
      <c r="Q130" s="475"/>
      <c r="R130" s="477"/>
      <c r="S130" s="477"/>
      <c r="T130" s="477"/>
      <c r="U130" s="477"/>
      <c r="V130" s="477"/>
      <c r="W130" s="477"/>
      <c r="X130" s="478"/>
      <c r="Y130" s="464">
        <f t="shared" si="213"/>
        <v>0</v>
      </c>
      <c r="Z130" s="469" t="s">
        <v>212</v>
      </c>
      <c r="AA130" s="466">
        <f>SUM(O132:W132)</f>
        <v>0</v>
      </c>
    </row>
    <row r="131" spans="2:27" ht="13.5" customHeight="1" x14ac:dyDescent="0.25">
      <c r="B131" s="467"/>
      <c r="C131" s="493"/>
      <c r="D131" s="475"/>
      <c r="E131" s="454"/>
      <c r="F131" s="472"/>
      <c r="G131" s="473"/>
      <c r="H131" s="473"/>
      <c r="I131" s="456">
        <f t="shared" si="197"/>
        <v>0</v>
      </c>
      <c r="J131" s="474"/>
      <c r="K131" s="475"/>
      <c r="L131" s="475"/>
      <c r="M131" s="475"/>
      <c r="N131" s="459">
        <f t="shared" si="202"/>
        <v>0</v>
      </c>
      <c r="O131" s="479"/>
      <c r="P131" s="480"/>
      <c r="Q131" s="480"/>
      <c r="R131" s="481"/>
      <c r="S131" s="481"/>
      <c r="T131" s="481"/>
      <c r="U131" s="481"/>
      <c r="V131" s="481"/>
      <c r="W131" s="481"/>
      <c r="X131" s="482"/>
      <c r="Y131" s="464">
        <f t="shared" si="213"/>
        <v>0</v>
      </c>
      <c r="Z131" s="483" t="s">
        <v>13</v>
      </c>
      <c r="AA131" s="484">
        <f>SUM(AA124:AA130)</f>
        <v>0</v>
      </c>
    </row>
    <row r="132" spans="2:27" ht="13.5" customHeight="1" x14ac:dyDescent="0.25">
      <c r="B132" s="437"/>
      <c r="C132" s="485">
        <f t="shared" ref="C132:X132" si="214">SUM(C124:C131)</f>
        <v>0</v>
      </c>
      <c r="D132" s="486">
        <f t="shared" si="214"/>
        <v>0</v>
      </c>
      <c r="E132" s="486">
        <f t="shared" si="214"/>
        <v>0</v>
      </c>
      <c r="F132" s="486">
        <f t="shared" si="214"/>
        <v>0</v>
      </c>
      <c r="G132" s="486">
        <f t="shared" si="214"/>
        <v>0</v>
      </c>
      <c r="H132" s="486">
        <f t="shared" si="214"/>
        <v>0</v>
      </c>
      <c r="I132" s="487">
        <f t="shared" si="214"/>
        <v>0</v>
      </c>
      <c r="J132" s="485">
        <f t="shared" si="214"/>
        <v>0</v>
      </c>
      <c r="K132" s="486">
        <f t="shared" si="214"/>
        <v>0</v>
      </c>
      <c r="L132" s="486">
        <f t="shared" si="214"/>
        <v>0</v>
      </c>
      <c r="M132" s="486">
        <f t="shared" si="214"/>
        <v>0</v>
      </c>
      <c r="N132" s="487">
        <f t="shared" si="214"/>
        <v>0</v>
      </c>
      <c r="O132" s="485">
        <f t="shared" si="214"/>
        <v>0</v>
      </c>
      <c r="P132" s="486">
        <f t="shared" si="214"/>
        <v>0</v>
      </c>
      <c r="Q132" s="486">
        <f t="shared" si="214"/>
        <v>0</v>
      </c>
      <c r="R132" s="486">
        <f t="shared" si="214"/>
        <v>0</v>
      </c>
      <c r="S132" s="486">
        <f t="shared" si="214"/>
        <v>0</v>
      </c>
      <c r="T132" s="486">
        <f t="shared" si="214"/>
        <v>0</v>
      </c>
      <c r="U132" s="486">
        <f t="shared" si="214"/>
        <v>0</v>
      </c>
      <c r="V132" s="486">
        <f t="shared" si="214"/>
        <v>0</v>
      </c>
      <c r="W132" s="486">
        <f t="shared" si="214"/>
        <v>0</v>
      </c>
      <c r="X132" s="487">
        <f t="shared" si="214"/>
        <v>0</v>
      </c>
      <c r="Y132" s="488">
        <f t="shared" si="213"/>
        <v>0</v>
      </c>
      <c r="Z132" s="437"/>
      <c r="AA132" s="437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92D050"/>
  </sheetPr>
  <dimension ref="A2:AC60"/>
  <sheetViews>
    <sheetView showGridLines="0" zoomScale="90" zoomScaleNormal="90" workbookViewId="0">
      <selection activeCell="Z22" sqref="Z22"/>
    </sheetView>
  </sheetViews>
  <sheetFormatPr defaultColWidth="9.140625" defaultRowHeight="15" x14ac:dyDescent="0.25"/>
  <cols>
    <col min="1" max="1" width="4.42578125" style="174" customWidth="1"/>
    <col min="2" max="2" width="10.28515625" style="174" customWidth="1"/>
    <col min="3" max="3" width="10" style="174" customWidth="1"/>
    <col min="4" max="4" width="13.140625" style="174" customWidth="1"/>
    <col min="5" max="5" width="12.7109375" style="174" customWidth="1"/>
    <col min="6" max="6" width="8.42578125" style="174" customWidth="1"/>
    <col min="7" max="7" width="7.85546875" style="174" customWidth="1"/>
    <col min="8" max="9" width="10.5703125" style="174" customWidth="1"/>
    <col min="10" max="10" width="8.5703125" style="174" customWidth="1"/>
    <col min="11" max="11" width="11.140625" style="174" customWidth="1"/>
    <col min="12" max="12" width="9.85546875" style="174" customWidth="1"/>
    <col min="13" max="13" width="11.85546875" style="174" customWidth="1"/>
    <col min="14" max="14" width="11.5703125" style="174" customWidth="1"/>
    <col min="15" max="15" width="9.5703125" style="174" customWidth="1"/>
    <col min="16" max="16" width="6.7109375" style="174" customWidth="1"/>
    <col min="17" max="17" width="23.28515625" style="174" customWidth="1"/>
    <col min="18" max="18" width="7.28515625" style="174" customWidth="1"/>
    <col min="19" max="20" width="8.85546875" style="174" customWidth="1"/>
    <col min="21" max="21" width="7.28515625" style="174" customWidth="1"/>
    <col min="22" max="22" width="5.85546875" style="174" customWidth="1"/>
    <col min="23" max="23" width="5.42578125" style="174" customWidth="1"/>
    <col min="24" max="24" width="4.85546875" style="174" customWidth="1"/>
    <col min="25" max="25" width="5.85546875" style="174" customWidth="1"/>
    <col min="26" max="26" width="5.28515625" style="174" customWidth="1"/>
    <col min="27" max="27" width="5.7109375" style="174" customWidth="1"/>
    <col min="28" max="28" width="6" style="174" customWidth="1"/>
    <col min="29" max="29" width="5.7109375" style="174" customWidth="1"/>
    <col min="30" max="30" width="9.140625" style="174"/>
    <col min="31" max="31" width="4.42578125" style="174" customWidth="1"/>
    <col min="32" max="32" width="10" style="174" customWidth="1"/>
    <col min="33" max="33" width="13.140625" style="174" customWidth="1"/>
    <col min="34" max="34" width="12.7109375" style="174" customWidth="1"/>
    <col min="35" max="35" width="7.85546875" style="174" customWidth="1"/>
    <col min="36" max="36" width="11.85546875" style="174" customWidth="1"/>
    <col min="37" max="37" width="7.85546875" style="174" customWidth="1"/>
    <col min="38" max="38" width="9.140625" style="174"/>
    <col min="39" max="41" width="10.140625" style="174" customWidth="1"/>
    <col min="42" max="42" width="11.5703125" style="174" customWidth="1"/>
    <col min="43" max="44" width="10.140625" style="174" customWidth="1"/>
    <col min="45" max="16384" width="9.140625" style="174"/>
  </cols>
  <sheetData>
    <row r="2" spans="1:29" ht="15" customHeight="1" x14ac:dyDescent="0.25">
      <c r="A2" s="793" t="s">
        <v>214</v>
      </c>
      <c r="B2" s="175" t="s">
        <v>215</v>
      </c>
      <c r="C2" s="176" t="s">
        <v>70</v>
      </c>
      <c r="D2" s="176" t="s">
        <v>71</v>
      </c>
      <c r="E2" s="176" t="s">
        <v>72</v>
      </c>
      <c r="F2" s="176" t="s">
        <v>73</v>
      </c>
      <c r="G2" s="176" t="s">
        <v>74</v>
      </c>
      <c r="H2" s="176" t="s">
        <v>75</v>
      </c>
      <c r="I2" s="176" t="s">
        <v>76</v>
      </c>
      <c r="J2" s="176" t="s">
        <v>77</v>
      </c>
      <c r="K2" s="176" t="s">
        <v>78</v>
      </c>
      <c r="L2" s="176" t="s">
        <v>79</v>
      </c>
      <c r="M2" s="176" t="s">
        <v>80</v>
      </c>
      <c r="N2" s="176" t="s">
        <v>81</v>
      </c>
      <c r="O2" s="177" t="s">
        <v>13</v>
      </c>
      <c r="Q2" s="494" t="s">
        <v>215</v>
      </c>
      <c r="R2" s="495" t="s">
        <v>1</v>
      </c>
      <c r="S2" s="495" t="s">
        <v>2</v>
      </c>
      <c r="T2" s="495" t="s">
        <v>3</v>
      </c>
      <c r="U2" s="495" t="s">
        <v>4</v>
      </c>
      <c r="V2" s="495" t="s">
        <v>5</v>
      </c>
      <c r="W2" s="495" t="s">
        <v>6</v>
      </c>
      <c r="X2" s="495" t="s">
        <v>7</v>
      </c>
      <c r="Y2" s="495" t="s">
        <v>8</v>
      </c>
      <c r="Z2" s="495" t="s">
        <v>9</v>
      </c>
      <c r="AA2" s="495" t="s">
        <v>10</v>
      </c>
      <c r="AB2" s="495" t="s">
        <v>11</v>
      </c>
      <c r="AC2" s="495" t="s">
        <v>12</v>
      </c>
    </row>
    <row r="3" spans="1:29" ht="15" customHeight="1" x14ac:dyDescent="0.25">
      <c r="A3" s="793"/>
      <c r="B3" s="179" t="s">
        <v>89</v>
      </c>
      <c r="C3" s="180">
        <f>ADM_Fopag!AA3</f>
        <v>13300</v>
      </c>
      <c r="D3" s="180">
        <f>ADM_Fopag!AA14</f>
        <v>19300</v>
      </c>
      <c r="E3" s="180">
        <f>ADM_Fopag!AA25</f>
        <v>20400</v>
      </c>
      <c r="F3" s="180">
        <f>ADM_Fopag!AA36</f>
        <v>19100</v>
      </c>
      <c r="G3" s="180">
        <f>ADM_Fopag!AA47</f>
        <v>0</v>
      </c>
      <c r="H3" s="180">
        <f>ADM_Fopag!AA58</f>
        <v>0</v>
      </c>
      <c r="I3" s="180">
        <f>ADM_Fopag!AA69</f>
        <v>0</v>
      </c>
      <c r="J3" s="180">
        <f>ADM_Fopag!AA80</f>
        <v>0</v>
      </c>
      <c r="K3" s="180">
        <f>ADM_Fopag!AA91</f>
        <v>0</v>
      </c>
      <c r="L3" s="180">
        <f>ADM_Fopag!AA102</f>
        <v>0</v>
      </c>
      <c r="M3" s="180">
        <f>ADM_Fopag!AA113</f>
        <v>0</v>
      </c>
      <c r="N3" s="180">
        <f>ADM_Fopag!AA124</f>
        <v>0</v>
      </c>
      <c r="O3" s="181">
        <f t="shared" ref="O3:O9" si="0">SUM(C3:N3)</f>
        <v>72100</v>
      </c>
      <c r="Q3" s="179" t="s">
        <v>14</v>
      </c>
      <c r="R3" s="496">
        <f>ADM_Movimentações!O2</f>
        <v>3</v>
      </c>
      <c r="S3" s="496">
        <f>ADM_Movimentações!O11</f>
        <v>4</v>
      </c>
      <c r="T3" s="496">
        <f>ADM_Movimentações!O20</f>
        <v>6</v>
      </c>
      <c r="U3" s="496">
        <f>ADM_Movimentações!O29</f>
        <v>6</v>
      </c>
      <c r="V3" s="496">
        <f>ADM_Movimentações!O38</f>
        <v>5</v>
      </c>
      <c r="W3" s="496">
        <f>ADM_Movimentações!O47</f>
        <v>5</v>
      </c>
      <c r="X3" s="496">
        <f>ADM_Movimentações!O56</f>
        <v>5</v>
      </c>
      <c r="Y3" s="496">
        <f>ADM_Movimentações!O65</f>
        <v>5</v>
      </c>
      <c r="Z3" s="496">
        <f>ADM_Movimentações!O74</f>
        <v>5</v>
      </c>
      <c r="AA3" s="496">
        <f>ADM_Movimentações!O83</f>
        <v>5</v>
      </c>
      <c r="AB3" s="496">
        <f>ADM_Movimentações!O92</f>
        <v>5</v>
      </c>
      <c r="AC3" s="496">
        <f>ADM_Movimentações!O101</f>
        <v>5</v>
      </c>
    </row>
    <row r="4" spans="1:29" ht="15" customHeight="1" x14ac:dyDescent="0.25">
      <c r="A4" s="793"/>
      <c r="B4" s="179" t="s">
        <v>194</v>
      </c>
      <c r="C4" s="180">
        <f>ADM_Fopag!AA4</f>
        <v>4863</v>
      </c>
      <c r="D4" s="180">
        <f>ADM_Fopag!AA15</f>
        <v>4863</v>
      </c>
      <c r="E4" s="180">
        <f>ADM_Fopag!AA26</f>
        <v>4863</v>
      </c>
      <c r="F4" s="180">
        <f>ADM_Fopag!AA37</f>
        <v>4863</v>
      </c>
      <c r="G4" s="180">
        <f>ADM_Fopag!AA48</f>
        <v>0</v>
      </c>
      <c r="H4" s="180">
        <f>ADM_Fopag!AA59</f>
        <v>0</v>
      </c>
      <c r="I4" s="180">
        <f>ADM_Fopag!AA70</f>
        <v>0</v>
      </c>
      <c r="J4" s="180">
        <f>ADM_Fopag!AA81</f>
        <v>0</v>
      </c>
      <c r="K4" s="180">
        <f>ADM_Fopag!AA92</f>
        <v>0</v>
      </c>
      <c r="L4" s="180">
        <f>ADM_Fopag!AA103</f>
        <v>0</v>
      </c>
      <c r="M4" s="180">
        <f>ADM_Fopag!AA114</f>
        <v>0</v>
      </c>
      <c r="N4" s="180">
        <f>ADM_Fopag!AA125</f>
        <v>0</v>
      </c>
      <c r="O4" s="181">
        <f t="shared" si="0"/>
        <v>19452</v>
      </c>
      <c r="Q4" s="179" t="s">
        <v>58</v>
      </c>
      <c r="R4" s="496">
        <f>ADM_Movimentações!R5+ADM_Movimentações!U2+ADM_Movimentações!U3</f>
        <v>13</v>
      </c>
      <c r="S4" s="496">
        <f>ADM_Movimentações!R14</f>
        <v>12</v>
      </c>
      <c r="T4" s="496">
        <f>ADM_Movimentações!R23+ADM_Movimentações!U20+ADM_Movimentações!U21</f>
        <v>0</v>
      </c>
      <c r="U4" s="496">
        <f>ADM_Movimentações!R32+ADM_Movimentações!U29+ADM_Movimentações!U30</f>
        <v>9</v>
      </c>
      <c r="V4" s="496">
        <f>ADM_Movimentações!R41+ADM_Movimentações!U38+ADM_Movimentações!U39</f>
        <v>0</v>
      </c>
      <c r="W4" s="496">
        <f>ADM_Movimentações!R50+ADM_Movimentações!U47+ADM_Movimentações!U48</f>
        <v>0</v>
      </c>
      <c r="X4" s="496">
        <f>ADM_Movimentações!R59+ADM_Movimentações!U56+ADM_Movimentações!U57</f>
        <v>0</v>
      </c>
      <c r="Y4" s="496">
        <f>ADM_Movimentações!R68+ADM_Movimentações!U65+ADM_Movimentações!U66</f>
        <v>0</v>
      </c>
      <c r="Z4" s="496">
        <f>ADM_Movimentações!R77+ADM_Movimentações!U74+ADM_Movimentações!U75</f>
        <v>0</v>
      </c>
      <c r="AA4" s="496">
        <f>ADM_Movimentações!R86+ADM_Movimentações!U83+ADM_Movimentações!U84</f>
        <v>0</v>
      </c>
      <c r="AB4" s="496">
        <f>ADM_Movimentações!R95+ADM_Movimentações!U92+ADM_Movimentações!U93</f>
        <v>0</v>
      </c>
      <c r="AC4" s="496">
        <f>ADM_Movimentações!R104+ADM_Movimentações!U101+ADM_Movimentações!U102</f>
        <v>0</v>
      </c>
    </row>
    <row r="5" spans="1:29" ht="15" customHeight="1" x14ac:dyDescent="0.25">
      <c r="A5" s="793"/>
      <c r="B5" s="179" t="s">
        <v>197</v>
      </c>
      <c r="C5" s="180">
        <f>ADM_Fopag!AA5</f>
        <v>27707</v>
      </c>
      <c r="D5" s="180">
        <f>ADM_Fopag!AA16</f>
        <v>27707</v>
      </c>
      <c r="E5" s="180">
        <f>ADM_Fopag!AA27</f>
        <v>27707</v>
      </c>
      <c r="F5" s="180">
        <f>ADM_Fopag!AA38</f>
        <v>27707</v>
      </c>
      <c r="G5" s="180">
        <f>ADM_Fopag!AA49</f>
        <v>0</v>
      </c>
      <c r="H5" s="180">
        <f>ADM_Fopag!AA60</f>
        <v>0</v>
      </c>
      <c r="I5" s="180">
        <f>ADM_Fopag!AA71</f>
        <v>0</v>
      </c>
      <c r="J5" s="180">
        <f>ADM_Fopag!AA82</f>
        <v>0</v>
      </c>
      <c r="K5" s="180">
        <f>ADM_Fopag!AA93</f>
        <v>0</v>
      </c>
      <c r="L5" s="180">
        <f>ADM_Fopag!AA104</f>
        <v>0</v>
      </c>
      <c r="M5" s="180">
        <f>ADM_Fopag!AA115</f>
        <v>0</v>
      </c>
      <c r="N5" s="180">
        <f>ADM_Fopag!AA126</f>
        <v>0</v>
      </c>
      <c r="O5" s="181">
        <f t="shared" si="0"/>
        <v>110828</v>
      </c>
      <c r="Q5" s="179" t="s">
        <v>16</v>
      </c>
      <c r="R5" s="496">
        <f>ADM_Movimentações!R2</f>
        <v>1</v>
      </c>
      <c r="S5" s="496">
        <f>ADM_Movimentações!R11</f>
        <v>2</v>
      </c>
      <c r="T5" s="496">
        <f>ADM_Movimentações!R20</f>
        <v>0</v>
      </c>
      <c r="U5" s="496">
        <f>ADM_Movimentações!R29</f>
        <v>0</v>
      </c>
      <c r="V5" s="496">
        <f>ADM_Movimentações!R38</f>
        <v>0</v>
      </c>
      <c r="W5" s="496">
        <f>ADM_Movimentações!R47</f>
        <v>0</v>
      </c>
      <c r="X5" s="496">
        <f>ADM_Movimentações!R56</f>
        <v>0</v>
      </c>
      <c r="Y5" s="496">
        <f>ADM_Movimentações!R65</f>
        <v>0</v>
      </c>
      <c r="Z5" s="496">
        <f>ADM_Movimentações!R74</f>
        <v>0</v>
      </c>
      <c r="AA5" s="496">
        <f>ADM_Movimentações!R83</f>
        <v>0</v>
      </c>
      <c r="AB5" s="496">
        <f>ADM_Movimentações!R92</f>
        <v>0</v>
      </c>
      <c r="AC5" s="496">
        <f>ADM_Movimentações!R101</f>
        <v>0</v>
      </c>
    </row>
    <row r="6" spans="1:29" ht="15" customHeight="1" x14ac:dyDescent="0.25">
      <c r="A6" s="793"/>
      <c r="B6" s="179" t="s">
        <v>211</v>
      </c>
      <c r="C6" s="180">
        <f>ADM_Fopag!AA6</f>
        <v>8661.8799999999992</v>
      </c>
      <c r="D6" s="180">
        <f>ADM_Fopag!AA17</f>
        <v>11761.88</v>
      </c>
      <c r="E6" s="180">
        <f>ADM_Fopag!AA28</f>
        <v>12261.88</v>
      </c>
      <c r="F6" s="180">
        <f>ADM_Fopag!AA39</f>
        <v>11361.88</v>
      </c>
      <c r="G6" s="180">
        <f>ADM_Fopag!AA50</f>
        <v>0</v>
      </c>
      <c r="H6" s="180">
        <f>ADM_Fopag!AA61</f>
        <v>0</v>
      </c>
      <c r="I6" s="180">
        <f>ADM_Fopag!AA72</f>
        <v>0</v>
      </c>
      <c r="J6" s="180">
        <f>ADM_Fopag!AA83</f>
        <v>0</v>
      </c>
      <c r="K6" s="180">
        <f>ADM_Fopag!AA94</f>
        <v>0</v>
      </c>
      <c r="L6" s="180">
        <f>ADM_Fopag!AA105</f>
        <v>0</v>
      </c>
      <c r="M6" s="180">
        <f>ADM_Fopag!AA116</f>
        <v>0</v>
      </c>
      <c r="N6" s="180">
        <f>ADM_Fopag!AA127</f>
        <v>0</v>
      </c>
      <c r="O6" s="181">
        <f t="shared" si="0"/>
        <v>44047.519999999997</v>
      </c>
      <c r="Q6" s="179" t="s">
        <v>17</v>
      </c>
      <c r="R6" s="496">
        <f>ADM_Movimentações!R3</f>
        <v>0</v>
      </c>
      <c r="S6" s="496">
        <f>ADM_Movimentações!R12</f>
        <v>0</v>
      </c>
      <c r="T6" s="496">
        <f>ADM_Movimentações!R21</f>
        <v>0</v>
      </c>
      <c r="U6" s="496">
        <f>ADM_Movimentações!R30</f>
        <v>1</v>
      </c>
      <c r="V6" s="496">
        <f>ADM_Movimentações!R39</f>
        <v>0</v>
      </c>
      <c r="W6" s="496">
        <f>ADM_Movimentações!R48</f>
        <v>0</v>
      </c>
      <c r="X6" s="496">
        <f>ADM_Movimentações!R57</f>
        <v>0</v>
      </c>
      <c r="Y6" s="496">
        <f>ADM_Movimentações!R66</f>
        <v>0</v>
      </c>
      <c r="Z6" s="496">
        <f>ADM_Movimentações!R75</f>
        <v>0</v>
      </c>
      <c r="AA6" s="496">
        <f>ADM_Movimentações!R84</f>
        <v>0</v>
      </c>
      <c r="AB6" s="496">
        <f>ADM_Movimentações!R93</f>
        <v>0</v>
      </c>
      <c r="AC6" s="496">
        <f>ADM_Movimentações!R102</f>
        <v>0</v>
      </c>
    </row>
    <row r="7" spans="1:29" ht="15" customHeight="1" x14ac:dyDescent="0.25">
      <c r="A7" s="793"/>
      <c r="B7" s="179" t="s">
        <v>209</v>
      </c>
      <c r="C7" s="180">
        <f>ADM_Fopag!AA7</f>
        <v>4165.83</v>
      </c>
      <c r="D7" s="180">
        <f>ADM_Fopag!AA18</f>
        <v>5803.83</v>
      </c>
      <c r="E7" s="180">
        <f>ADM_Fopag!AA29</f>
        <v>6104.13</v>
      </c>
      <c r="F7" s="180">
        <f>ADM_Fopag!AA40</f>
        <v>5749.2300000000005</v>
      </c>
      <c r="G7" s="180">
        <f>ADM_Fopag!AA51</f>
        <v>0</v>
      </c>
      <c r="H7" s="180">
        <f>ADM_Fopag!AA62</f>
        <v>0</v>
      </c>
      <c r="I7" s="180">
        <f>ADM_Fopag!AA73</f>
        <v>0</v>
      </c>
      <c r="J7" s="180">
        <f>ADM_Fopag!AA84</f>
        <v>0</v>
      </c>
      <c r="K7" s="180">
        <f>ADM_Fopag!AA95</f>
        <v>0</v>
      </c>
      <c r="L7" s="180">
        <f>ADM_Fopag!AA106</f>
        <v>0</v>
      </c>
      <c r="M7" s="180">
        <f>ADM_Fopag!AA117</f>
        <v>0</v>
      </c>
      <c r="N7" s="180">
        <f>ADM_Fopag!AA128</f>
        <v>0</v>
      </c>
      <c r="O7" s="181">
        <f t="shared" si="0"/>
        <v>21823.02</v>
      </c>
      <c r="Q7" s="179" t="s">
        <v>26</v>
      </c>
      <c r="R7" s="496">
        <f>ADM_Movimentações!AF4</f>
        <v>739.2</v>
      </c>
      <c r="S7" s="496">
        <f>ADM_Movimentações!AF13</f>
        <v>1003.2</v>
      </c>
      <c r="T7" s="496">
        <f>ADM_Movimentações!AF22</f>
        <v>1161.6000000000001</v>
      </c>
      <c r="U7" s="496">
        <f>ADM_Movimentações!AF31</f>
        <v>880</v>
      </c>
      <c r="V7" s="496">
        <f>ADM_Movimentações!AF40</f>
        <v>0</v>
      </c>
      <c r="W7" s="496">
        <f>ADM_Movimentações!AF49</f>
        <v>0</v>
      </c>
      <c r="X7" s="496">
        <f>ADM_Movimentações!AF58</f>
        <v>0</v>
      </c>
      <c r="Y7" s="496">
        <f>ADM_Movimentações!AF67</f>
        <v>0</v>
      </c>
      <c r="Z7" s="496">
        <f>ADM_Movimentações!AF76</f>
        <v>0</v>
      </c>
      <c r="AA7" s="496">
        <f>ADM_Movimentações!AF85</f>
        <v>0</v>
      </c>
      <c r="AB7" s="496">
        <f>ADM_Movimentações!AF94</f>
        <v>0</v>
      </c>
      <c r="AC7" s="496">
        <f>ADM_Movimentações!AF103</f>
        <v>0</v>
      </c>
    </row>
    <row r="8" spans="1:29" ht="15" customHeight="1" x14ac:dyDescent="0.25">
      <c r="A8" s="793"/>
      <c r="B8" s="190" t="s">
        <v>36</v>
      </c>
      <c r="C8" s="180">
        <f>ADM_Fopag!AA8</f>
        <v>1064</v>
      </c>
      <c r="D8" s="180">
        <f>ADM_Fopag!AA19</f>
        <v>1544</v>
      </c>
      <c r="E8" s="180">
        <f>ADM_Fopag!AA30</f>
        <v>1632</v>
      </c>
      <c r="F8" s="180">
        <f>ADM_Fopag!AA41</f>
        <v>1528</v>
      </c>
      <c r="G8" s="180">
        <f>ADM_Fopag!AA52</f>
        <v>0</v>
      </c>
      <c r="H8" s="180">
        <f>ADM_Fopag!AA63</f>
        <v>0</v>
      </c>
      <c r="I8" s="180">
        <f>ADM_Fopag!AA74</f>
        <v>0</v>
      </c>
      <c r="J8" s="180">
        <f>ADM_Fopag!AA85</f>
        <v>0</v>
      </c>
      <c r="K8" s="180">
        <f>ADM_Fopag!AA96</f>
        <v>0</v>
      </c>
      <c r="L8" s="180">
        <f>ADM_Fopag!AA107</f>
        <v>0</v>
      </c>
      <c r="M8" s="180">
        <f>ADM_Fopag!AA118</f>
        <v>0</v>
      </c>
      <c r="N8" s="180">
        <f>ADM_Fopag!AA129</f>
        <v>0</v>
      </c>
      <c r="O8" s="181">
        <f t="shared" si="0"/>
        <v>5768</v>
      </c>
      <c r="Q8" s="179" t="s">
        <v>27</v>
      </c>
      <c r="R8" s="496">
        <f>ADM_Movimentações!AF5</f>
        <v>114.4</v>
      </c>
      <c r="S8" s="496">
        <f>ADM_Movimentações!AF14</f>
        <v>105.60000000000001</v>
      </c>
      <c r="T8" s="496">
        <f>ADM_Movimentações!AF23</f>
        <v>0</v>
      </c>
      <c r="U8" s="496">
        <f>ADM_Movimentações!AF32</f>
        <v>79.2</v>
      </c>
      <c r="V8" s="496">
        <f>ADM_Movimentações!AF41</f>
        <v>0</v>
      </c>
      <c r="W8" s="496">
        <f>ADM_Movimentações!AF50</f>
        <v>0</v>
      </c>
      <c r="X8" s="496">
        <f>ADM_Movimentações!AF59</f>
        <v>0</v>
      </c>
      <c r="Y8" s="496">
        <f>ADM_Movimentações!AF68</f>
        <v>0</v>
      </c>
      <c r="Z8" s="496">
        <f>ADM_Movimentações!AF77</f>
        <v>0</v>
      </c>
      <c r="AA8" s="496">
        <f>ADM_Movimentações!AF86</f>
        <v>0</v>
      </c>
      <c r="AB8" s="496">
        <f>ADM_Movimentações!AF95</f>
        <v>0</v>
      </c>
      <c r="AC8" s="496">
        <f>ADM_Movimentações!AF104</f>
        <v>0</v>
      </c>
    </row>
    <row r="9" spans="1:29" ht="15" customHeight="1" x14ac:dyDescent="0.25">
      <c r="A9" s="793"/>
      <c r="B9" s="190" t="s">
        <v>212</v>
      </c>
      <c r="C9" s="180">
        <f>ADM_Fopag!AA9</f>
        <v>5678.3611111111104</v>
      </c>
      <c r="D9" s="180">
        <f>ADM_Fopag!AA20</f>
        <v>8240.0277777777792</v>
      </c>
      <c r="E9" s="180">
        <f>ADM_Fopag!AA31</f>
        <v>8709.6666666666679</v>
      </c>
      <c r="F9" s="180">
        <f>ADM_Fopag!AA42</f>
        <v>8154.6388888888869</v>
      </c>
      <c r="G9" s="180">
        <f>ADM_Fopag!AA53</f>
        <v>0</v>
      </c>
      <c r="H9" s="180">
        <f>ADM_Fopag!AA64</f>
        <v>0</v>
      </c>
      <c r="I9" s="180">
        <f>ADM_Fopag!AA75</f>
        <v>0</v>
      </c>
      <c r="J9" s="180">
        <f>ADM_Fopag!AA86</f>
        <v>0</v>
      </c>
      <c r="K9" s="180">
        <f>ADM_Fopag!AA97</f>
        <v>0</v>
      </c>
      <c r="L9" s="180">
        <f>ADM_Fopag!AA108</f>
        <v>0</v>
      </c>
      <c r="M9" s="180">
        <f>ADM_Fopag!AA119</f>
        <v>0</v>
      </c>
      <c r="N9" s="180">
        <f>ADM_Fopag!AA130</f>
        <v>0</v>
      </c>
      <c r="O9" s="181">
        <f t="shared" si="0"/>
        <v>30782.694444444445</v>
      </c>
      <c r="Q9" s="179" t="s">
        <v>19</v>
      </c>
      <c r="R9" s="496">
        <f>ADM_Movimentações!AF6</f>
        <v>3.3809523809523809</v>
      </c>
      <c r="S9" s="496">
        <f>ADM_Movimentações!AF15</f>
        <v>5.3684210526315788</v>
      </c>
      <c r="T9" s="496">
        <f>ADM_Movimentações!AF24</f>
        <v>6</v>
      </c>
      <c r="U9" s="496">
        <f>ADM_Movimentações!AF33</f>
        <v>4.55</v>
      </c>
      <c r="V9" s="496">
        <f>IFERROR(ADM_Movimentações!AF42,0)</f>
        <v>0</v>
      </c>
      <c r="W9" s="496">
        <f>IFERROR(ADM_Movimentações!AF51,0)</f>
        <v>0</v>
      </c>
      <c r="X9" s="496">
        <f>IFERROR(ADM_Movimentações!AF60,0)</f>
        <v>0</v>
      </c>
      <c r="Y9" s="496">
        <f>IFERROR(ADM_Movimentações!AF69,0)</f>
        <v>0</v>
      </c>
      <c r="Z9" s="496">
        <f>IFERROR(ADM_Movimentações!AF78,0)</f>
        <v>0</v>
      </c>
      <c r="AA9" s="496">
        <f>IFERROR(ADM_Movimentações!AF87,0)</f>
        <v>0</v>
      </c>
      <c r="AB9" s="496">
        <f>IFERROR(ADM_Movimentações!AF96,0)</f>
        <v>0</v>
      </c>
      <c r="AC9" s="496">
        <f>IFERROR(ADM_Movimentações!AF105,0)</f>
        <v>0</v>
      </c>
    </row>
    <row r="10" spans="1:29" ht="15" customHeight="1" x14ac:dyDescent="0.25">
      <c r="A10" s="793"/>
      <c r="B10" s="178" t="s">
        <v>13</v>
      </c>
      <c r="C10" s="497">
        <f t="shared" ref="C10:O10" si="1">SUM(C3:C9)</f>
        <v>65440.071111111109</v>
      </c>
      <c r="D10" s="497">
        <f t="shared" si="1"/>
        <v>79219.737777777773</v>
      </c>
      <c r="E10" s="497">
        <f t="shared" si="1"/>
        <v>81677.676666666666</v>
      </c>
      <c r="F10" s="497">
        <f t="shared" si="1"/>
        <v>78463.748888888891</v>
      </c>
      <c r="G10" s="497">
        <f t="shared" si="1"/>
        <v>0</v>
      </c>
      <c r="H10" s="497">
        <f t="shared" si="1"/>
        <v>0</v>
      </c>
      <c r="I10" s="497">
        <f t="shared" si="1"/>
        <v>0</v>
      </c>
      <c r="J10" s="497">
        <f t="shared" si="1"/>
        <v>0</v>
      </c>
      <c r="K10" s="497">
        <f t="shared" si="1"/>
        <v>0</v>
      </c>
      <c r="L10" s="497">
        <f t="shared" si="1"/>
        <v>0</v>
      </c>
      <c r="M10" s="497">
        <f t="shared" si="1"/>
        <v>0</v>
      </c>
      <c r="N10" s="497">
        <f t="shared" si="1"/>
        <v>0</v>
      </c>
      <c r="O10" s="497">
        <f t="shared" si="1"/>
        <v>304801.23444444442</v>
      </c>
      <c r="Q10" s="179" t="s">
        <v>216</v>
      </c>
      <c r="R10" s="496">
        <f>ADM_Movimentações!R4</f>
        <v>4</v>
      </c>
      <c r="S10" s="496">
        <f>ADM_Movimentações!R13</f>
        <v>6</v>
      </c>
      <c r="T10" s="496">
        <f>ADM_Movimentações!R22</f>
        <v>6</v>
      </c>
      <c r="U10" s="496">
        <f>ADM_Movimentações!R31</f>
        <v>5</v>
      </c>
      <c r="V10" s="496">
        <f>ADM_Movimentações!R40</f>
        <v>5</v>
      </c>
      <c r="W10" s="496">
        <f>ADM_Movimentações!R49</f>
        <v>5</v>
      </c>
      <c r="X10" s="496">
        <f>ADM_Movimentações!R58</f>
        <v>5</v>
      </c>
      <c r="Y10" s="496">
        <f>ADM_Movimentações!R67</f>
        <v>5</v>
      </c>
      <c r="Z10" s="496">
        <f>ADM_Movimentações!R76</f>
        <v>5</v>
      </c>
      <c r="AA10" s="496">
        <f>ADM_Movimentações!R85</f>
        <v>5</v>
      </c>
      <c r="AB10" s="496">
        <f>ADM_Movimentações!R94</f>
        <v>5</v>
      </c>
      <c r="AC10" s="496">
        <f>ADM_Movimentações!R103</f>
        <v>5</v>
      </c>
    </row>
    <row r="11" spans="1:29" ht="15" customHeight="1" x14ac:dyDescent="0.25">
      <c r="A11" s="498"/>
      <c r="B11" s="499"/>
    </row>
    <row r="12" spans="1:29" ht="15" customHeight="1" x14ac:dyDescent="0.25">
      <c r="A12" s="498"/>
    </row>
    <row r="13" spans="1:29" ht="15" customHeight="1" x14ac:dyDescent="0.25">
      <c r="A13" s="498"/>
      <c r="B13" s="178" t="s">
        <v>106</v>
      </c>
      <c r="C13" s="178" t="s">
        <v>217</v>
      </c>
      <c r="D13" s="178" t="s">
        <v>84</v>
      </c>
      <c r="E13" s="178" t="s">
        <v>85</v>
      </c>
      <c r="F13" s="178" t="s">
        <v>86</v>
      </c>
      <c r="G13" s="178" t="s">
        <v>87</v>
      </c>
      <c r="H13" s="178" t="s">
        <v>88</v>
      </c>
    </row>
    <row r="14" spans="1:29" ht="15" customHeight="1" x14ac:dyDescent="0.25">
      <c r="A14" s="500"/>
      <c r="B14" s="182" t="s">
        <v>1</v>
      </c>
      <c r="C14" s="183">
        <v>1908972</v>
      </c>
      <c r="D14" s="184">
        <f>C10</f>
        <v>65440.071111111109</v>
      </c>
      <c r="E14" s="185">
        <f>D14/C14</f>
        <v>3.428026765772945E-2</v>
      </c>
      <c r="F14" s="185">
        <v>0.04</v>
      </c>
      <c r="G14" s="501">
        <f>R10</f>
        <v>4</v>
      </c>
      <c r="H14" s="187">
        <f>C14/G14</f>
        <v>477243</v>
      </c>
    </row>
    <row r="15" spans="1:29" ht="15" customHeight="1" x14ac:dyDescent="0.25">
      <c r="A15" s="500"/>
      <c r="B15" s="502" t="s">
        <v>2</v>
      </c>
      <c r="C15" s="503">
        <v>1434145</v>
      </c>
      <c r="D15" s="504">
        <f>D10</f>
        <v>79219.737777777773</v>
      </c>
      <c r="E15" s="194">
        <f>D15/C15</f>
        <v>5.5238304200605777E-2</v>
      </c>
      <c r="F15" s="194">
        <v>0.04</v>
      </c>
      <c r="G15" s="505">
        <f>S10</f>
        <v>6</v>
      </c>
      <c r="H15" s="180">
        <f>C15/G15</f>
        <v>239024.16666666666</v>
      </c>
    </row>
    <row r="16" spans="1:29" ht="15" customHeight="1" x14ac:dyDescent="0.25">
      <c r="A16" s="500"/>
      <c r="B16" s="182" t="s">
        <v>3</v>
      </c>
      <c r="C16" s="183">
        <v>1661970</v>
      </c>
      <c r="D16" s="184">
        <f>E10</f>
        <v>81677.676666666666</v>
      </c>
      <c r="E16" s="185">
        <f>D16/C16</f>
        <v>4.914509688301634E-2</v>
      </c>
      <c r="F16" s="185">
        <v>0.04</v>
      </c>
      <c r="G16" s="501">
        <f>T10</f>
        <v>6</v>
      </c>
      <c r="H16" s="187">
        <f>C16/G16</f>
        <v>276995</v>
      </c>
    </row>
    <row r="17" spans="1:8" ht="15" customHeight="1" x14ac:dyDescent="0.25">
      <c r="A17" s="500"/>
      <c r="B17" s="502" t="s">
        <v>4</v>
      </c>
      <c r="C17" s="193">
        <v>1747250</v>
      </c>
      <c r="D17" s="504">
        <f>F10</f>
        <v>78463.748888888891</v>
      </c>
      <c r="E17" s="194">
        <f>D17/C17</f>
        <v>4.4906996073194386E-2</v>
      </c>
      <c r="F17" s="194">
        <v>0.04</v>
      </c>
      <c r="G17" s="505">
        <f>U10</f>
        <v>5</v>
      </c>
      <c r="H17" s="180">
        <f>C17/G17</f>
        <v>349450</v>
      </c>
    </row>
    <row r="18" spans="1:8" ht="15" customHeight="1" x14ac:dyDescent="0.25">
      <c r="B18" s="182" t="s">
        <v>5</v>
      </c>
      <c r="C18" s="183"/>
      <c r="D18" s="189">
        <f>G10</f>
        <v>0</v>
      </c>
      <c r="E18" s="185"/>
      <c r="F18" s="185"/>
      <c r="G18" s="186"/>
      <c r="H18" s="187"/>
    </row>
    <row r="19" spans="1:8" ht="15" customHeight="1" x14ac:dyDescent="0.25">
      <c r="B19" s="502" t="s">
        <v>6</v>
      </c>
      <c r="C19" s="193"/>
      <c r="D19" s="180">
        <f>H10</f>
        <v>0</v>
      </c>
      <c r="E19" s="194"/>
      <c r="F19" s="194"/>
      <c r="G19" s="197"/>
      <c r="H19" s="180"/>
    </row>
    <row r="20" spans="1:8" ht="15" customHeight="1" x14ac:dyDescent="0.25">
      <c r="B20" s="182" t="s">
        <v>7</v>
      </c>
      <c r="C20" s="188"/>
      <c r="D20" s="187">
        <f>I10</f>
        <v>0</v>
      </c>
      <c r="E20" s="185"/>
      <c r="F20" s="185"/>
      <c r="G20" s="186"/>
      <c r="H20" s="187"/>
    </row>
    <row r="21" spans="1:8" ht="15" customHeight="1" x14ac:dyDescent="0.25">
      <c r="B21" s="502" t="s">
        <v>8</v>
      </c>
      <c r="C21" s="193"/>
      <c r="D21" s="180">
        <f>J10</f>
        <v>0</v>
      </c>
      <c r="E21" s="194"/>
      <c r="F21" s="194"/>
      <c r="G21" s="197"/>
      <c r="H21" s="180"/>
    </row>
    <row r="22" spans="1:8" ht="15" customHeight="1" x14ac:dyDescent="0.25">
      <c r="B22" s="182" t="s">
        <v>9</v>
      </c>
      <c r="C22" s="200"/>
      <c r="D22" s="187">
        <f>K10</f>
        <v>0</v>
      </c>
      <c r="E22" s="185"/>
      <c r="F22" s="185"/>
      <c r="G22" s="186"/>
      <c r="H22" s="187"/>
    </row>
    <row r="23" spans="1:8" ht="15" customHeight="1" x14ac:dyDescent="0.25">
      <c r="B23" s="502" t="s">
        <v>10</v>
      </c>
      <c r="C23" s="196"/>
      <c r="D23" s="180">
        <f>L10</f>
        <v>0</v>
      </c>
      <c r="E23" s="194"/>
      <c r="F23" s="194"/>
      <c r="G23" s="197"/>
      <c r="H23" s="180"/>
    </row>
    <row r="24" spans="1:8" ht="15" customHeight="1" x14ac:dyDescent="0.25">
      <c r="B24" s="182" t="s">
        <v>11</v>
      </c>
      <c r="C24" s="200"/>
      <c r="D24" s="187">
        <f>M10</f>
        <v>0</v>
      </c>
      <c r="E24" s="185"/>
      <c r="F24" s="185"/>
      <c r="G24" s="186"/>
      <c r="H24" s="187"/>
    </row>
    <row r="25" spans="1:8" ht="15" customHeight="1" x14ac:dyDescent="0.25">
      <c r="B25" s="502" t="s">
        <v>12</v>
      </c>
      <c r="C25" s="196"/>
      <c r="D25" s="180">
        <f>N10</f>
        <v>0</v>
      </c>
      <c r="E25" s="194"/>
      <c r="F25" s="194"/>
      <c r="G25" s="197"/>
      <c r="H25" s="180"/>
    </row>
    <row r="29" spans="1:8" ht="15.75" customHeight="1" x14ac:dyDescent="0.25">
      <c r="B29" s="794" t="s">
        <v>102</v>
      </c>
      <c r="C29" s="794"/>
      <c r="D29" s="794"/>
      <c r="E29" s="794"/>
      <c r="F29" s="794"/>
      <c r="G29" s="794"/>
      <c r="H29" s="794"/>
    </row>
    <row r="30" spans="1:8" ht="15.75" customHeight="1" x14ac:dyDescent="0.25">
      <c r="B30" s="795" t="s">
        <v>104</v>
      </c>
      <c r="C30" s="795"/>
      <c r="D30" s="795"/>
      <c r="E30" s="796">
        <v>2026</v>
      </c>
      <c r="F30" s="796"/>
      <c r="G30" s="506" t="s">
        <v>105</v>
      </c>
      <c r="H30" s="507">
        <v>0.15</v>
      </c>
    </row>
    <row r="31" spans="1:8" ht="15" customHeight="1" x14ac:dyDescent="0.25">
      <c r="B31" s="508" t="s">
        <v>106</v>
      </c>
      <c r="C31" s="508" t="s">
        <v>107</v>
      </c>
      <c r="D31" s="508" t="s">
        <v>108</v>
      </c>
      <c r="E31" s="508" t="s">
        <v>59</v>
      </c>
      <c r="F31" s="508" t="s">
        <v>109</v>
      </c>
      <c r="G31" s="508" t="s">
        <v>110</v>
      </c>
      <c r="H31" s="508" t="s">
        <v>86</v>
      </c>
    </row>
    <row r="32" spans="1:8" ht="15" customHeight="1" x14ac:dyDescent="0.25">
      <c r="B32" s="228" t="s">
        <v>1</v>
      </c>
      <c r="C32" s="509">
        <f>R5</f>
        <v>1</v>
      </c>
      <c r="D32" s="509">
        <f>R6</f>
        <v>0</v>
      </c>
      <c r="E32" s="509">
        <f>R10</f>
        <v>4</v>
      </c>
      <c r="F32" s="229">
        <f>((Table_464[[#This Row],[Desligamentos]]+Table_464[[#This Row],[Admissões]])/2)/Table_464[[#This Row],[Colaboradores]]</f>
        <v>0.125</v>
      </c>
      <c r="G32" s="229">
        <f>AVERAGE(F32)</f>
        <v>0.125</v>
      </c>
      <c r="H32" s="229">
        <f t="shared" ref="H32:H43" si="2">$H$30</f>
        <v>0.15</v>
      </c>
    </row>
    <row r="33" spans="2:8" ht="15" customHeight="1" x14ac:dyDescent="0.25">
      <c r="B33" s="228" t="s">
        <v>2</v>
      </c>
      <c r="C33" s="509">
        <f>S5</f>
        <v>2</v>
      </c>
      <c r="D33" s="509">
        <f>S6</f>
        <v>0</v>
      </c>
      <c r="E33" s="509">
        <f>S10</f>
        <v>6</v>
      </c>
      <c r="F33" s="229">
        <f>((Table_464[[#This Row],[Desligamentos]]+Table_464[[#This Row],[Admissões]])/2)/Table_464[[#This Row],[Colaboradores]]</f>
        <v>0.16666666666666666</v>
      </c>
      <c r="G33" s="229">
        <f>AVERAGE($F$32:$F33)</f>
        <v>0.14583333333333331</v>
      </c>
      <c r="H33" s="229">
        <f t="shared" si="2"/>
        <v>0.15</v>
      </c>
    </row>
    <row r="34" spans="2:8" ht="15" customHeight="1" x14ac:dyDescent="0.25">
      <c r="B34" s="228" t="s">
        <v>3</v>
      </c>
      <c r="C34" s="509">
        <f>T5</f>
        <v>0</v>
      </c>
      <c r="D34" s="509">
        <f>T6</f>
        <v>0</v>
      </c>
      <c r="E34" s="509">
        <f>T10</f>
        <v>6</v>
      </c>
      <c r="F34" s="229">
        <f>((Table_464[[#This Row],[Desligamentos]]+Table_464[[#This Row],[Admissões]])/2)/Table_464[[#This Row],[Colaboradores]]</f>
        <v>0</v>
      </c>
      <c r="G34" s="229">
        <f>AVERAGE($F$32:$F34)</f>
        <v>9.722222222222221E-2</v>
      </c>
      <c r="H34" s="229">
        <f t="shared" si="2"/>
        <v>0.15</v>
      </c>
    </row>
    <row r="35" spans="2:8" ht="15" customHeight="1" x14ac:dyDescent="0.25">
      <c r="B35" s="228" t="s">
        <v>4</v>
      </c>
      <c r="C35" s="509">
        <f>U5</f>
        <v>0</v>
      </c>
      <c r="D35" s="509">
        <f>U6</f>
        <v>1</v>
      </c>
      <c r="E35" s="509">
        <f>U10</f>
        <v>5</v>
      </c>
      <c r="F35" s="229">
        <f>((Table_464[[#This Row],[Desligamentos]]+Table_464[[#This Row],[Admissões]])/2)/Table_464[[#This Row],[Colaboradores]]</f>
        <v>0.1</v>
      </c>
      <c r="G35" s="229">
        <f>AVERAGE($F$32:$F35)</f>
        <v>9.7916666666666652E-2</v>
      </c>
      <c r="H35" s="229">
        <f t="shared" si="2"/>
        <v>0.15</v>
      </c>
    </row>
    <row r="36" spans="2:8" ht="15" customHeight="1" x14ac:dyDescent="0.25">
      <c r="B36" s="228" t="s">
        <v>5</v>
      </c>
      <c r="C36" s="509">
        <f>V5</f>
        <v>0</v>
      </c>
      <c r="D36" s="509">
        <f>V6</f>
        <v>0</v>
      </c>
      <c r="E36" s="509">
        <f>V10</f>
        <v>5</v>
      </c>
      <c r="F36" s="229">
        <f>((Table_464[[#This Row],[Desligamentos]]+Table_464[[#This Row],[Admissões]])/2)/Table_464[[#This Row],[Colaboradores]]</f>
        <v>0</v>
      </c>
      <c r="G36" s="229">
        <f>AVERAGE($F$32:$F36)</f>
        <v>7.8333333333333324E-2</v>
      </c>
      <c r="H36" s="229">
        <f t="shared" si="2"/>
        <v>0.15</v>
      </c>
    </row>
    <row r="37" spans="2:8" ht="15" customHeight="1" x14ac:dyDescent="0.25">
      <c r="B37" s="228" t="s">
        <v>6</v>
      </c>
      <c r="C37" s="509">
        <f>W5</f>
        <v>0</v>
      </c>
      <c r="D37" s="509">
        <f>W6</f>
        <v>0</v>
      </c>
      <c r="E37" s="509">
        <f>W10</f>
        <v>5</v>
      </c>
      <c r="F37" s="229">
        <f>((Table_464[[#This Row],[Desligamentos]]+Table_464[[#This Row],[Admissões]])/2)/Table_464[[#This Row],[Colaboradores]]</f>
        <v>0</v>
      </c>
      <c r="G37" s="229">
        <f>AVERAGE($F$32:$F37)</f>
        <v>6.5277777777777768E-2</v>
      </c>
      <c r="H37" s="229">
        <f t="shared" si="2"/>
        <v>0.15</v>
      </c>
    </row>
    <row r="38" spans="2:8" ht="15" customHeight="1" x14ac:dyDescent="0.25">
      <c r="B38" s="228" t="s">
        <v>7</v>
      </c>
      <c r="C38" s="509">
        <f>X5</f>
        <v>0</v>
      </c>
      <c r="D38" s="509">
        <f>X6</f>
        <v>0</v>
      </c>
      <c r="E38" s="509">
        <f>X10</f>
        <v>5</v>
      </c>
      <c r="F38" s="229">
        <f>((Table_464[[#This Row],[Desligamentos]]+Table_464[[#This Row],[Admissões]])/2)/Table_464[[#This Row],[Colaboradores]]</f>
        <v>0</v>
      </c>
      <c r="G38" s="229">
        <f>AVERAGE($F$32:$F38)</f>
        <v>5.5952380952380941E-2</v>
      </c>
      <c r="H38" s="229">
        <f t="shared" si="2"/>
        <v>0.15</v>
      </c>
    </row>
    <row r="39" spans="2:8" ht="15" customHeight="1" x14ac:dyDescent="0.25">
      <c r="B39" s="228" t="s">
        <v>8</v>
      </c>
      <c r="C39" s="509">
        <f>Y5</f>
        <v>0</v>
      </c>
      <c r="D39" s="509">
        <f>Y6</f>
        <v>0</v>
      </c>
      <c r="E39" s="509">
        <f>Y10</f>
        <v>5</v>
      </c>
      <c r="F39" s="229">
        <f>((Table_464[[#This Row],[Desligamentos]]+Table_464[[#This Row],[Admissões]])/2)/Table_464[[#This Row],[Colaboradores]]</f>
        <v>0</v>
      </c>
      <c r="G39" s="229">
        <f>AVERAGE($F$32:$F39)</f>
        <v>4.8958333333333326E-2</v>
      </c>
      <c r="H39" s="229">
        <f t="shared" si="2"/>
        <v>0.15</v>
      </c>
    </row>
    <row r="40" spans="2:8" ht="15" customHeight="1" x14ac:dyDescent="0.25">
      <c r="B40" s="228" t="s">
        <v>9</v>
      </c>
      <c r="C40" s="509">
        <f>Z5</f>
        <v>0</v>
      </c>
      <c r="D40" s="509">
        <f>Z6</f>
        <v>0</v>
      </c>
      <c r="E40" s="509">
        <f>Z10</f>
        <v>5</v>
      </c>
      <c r="F40" s="229">
        <f>((Table_464[[#This Row],[Desligamentos]]+Table_464[[#This Row],[Admissões]])/2)/Table_464[[#This Row],[Colaboradores]]</f>
        <v>0</v>
      </c>
      <c r="G40" s="229">
        <f>AVERAGE($F$32:$F40)</f>
        <v>4.3518518518518512E-2</v>
      </c>
      <c r="H40" s="229">
        <f t="shared" si="2"/>
        <v>0.15</v>
      </c>
    </row>
    <row r="41" spans="2:8" ht="15" customHeight="1" x14ac:dyDescent="0.25">
      <c r="B41" s="228" t="s">
        <v>10</v>
      </c>
      <c r="C41" s="509">
        <f>AA5</f>
        <v>0</v>
      </c>
      <c r="D41" s="509">
        <f>AA6</f>
        <v>0</v>
      </c>
      <c r="E41" s="509">
        <f>AA10</f>
        <v>5</v>
      </c>
      <c r="F41" s="229">
        <f>((Table_464[[#This Row],[Desligamentos]]+Table_464[[#This Row],[Admissões]])/2)/Table_464[[#This Row],[Colaboradores]]</f>
        <v>0</v>
      </c>
      <c r="G41" s="229">
        <f>AVERAGE($F$32:$F41)</f>
        <v>3.9166666666666662E-2</v>
      </c>
      <c r="H41" s="229">
        <f t="shared" si="2"/>
        <v>0.15</v>
      </c>
    </row>
    <row r="42" spans="2:8" ht="15" customHeight="1" x14ac:dyDescent="0.25">
      <c r="B42" s="228" t="s">
        <v>11</v>
      </c>
      <c r="C42" s="509">
        <f>AB5</f>
        <v>0</v>
      </c>
      <c r="D42" s="509">
        <f>AB6</f>
        <v>0</v>
      </c>
      <c r="E42" s="509">
        <f>AB10</f>
        <v>5</v>
      </c>
      <c r="F42" s="229">
        <f>((Table_464[[#This Row],[Desligamentos]]+Table_464[[#This Row],[Admissões]])/2)/Table_464[[#This Row],[Colaboradores]]</f>
        <v>0</v>
      </c>
      <c r="G42" s="229">
        <f>AVERAGE($F$32:$F42)</f>
        <v>3.5606060606060599E-2</v>
      </c>
      <c r="H42" s="229">
        <f t="shared" si="2"/>
        <v>0.15</v>
      </c>
    </row>
    <row r="43" spans="2:8" ht="15" customHeight="1" x14ac:dyDescent="0.25">
      <c r="B43" s="228" t="s">
        <v>12</v>
      </c>
      <c r="C43" s="510">
        <f>AC5</f>
        <v>0</v>
      </c>
      <c r="D43" s="510">
        <f>AC6</f>
        <v>0</v>
      </c>
      <c r="E43" s="511">
        <f>AC10</f>
        <v>5</v>
      </c>
      <c r="F43" s="229">
        <f>((Table_464[[#This Row],[Desligamentos]]+Table_464[[#This Row],[Admissões]])/2)/Table_464[[#This Row],[Colaboradores]]</f>
        <v>0</v>
      </c>
      <c r="G43" s="229">
        <f>AVERAGE($F$32:$F43)</f>
        <v>3.2638888888888884E-2</v>
      </c>
      <c r="H43" s="229">
        <f t="shared" si="2"/>
        <v>0.15</v>
      </c>
    </row>
    <row r="44" spans="2:8" ht="15" customHeight="1" x14ac:dyDescent="0.25">
      <c r="B44" s="785" t="s">
        <v>114</v>
      </c>
      <c r="C44" s="785"/>
      <c r="D44" s="785"/>
      <c r="E44" s="785"/>
      <c r="F44" s="785"/>
      <c r="G44" s="785"/>
      <c r="H44" s="785"/>
    </row>
    <row r="45" spans="2:8" ht="15.75" customHeight="1" x14ac:dyDescent="0.25"/>
    <row r="46" spans="2:8" ht="16.5" customHeight="1" x14ac:dyDescent="0.25">
      <c r="B46" s="786" t="s">
        <v>103</v>
      </c>
      <c r="C46" s="786"/>
      <c r="D46" s="786"/>
      <c r="E46" s="786"/>
      <c r="F46" s="786"/>
      <c r="G46" s="786"/>
    </row>
    <row r="47" spans="2:8" ht="15.75" customHeight="1" x14ac:dyDescent="0.25">
      <c r="B47" s="787" t="s">
        <v>104</v>
      </c>
      <c r="C47" s="787"/>
      <c r="D47" s="787"/>
      <c r="E47" s="222">
        <v>2026</v>
      </c>
      <c r="F47" s="220" t="s">
        <v>105</v>
      </c>
      <c r="G47" s="221">
        <v>0.15</v>
      </c>
    </row>
    <row r="48" spans="2:8" ht="15" customHeight="1" x14ac:dyDescent="0.25">
      <c r="B48" s="512" t="s">
        <v>106</v>
      </c>
      <c r="C48" s="508" t="s">
        <v>111</v>
      </c>
      <c r="D48" s="508" t="s">
        <v>112</v>
      </c>
      <c r="E48" s="508" t="s">
        <v>113</v>
      </c>
      <c r="F48" s="508" t="s">
        <v>110</v>
      </c>
      <c r="G48" s="513" t="s">
        <v>86</v>
      </c>
    </row>
    <row r="49" spans="2:7" ht="15" customHeight="1" x14ac:dyDescent="0.25">
      <c r="B49" s="227" t="s">
        <v>1</v>
      </c>
      <c r="C49" s="232">
        <f>R7</f>
        <v>739.2</v>
      </c>
      <c r="D49" s="232">
        <f>R8</f>
        <v>114.4</v>
      </c>
      <c r="E49" s="229">
        <f t="shared" ref="E49:E60" si="3">IFERROR(D49/C49,0)</f>
        <v>0.15476190476190477</v>
      </c>
      <c r="F49" s="229">
        <f>IFERROR(AVERAGE($E$49:E49),0)</f>
        <v>0.15476190476190477</v>
      </c>
      <c r="G49" s="230">
        <f t="shared" ref="G49:G60" si="4">$G$47</f>
        <v>0.15</v>
      </c>
    </row>
    <row r="50" spans="2:7" ht="15" customHeight="1" x14ac:dyDescent="0.25">
      <c r="B50" s="227" t="s">
        <v>2</v>
      </c>
      <c r="C50" s="233">
        <f>S7</f>
        <v>1003.2</v>
      </c>
      <c r="D50" s="232">
        <f>S8</f>
        <v>105.60000000000001</v>
      </c>
      <c r="E50" s="229">
        <f t="shared" si="3"/>
        <v>0.10526315789473685</v>
      </c>
      <c r="F50" s="229">
        <f>IFERROR(AVERAGE($E$49:E50),0)</f>
        <v>0.1300125313283208</v>
      </c>
      <c r="G50" s="230">
        <f t="shared" si="4"/>
        <v>0.15</v>
      </c>
    </row>
    <row r="51" spans="2:7" ht="15" customHeight="1" x14ac:dyDescent="0.25">
      <c r="B51" s="227" t="s">
        <v>3</v>
      </c>
      <c r="C51" s="232">
        <f>T7</f>
        <v>1161.6000000000001</v>
      </c>
      <c r="D51" s="232">
        <f>T8</f>
        <v>0</v>
      </c>
      <c r="E51" s="229">
        <f t="shared" si="3"/>
        <v>0</v>
      </c>
      <c r="F51" s="229">
        <f>IFERROR(AVERAGE($E$49:E51),0)</f>
        <v>8.6675020885547197E-2</v>
      </c>
      <c r="G51" s="230">
        <f t="shared" si="4"/>
        <v>0.15</v>
      </c>
    </row>
    <row r="52" spans="2:7" ht="15" customHeight="1" x14ac:dyDescent="0.25">
      <c r="B52" s="227" t="s">
        <v>4</v>
      </c>
      <c r="C52" s="232">
        <f>U7</f>
        <v>880</v>
      </c>
      <c r="D52" s="232">
        <f>U8</f>
        <v>79.2</v>
      </c>
      <c r="E52" s="229">
        <f t="shared" si="3"/>
        <v>0.09</v>
      </c>
      <c r="F52" s="229">
        <f>IFERROR(AVERAGE($E$49:E52),0)</f>
        <v>8.7506265664160393E-2</v>
      </c>
      <c r="G52" s="230">
        <f t="shared" si="4"/>
        <v>0.15</v>
      </c>
    </row>
    <row r="53" spans="2:7" ht="15" customHeight="1" x14ac:dyDescent="0.25">
      <c r="B53" s="227" t="s">
        <v>5</v>
      </c>
      <c r="C53" s="232">
        <f>V7</f>
        <v>0</v>
      </c>
      <c r="D53" s="232">
        <f>V8</f>
        <v>0</v>
      </c>
      <c r="E53" s="229">
        <f t="shared" si="3"/>
        <v>0</v>
      </c>
      <c r="F53" s="229">
        <f>IFERROR(AVERAGE($E$49:E53),0)</f>
        <v>7.000501253132832E-2</v>
      </c>
      <c r="G53" s="230">
        <f t="shared" si="4"/>
        <v>0.15</v>
      </c>
    </row>
    <row r="54" spans="2:7" ht="15" customHeight="1" x14ac:dyDescent="0.25">
      <c r="B54" s="227" t="s">
        <v>6</v>
      </c>
      <c r="C54" s="232">
        <f>W7</f>
        <v>0</v>
      </c>
      <c r="D54" s="232">
        <f>W8</f>
        <v>0</v>
      </c>
      <c r="E54" s="229">
        <f t="shared" si="3"/>
        <v>0</v>
      </c>
      <c r="F54" s="229">
        <f>IFERROR(AVERAGE($E$49:E54),0)</f>
        <v>5.8337510442773598E-2</v>
      </c>
      <c r="G54" s="230">
        <f t="shared" si="4"/>
        <v>0.15</v>
      </c>
    </row>
    <row r="55" spans="2:7" ht="15" customHeight="1" x14ac:dyDescent="0.25">
      <c r="B55" s="227" t="s">
        <v>7</v>
      </c>
      <c r="C55" s="232">
        <f>X7</f>
        <v>0</v>
      </c>
      <c r="D55" s="232">
        <f>X8</f>
        <v>0</v>
      </c>
      <c r="E55" s="229">
        <f t="shared" si="3"/>
        <v>0</v>
      </c>
      <c r="F55" s="229">
        <f>IFERROR(AVERAGE($E$49:E55),0)</f>
        <v>5.0003580379520227E-2</v>
      </c>
      <c r="G55" s="230">
        <f t="shared" si="4"/>
        <v>0.15</v>
      </c>
    </row>
    <row r="56" spans="2:7" ht="15" customHeight="1" x14ac:dyDescent="0.25">
      <c r="B56" s="227" t="s">
        <v>8</v>
      </c>
      <c r="C56" s="232">
        <f>Y7</f>
        <v>0</v>
      </c>
      <c r="D56" s="232">
        <f>Y8</f>
        <v>0</v>
      </c>
      <c r="E56" s="229">
        <f t="shared" si="3"/>
        <v>0</v>
      </c>
      <c r="F56" s="229">
        <f>IFERROR(AVERAGE($E$49:E56),0)</f>
        <v>4.3753132832080197E-2</v>
      </c>
      <c r="G56" s="230">
        <f t="shared" si="4"/>
        <v>0.15</v>
      </c>
    </row>
    <row r="57" spans="2:7" ht="15" customHeight="1" x14ac:dyDescent="0.25">
      <c r="B57" s="227" t="s">
        <v>9</v>
      </c>
      <c r="C57" s="232">
        <f>Z7</f>
        <v>0</v>
      </c>
      <c r="D57" s="232">
        <f>Z8</f>
        <v>0</v>
      </c>
      <c r="E57" s="229">
        <f t="shared" si="3"/>
        <v>0</v>
      </c>
      <c r="F57" s="229">
        <f>IFERROR(AVERAGE($E$49:E57),0)</f>
        <v>3.8891673628515727E-2</v>
      </c>
      <c r="G57" s="230">
        <f t="shared" si="4"/>
        <v>0.15</v>
      </c>
    </row>
    <row r="58" spans="2:7" ht="15" customHeight="1" x14ac:dyDescent="0.25">
      <c r="B58" s="227" t="s">
        <v>10</v>
      </c>
      <c r="C58" s="232">
        <f>AA7</f>
        <v>0</v>
      </c>
      <c r="D58" s="232">
        <f>AA8</f>
        <v>0</v>
      </c>
      <c r="E58" s="229">
        <f t="shared" si="3"/>
        <v>0</v>
      </c>
      <c r="F58" s="229">
        <f>IFERROR(AVERAGE($E$49:E58),0)</f>
        <v>3.500250626566416E-2</v>
      </c>
      <c r="G58" s="230">
        <f t="shared" si="4"/>
        <v>0.15</v>
      </c>
    </row>
    <row r="59" spans="2:7" ht="15" customHeight="1" x14ac:dyDescent="0.25">
      <c r="B59" s="227" t="s">
        <v>11</v>
      </c>
      <c r="C59" s="232">
        <f>AB7</f>
        <v>0</v>
      </c>
      <c r="D59" s="232">
        <f>AB8</f>
        <v>0</v>
      </c>
      <c r="E59" s="229">
        <f t="shared" si="3"/>
        <v>0</v>
      </c>
      <c r="F59" s="229">
        <f>IFERROR(AVERAGE($E$49:E59),0)</f>
        <v>3.1820460241512867E-2</v>
      </c>
      <c r="G59" s="230">
        <f t="shared" si="4"/>
        <v>0.15</v>
      </c>
    </row>
    <row r="60" spans="2:7" ht="15.75" customHeight="1" x14ac:dyDescent="0.25">
      <c r="B60" s="237" t="s">
        <v>12</v>
      </c>
      <c r="C60" s="241">
        <f>AC7</f>
        <v>0</v>
      </c>
      <c r="D60" s="242">
        <f>AC8</f>
        <v>0</v>
      </c>
      <c r="E60" s="229">
        <f t="shared" si="3"/>
        <v>0</v>
      </c>
      <c r="F60" s="229">
        <f>IFERROR(AVERAGE($E$49:E60),0)</f>
        <v>2.9168755221386799E-2</v>
      </c>
      <c r="G60" s="240">
        <f t="shared" si="4"/>
        <v>0.15</v>
      </c>
    </row>
  </sheetData>
  <mergeCells count="7">
    <mergeCell ref="B46:G46"/>
    <mergeCell ref="B47:D47"/>
    <mergeCell ref="A2:A10"/>
    <mergeCell ref="B29:H29"/>
    <mergeCell ref="B30:D30"/>
    <mergeCell ref="E30:F30"/>
    <mergeCell ref="B44:H44"/>
  </mergeCells>
  <conditionalFormatting sqref="B14:H14 C15:E16 B15:B25 F15:F25">
    <cfRule type="expression" dxfId="36" priority="6">
      <formula>ODD(ROW()) = ROW()</formula>
    </cfRule>
  </conditionalFormatting>
  <conditionalFormatting sqref="C18:E18">
    <cfRule type="expression" dxfId="35" priority="4">
      <formula>ODD(ROW()) = ROW()</formula>
    </cfRule>
  </conditionalFormatting>
  <conditionalFormatting sqref="D17:E17">
    <cfRule type="expression" dxfId="34" priority="5">
      <formula>ODD(ROW()) = ROW()</formula>
    </cfRule>
  </conditionalFormatting>
  <conditionalFormatting sqref="E19:E25">
    <cfRule type="expression" dxfId="33" priority="2">
      <formula>ODD(ROW()) = ROW()</formula>
    </cfRule>
  </conditionalFormatting>
  <conditionalFormatting sqref="G15:H19 G20:G21 H20:H25">
    <cfRule type="expression" dxfId="32" priority="3">
      <formula>ODD(ROW()) = ROW()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  <legacyDrawing r:id="rId2"/>
  <tableParts count="2">
    <tablePart r:id="rId3"/>
    <tablePart r:id="rId4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0070C0"/>
  </sheetPr>
  <dimension ref="B2:G39"/>
  <sheetViews>
    <sheetView showGridLines="0" zoomScaleNormal="100" workbookViewId="0">
      <selection activeCell="M8" sqref="M8"/>
    </sheetView>
  </sheetViews>
  <sheetFormatPr defaultColWidth="9.140625" defaultRowHeight="15" x14ac:dyDescent="0.25"/>
  <cols>
    <col min="1" max="1" width="9.140625" style="174"/>
    <col min="2" max="2" width="11.42578125" style="174" customWidth="1"/>
    <col min="3" max="3" width="14" style="174" customWidth="1"/>
    <col min="4" max="4" width="46.42578125" style="174" customWidth="1"/>
    <col min="5" max="5" width="14" style="174" customWidth="1"/>
    <col min="6" max="7" width="10.7109375" style="174" customWidth="1"/>
    <col min="8" max="16384" width="9.140625" style="174"/>
  </cols>
  <sheetData>
    <row r="2" spans="2:7" ht="15" customHeight="1" x14ac:dyDescent="0.25">
      <c r="B2" s="514" t="s">
        <v>41</v>
      </c>
      <c r="C2" s="514" t="s">
        <v>218</v>
      </c>
      <c r="D2" s="514" t="s">
        <v>42</v>
      </c>
      <c r="E2" s="514" t="s">
        <v>43</v>
      </c>
      <c r="F2" s="514" t="s">
        <v>44</v>
      </c>
      <c r="G2" s="514" t="s">
        <v>45</v>
      </c>
    </row>
    <row r="3" spans="2:7" ht="15" customHeight="1" x14ac:dyDescent="0.25">
      <c r="B3" s="515">
        <v>150</v>
      </c>
      <c r="C3" s="516">
        <v>20421719729</v>
      </c>
      <c r="D3" s="517" t="s">
        <v>219</v>
      </c>
      <c r="E3" s="518" t="s">
        <v>220</v>
      </c>
      <c r="F3" s="519" t="s">
        <v>221</v>
      </c>
      <c r="G3" s="520" t="s">
        <v>222</v>
      </c>
    </row>
    <row r="4" spans="2:7" ht="15" customHeight="1" x14ac:dyDescent="0.25">
      <c r="B4" s="515">
        <v>115</v>
      </c>
      <c r="C4" s="516">
        <v>17622871702</v>
      </c>
      <c r="D4" s="517" t="s">
        <v>223</v>
      </c>
      <c r="E4" s="518" t="s">
        <v>220</v>
      </c>
      <c r="F4" s="519" t="s">
        <v>224</v>
      </c>
      <c r="G4" s="520"/>
    </row>
    <row r="5" spans="2:7" ht="15" customHeight="1" x14ac:dyDescent="0.25">
      <c r="B5" s="521">
        <v>160</v>
      </c>
      <c r="C5" s="522">
        <v>14212723778</v>
      </c>
      <c r="D5" s="523" t="s">
        <v>225</v>
      </c>
      <c r="E5" s="518" t="s">
        <v>220</v>
      </c>
      <c r="F5" s="520" t="s">
        <v>226</v>
      </c>
      <c r="G5" s="520"/>
    </row>
    <row r="6" spans="2:7" ht="15" customHeight="1" x14ac:dyDescent="0.25">
      <c r="B6" s="515">
        <v>130</v>
      </c>
      <c r="C6" s="516">
        <v>16044643727</v>
      </c>
      <c r="D6" s="517" t="s">
        <v>227</v>
      </c>
      <c r="E6" s="518" t="s">
        <v>220</v>
      </c>
      <c r="F6" s="519" t="s">
        <v>228</v>
      </c>
      <c r="G6" s="520"/>
    </row>
    <row r="7" spans="2:7" ht="15" customHeight="1" x14ac:dyDescent="0.25">
      <c r="B7" s="524">
        <v>158</v>
      </c>
      <c r="C7" s="525">
        <v>18596219706</v>
      </c>
      <c r="D7" s="526" t="s">
        <v>229</v>
      </c>
      <c r="E7" s="527" t="s">
        <v>220</v>
      </c>
      <c r="F7" s="528" t="s">
        <v>230</v>
      </c>
      <c r="G7" s="528" t="s">
        <v>231</v>
      </c>
    </row>
    <row r="8" spans="2:7" ht="15" customHeight="1" x14ac:dyDescent="0.25">
      <c r="B8" s="524">
        <v>128</v>
      </c>
      <c r="C8" s="525">
        <v>15560372790</v>
      </c>
      <c r="D8" s="526" t="s">
        <v>232</v>
      </c>
      <c r="E8" s="527" t="s">
        <v>220</v>
      </c>
      <c r="F8" s="528" t="s">
        <v>233</v>
      </c>
      <c r="G8" s="528" t="s">
        <v>222</v>
      </c>
    </row>
    <row r="9" spans="2:7" ht="15" customHeight="1" x14ac:dyDescent="0.25">
      <c r="B9" s="529">
        <v>4</v>
      </c>
      <c r="C9" s="530">
        <v>12576147704</v>
      </c>
      <c r="D9" s="531" t="s">
        <v>234</v>
      </c>
      <c r="E9" s="532" t="s">
        <v>235</v>
      </c>
      <c r="F9" s="533" t="s">
        <v>236</v>
      </c>
      <c r="G9" s="534"/>
    </row>
    <row r="10" spans="2:7" ht="15" customHeight="1" x14ac:dyDescent="0.25">
      <c r="B10" s="515">
        <v>35</v>
      </c>
      <c r="C10" s="535">
        <v>9621821762</v>
      </c>
      <c r="D10" s="517" t="s">
        <v>237</v>
      </c>
      <c r="E10" s="518" t="s">
        <v>220</v>
      </c>
      <c r="F10" s="536" t="s">
        <v>238</v>
      </c>
      <c r="G10" s="520"/>
    </row>
    <row r="11" spans="2:7" ht="15" customHeight="1" x14ac:dyDescent="0.25">
      <c r="B11" s="529">
        <v>3</v>
      </c>
      <c r="C11" s="537">
        <v>86749072704</v>
      </c>
      <c r="D11" s="531" t="s">
        <v>239</v>
      </c>
      <c r="E11" s="532" t="s">
        <v>235</v>
      </c>
      <c r="F11" s="538" t="s">
        <v>240</v>
      </c>
      <c r="G11" s="534"/>
    </row>
    <row r="12" spans="2:7" ht="15" customHeight="1" x14ac:dyDescent="0.25">
      <c r="B12" s="515">
        <v>36</v>
      </c>
      <c r="C12" s="516">
        <v>7452452771</v>
      </c>
      <c r="D12" s="517" t="s">
        <v>241</v>
      </c>
      <c r="E12" s="518" t="s">
        <v>220</v>
      </c>
      <c r="F12" s="519" t="s">
        <v>238</v>
      </c>
      <c r="G12" s="520"/>
    </row>
    <row r="13" spans="2:7" ht="15" customHeight="1" x14ac:dyDescent="0.25">
      <c r="B13" s="524">
        <v>151</v>
      </c>
      <c r="C13" s="525">
        <v>14935558717</v>
      </c>
      <c r="D13" s="526" t="s">
        <v>242</v>
      </c>
      <c r="E13" s="527" t="s">
        <v>220</v>
      </c>
      <c r="F13" s="528" t="s">
        <v>243</v>
      </c>
      <c r="G13" s="528" t="s">
        <v>244</v>
      </c>
    </row>
    <row r="14" spans="2:7" ht="15" customHeight="1" x14ac:dyDescent="0.25">
      <c r="B14" s="529">
        <v>6</v>
      </c>
      <c r="C14" s="537">
        <v>7728013637</v>
      </c>
      <c r="D14" s="531" t="s">
        <v>245</v>
      </c>
      <c r="E14" s="532" t="s">
        <v>235</v>
      </c>
      <c r="F14" s="533" t="s">
        <v>246</v>
      </c>
      <c r="G14" s="534"/>
    </row>
    <row r="15" spans="2:7" ht="15" customHeight="1" x14ac:dyDescent="0.25">
      <c r="B15" s="515">
        <v>109</v>
      </c>
      <c r="C15" s="516">
        <v>17911909792</v>
      </c>
      <c r="D15" s="517" t="s">
        <v>247</v>
      </c>
      <c r="E15" s="518" t="s">
        <v>220</v>
      </c>
      <c r="F15" s="519" t="s">
        <v>248</v>
      </c>
      <c r="G15" s="520"/>
    </row>
    <row r="16" spans="2:7" ht="15" customHeight="1" x14ac:dyDescent="0.25">
      <c r="B16" s="524">
        <v>156</v>
      </c>
      <c r="C16" s="525">
        <v>13021410740</v>
      </c>
      <c r="D16" s="526" t="s">
        <v>249</v>
      </c>
      <c r="E16" s="527" t="s">
        <v>220</v>
      </c>
      <c r="F16" s="528" t="s">
        <v>230</v>
      </c>
      <c r="G16" s="528" t="s">
        <v>250</v>
      </c>
    </row>
    <row r="17" spans="2:7" ht="15" customHeight="1" x14ac:dyDescent="0.25">
      <c r="B17" s="515">
        <v>100</v>
      </c>
      <c r="C17" s="516">
        <v>21963396790</v>
      </c>
      <c r="D17" s="517" t="s">
        <v>251</v>
      </c>
      <c r="E17" s="518" t="s">
        <v>220</v>
      </c>
      <c r="F17" s="519" t="s">
        <v>252</v>
      </c>
      <c r="G17" s="520"/>
    </row>
    <row r="18" spans="2:7" ht="15" customHeight="1" x14ac:dyDescent="0.25">
      <c r="B18" s="524">
        <v>133</v>
      </c>
      <c r="C18" s="525">
        <v>17471881747</v>
      </c>
      <c r="D18" s="526" t="s">
        <v>253</v>
      </c>
      <c r="E18" s="527" t="s">
        <v>220</v>
      </c>
      <c r="F18" s="528" t="s">
        <v>254</v>
      </c>
      <c r="G18" s="528" t="s">
        <v>255</v>
      </c>
    </row>
    <row r="19" spans="2:7" ht="15" customHeight="1" x14ac:dyDescent="0.25">
      <c r="B19" s="515">
        <v>153</v>
      </c>
      <c r="C19" s="516">
        <v>19379132794</v>
      </c>
      <c r="D19" s="517" t="s">
        <v>256</v>
      </c>
      <c r="E19" s="518" t="s">
        <v>220</v>
      </c>
      <c r="F19" s="519" t="s">
        <v>257</v>
      </c>
      <c r="G19" s="520"/>
    </row>
    <row r="20" spans="2:7" ht="15" customHeight="1" x14ac:dyDescent="0.25">
      <c r="B20" s="524">
        <v>123</v>
      </c>
      <c r="C20" s="525">
        <v>17622438731</v>
      </c>
      <c r="D20" s="526" t="s">
        <v>258</v>
      </c>
      <c r="E20" s="527" t="s">
        <v>220</v>
      </c>
      <c r="F20" s="528" t="s">
        <v>259</v>
      </c>
      <c r="G20" s="528" t="s">
        <v>260</v>
      </c>
    </row>
    <row r="21" spans="2:7" ht="15" customHeight="1" x14ac:dyDescent="0.25">
      <c r="B21" s="524">
        <v>154</v>
      </c>
      <c r="C21" s="525">
        <v>17444522707</v>
      </c>
      <c r="D21" s="526" t="s">
        <v>261</v>
      </c>
      <c r="E21" s="527" t="s">
        <v>220</v>
      </c>
      <c r="F21" s="528" t="s">
        <v>262</v>
      </c>
      <c r="G21" s="528" t="s">
        <v>244</v>
      </c>
    </row>
    <row r="22" spans="2:7" ht="15" customHeight="1" x14ac:dyDescent="0.25">
      <c r="B22" s="515">
        <v>63</v>
      </c>
      <c r="C22" s="516">
        <v>8932910723</v>
      </c>
      <c r="D22" s="517" t="s">
        <v>263</v>
      </c>
      <c r="E22" s="518" t="s">
        <v>220</v>
      </c>
      <c r="F22" s="519" t="s">
        <v>264</v>
      </c>
      <c r="G22" s="520"/>
    </row>
    <row r="23" spans="2:7" ht="15" customHeight="1" x14ac:dyDescent="0.25">
      <c r="B23" s="515">
        <v>135</v>
      </c>
      <c r="C23" s="516">
        <v>9823424705</v>
      </c>
      <c r="D23" s="517" t="s">
        <v>265</v>
      </c>
      <c r="E23" s="518" t="s">
        <v>220</v>
      </c>
      <c r="F23" s="519" t="s">
        <v>266</v>
      </c>
      <c r="G23" s="520"/>
    </row>
    <row r="24" spans="2:7" ht="15" customHeight="1" x14ac:dyDescent="0.25">
      <c r="B24" s="529">
        <v>5</v>
      </c>
      <c r="C24" s="537">
        <v>14676408757</v>
      </c>
      <c r="D24" s="531" t="s">
        <v>267</v>
      </c>
      <c r="E24" s="532" t="s">
        <v>235</v>
      </c>
      <c r="F24" s="533" t="s">
        <v>268</v>
      </c>
      <c r="G24" s="534"/>
    </row>
    <row r="25" spans="2:7" ht="15" customHeight="1" x14ac:dyDescent="0.25">
      <c r="B25" s="515">
        <v>147</v>
      </c>
      <c r="C25" s="516">
        <v>18605506733</v>
      </c>
      <c r="D25" s="517" t="s">
        <v>269</v>
      </c>
      <c r="E25" s="518" t="s">
        <v>220</v>
      </c>
      <c r="F25" s="519" t="s">
        <v>270</v>
      </c>
      <c r="G25" s="520"/>
    </row>
    <row r="26" spans="2:7" ht="15" customHeight="1" x14ac:dyDescent="0.25">
      <c r="B26" s="515">
        <v>99</v>
      </c>
      <c r="C26" s="516">
        <v>11968033742</v>
      </c>
      <c r="D26" s="517" t="s">
        <v>271</v>
      </c>
      <c r="E26" s="518" t="s">
        <v>220</v>
      </c>
      <c r="F26" s="519" t="s">
        <v>272</v>
      </c>
      <c r="G26" s="520"/>
    </row>
    <row r="27" spans="2:7" ht="15" customHeight="1" x14ac:dyDescent="0.25">
      <c r="B27" s="515">
        <v>54</v>
      </c>
      <c r="C27" s="516">
        <v>540533742</v>
      </c>
      <c r="D27" s="517" t="s">
        <v>273</v>
      </c>
      <c r="E27" s="518" t="s">
        <v>220</v>
      </c>
      <c r="F27" s="519" t="s">
        <v>238</v>
      </c>
      <c r="G27" s="520"/>
    </row>
    <row r="28" spans="2:7" ht="15" customHeight="1" x14ac:dyDescent="0.25">
      <c r="B28" s="515">
        <v>42</v>
      </c>
      <c r="C28" s="516">
        <v>8126990767</v>
      </c>
      <c r="D28" s="517" t="s">
        <v>274</v>
      </c>
      <c r="E28" s="518" t="s">
        <v>220</v>
      </c>
      <c r="F28" s="519" t="s">
        <v>238</v>
      </c>
      <c r="G28" s="520"/>
    </row>
    <row r="29" spans="2:7" ht="15" customHeight="1" x14ac:dyDescent="0.25">
      <c r="B29" s="515">
        <v>43</v>
      </c>
      <c r="C29" s="516">
        <v>6143838623</v>
      </c>
      <c r="D29" s="517" t="s">
        <v>275</v>
      </c>
      <c r="E29" s="518" t="s">
        <v>220</v>
      </c>
      <c r="F29" s="519" t="s">
        <v>238</v>
      </c>
      <c r="G29" s="520"/>
    </row>
    <row r="30" spans="2:7" ht="15" customHeight="1" x14ac:dyDescent="0.25">
      <c r="B30" s="524">
        <v>124</v>
      </c>
      <c r="C30" s="525">
        <v>11779661746</v>
      </c>
      <c r="D30" s="526" t="s">
        <v>276</v>
      </c>
      <c r="E30" s="527" t="s">
        <v>220</v>
      </c>
      <c r="F30" s="528" t="s">
        <v>259</v>
      </c>
      <c r="G30" s="528" t="s">
        <v>222</v>
      </c>
    </row>
    <row r="31" spans="2:7" ht="15" customHeight="1" x14ac:dyDescent="0.25">
      <c r="B31" s="515">
        <v>148</v>
      </c>
      <c r="C31" s="516">
        <v>19168959729</v>
      </c>
      <c r="D31" s="517" t="s">
        <v>277</v>
      </c>
      <c r="E31" s="518" t="s">
        <v>220</v>
      </c>
      <c r="F31" s="519" t="s">
        <v>270</v>
      </c>
      <c r="G31" s="520"/>
    </row>
    <row r="32" spans="2:7" ht="15" customHeight="1" x14ac:dyDescent="0.25">
      <c r="B32" s="515">
        <v>157</v>
      </c>
      <c r="C32" s="522">
        <v>18019744703</v>
      </c>
      <c r="D32" s="517" t="s">
        <v>278</v>
      </c>
      <c r="E32" s="518" t="s">
        <v>220</v>
      </c>
      <c r="F32" s="520" t="s">
        <v>230</v>
      </c>
      <c r="G32" s="520"/>
    </row>
    <row r="33" spans="2:7" ht="15" customHeight="1" x14ac:dyDescent="0.25">
      <c r="B33" s="515">
        <v>48</v>
      </c>
      <c r="C33" s="516">
        <v>9825505702</v>
      </c>
      <c r="D33" s="517" t="s">
        <v>279</v>
      </c>
      <c r="E33" s="518" t="s">
        <v>220</v>
      </c>
      <c r="F33" s="519" t="s">
        <v>238</v>
      </c>
      <c r="G33" s="520"/>
    </row>
    <row r="34" spans="2:7" ht="15" customHeight="1" x14ac:dyDescent="0.25">
      <c r="B34" s="529">
        <v>1</v>
      </c>
      <c r="C34" s="537">
        <v>20832236756</v>
      </c>
      <c r="D34" s="531" t="s">
        <v>280</v>
      </c>
      <c r="E34" s="532" t="s">
        <v>235</v>
      </c>
      <c r="F34" s="539" t="s">
        <v>236</v>
      </c>
      <c r="G34" s="534"/>
    </row>
    <row r="35" spans="2:7" ht="15" customHeight="1" x14ac:dyDescent="0.25">
      <c r="B35" s="524">
        <v>155</v>
      </c>
      <c r="C35" s="525">
        <v>12178701728</v>
      </c>
      <c r="D35" s="526" t="s">
        <v>281</v>
      </c>
      <c r="E35" s="527" t="s">
        <v>220</v>
      </c>
      <c r="F35" s="528" t="s">
        <v>282</v>
      </c>
      <c r="G35" s="528" t="s">
        <v>283</v>
      </c>
    </row>
    <row r="36" spans="2:7" ht="15" customHeight="1" x14ac:dyDescent="0.25">
      <c r="B36" s="521">
        <v>159</v>
      </c>
      <c r="C36" s="522">
        <v>11347893784</v>
      </c>
      <c r="D36" s="523" t="s">
        <v>284</v>
      </c>
      <c r="E36" s="518" t="s">
        <v>220</v>
      </c>
      <c r="F36" s="520" t="s">
        <v>285</v>
      </c>
      <c r="G36" s="520"/>
    </row>
    <row r="37" spans="2:7" ht="15" customHeight="1" x14ac:dyDescent="0.25">
      <c r="B37" s="515">
        <v>144</v>
      </c>
      <c r="C37" s="516">
        <v>9630506726</v>
      </c>
      <c r="D37" s="517" t="s">
        <v>286</v>
      </c>
      <c r="E37" s="518" t="s">
        <v>220</v>
      </c>
      <c r="F37" s="519" t="s">
        <v>287</v>
      </c>
      <c r="G37" s="520"/>
    </row>
    <row r="38" spans="2:7" ht="15" customHeight="1" x14ac:dyDescent="0.25">
      <c r="B38" s="515">
        <v>126</v>
      </c>
      <c r="C38" s="516">
        <v>11765503736</v>
      </c>
      <c r="D38" s="517" t="s">
        <v>288</v>
      </c>
      <c r="E38" s="518" t="s">
        <v>220</v>
      </c>
      <c r="F38" s="519" t="s">
        <v>259</v>
      </c>
      <c r="G38" s="520"/>
    </row>
    <row r="39" spans="2:7" ht="15" customHeight="1" x14ac:dyDescent="0.25">
      <c r="B39" s="515">
        <v>52</v>
      </c>
      <c r="C39" s="516">
        <v>9922359790</v>
      </c>
      <c r="D39" s="517" t="s">
        <v>289</v>
      </c>
      <c r="E39" s="518" t="s">
        <v>220</v>
      </c>
      <c r="F39" s="519" t="s">
        <v>238</v>
      </c>
      <c r="G39" s="520"/>
    </row>
  </sheetData>
  <conditionalFormatting sqref="C3:C39">
    <cfRule type="expression" dxfId="31" priority="2">
      <formula>"00"".""000"".""000""-""00"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0070C0"/>
  </sheetPr>
  <dimension ref="B2:AG378"/>
  <sheetViews>
    <sheetView showGridLines="0" topLeftCell="A87" zoomScale="90" zoomScaleNormal="90" workbookViewId="0">
      <selection activeCell="X110" sqref="X110"/>
    </sheetView>
  </sheetViews>
  <sheetFormatPr defaultColWidth="9.140625" defaultRowHeight="12.75" x14ac:dyDescent="0.2"/>
  <cols>
    <col min="1" max="1" width="2" style="295" customWidth="1"/>
    <col min="2" max="2" width="10.140625" style="295" customWidth="1"/>
    <col min="3" max="3" width="13.5703125" style="295" customWidth="1"/>
    <col min="4" max="4" width="43.5703125" style="295" customWidth="1"/>
    <col min="5" max="5" width="12.5703125" style="295" customWidth="1"/>
    <col min="6" max="7" width="10.42578125" style="295" customWidth="1"/>
    <col min="8" max="8" width="11.28515625" style="295" customWidth="1"/>
    <col min="9" max="9" width="4.5703125" style="295" customWidth="1"/>
    <col min="10" max="10" width="7" style="295" customWidth="1"/>
    <col min="11" max="11" width="4.5703125" style="295" customWidth="1"/>
    <col min="12" max="12" width="7" style="295" customWidth="1"/>
    <col min="13" max="13" width="4.5703125" style="295" customWidth="1"/>
    <col min="14" max="14" width="3.140625" style="295" customWidth="1"/>
    <col min="15" max="15" width="10.42578125" style="295" customWidth="1"/>
    <col min="16" max="16" width="3" style="295" customWidth="1"/>
    <col min="17" max="17" width="1.5703125" style="295" customWidth="1"/>
    <col min="18" max="18" width="9.140625" style="295"/>
    <col min="19" max="19" width="3" style="295" customWidth="1"/>
    <col min="20" max="20" width="1.5703125" style="295" customWidth="1"/>
    <col min="21" max="21" width="12.28515625" style="295" customWidth="1"/>
    <col min="22" max="22" width="6" style="295" customWidth="1"/>
    <col min="23" max="23" width="1.5703125" style="295" customWidth="1"/>
    <col min="24" max="24" width="4.85546875" style="295" customWidth="1"/>
    <col min="25" max="25" width="4" style="295" customWidth="1"/>
    <col min="26" max="26" width="3.5703125" style="295" customWidth="1"/>
    <col min="27" max="27" width="4.28515625" style="295" customWidth="1"/>
    <col min="28" max="28" width="3.85546875" style="295" customWidth="1"/>
    <col min="29" max="30" width="4" style="295" customWidth="1"/>
    <col min="31" max="31" width="2" style="295" customWidth="1"/>
    <col min="32" max="32" width="13.28515625" style="295" customWidth="1"/>
    <col min="33" max="33" width="6.42578125" style="295" customWidth="1"/>
    <col min="34" max="16384" width="9.140625" style="295"/>
  </cols>
  <sheetData>
    <row r="2" spans="2:33" ht="15" customHeight="1" x14ac:dyDescent="0.2">
      <c r="B2" s="297" t="s">
        <v>41</v>
      </c>
      <c r="C2" s="297" t="s">
        <v>218</v>
      </c>
      <c r="D2" s="297" t="s">
        <v>42</v>
      </c>
      <c r="E2" s="297" t="s">
        <v>43</v>
      </c>
      <c r="F2" s="297" t="s">
        <v>44</v>
      </c>
      <c r="G2" s="297" t="s">
        <v>45</v>
      </c>
      <c r="H2" s="297" t="s">
        <v>46</v>
      </c>
      <c r="I2" s="297" t="s">
        <v>49</v>
      </c>
      <c r="J2" s="297" t="s">
        <v>39</v>
      </c>
      <c r="K2" s="297" t="s">
        <v>49</v>
      </c>
      <c r="L2" s="297" t="s">
        <v>40</v>
      </c>
      <c r="M2" s="297" t="s">
        <v>49</v>
      </c>
      <c r="O2" s="298" t="s">
        <v>125</v>
      </c>
      <c r="P2" s="299">
        <v>35</v>
      </c>
      <c r="R2" s="298" t="s">
        <v>44</v>
      </c>
      <c r="S2" s="300">
        <f>F38</f>
        <v>0</v>
      </c>
      <c r="U2" s="298" t="s">
        <v>39</v>
      </c>
      <c r="V2" s="301">
        <f>K38</f>
        <v>11</v>
      </c>
      <c r="X2" s="797" t="s">
        <v>126</v>
      </c>
      <c r="Y2" s="797"/>
      <c r="Z2" s="797"/>
      <c r="AA2" s="797"/>
      <c r="AB2" s="797"/>
      <c r="AC2" s="797"/>
      <c r="AD2" s="797"/>
      <c r="AF2" s="305" t="s">
        <v>127</v>
      </c>
      <c r="AG2" s="306">
        <f>(V8-V3-V2-S5)</f>
        <v>653.5</v>
      </c>
    </row>
    <row r="3" spans="2:33" ht="12.75" customHeight="1" x14ac:dyDescent="0.2">
      <c r="B3" s="307">
        <v>150</v>
      </c>
      <c r="C3" s="540">
        <v>20421719729</v>
      </c>
      <c r="D3" s="308" t="s">
        <v>219</v>
      </c>
      <c r="E3" s="336" t="s">
        <v>220</v>
      </c>
      <c r="F3" s="342"/>
      <c r="G3" s="541"/>
      <c r="H3" s="542"/>
      <c r="I3" s="131">
        <v>0</v>
      </c>
      <c r="J3" s="132"/>
      <c r="K3" s="133">
        <v>0</v>
      </c>
      <c r="L3" s="543" t="s">
        <v>290</v>
      </c>
      <c r="M3" s="78">
        <v>1</v>
      </c>
      <c r="R3" s="298" t="s">
        <v>45</v>
      </c>
      <c r="S3" s="301">
        <f>G38</f>
        <v>1</v>
      </c>
      <c r="U3" s="298" t="s">
        <v>40</v>
      </c>
      <c r="V3" s="301">
        <f>M38</f>
        <v>50</v>
      </c>
      <c r="X3" s="312" t="s">
        <v>128</v>
      </c>
      <c r="Y3" s="313" t="s">
        <v>129</v>
      </c>
      <c r="Z3" s="313" t="s">
        <v>130</v>
      </c>
      <c r="AA3" s="313" t="s">
        <v>131</v>
      </c>
      <c r="AB3" s="313" t="s">
        <v>132</v>
      </c>
      <c r="AC3" s="313" t="s">
        <v>133</v>
      </c>
      <c r="AD3" s="314" t="s">
        <v>134</v>
      </c>
      <c r="AF3" s="305" t="s">
        <v>135</v>
      </c>
      <c r="AG3" s="315">
        <f>V8-AG2</f>
        <v>71</v>
      </c>
    </row>
    <row r="4" spans="2:33" ht="12.75" customHeight="1" x14ac:dyDescent="0.2">
      <c r="B4" s="307">
        <v>115</v>
      </c>
      <c r="C4" s="540">
        <v>17622871702</v>
      </c>
      <c r="D4" s="308" t="s">
        <v>223</v>
      </c>
      <c r="E4" s="317" t="s">
        <v>220</v>
      </c>
      <c r="F4" s="342"/>
      <c r="G4" s="544"/>
      <c r="H4" s="542"/>
      <c r="I4" s="131">
        <v>0</v>
      </c>
      <c r="J4" s="160"/>
      <c r="K4" s="133">
        <v>0</v>
      </c>
      <c r="L4" s="543" t="s">
        <v>290</v>
      </c>
      <c r="M4" s="78">
        <v>1</v>
      </c>
      <c r="R4" s="319" t="s">
        <v>56</v>
      </c>
      <c r="S4" s="301">
        <f>P2+S2-S3</f>
        <v>34</v>
      </c>
      <c r="U4" s="298" t="s">
        <v>59</v>
      </c>
      <c r="V4" s="301">
        <f>L38</f>
        <v>35</v>
      </c>
      <c r="X4" s="320"/>
      <c r="Y4" s="321"/>
      <c r="Z4" s="321"/>
      <c r="AA4" s="322"/>
      <c r="AB4" s="323">
        <v>46023</v>
      </c>
      <c r="AC4" s="324">
        <v>46024</v>
      </c>
      <c r="AD4" s="325">
        <v>46025</v>
      </c>
      <c r="AF4" s="305" t="s">
        <v>136</v>
      </c>
      <c r="AG4" s="545">
        <f>(S4*8.8)*S7</f>
        <v>6283.2000000000007</v>
      </c>
    </row>
    <row r="5" spans="2:33" ht="12.75" customHeight="1" x14ac:dyDescent="0.2">
      <c r="B5" s="307">
        <v>130</v>
      </c>
      <c r="C5" s="540">
        <v>16044643727</v>
      </c>
      <c r="D5" s="308" t="s">
        <v>227</v>
      </c>
      <c r="E5" s="336" t="s">
        <v>220</v>
      </c>
      <c r="F5" s="342"/>
      <c r="G5" s="546"/>
      <c r="H5" s="547"/>
      <c r="I5" s="131">
        <v>0</v>
      </c>
      <c r="J5" s="160"/>
      <c r="K5" s="133">
        <v>0</v>
      </c>
      <c r="L5" s="543" t="s">
        <v>290</v>
      </c>
      <c r="M5" s="78">
        <v>1</v>
      </c>
      <c r="R5" s="298" t="s">
        <v>137</v>
      </c>
      <c r="S5" s="329">
        <f>I38</f>
        <v>10</v>
      </c>
      <c r="U5" s="330"/>
      <c r="V5" s="331"/>
      <c r="X5" s="332">
        <v>46026</v>
      </c>
      <c r="Y5" s="333">
        <v>46027</v>
      </c>
      <c r="Z5" s="333">
        <v>46028</v>
      </c>
      <c r="AA5" s="333">
        <v>46029</v>
      </c>
      <c r="AB5" s="333">
        <v>46030</v>
      </c>
      <c r="AC5" s="333">
        <v>46031</v>
      </c>
      <c r="AD5" s="334">
        <v>46032</v>
      </c>
      <c r="AF5" s="305" t="s">
        <v>138</v>
      </c>
      <c r="AG5" s="545">
        <f>AG3*8.8</f>
        <v>624.80000000000007</v>
      </c>
    </row>
    <row r="6" spans="2:33" ht="12.75" customHeight="1" x14ac:dyDescent="0.2">
      <c r="B6" s="307">
        <v>158</v>
      </c>
      <c r="C6" s="540">
        <v>18596219706</v>
      </c>
      <c r="D6" s="308" t="s">
        <v>229</v>
      </c>
      <c r="E6" s="336" t="s">
        <v>220</v>
      </c>
      <c r="F6" s="342"/>
      <c r="G6" s="548"/>
      <c r="H6" s="547"/>
      <c r="I6" s="131">
        <v>0</v>
      </c>
      <c r="J6" s="132"/>
      <c r="K6" s="133">
        <v>0</v>
      </c>
      <c r="L6" s="543" t="s">
        <v>290</v>
      </c>
      <c r="M6" s="78">
        <v>1</v>
      </c>
      <c r="X6" s="338">
        <v>46033</v>
      </c>
      <c r="Y6" s="339">
        <v>46034</v>
      </c>
      <c r="Z6" s="339">
        <v>46035</v>
      </c>
      <c r="AA6" s="339">
        <v>46036</v>
      </c>
      <c r="AB6" s="339">
        <v>46037</v>
      </c>
      <c r="AC6" s="339">
        <v>46038</v>
      </c>
      <c r="AD6" s="340">
        <v>46039</v>
      </c>
      <c r="AF6" s="305" t="s">
        <v>140</v>
      </c>
      <c r="AG6" s="545">
        <f>(AG4-AG5)/(8.8*S7)</f>
        <v>30.61904761904762</v>
      </c>
    </row>
    <row r="7" spans="2:33" ht="12.75" customHeight="1" x14ac:dyDescent="0.2">
      <c r="B7" s="307">
        <v>128</v>
      </c>
      <c r="C7" s="540">
        <v>15560372790</v>
      </c>
      <c r="D7" s="308" t="s">
        <v>232</v>
      </c>
      <c r="E7" s="336" t="s">
        <v>220</v>
      </c>
      <c r="F7" s="342"/>
      <c r="G7" s="546"/>
      <c r="H7" s="547"/>
      <c r="I7" s="131">
        <v>0</v>
      </c>
      <c r="J7" s="132"/>
      <c r="K7" s="133">
        <v>0</v>
      </c>
      <c r="L7" s="543" t="s">
        <v>290</v>
      </c>
      <c r="M7" s="78">
        <v>1</v>
      </c>
      <c r="R7" s="343" t="s">
        <v>22</v>
      </c>
      <c r="S7" s="344">
        <v>21</v>
      </c>
      <c r="U7" s="549" t="s">
        <v>141</v>
      </c>
      <c r="V7" s="550">
        <f>(P2+S4)/2</f>
        <v>34.5</v>
      </c>
      <c r="X7" s="346">
        <v>46040</v>
      </c>
      <c r="Y7" s="347">
        <v>46041</v>
      </c>
      <c r="Z7" s="347">
        <v>46042</v>
      </c>
      <c r="AA7" s="347">
        <v>46043</v>
      </c>
      <c r="AB7" s="347">
        <v>46044</v>
      </c>
      <c r="AC7" s="347">
        <v>46045</v>
      </c>
      <c r="AD7" s="348">
        <v>46046</v>
      </c>
    </row>
    <row r="8" spans="2:33" ht="12.75" customHeight="1" x14ac:dyDescent="0.2">
      <c r="B8" s="307">
        <v>4</v>
      </c>
      <c r="C8" s="540">
        <v>12576147704</v>
      </c>
      <c r="D8" s="326" t="s">
        <v>234</v>
      </c>
      <c r="E8" s="350" t="s">
        <v>235</v>
      </c>
      <c r="F8" s="326"/>
      <c r="G8" s="551"/>
      <c r="H8" s="552"/>
      <c r="I8" s="131">
        <v>0</v>
      </c>
      <c r="J8" s="132"/>
      <c r="K8" s="133">
        <v>0</v>
      </c>
      <c r="L8" s="543" t="s">
        <v>290</v>
      </c>
      <c r="M8" s="78">
        <v>1</v>
      </c>
      <c r="R8" s="343" t="s">
        <v>142</v>
      </c>
      <c r="S8" s="349">
        <v>10</v>
      </c>
      <c r="U8" s="343" t="s">
        <v>143</v>
      </c>
      <c r="V8" s="350">
        <f>S7*V7</f>
        <v>724.5</v>
      </c>
      <c r="X8" s="351">
        <v>46047</v>
      </c>
      <c r="Y8" s="352">
        <v>46048</v>
      </c>
      <c r="Z8" s="352">
        <v>46049</v>
      </c>
      <c r="AA8" s="352">
        <v>46050</v>
      </c>
      <c r="AB8" s="352">
        <v>46051</v>
      </c>
      <c r="AC8" s="352">
        <v>46052</v>
      </c>
      <c r="AD8" s="353">
        <v>46053</v>
      </c>
    </row>
    <row r="9" spans="2:33" ht="12.75" customHeight="1" x14ac:dyDescent="0.2">
      <c r="B9" s="307">
        <v>35</v>
      </c>
      <c r="C9" s="540">
        <v>9621821762</v>
      </c>
      <c r="D9" s="326" t="s">
        <v>237</v>
      </c>
      <c r="E9" s="350" t="s">
        <v>220</v>
      </c>
      <c r="F9" s="326"/>
      <c r="G9" s="551"/>
      <c r="H9" s="552"/>
      <c r="I9" s="131">
        <v>0</v>
      </c>
      <c r="J9" s="160"/>
      <c r="K9" s="133">
        <v>0</v>
      </c>
      <c r="L9" s="543" t="s">
        <v>290</v>
      </c>
      <c r="M9" s="78">
        <v>1</v>
      </c>
    </row>
    <row r="10" spans="2:33" ht="12.75" customHeight="1" x14ac:dyDescent="0.2">
      <c r="B10" s="307">
        <v>3</v>
      </c>
      <c r="C10" s="540">
        <v>86749072704</v>
      </c>
      <c r="D10" s="326" t="s">
        <v>239</v>
      </c>
      <c r="E10" s="350" t="s">
        <v>235</v>
      </c>
      <c r="F10" s="326"/>
      <c r="G10" s="551"/>
      <c r="H10" s="552">
        <v>9</v>
      </c>
      <c r="I10" s="131">
        <v>1</v>
      </c>
      <c r="J10" s="132"/>
      <c r="K10" s="133">
        <v>0</v>
      </c>
      <c r="L10" s="543" t="s">
        <v>290</v>
      </c>
      <c r="M10" s="78">
        <v>1</v>
      </c>
    </row>
    <row r="11" spans="2:33" ht="12.75" customHeight="1" x14ac:dyDescent="0.2">
      <c r="B11" s="307">
        <v>36</v>
      </c>
      <c r="C11" s="540">
        <v>7452452771</v>
      </c>
      <c r="D11" s="326" t="s">
        <v>241</v>
      </c>
      <c r="E11" s="350" t="s">
        <v>220</v>
      </c>
      <c r="F11" s="326"/>
      <c r="G11" s="551"/>
      <c r="H11" s="552"/>
      <c r="I11" s="131">
        <v>0</v>
      </c>
      <c r="J11" s="160"/>
      <c r="K11" s="133">
        <v>0</v>
      </c>
      <c r="L11" s="543" t="s">
        <v>290</v>
      </c>
      <c r="M11" s="78">
        <v>1</v>
      </c>
    </row>
    <row r="12" spans="2:33" ht="12.75" customHeight="1" x14ac:dyDescent="0.2">
      <c r="B12" s="307">
        <v>151</v>
      </c>
      <c r="C12" s="540">
        <v>14935558717</v>
      </c>
      <c r="D12" s="326" t="s">
        <v>242</v>
      </c>
      <c r="E12" s="350" t="s">
        <v>220</v>
      </c>
      <c r="F12" s="326"/>
      <c r="G12" s="551"/>
      <c r="H12" s="552"/>
      <c r="I12" s="131">
        <v>0</v>
      </c>
      <c r="J12" s="132"/>
      <c r="K12" s="133">
        <v>0</v>
      </c>
      <c r="L12" s="543" t="s">
        <v>290</v>
      </c>
      <c r="M12" s="78">
        <v>1</v>
      </c>
    </row>
    <row r="13" spans="2:33" ht="12.75" customHeight="1" x14ac:dyDescent="0.2">
      <c r="B13" s="307">
        <v>6</v>
      </c>
      <c r="C13" s="540">
        <v>7728013637</v>
      </c>
      <c r="D13" s="326" t="s">
        <v>245</v>
      </c>
      <c r="E13" s="350" t="s">
        <v>235</v>
      </c>
      <c r="F13" s="326"/>
      <c r="G13" s="551"/>
      <c r="H13" s="552"/>
      <c r="I13" s="131">
        <v>0</v>
      </c>
      <c r="J13" s="132"/>
      <c r="K13" s="133">
        <v>0</v>
      </c>
      <c r="L13" s="543" t="s">
        <v>290</v>
      </c>
      <c r="M13" s="78">
        <v>1</v>
      </c>
    </row>
    <row r="14" spans="2:33" ht="12.75" customHeight="1" x14ac:dyDescent="0.2">
      <c r="B14" s="307">
        <v>109</v>
      </c>
      <c r="C14" s="540">
        <v>17911909792</v>
      </c>
      <c r="D14" s="326" t="s">
        <v>247</v>
      </c>
      <c r="E14" s="350" t="s">
        <v>220</v>
      </c>
      <c r="F14" s="326"/>
      <c r="G14" s="551"/>
      <c r="H14" s="552"/>
      <c r="I14" s="131">
        <v>0</v>
      </c>
      <c r="J14" s="132"/>
      <c r="K14" s="133">
        <v>0</v>
      </c>
      <c r="L14" s="543" t="s">
        <v>290</v>
      </c>
      <c r="M14" s="78">
        <v>1</v>
      </c>
    </row>
    <row r="15" spans="2:33" ht="12.75" customHeight="1" x14ac:dyDescent="0.2">
      <c r="B15" s="307">
        <v>156</v>
      </c>
      <c r="C15" s="540">
        <v>13021410740</v>
      </c>
      <c r="D15" s="326" t="s">
        <v>249</v>
      </c>
      <c r="E15" s="350" t="s">
        <v>220</v>
      </c>
      <c r="F15" s="326"/>
      <c r="G15" s="551"/>
      <c r="H15" s="552"/>
      <c r="I15" s="131">
        <v>0</v>
      </c>
      <c r="J15" s="160"/>
      <c r="K15" s="133">
        <v>0</v>
      </c>
      <c r="L15" s="543" t="s">
        <v>290</v>
      </c>
      <c r="M15" s="78">
        <v>1</v>
      </c>
    </row>
    <row r="16" spans="2:33" ht="12.75" customHeight="1" x14ac:dyDescent="0.2">
      <c r="B16" s="307">
        <v>100</v>
      </c>
      <c r="C16" s="540">
        <v>21963396790</v>
      </c>
      <c r="D16" s="326" t="s">
        <v>251</v>
      </c>
      <c r="E16" s="350" t="s">
        <v>220</v>
      </c>
      <c r="F16" s="326"/>
      <c r="G16" s="551"/>
      <c r="H16" s="552"/>
      <c r="I16" s="131">
        <v>0</v>
      </c>
      <c r="J16" s="132"/>
      <c r="K16" s="133">
        <v>0</v>
      </c>
      <c r="L16" s="543" t="s">
        <v>290</v>
      </c>
      <c r="M16" s="78">
        <v>1</v>
      </c>
    </row>
    <row r="17" spans="2:13" ht="12.75" customHeight="1" x14ac:dyDescent="0.2">
      <c r="B17" s="307">
        <v>133</v>
      </c>
      <c r="C17" s="540">
        <v>17471881747</v>
      </c>
      <c r="D17" s="326" t="s">
        <v>253</v>
      </c>
      <c r="E17" s="350" t="s">
        <v>220</v>
      </c>
      <c r="F17" s="326"/>
      <c r="G17" s="551"/>
      <c r="H17" s="552"/>
      <c r="I17" s="131">
        <v>0</v>
      </c>
      <c r="J17" s="160"/>
      <c r="K17" s="133">
        <v>0</v>
      </c>
      <c r="L17" s="543" t="s">
        <v>291</v>
      </c>
      <c r="M17" s="78">
        <v>11</v>
      </c>
    </row>
    <row r="18" spans="2:13" ht="12.75" customHeight="1" x14ac:dyDescent="0.2">
      <c r="B18" s="307">
        <v>153</v>
      </c>
      <c r="C18" s="540">
        <v>19379132794</v>
      </c>
      <c r="D18" s="326" t="s">
        <v>256</v>
      </c>
      <c r="E18" s="350" t="s">
        <v>220</v>
      </c>
      <c r="F18" s="326"/>
      <c r="G18" s="551"/>
      <c r="H18" s="552"/>
      <c r="I18" s="131">
        <v>0</v>
      </c>
      <c r="J18" s="132"/>
      <c r="K18" s="133">
        <v>0</v>
      </c>
      <c r="L18" s="543" t="s">
        <v>290</v>
      </c>
      <c r="M18" s="78">
        <v>1</v>
      </c>
    </row>
    <row r="19" spans="2:13" ht="12.75" customHeight="1" x14ac:dyDescent="0.2">
      <c r="B19" s="307">
        <v>123</v>
      </c>
      <c r="C19" s="540">
        <v>17622438731</v>
      </c>
      <c r="D19" s="326" t="s">
        <v>258</v>
      </c>
      <c r="E19" s="350" t="s">
        <v>220</v>
      </c>
      <c r="F19" s="326"/>
      <c r="G19" s="551"/>
      <c r="H19" s="552"/>
      <c r="I19" s="131">
        <v>0</v>
      </c>
      <c r="J19" s="132"/>
      <c r="K19" s="133">
        <v>0</v>
      </c>
      <c r="L19" s="543" t="s">
        <v>290</v>
      </c>
      <c r="M19" s="78">
        <v>1</v>
      </c>
    </row>
    <row r="20" spans="2:13" ht="12.75" customHeight="1" x14ac:dyDescent="0.2">
      <c r="B20" s="307">
        <v>154</v>
      </c>
      <c r="C20" s="540">
        <v>17444522707</v>
      </c>
      <c r="D20" s="326" t="s">
        <v>261</v>
      </c>
      <c r="E20" s="350" t="s">
        <v>220</v>
      </c>
      <c r="F20" s="326"/>
      <c r="G20" s="551"/>
      <c r="H20" s="552"/>
      <c r="I20" s="131">
        <v>0</v>
      </c>
      <c r="J20" s="132"/>
      <c r="K20" s="133">
        <v>0</v>
      </c>
      <c r="L20" s="543" t="s">
        <v>290</v>
      </c>
      <c r="M20" s="78">
        <v>1</v>
      </c>
    </row>
    <row r="21" spans="2:13" ht="12.75" customHeight="1" x14ac:dyDescent="0.2">
      <c r="B21" s="307">
        <v>63</v>
      </c>
      <c r="C21" s="540">
        <v>8932910723</v>
      </c>
      <c r="D21" s="326" t="s">
        <v>263</v>
      </c>
      <c r="E21" s="350" t="s">
        <v>220</v>
      </c>
      <c r="F21" s="326"/>
      <c r="G21" s="551"/>
      <c r="H21" s="552"/>
      <c r="I21" s="131">
        <v>0</v>
      </c>
      <c r="J21" s="160"/>
      <c r="K21" s="133">
        <v>0</v>
      </c>
      <c r="L21" s="543" t="s">
        <v>290</v>
      </c>
      <c r="M21" s="78">
        <v>1</v>
      </c>
    </row>
    <row r="22" spans="2:13" ht="12.75" customHeight="1" x14ac:dyDescent="0.2">
      <c r="B22" s="307">
        <v>135</v>
      </c>
      <c r="C22" s="540">
        <v>9823424705</v>
      </c>
      <c r="D22" s="326" t="s">
        <v>265</v>
      </c>
      <c r="E22" s="350" t="s">
        <v>220</v>
      </c>
      <c r="F22" s="326"/>
      <c r="G22" s="551"/>
      <c r="H22" s="552"/>
      <c r="I22" s="131">
        <v>0</v>
      </c>
      <c r="J22" s="132"/>
      <c r="K22" s="133">
        <v>0</v>
      </c>
      <c r="L22" s="543" t="s">
        <v>290</v>
      </c>
      <c r="M22" s="78">
        <v>1</v>
      </c>
    </row>
    <row r="23" spans="2:13" ht="12.75" customHeight="1" x14ac:dyDescent="0.2">
      <c r="B23" s="307">
        <v>5</v>
      </c>
      <c r="C23" s="540">
        <v>14676408757</v>
      </c>
      <c r="D23" s="326" t="s">
        <v>267</v>
      </c>
      <c r="E23" s="350" t="s">
        <v>235</v>
      </c>
      <c r="F23" s="326"/>
      <c r="G23" s="551"/>
      <c r="H23" s="552"/>
      <c r="I23" s="131">
        <v>0</v>
      </c>
      <c r="J23" s="160"/>
      <c r="K23" s="133">
        <v>0</v>
      </c>
      <c r="L23" s="543" t="s">
        <v>290</v>
      </c>
      <c r="M23" s="78">
        <v>1</v>
      </c>
    </row>
    <row r="24" spans="2:13" ht="12.75" customHeight="1" x14ac:dyDescent="0.2">
      <c r="B24" s="307">
        <v>147</v>
      </c>
      <c r="C24" s="540">
        <v>18605506733</v>
      </c>
      <c r="D24" s="326" t="s">
        <v>269</v>
      </c>
      <c r="E24" s="350" t="s">
        <v>220</v>
      </c>
      <c r="F24" s="326"/>
      <c r="G24" s="551"/>
      <c r="H24" s="552"/>
      <c r="I24" s="131">
        <v>0</v>
      </c>
      <c r="J24" s="132"/>
      <c r="K24" s="133">
        <v>0</v>
      </c>
      <c r="L24" s="543" t="s">
        <v>290</v>
      </c>
      <c r="M24" s="78">
        <v>1</v>
      </c>
    </row>
    <row r="25" spans="2:13" ht="12.75" customHeight="1" x14ac:dyDescent="0.2">
      <c r="B25" s="307">
        <v>99</v>
      </c>
      <c r="C25" s="540">
        <v>11968033742</v>
      </c>
      <c r="D25" s="326" t="s">
        <v>271</v>
      </c>
      <c r="E25" s="350" t="s">
        <v>220</v>
      </c>
      <c r="F25" s="326"/>
      <c r="G25" s="551"/>
      <c r="H25" s="552" t="s">
        <v>292</v>
      </c>
      <c r="I25" s="131">
        <v>9</v>
      </c>
      <c r="J25" s="132"/>
      <c r="K25" s="133">
        <v>0</v>
      </c>
      <c r="L25" s="543" t="s">
        <v>290</v>
      </c>
      <c r="M25" s="78">
        <v>1</v>
      </c>
    </row>
    <row r="26" spans="2:13" ht="12.75" customHeight="1" x14ac:dyDescent="0.2">
      <c r="B26" s="307">
        <v>54</v>
      </c>
      <c r="C26" s="540">
        <v>540533742</v>
      </c>
      <c r="D26" s="326" t="s">
        <v>273</v>
      </c>
      <c r="E26" s="350" t="s">
        <v>220</v>
      </c>
      <c r="F26" s="326"/>
      <c r="G26" s="551"/>
      <c r="H26" s="552"/>
      <c r="I26" s="131">
        <v>0</v>
      </c>
      <c r="J26" s="132"/>
      <c r="K26" s="133">
        <v>0</v>
      </c>
      <c r="L26" s="543" t="s">
        <v>290</v>
      </c>
      <c r="M26" s="78">
        <v>1</v>
      </c>
    </row>
    <row r="27" spans="2:13" ht="12.75" customHeight="1" x14ac:dyDescent="0.2">
      <c r="B27" s="307">
        <v>42</v>
      </c>
      <c r="C27" s="540">
        <v>8126990767</v>
      </c>
      <c r="D27" s="326" t="s">
        <v>274</v>
      </c>
      <c r="E27" s="350" t="s">
        <v>220</v>
      </c>
      <c r="F27" s="326"/>
      <c r="G27" s="551"/>
      <c r="H27" s="552"/>
      <c r="I27" s="131">
        <v>0</v>
      </c>
      <c r="J27" s="160"/>
      <c r="K27" s="133">
        <v>0</v>
      </c>
      <c r="L27" s="543" t="s">
        <v>290</v>
      </c>
      <c r="M27" s="78">
        <v>1</v>
      </c>
    </row>
    <row r="28" spans="2:13" ht="12.75" customHeight="1" x14ac:dyDescent="0.2">
      <c r="B28" s="307">
        <v>43</v>
      </c>
      <c r="C28" s="540">
        <v>6143838623</v>
      </c>
      <c r="D28" s="326" t="s">
        <v>275</v>
      </c>
      <c r="E28" s="350" t="s">
        <v>220</v>
      </c>
      <c r="F28" s="326"/>
      <c r="G28" s="551"/>
      <c r="H28" s="552"/>
      <c r="I28" s="131">
        <v>0</v>
      </c>
      <c r="J28" s="132"/>
      <c r="K28" s="133">
        <v>0</v>
      </c>
      <c r="L28" s="543" t="s">
        <v>290</v>
      </c>
      <c r="M28" s="78">
        <v>1</v>
      </c>
    </row>
    <row r="29" spans="2:13" ht="12.75" customHeight="1" x14ac:dyDescent="0.2">
      <c r="B29" s="307">
        <v>124</v>
      </c>
      <c r="C29" s="540">
        <v>11779661746</v>
      </c>
      <c r="D29" s="326" t="s">
        <v>276</v>
      </c>
      <c r="E29" s="350" t="s">
        <v>220</v>
      </c>
      <c r="F29" s="326"/>
      <c r="G29" s="551"/>
      <c r="H29" s="552"/>
      <c r="I29" s="131">
        <v>0</v>
      </c>
      <c r="J29" s="160"/>
      <c r="K29" s="133">
        <v>0</v>
      </c>
      <c r="L29" s="543" t="s">
        <v>290</v>
      </c>
      <c r="M29" s="78">
        <v>1</v>
      </c>
    </row>
    <row r="30" spans="2:13" ht="12.75" customHeight="1" x14ac:dyDescent="0.2">
      <c r="B30" s="307">
        <v>148</v>
      </c>
      <c r="C30" s="540">
        <v>19168959729</v>
      </c>
      <c r="D30" s="326" t="s">
        <v>277</v>
      </c>
      <c r="E30" s="350" t="s">
        <v>220</v>
      </c>
      <c r="F30" s="326"/>
      <c r="G30" s="551"/>
      <c r="H30" s="552"/>
      <c r="I30" s="131">
        <v>0</v>
      </c>
      <c r="J30" s="132"/>
      <c r="K30" s="133">
        <v>0</v>
      </c>
      <c r="L30" s="543" t="s">
        <v>290</v>
      </c>
      <c r="M30" s="78">
        <v>1</v>
      </c>
    </row>
    <row r="31" spans="2:13" ht="12.75" customHeight="1" x14ac:dyDescent="0.2">
      <c r="B31" s="307">
        <v>157</v>
      </c>
      <c r="C31" s="540">
        <v>18019744703</v>
      </c>
      <c r="D31" s="326" t="s">
        <v>278</v>
      </c>
      <c r="E31" s="350" t="s">
        <v>220</v>
      </c>
      <c r="F31" s="326"/>
      <c r="G31" s="551"/>
      <c r="H31" s="552"/>
      <c r="I31" s="131">
        <v>0</v>
      </c>
      <c r="J31" s="132"/>
      <c r="K31" s="133">
        <v>0</v>
      </c>
      <c r="L31" s="543" t="s">
        <v>290</v>
      </c>
      <c r="M31" s="78">
        <v>1</v>
      </c>
    </row>
    <row r="32" spans="2:13" ht="12.75" customHeight="1" x14ac:dyDescent="0.2">
      <c r="B32" s="307">
        <v>48</v>
      </c>
      <c r="C32" s="540">
        <v>9825505702</v>
      </c>
      <c r="D32" s="326" t="s">
        <v>279</v>
      </c>
      <c r="E32" s="350" t="s">
        <v>220</v>
      </c>
      <c r="F32" s="326"/>
      <c r="G32" s="551"/>
      <c r="H32" s="552"/>
      <c r="I32" s="131">
        <v>0</v>
      </c>
      <c r="J32" s="132"/>
      <c r="K32" s="133">
        <v>0</v>
      </c>
      <c r="L32" s="543" t="s">
        <v>290</v>
      </c>
      <c r="M32" s="78">
        <v>1</v>
      </c>
    </row>
    <row r="33" spans="2:33" ht="12.75" customHeight="1" x14ac:dyDescent="0.2">
      <c r="B33" s="307">
        <v>1</v>
      </c>
      <c r="C33" s="540">
        <v>20832236756</v>
      </c>
      <c r="D33" s="326" t="s">
        <v>280</v>
      </c>
      <c r="E33" s="350" t="s">
        <v>235</v>
      </c>
      <c r="F33" s="326"/>
      <c r="G33" s="551"/>
      <c r="H33" s="552"/>
      <c r="I33" s="131">
        <v>0</v>
      </c>
      <c r="J33" s="160"/>
      <c r="K33" s="133">
        <v>0</v>
      </c>
      <c r="L33" s="543" t="s">
        <v>293</v>
      </c>
      <c r="M33" s="78">
        <v>6</v>
      </c>
    </row>
    <row r="34" spans="2:33" ht="12.75" customHeight="1" x14ac:dyDescent="0.2">
      <c r="B34" s="371">
        <v>155</v>
      </c>
      <c r="C34" s="553">
        <v>12178701728</v>
      </c>
      <c r="D34" s="554" t="s">
        <v>281</v>
      </c>
      <c r="E34" s="555" t="s">
        <v>220</v>
      </c>
      <c r="F34" s="554"/>
      <c r="G34" s="556">
        <v>46037</v>
      </c>
      <c r="H34" s="557"/>
      <c r="I34" s="374">
        <v>0</v>
      </c>
      <c r="J34" s="375" t="s">
        <v>294</v>
      </c>
      <c r="K34" s="376">
        <v>11</v>
      </c>
      <c r="L34" s="543" t="s">
        <v>290</v>
      </c>
      <c r="M34" s="78">
        <v>1</v>
      </c>
    </row>
    <row r="35" spans="2:33" ht="12.75" customHeight="1" x14ac:dyDescent="0.2">
      <c r="B35" s="307">
        <v>144</v>
      </c>
      <c r="C35" s="540">
        <v>9630506726</v>
      </c>
      <c r="D35" s="326" t="s">
        <v>286</v>
      </c>
      <c r="E35" s="350" t="s">
        <v>220</v>
      </c>
      <c r="F35" s="326"/>
      <c r="G35" s="551"/>
      <c r="H35" s="552"/>
      <c r="I35" s="131">
        <v>0</v>
      </c>
      <c r="J35" s="132"/>
      <c r="K35" s="133">
        <v>0</v>
      </c>
      <c r="L35" s="543" t="s">
        <v>290</v>
      </c>
      <c r="M35" s="78">
        <v>1</v>
      </c>
    </row>
    <row r="36" spans="2:33" ht="12.75" customHeight="1" x14ac:dyDescent="0.2">
      <c r="B36" s="558">
        <v>126</v>
      </c>
      <c r="C36" s="540">
        <v>11765503736</v>
      </c>
      <c r="D36" s="326" t="s">
        <v>288</v>
      </c>
      <c r="E36" s="350" t="s">
        <v>220</v>
      </c>
      <c r="F36" s="326"/>
      <c r="G36" s="551"/>
      <c r="H36" s="552"/>
      <c r="I36" s="131">
        <v>0</v>
      </c>
      <c r="J36" s="160"/>
      <c r="K36" s="133">
        <v>0</v>
      </c>
      <c r="L36" s="543" t="s">
        <v>290</v>
      </c>
      <c r="M36" s="78">
        <v>1</v>
      </c>
    </row>
    <row r="37" spans="2:33" ht="12.75" customHeight="1" x14ac:dyDescent="0.2">
      <c r="B37" s="558">
        <v>52</v>
      </c>
      <c r="C37" s="540">
        <v>9922359790</v>
      </c>
      <c r="D37" s="326" t="s">
        <v>289</v>
      </c>
      <c r="E37" s="350" t="s">
        <v>220</v>
      </c>
      <c r="F37" s="326"/>
      <c r="G37" s="551"/>
      <c r="H37" s="552"/>
      <c r="I37" s="131">
        <v>0</v>
      </c>
      <c r="J37" s="132"/>
      <c r="K37" s="133">
        <v>0</v>
      </c>
      <c r="L37" s="543" t="s">
        <v>290</v>
      </c>
      <c r="M37" s="78">
        <v>1</v>
      </c>
    </row>
    <row r="38" spans="2:33" ht="12.75" customHeight="1" x14ac:dyDescent="0.2">
      <c r="B38" s="354"/>
      <c r="C38" s="355"/>
      <c r="D38" s="356">
        <f>COUNTA(D3:D37)</f>
        <v>35</v>
      </c>
      <c r="E38" s="354"/>
      <c r="F38" s="356">
        <f>COUNTA(F3:F37)</f>
        <v>0</v>
      </c>
      <c r="G38" s="356">
        <f>COUNTA(G3:G37)</f>
        <v>1</v>
      </c>
      <c r="H38" s="356">
        <f>COUNTA(H3:H37)</f>
        <v>2</v>
      </c>
      <c r="I38" s="356">
        <f>SUM(I3:I37)</f>
        <v>10</v>
      </c>
      <c r="J38" s="356">
        <f>COUNTA(J3:J37)</f>
        <v>1</v>
      </c>
      <c r="K38" s="356">
        <f>SUM(K3:K37)</f>
        <v>11</v>
      </c>
      <c r="L38" s="356">
        <f>COUNTA(L3:L37)</f>
        <v>35</v>
      </c>
      <c r="M38" s="356">
        <f>SUM(M3:M37)</f>
        <v>50</v>
      </c>
      <c r="N38" s="354"/>
      <c r="O38" s="354"/>
      <c r="P38" s="354"/>
      <c r="Q38" s="354"/>
      <c r="R38" s="354"/>
      <c r="S38" s="354"/>
      <c r="T38" s="354"/>
      <c r="U38" s="354"/>
      <c r="V38" s="354"/>
      <c r="W38" s="354"/>
      <c r="X38" s="354"/>
      <c r="Y38" s="354"/>
      <c r="Z38" s="354"/>
      <c r="AA38" s="354"/>
      <c r="AB38" s="354"/>
      <c r="AC38" s="354"/>
      <c r="AD38" s="354"/>
      <c r="AE38" s="354"/>
      <c r="AF38" s="354"/>
      <c r="AG38" s="354"/>
    </row>
    <row r="40" spans="2:33" ht="15" customHeight="1" x14ac:dyDescent="0.2">
      <c r="B40" s="297" t="s">
        <v>41</v>
      </c>
      <c r="C40" s="297" t="s">
        <v>218</v>
      </c>
      <c r="D40" s="297" t="s">
        <v>42</v>
      </c>
      <c r="E40" s="297" t="s">
        <v>43</v>
      </c>
      <c r="F40" s="297" t="s">
        <v>44</v>
      </c>
      <c r="G40" s="297" t="s">
        <v>45</v>
      </c>
      <c r="H40" s="297" t="s">
        <v>46</v>
      </c>
      <c r="I40" s="297" t="s">
        <v>49</v>
      </c>
      <c r="J40" s="297" t="s">
        <v>39</v>
      </c>
      <c r="K40" s="297" t="s">
        <v>49</v>
      </c>
      <c r="L40" s="297" t="s">
        <v>40</v>
      </c>
      <c r="M40" s="297" t="s">
        <v>49</v>
      </c>
      <c r="O40" s="298" t="s">
        <v>125</v>
      </c>
      <c r="P40" s="358">
        <f>S4</f>
        <v>34</v>
      </c>
      <c r="R40" s="298" t="s">
        <v>44</v>
      </c>
      <c r="S40" s="300">
        <f>F76</f>
        <v>1</v>
      </c>
      <c r="U40" s="298" t="s">
        <v>39</v>
      </c>
      <c r="V40" s="301">
        <f>K76</f>
        <v>0</v>
      </c>
      <c r="X40" s="797" t="s">
        <v>144</v>
      </c>
      <c r="Y40" s="797"/>
      <c r="Z40" s="797"/>
      <c r="AA40" s="797"/>
      <c r="AB40" s="797"/>
      <c r="AC40" s="797"/>
      <c r="AD40" s="797"/>
      <c r="AF40" s="305" t="s">
        <v>127</v>
      </c>
      <c r="AG40" s="306">
        <f>(V46-V41-V40-S43)</f>
        <v>529</v>
      </c>
    </row>
    <row r="41" spans="2:33" ht="12.75" customHeight="1" x14ac:dyDescent="0.2">
      <c r="B41" s="559">
        <v>150</v>
      </c>
      <c r="C41" s="553">
        <v>20421719729</v>
      </c>
      <c r="D41" s="372" t="s">
        <v>219</v>
      </c>
      <c r="E41" s="363" t="s">
        <v>220</v>
      </c>
      <c r="F41" s="310"/>
      <c r="G41" s="560">
        <v>46078</v>
      </c>
      <c r="H41" s="561"/>
      <c r="I41" s="374">
        <v>0</v>
      </c>
      <c r="J41" s="375"/>
      <c r="K41" s="376">
        <v>0</v>
      </c>
      <c r="L41" s="562"/>
      <c r="M41" s="563">
        <v>0</v>
      </c>
      <c r="R41" s="298" t="s">
        <v>45</v>
      </c>
      <c r="S41" s="301">
        <f>G76</f>
        <v>7</v>
      </c>
      <c r="U41" s="298" t="s">
        <v>40</v>
      </c>
      <c r="V41" s="301">
        <f>M76</f>
        <v>21</v>
      </c>
      <c r="X41" s="312" t="s">
        <v>128</v>
      </c>
      <c r="Y41" s="313" t="s">
        <v>129</v>
      </c>
      <c r="Z41" s="313" t="s">
        <v>130</v>
      </c>
      <c r="AA41" s="313" t="s">
        <v>131</v>
      </c>
      <c r="AB41" s="313" t="s">
        <v>132</v>
      </c>
      <c r="AC41" s="313" t="s">
        <v>133</v>
      </c>
      <c r="AD41" s="314" t="s">
        <v>134</v>
      </c>
      <c r="AF41" s="305" t="s">
        <v>135</v>
      </c>
      <c r="AG41" s="315">
        <f>V46-AG40</f>
        <v>29</v>
      </c>
    </row>
    <row r="42" spans="2:33" ht="12.75" customHeight="1" x14ac:dyDescent="0.2">
      <c r="B42" s="558">
        <v>115</v>
      </c>
      <c r="C42" s="540">
        <v>17622871702</v>
      </c>
      <c r="D42" s="308" t="s">
        <v>223</v>
      </c>
      <c r="E42" s="317" t="s">
        <v>220</v>
      </c>
      <c r="F42" s="342"/>
      <c r="G42" s="560"/>
      <c r="H42" s="542"/>
      <c r="I42" s="131">
        <v>0</v>
      </c>
      <c r="J42" s="160"/>
      <c r="K42" s="133">
        <v>0</v>
      </c>
      <c r="L42" s="543"/>
      <c r="M42" s="78">
        <v>0</v>
      </c>
      <c r="R42" s="319" t="s">
        <v>56</v>
      </c>
      <c r="S42" s="301">
        <f>P40+S40-S41</f>
        <v>28</v>
      </c>
      <c r="U42" s="298" t="s">
        <v>59</v>
      </c>
      <c r="V42" s="301">
        <f>L76</f>
        <v>2</v>
      </c>
      <c r="X42" s="360">
        <v>46054</v>
      </c>
      <c r="Y42" s="324">
        <v>46055</v>
      </c>
      <c r="Z42" s="324">
        <v>46056</v>
      </c>
      <c r="AA42" s="324">
        <v>46057</v>
      </c>
      <c r="AB42" s="324">
        <v>46058</v>
      </c>
      <c r="AC42" s="324">
        <v>46059</v>
      </c>
      <c r="AD42" s="325">
        <v>46060</v>
      </c>
      <c r="AF42" s="305" t="s">
        <v>136</v>
      </c>
      <c r="AG42" s="545">
        <f>(S42*8.8)*S45</f>
        <v>4435.2000000000007</v>
      </c>
    </row>
    <row r="43" spans="2:33" ht="12.75" customHeight="1" x14ac:dyDescent="0.2">
      <c r="B43" s="558">
        <v>130</v>
      </c>
      <c r="C43" s="540">
        <v>16044643727</v>
      </c>
      <c r="D43" s="308" t="s">
        <v>227</v>
      </c>
      <c r="E43" s="336" t="s">
        <v>220</v>
      </c>
      <c r="F43" s="342"/>
      <c r="G43" s="560"/>
      <c r="H43" s="547"/>
      <c r="I43" s="131">
        <v>0</v>
      </c>
      <c r="J43" s="160"/>
      <c r="K43" s="133">
        <v>0</v>
      </c>
      <c r="L43" s="543"/>
      <c r="M43" s="78">
        <v>0</v>
      </c>
      <c r="R43" s="298" t="s">
        <v>137</v>
      </c>
      <c r="S43" s="329">
        <f>I76</f>
        <v>8</v>
      </c>
      <c r="U43" s="330"/>
      <c r="V43" s="331"/>
      <c r="X43" s="332">
        <v>46061</v>
      </c>
      <c r="Y43" s="333">
        <v>46062</v>
      </c>
      <c r="Z43" s="333">
        <v>46063</v>
      </c>
      <c r="AA43" s="333">
        <v>46064</v>
      </c>
      <c r="AB43" s="333">
        <v>46065</v>
      </c>
      <c r="AC43" s="333">
        <v>46066</v>
      </c>
      <c r="AD43" s="334">
        <v>46067</v>
      </c>
      <c r="AF43" s="305" t="s">
        <v>138</v>
      </c>
      <c r="AG43" s="545">
        <f>AG41*8.8</f>
        <v>255.20000000000002</v>
      </c>
    </row>
    <row r="44" spans="2:33" ht="12.75" customHeight="1" x14ac:dyDescent="0.2">
      <c r="B44" s="558">
        <v>158</v>
      </c>
      <c r="C44" s="540">
        <v>18596219706</v>
      </c>
      <c r="D44" s="308" t="s">
        <v>229</v>
      </c>
      <c r="E44" s="336" t="s">
        <v>220</v>
      </c>
      <c r="F44" s="342"/>
      <c r="G44" s="560"/>
      <c r="H44" s="547"/>
      <c r="I44" s="131">
        <v>0</v>
      </c>
      <c r="J44" s="132"/>
      <c r="K44" s="133">
        <v>0</v>
      </c>
      <c r="L44" s="543"/>
      <c r="M44" s="78">
        <v>0</v>
      </c>
      <c r="X44" s="346">
        <v>46068</v>
      </c>
      <c r="Y44" s="362">
        <v>46069</v>
      </c>
      <c r="Z44" s="362">
        <v>46070</v>
      </c>
      <c r="AA44" s="347">
        <v>46071</v>
      </c>
      <c r="AB44" s="347">
        <v>46072</v>
      </c>
      <c r="AC44" s="347">
        <v>46073</v>
      </c>
      <c r="AD44" s="348">
        <v>46074</v>
      </c>
      <c r="AF44" s="305" t="s">
        <v>140</v>
      </c>
      <c r="AG44" s="545">
        <f>(AG42-AG43)/(8.8*S45)</f>
        <v>26.388888888888893</v>
      </c>
    </row>
    <row r="45" spans="2:33" ht="12.75" customHeight="1" x14ac:dyDescent="0.2">
      <c r="B45" s="559">
        <v>128</v>
      </c>
      <c r="C45" s="553">
        <v>15560372790</v>
      </c>
      <c r="D45" s="372" t="s">
        <v>232</v>
      </c>
      <c r="E45" s="363" t="s">
        <v>220</v>
      </c>
      <c r="F45" s="310"/>
      <c r="G45" s="560">
        <v>46078</v>
      </c>
      <c r="H45" s="564"/>
      <c r="I45" s="374">
        <v>0</v>
      </c>
      <c r="J45" s="375"/>
      <c r="K45" s="376">
        <v>0</v>
      </c>
      <c r="L45" s="562"/>
      <c r="M45" s="563">
        <v>0</v>
      </c>
      <c r="R45" s="343" t="s">
        <v>22</v>
      </c>
      <c r="S45" s="344">
        <v>18</v>
      </c>
      <c r="U45" s="549" t="s">
        <v>141</v>
      </c>
      <c r="V45" s="550">
        <f>(P40+S42)/2</f>
        <v>31</v>
      </c>
      <c r="X45" s="351">
        <v>46075</v>
      </c>
      <c r="Y45" s="352">
        <v>46076</v>
      </c>
      <c r="Z45" s="352">
        <v>46077</v>
      </c>
      <c r="AA45" s="352">
        <v>46078</v>
      </c>
      <c r="AB45" s="352">
        <v>46079</v>
      </c>
      <c r="AC45" s="352">
        <v>46080</v>
      </c>
      <c r="AD45" s="353">
        <v>46081</v>
      </c>
      <c r="AG45" s="296"/>
    </row>
    <row r="46" spans="2:33" ht="12.75" customHeight="1" x14ac:dyDescent="0.2">
      <c r="B46" s="565">
        <v>4</v>
      </c>
      <c r="C46" s="566">
        <v>12576147704</v>
      </c>
      <c r="D46" s="567" t="s">
        <v>234</v>
      </c>
      <c r="E46" s="350" t="s">
        <v>235</v>
      </c>
      <c r="F46" s="326"/>
      <c r="G46" s="560"/>
      <c r="H46" s="326"/>
      <c r="I46" s="131">
        <v>0</v>
      </c>
      <c r="J46" s="132"/>
      <c r="K46" s="133">
        <v>0</v>
      </c>
      <c r="L46" s="543"/>
      <c r="M46" s="78">
        <v>0</v>
      </c>
      <c r="R46" s="343" t="s">
        <v>142</v>
      </c>
      <c r="S46" s="349">
        <v>10</v>
      </c>
      <c r="U46" s="343" t="s">
        <v>143</v>
      </c>
      <c r="V46" s="350">
        <f>S45*V45</f>
        <v>558</v>
      </c>
      <c r="AG46" s="296"/>
    </row>
    <row r="47" spans="2:33" ht="12.75" customHeight="1" x14ac:dyDescent="0.2">
      <c r="B47" s="558">
        <v>35</v>
      </c>
      <c r="C47" s="568">
        <v>9621821762</v>
      </c>
      <c r="D47" s="308" t="s">
        <v>237</v>
      </c>
      <c r="E47" s="317" t="s">
        <v>220</v>
      </c>
      <c r="F47" s="326"/>
      <c r="G47" s="560"/>
      <c r="H47" s="326"/>
      <c r="I47" s="131">
        <v>0</v>
      </c>
      <c r="J47" s="160"/>
      <c r="K47" s="133">
        <v>0</v>
      </c>
      <c r="L47" s="543"/>
      <c r="M47" s="78">
        <v>0</v>
      </c>
    </row>
    <row r="48" spans="2:33" ht="12.75" customHeight="1" x14ac:dyDescent="0.2">
      <c r="B48" s="565">
        <v>3</v>
      </c>
      <c r="C48" s="569">
        <v>86749072704</v>
      </c>
      <c r="D48" s="567" t="s">
        <v>239</v>
      </c>
      <c r="E48" s="350" t="s">
        <v>235</v>
      </c>
      <c r="F48" s="326"/>
      <c r="G48" s="560"/>
      <c r="H48" s="326"/>
      <c r="I48" s="131">
        <v>0</v>
      </c>
      <c r="J48" s="160"/>
      <c r="K48" s="133">
        <v>0</v>
      </c>
      <c r="L48" s="543"/>
      <c r="M48" s="78">
        <v>0</v>
      </c>
    </row>
    <row r="49" spans="2:13" ht="12.75" customHeight="1" x14ac:dyDescent="0.2">
      <c r="B49" s="558">
        <v>36</v>
      </c>
      <c r="C49" s="540">
        <v>7452452771</v>
      </c>
      <c r="D49" s="308" t="s">
        <v>241</v>
      </c>
      <c r="E49" s="336" t="s">
        <v>220</v>
      </c>
      <c r="F49" s="326"/>
      <c r="G49" s="560"/>
      <c r="H49" s="326"/>
      <c r="I49" s="131">
        <v>0</v>
      </c>
      <c r="J49" s="132"/>
      <c r="K49" s="133">
        <v>0</v>
      </c>
      <c r="L49" s="543"/>
      <c r="M49" s="78">
        <v>0</v>
      </c>
    </row>
    <row r="50" spans="2:13" ht="12.75" customHeight="1" x14ac:dyDescent="0.2">
      <c r="B50" s="559">
        <v>151</v>
      </c>
      <c r="C50" s="553">
        <v>14935558717</v>
      </c>
      <c r="D50" s="372" t="s">
        <v>242</v>
      </c>
      <c r="E50" s="363" t="s">
        <v>220</v>
      </c>
      <c r="F50" s="554"/>
      <c r="G50" s="560">
        <v>46071</v>
      </c>
      <c r="H50" s="554"/>
      <c r="I50" s="374">
        <v>0</v>
      </c>
      <c r="J50" s="375"/>
      <c r="K50" s="376">
        <v>0</v>
      </c>
      <c r="L50" s="562"/>
      <c r="M50" s="563">
        <v>0</v>
      </c>
    </row>
    <row r="51" spans="2:13" ht="12.75" customHeight="1" x14ac:dyDescent="0.2">
      <c r="B51" s="565">
        <v>6</v>
      </c>
      <c r="C51" s="569">
        <v>7728013637</v>
      </c>
      <c r="D51" s="567" t="s">
        <v>245</v>
      </c>
      <c r="E51" s="350" t="s">
        <v>235</v>
      </c>
      <c r="F51" s="326"/>
      <c r="G51" s="560"/>
      <c r="H51" s="326"/>
      <c r="I51" s="131">
        <v>0</v>
      </c>
      <c r="J51" s="132"/>
      <c r="K51" s="133">
        <v>0</v>
      </c>
      <c r="L51" s="543"/>
      <c r="M51" s="78">
        <v>0</v>
      </c>
    </row>
    <row r="52" spans="2:13" ht="12.75" customHeight="1" x14ac:dyDescent="0.2">
      <c r="B52" s="558">
        <v>109</v>
      </c>
      <c r="C52" s="540">
        <v>17911909792</v>
      </c>
      <c r="D52" s="308" t="s">
        <v>247</v>
      </c>
      <c r="E52" s="317" t="s">
        <v>220</v>
      </c>
      <c r="F52" s="326"/>
      <c r="G52" s="560"/>
      <c r="H52" s="326"/>
      <c r="I52" s="131">
        <v>0</v>
      </c>
      <c r="J52" s="160"/>
      <c r="K52" s="133">
        <v>0</v>
      </c>
      <c r="L52" s="543" t="s">
        <v>295</v>
      </c>
      <c r="M52" s="78">
        <v>11</v>
      </c>
    </row>
    <row r="53" spans="2:13" ht="12.75" customHeight="1" x14ac:dyDescent="0.2">
      <c r="B53" s="559">
        <v>156</v>
      </c>
      <c r="C53" s="553">
        <v>13021410740</v>
      </c>
      <c r="D53" s="372" t="s">
        <v>249</v>
      </c>
      <c r="E53" s="363" t="s">
        <v>220</v>
      </c>
      <c r="F53" s="554"/>
      <c r="G53" s="560">
        <v>46066</v>
      </c>
      <c r="H53" s="554"/>
      <c r="I53" s="374">
        <v>0</v>
      </c>
      <c r="J53" s="570"/>
      <c r="K53" s="376">
        <v>0</v>
      </c>
      <c r="L53" s="562"/>
      <c r="M53" s="563">
        <v>0</v>
      </c>
    </row>
    <row r="54" spans="2:13" ht="12.75" customHeight="1" x14ac:dyDescent="0.2">
      <c r="B54" s="558">
        <v>100</v>
      </c>
      <c r="C54" s="540">
        <v>21963396790</v>
      </c>
      <c r="D54" s="308" t="s">
        <v>251</v>
      </c>
      <c r="E54" s="336" t="s">
        <v>220</v>
      </c>
      <c r="F54" s="326"/>
      <c r="G54" s="560"/>
      <c r="H54" s="326"/>
      <c r="I54" s="131">
        <v>0</v>
      </c>
      <c r="J54" s="132"/>
      <c r="K54" s="133">
        <v>0</v>
      </c>
      <c r="L54" s="543"/>
      <c r="M54" s="78">
        <v>0</v>
      </c>
    </row>
    <row r="55" spans="2:13" ht="12.75" customHeight="1" x14ac:dyDescent="0.2">
      <c r="B55" s="559">
        <v>133</v>
      </c>
      <c r="C55" s="553">
        <v>17471881747</v>
      </c>
      <c r="D55" s="372" t="s">
        <v>253</v>
      </c>
      <c r="E55" s="363" t="s">
        <v>220</v>
      </c>
      <c r="F55" s="554"/>
      <c r="G55" s="560">
        <v>46065</v>
      </c>
      <c r="H55" s="554"/>
      <c r="I55" s="374">
        <v>0</v>
      </c>
      <c r="J55" s="375"/>
      <c r="K55" s="376">
        <v>0</v>
      </c>
      <c r="L55" s="562"/>
      <c r="M55" s="563">
        <v>0</v>
      </c>
    </row>
    <row r="56" spans="2:13" ht="12.75" customHeight="1" x14ac:dyDescent="0.2">
      <c r="B56" s="558">
        <v>153</v>
      </c>
      <c r="C56" s="540">
        <v>19379132794</v>
      </c>
      <c r="D56" s="308" t="s">
        <v>256</v>
      </c>
      <c r="E56" s="336" t="s">
        <v>220</v>
      </c>
      <c r="F56" s="326"/>
      <c r="G56" s="560"/>
      <c r="H56" s="326"/>
      <c r="I56" s="131">
        <v>0</v>
      </c>
      <c r="J56" s="132"/>
      <c r="K56" s="133">
        <v>0</v>
      </c>
      <c r="L56" s="543"/>
      <c r="M56" s="78">
        <v>0</v>
      </c>
    </row>
    <row r="57" spans="2:13" ht="12.75" customHeight="1" x14ac:dyDescent="0.2">
      <c r="B57" s="558">
        <v>123</v>
      </c>
      <c r="C57" s="540">
        <v>17622438731</v>
      </c>
      <c r="D57" s="308" t="s">
        <v>258</v>
      </c>
      <c r="E57" s="317" t="s">
        <v>220</v>
      </c>
      <c r="F57" s="326"/>
      <c r="G57" s="560"/>
      <c r="H57" s="326"/>
      <c r="I57" s="131">
        <v>0</v>
      </c>
      <c r="J57" s="160"/>
      <c r="K57" s="133">
        <v>0</v>
      </c>
      <c r="L57" s="543"/>
      <c r="M57" s="78">
        <v>0</v>
      </c>
    </row>
    <row r="58" spans="2:13" ht="12.75" customHeight="1" x14ac:dyDescent="0.2">
      <c r="B58" s="559">
        <v>154</v>
      </c>
      <c r="C58" s="553">
        <v>17444522707</v>
      </c>
      <c r="D58" s="372" t="s">
        <v>261</v>
      </c>
      <c r="E58" s="363" t="s">
        <v>220</v>
      </c>
      <c r="F58" s="554"/>
      <c r="G58" s="560">
        <v>46080</v>
      </c>
      <c r="H58" s="554"/>
      <c r="I58" s="374">
        <v>0</v>
      </c>
      <c r="J58" s="570"/>
      <c r="K58" s="376">
        <v>0</v>
      </c>
      <c r="L58" s="562"/>
      <c r="M58" s="563">
        <v>0</v>
      </c>
    </row>
    <row r="59" spans="2:13" ht="12.75" customHeight="1" x14ac:dyDescent="0.2">
      <c r="B59" s="558">
        <v>63</v>
      </c>
      <c r="C59" s="540">
        <v>8932910723</v>
      </c>
      <c r="D59" s="308" t="s">
        <v>263</v>
      </c>
      <c r="E59" s="336" t="s">
        <v>220</v>
      </c>
      <c r="F59" s="326"/>
      <c r="G59" s="560"/>
      <c r="H59" s="326"/>
      <c r="I59" s="131">
        <v>0</v>
      </c>
      <c r="J59" s="132"/>
      <c r="K59" s="133">
        <v>0</v>
      </c>
      <c r="L59" s="543"/>
      <c r="M59" s="78">
        <v>0</v>
      </c>
    </row>
    <row r="60" spans="2:13" ht="12.75" customHeight="1" x14ac:dyDescent="0.2">
      <c r="B60" s="558">
        <v>135</v>
      </c>
      <c r="C60" s="540">
        <v>9823424705</v>
      </c>
      <c r="D60" s="308" t="s">
        <v>265</v>
      </c>
      <c r="E60" s="336" t="s">
        <v>220</v>
      </c>
      <c r="F60" s="326"/>
      <c r="G60" s="560"/>
      <c r="H60" s="326"/>
      <c r="I60" s="131">
        <v>0</v>
      </c>
      <c r="J60" s="132"/>
      <c r="K60" s="133">
        <v>0</v>
      </c>
      <c r="L60" s="543"/>
      <c r="M60" s="78">
        <v>0</v>
      </c>
    </row>
    <row r="61" spans="2:13" ht="12.75" customHeight="1" x14ac:dyDescent="0.2">
      <c r="B61" s="565">
        <v>5</v>
      </c>
      <c r="C61" s="569">
        <v>14676408757</v>
      </c>
      <c r="D61" s="567" t="s">
        <v>267</v>
      </c>
      <c r="E61" s="350" t="s">
        <v>235</v>
      </c>
      <c r="F61" s="326"/>
      <c r="G61" s="560"/>
      <c r="H61" s="326"/>
      <c r="I61" s="131">
        <v>0</v>
      </c>
      <c r="J61" s="132"/>
      <c r="K61" s="133">
        <v>0</v>
      </c>
      <c r="L61" s="543"/>
      <c r="M61" s="78">
        <v>0</v>
      </c>
    </row>
    <row r="62" spans="2:13" ht="12.75" customHeight="1" x14ac:dyDescent="0.2">
      <c r="B62" s="558">
        <v>147</v>
      </c>
      <c r="C62" s="540">
        <v>18605506733</v>
      </c>
      <c r="D62" s="308" t="s">
        <v>269</v>
      </c>
      <c r="E62" s="317" t="s">
        <v>220</v>
      </c>
      <c r="F62" s="326"/>
      <c r="G62" s="560"/>
      <c r="H62" s="326"/>
      <c r="I62" s="131">
        <v>0</v>
      </c>
      <c r="J62" s="160"/>
      <c r="K62" s="133">
        <v>0</v>
      </c>
      <c r="L62" s="543"/>
      <c r="M62" s="78">
        <v>0</v>
      </c>
    </row>
    <row r="63" spans="2:13" ht="12.75" customHeight="1" x14ac:dyDescent="0.2">
      <c r="B63" s="558">
        <v>99</v>
      </c>
      <c r="C63" s="540">
        <v>11968033742</v>
      </c>
      <c r="D63" s="308" t="s">
        <v>271</v>
      </c>
      <c r="E63" s="336" t="s">
        <v>220</v>
      </c>
      <c r="F63" s="326"/>
      <c r="G63" s="560"/>
      <c r="H63" s="350" t="s">
        <v>296</v>
      </c>
      <c r="I63" s="131">
        <v>5</v>
      </c>
      <c r="J63" s="160"/>
      <c r="K63" s="133">
        <v>0</v>
      </c>
      <c r="L63" s="543"/>
      <c r="M63" s="78">
        <v>0</v>
      </c>
    </row>
    <row r="64" spans="2:13" ht="12.75" customHeight="1" x14ac:dyDescent="0.2">
      <c r="B64" s="558">
        <v>54</v>
      </c>
      <c r="C64" s="540">
        <v>540533742</v>
      </c>
      <c r="D64" s="308" t="s">
        <v>273</v>
      </c>
      <c r="E64" s="336" t="s">
        <v>220</v>
      </c>
      <c r="F64" s="326"/>
      <c r="G64" s="560"/>
      <c r="H64" s="326"/>
      <c r="I64" s="131">
        <v>0</v>
      </c>
      <c r="J64" s="132"/>
      <c r="K64" s="133">
        <v>0</v>
      </c>
      <c r="L64" s="543"/>
      <c r="M64" s="78">
        <v>0</v>
      </c>
    </row>
    <row r="65" spans="2:33" ht="12.75" customHeight="1" x14ac:dyDescent="0.2">
      <c r="B65" s="558">
        <v>42</v>
      </c>
      <c r="C65" s="540">
        <v>8126990767</v>
      </c>
      <c r="D65" s="308" t="s">
        <v>274</v>
      </c>
      <c r="E65" s="336" t="s">
        <v>220</v>
      </c>
      <c r="F65" s="326"/>
      <c r="G65" s="560"/>
      <c r="H65" s="326"/>
      <c r="I65" s="131">
        <v>0</v>
      </c>
      <c r="J65" s="132"/>
      <c r="K65" s="133">
        <v>0</v>
      </c>
      <c r="L65" s="543"/>
      <c r="M65" s="78">
        <v>0</v>
      </c>
    </row>
    <row r="66" spans="2:33" ht="12.75" customHeight="1" x14ac:dyDescent="0.2">
      <c r="B66" s="558">
        <v>43</v>
      </c>
      <c r="C66" s="540">
        <v>6143838623</v>
      </c>
      <c r="D66" s="308" t="s">
        <v>275</v>
      </c>
      <c r="E66" s="336" t="s">
        <v>220</v>
      </c>
      <c r="F66" s="326"/>
      <c r="G66" s="560"/>
      <c r="H66" s="326"/>
      <c r="I66" s="131">
        <v>0</v>
      </c>
      <c r="J66" s="132"/>
      <c r="K66" s="133">
        <v>0</v>
      </c>
      <c r="L66" s="543"/>
      <c r="M66" s="78">
        <v>0</v>
      </c>
    </row>
    <row r="67" spans="2:33" ht="12.75" customHeight="1" x14ac:dyDescent="0.2">
      <c r="B67" s="559">
        <v>124</v>
      </c>
      <c r="C67" s="553">
        <v>11779661746</v>
      </c>
      <c r="D67" s="372" t="s">
        <v>276</v>
      </c>
      <c r="E67" s="571" t="s">
        <v>220</v>
      </c>
      <c r="F67" s="554"/>
      <c r="G67" s="560">
        <v>46078</v>
      </c>
      <c r="H67" s="554" t="s">
        <v>297</v>
      </c>
      <c r="I67" s="374">
        <v>3</v>
      </c>
      <c r="J67" s="570"/>
      <c r="K67" s="376">
        <v>0</v>
      </c>
      <c r="L67" s="562" t="s">
        <v>298</v>
      </c>
      <c r="M67" s="563">
        <v>10</v>
      </c>
    </row>
    <row r="68" spans="2:33" ht="12.75" customHeight="1" x14ac:dyDescent="0.2">
      <c r="B68" s="558">
        <v>148</v>
      </c>
      <c r="C68" s="540">
        <v>19168959729</v>
      </c>
      <c r="D68" s="308" t="s">
        <v>277</v>
      </c>
      <c r="E68" s="336" t="s">
        <v>220</v>
      </c>
      <c r="F68" s="326"/>
      <c r="G68" s="560"/>
      <c r="H68" s="326"/>
      <c r="I68" s="131">
        <v>0</v>
      </c>
      <c r="J68" s="160"/>
      <c r="K68" s="133">
        <v>0</v>
      </c>
      <c r="L68" s="543"/>
      <c r="M68" s="78">
        <v>0</v>
      </c>
    </row>
    <row r="69" spans="2:33" ht="12.75" customHeight="1" x14ac:dyDescent="0.2">
      <c r="B69" s="558">
        <v>157</v>
      </c>
      <c r="C69" s="572">
        <v>18019744703</v>
      </c>
      <c r="D69" s="308" t="s">
        <v>278</v>
      </c>
      <c r="E69" s="336" t="s">
        <v>220</v>
      </c>
      <c r="F69" s="326"/>
      <c r="G69" s="560"/>
      <c r="H69" s="326"/>
      <c r="I69" s="131">
        <v>0</v>
      </c>
      <c r="J69" s="132"/>
      <c r="K69" s="133">
        <v>0</v>
      </c>
      <c r="L69" s="543"/>
      <c r="M69" s="78">
        <v>0</v>
      </c>
    </row>
    <row r="70" spans="2:33" ht="12.75" customHeight="1" x14ac:dyDescent="0.2">
      <c r="B70" s="558">
        <v>48</v>
      </c>
      <c r="C70" s="540">
        <v>9825505702</v>
      </c>
      <c r="D70" s="308" t="s">
        <v>279</v>
      </c>
      <c r="E70" s="336" t="s">
        <v>220</v>
      </c>
      <c r="F70" s="326"/>
      <c r="G70" s="560"/>
      <c r="H70" s="326"/>
      <c r="I70" s="131">
        <v>0</v>
      </c>
      <c r="J70" s="132"/>
      <c r="K70" s="133">
        <v>0</v>
      </c>
      <c r="L70" s="543"/>
      <c r="M70" s="78">
        <v>0</v>
      </c>
    </row>
    <row r="71" spans="2:33" ht="12.75" customHeight="1" x14ac:dyDescent="0.2">
      <c r="B71" s="565">
        <v>1</v>
      </c>
      <c r="C71" s="569">
        <v>20832236756</v>
      </c>
      <c r="D71" s="567" t="s">
        <v>280</v>
      </c>
      <c r="E71" s="350" t="s">
        <v>235</v>
      </c>
      <c r="F71" s="326"/>
      <c r="G71" s="560"/>
      <c r="H71" s="326"/>
      <c r="I71" s="131">
        <v>0</v>
      </c>
      <c r="J71" s="132"/>
      <c r="K71" s="133">
        <v>0</v>
      </c>
      <c r="L71" s="543"/>
      <c r="M71" s="78">
        <v>0</v>
      </c>
    </row>
    <row r="72" spans="2:33" ht="12.75" customHeight="1" x14ac:dyDescent="0.2">
      <c r="B72" s="573">
        <v>159</v>
      </c>
      <c r="C72" s="574">
        <v>11347893784</v>
      </c>
      <c r="D72" s="575" t="s">
        <v>284</v>
      </c>
      <c r="E72" s="317" t="s">
        <v>220</v>
      </c>
      <c r="F72" s="551">
        <v>46076</v>
      </c>
      <c r="G72" s="560"/>
      <c r="H72" s="326"/>
      <c r="I72" s="131">
        <v>0</v>
      </c>
      <c r="J72" s="160"/>
      <c r="K72" s="133">
        <v>0</v>
      </c>
      <c r="L72" s="543"/>
      <c r="M72" s="78">
        <v>0</v>
      </c>
    </row>
    <row r="73" spans="2:33" ht="12.75" customHeight="1" x14ac:dyDescent="0.2">
      <c r="B73" s="558">
        <v>144</v>
      </c>
      <c r="C73" s="540">
        <v>9630506726</v>
      </c>
      <c r="D73" s="308" t="s">
        <v>286</v>
      </c>
      <c r="E73" s="336" t="s">
        <v>220</v>
      </c>
      <c r="F73" s="326"/>
      <c r="G73" s="560"/>
      <c r="H73" s="326"/>
      <c r="I73" s="131">
        <v>0</v>
      </c>
      <c r="J73" s="160"/>
      <c r="K73" s="133">
        <v>0</v>
      </c>
      <c r="L73" s="543"/>
      <c r="M73" s="78">
        <v>0</v>
      </c>
    </row>
    <row r="74" spans="2:33" ht="12.75" customHeight="1" x14ac:dyDescent="0.2">
      <c r="B74" s="558">
        <v>126</v>
      </c>
      <c r="C74" s="540">
        <v>11765503736</v>
      </c>
      <c r="D74" s="308" t="s">
        <v>288</v>
      </c>
      <c r="E74" s="336" t="s">
        <v>220</v>
      </c>
      <c r="F74" s="326"/>
      <c r="G74" s="560"/>
      <c r="H74" s="326"/>
      <c r="I74" s="131">
        <v>0</v>
      </c>
      <c r="J74" s="132"/>
      <c r="K74" s="133">
        <v>0</v>
      </c>
      <c r="L74" s="543"/>
      <c r="M74" s="78">
        <v>0</v>
      </c>
    </row>
    <row r="75" spans="2:33" ht="12.75" customHeight="1" x14ac:dyDescent="0.2">
      <c r="B75" s="558">
        <v>52</v>
      </c>
      <c r="C75" s="540">
        <v>9922359790</v>
      </c>
      <c r="D75" s="308" t="s">
        <v>289</v>
      </c>
      <c r="E75" s="336" t="s">
        <v>220</v>
      </c>
      <c r="F75" s="326"/>
      <c r="G75" s="560"/>
      <c r="H75" s="326"/>
      <c r="I75" s="131">
        <v>0</v>
      </c>
      <c r="J75" s="132"/>
      <c r="K75" s="133">
        <v>0</v>
      </c>
      <c r="L75" s="543"/>
      <c r="M75" s="78">
        <v>0</v>
      </c>
    </row>
    <row r="76" spans="2:33" ht="12.75" customHeight="1" x14ac:dyDescent="0.2">
      <c r="B76" s="354"/>
      <c r="C76" s="355"/>
      <c r="D76" s="356">
        <f>COUNTA(D41:D75)</f>
        <v>35</v>
      </c>
      <c r="E76" s="354"/>
      <c r="F76" s="356">
        <f>COUNTA(F41:F75)</f>
        <v>1</v>
      </c>
      <c r="G76" s="356">
        <f>COUNTA(G41:G75)</f>
        <v>7</v>
      </c>
      <c r="H76" s="356">
        <f>COUNTA(H41:H75)</f>
        <v>2</v>
      </c>
      <c r="I76" s="356">
        <f>SUM(I41:I75)</f>
        <v>8</v>
      </c>
      <c r="J76" s="356">
        <f>COUNTA(J41:J75)</f>
        <v>0</v>
      </c>
      <c r="K76" s="356">
        <f>SUM(K41:K75)</f>
        <v>0</v>
      </c>
      <c r="L76" s="356">
        <f>COUNTA(L41:L75)</f>
        <v>2</v>
      </c>
      <c r="M76" s="356">
        <f>SUM(M41:M75)</f>
        <v>21</v>
      </c>
      <c r="N76" s="354"/>
      <c r="O76" s="354"/>
      <c r="P76" s="354"/>
      <c r="Q76" s="354"/>
      <c r="R76" s="354"/>
      <c r="S76" s="354"/>
      <c r="T76" s="354"/>
      <c r="U76" s="354"/>
      <c r="V76" s="354"/>
      <c r="W76" s="354"/>
      <c r="X76" s="354"/>
      <c r="Y76" s="354"/>
      <c r="Z76" s="354"/>
      <c r="AA76" s="354"/>
      <c r="AB76" s="354"/>
      <c r="AC76" s="354"/>
      <c r="AD76" s="354"/>
      <c r="AE76" s="354"/>
      <c r="AF76" s="354"/>
      <c r="AG76" s="354"/>
    </row>
    <row r="78" spans="2:33" ht="12.75" customHeight="1" x14ac:dyDescent="0.2">
      <c r="B78" s="297" t="s">
        <v>41</v>
      </c>
      <c r="C78" s="297" t="s">
        <v>218</v>
      </c>
      <c r="D78" s="297" t="s">
        <v>42</v>
      </c>
      <c r="E78" s="297" t="s">
        <v>43</v>
      </c>
      <c r="F78" s="297" t="s">
        <v>44</v>
      </c>
      <c r="G78" s="297" t="s">
        <v>45</v>
      </c>
      <c r="H78" s="297" t="s">
        <v>46</v>
      </c>
      <c r="I78" s="297" t="s">
        <v>49</v>
      </c>
      <c r="J78" s="297" t="s">
        <v>39</v>
      </c>
      <c r="K78" s="297" t="s">
        <v>49</v>
      </c>
      <c r="L78" s="297" t="s">
        <v>40</v>
      </c>
      <c r="M78" s="297" t="s">
        <v>49</v>
      </c>
      <c r="O78" s="298" t="s">
        <v>125</v>
      </c>
      <c r="P78" s="358">
        <f>S42</f>
        <v>28</v>
      </c>
      <c r="R78" s="298" t="s">
        <v>44</v>
      </c>
      <c r="S78" s="300">
        <f>F108</f>
        <v>1</v>
      </c>
      <c r="U78" s="298" t="s">
        <v>39</v>
      </c>
      <c r="V78" s="301">
        <f>K108</f>
        <v>0</v>
      </c>
      <c r="X78" s="302"/>
      <c r="Y78" s="303"/>
      <c r="Z78" s="789" t="s">
        <v>146</v>
      </c>
      <c r="AA78" s="789"/>
      <c r="AB78" s="789"/>
      <c r="AC78" s="303"/>
      <c r="AD78" s="304"/>
      <c r="AF78" s="305" t="s">
        <v>127</v>
      </c>
      <c r="AG78" s="306">
        <f>(V84-V79-V78-S81)</f>
        <v>567</v>
      </c>
    </row>
    <row r="79" spans="2:33" ht="12.75" customHeight="1" x14ac:dyDescent="0.2">
      <c r="B79" s="558">
        <v>115</v>
      </c>
      <c r="C79" s="540">
        <v>17622871702</v>
      </c>
      <c r="D79" s="308" t="s">
        <v>223</v>
      </c>
      <c r="E79" s="317" t="s">
        <v>220</v>
      </c>
      <c r="F79" s="342"/>
      <c r="G79" s="310"/>
      <c r="H79" s="576"/>
      <c r="I79" s="131">
        <v>0</v>
      </c>
      <c r="J79" s="160"/>
      <c r="K79" s="133">
        <v>0</v>
      </c>
      <c r="L79" s="543"/>
      <c r="M79" s="78">
        <v>0</v>
      </c>
      <c r="R79" s="298" t="s">
        <v>45</v>
      </c>
      <c r="S79" s="301">
        <f>G108</f>
        <v>2</v>
      </c>
      <c r="U79" s="298" t="s">
        <v>40</v>
      </c>
      <c r="V79" s="301">
        <f>M108</f>
        <v>0</v>
      </c>
      <c r="X79" s="312" t="s">
        <v>128</v>
      </c>
      <c r="Y79" s="313" t="s">
        <v>129</v>
      </c>
      <c r="Z79" s="313" t="s">
        <v>130</v>
      </c>
      <c r="AA79" s="313" t="s">
        <v>131</v>
      </c>
      <c r="AB79" s="313" t="s">
        <v>132</v>
      </c>
      <c r="AC79" s="313" t="s">
        <v>133</v>
      </c>
      <c r="AD79" s="314" t="s">
        <v>134</v>
      </c>
      <c r="AF79" s="305" t="s">
        <v>135</v>
      </c>
      <c r="AG79" s="315">
        <f>V84-AG78</f>
        <v>38</v>
      </c>
    </row>
    <row r="80" spans="2:33" ht="12.75" customHeight="1" x14ac:dyDescent="0.2">
      <c r="B80" s="577">
        <v>160</v>
      </c>
      <c r="C80" s="578">
        <v>14212723778</v>
      </c>
      <c r="D80" s="579" t="s">
        <v>225</v>
      </c>
      <c r="E80" s="317" t="s">
        <v>220</v>
      </c>
      <c r="F80" s="342">
        <v>46092</v>
      </c>
      <c r="G80" s="310"/>
      <c r="H80" s="576" t="s">
        <v>299</v>
      </c>
      <c r="I80" s="131">
        <v>7</v>
      </c>
      <c r="J80" s="160"/>
      <c r="K80" s="133">
        <v>0</v>
      </c>
      <c r="L80" s="543"/>
      <c r="M80" s="78">
        <v>0</v>
      </c>
      <c r="R80" s="319" t="s">
        <v>56</v>
      </c>
      <c r="S80" s="301">
        <f>P78+S78-S79</f>
        <v>27</v>
      </c>
      <c r="U80" s="298" t="s">
        <v>59</v>
      </c>
      <c r="V80" s="301">
        <f>L108</f>
        <v>0</v>
      </c>
      <c r="X80" s="360">
        <v>46082</v>
      </c>
      <c r="Y80" s="324">
        <v>46083</v>
      </c>
      <c r="Z80" s="324">
        <v>46084</v>
      </c>
      <c r="AA80" s="324">
        <v>46085</v>
      </c>
      <c r="AB80" s="324">
        <v>46086</v>
      </c>
      <c r="AC80" s="324">
        <v>46087</v>
      </c>
      <c r="AD80" s="325">
        <v>46088</v>
      </c>
      <c r="AF80" s="305" t="s">
        <v>136</v>
      </c>
      <c r="AG80" s="545">
        <f>(S80*8.8)*S83</f>
        <v>5227.2000000000007</v>
      </c>
    </row>
    <row r="81" spans="2:33" ht="12.75" customHeight="1" x14ac:dyDescent="0.2">
      <c r="B81" s="558">
        <v>130</v>
      </c>
      <c r="C81" s="540">
        <v>16044643727</v>
      </c>
      <c r="D81" s="308" t="s">
        <v>227</v>
      </c>
      <c r="E81" s="336" t="s">
        <v>220</v>
      </c>
      <c r="F81" s="342"/>
      <c r="G81" s="310"/>
      <c r="H81" s="547"/>
      <c r="I81" s="131">
        <v>0</v>
      </c>
      <c r="J81" s="160"/>
      <c r="K81" s="133">
        <v>0</v>
      </c>
      <c r="L81" s="543"/>
      <c r="M81" s="78">
        <v>0</v>
      </c>
      <c r="R81" s="298" t="s">
        <v>137</v>
      </c>
      <c r="S81" s="329">
        <f>I108</f>
        <v>38</v>
      </c>
      <c r="U81" s="330"/>
      <c r="V81" s="331"/>
      <c r="X81" s="332">
        <v>46089</v>
      </c>
      <c r="Y81" s="333">
        <v>46090</v>
      </c>
      <c r="Z81" s="333">
        <v>46091</v>
      </c>
      <c r="AA81" s="333">
        <v>46092</v>
      </c>
      <c r="AB81" s="333">
        <v>46093</v>
      </c>
      <c r="AC81" s="333">
        <v>46094</v>
      </c>
      <c r="AD81" s="334">
        <v>46095</v>
      </c>
      <c r="AF81" s="305" t="s">
        <v>138</v>
      </c>
      <c r="AG81" s="545">
        <f>AG79*8.8</f>
        <v>334.40000000000003</v>
      </c>
    </row>
    <row r="82" spans="2:33" ht="12.75" customHeight="1" x14ac:dyDescent="0.2">
      <c r="B82" s="558">
        <v>158</v>
      </c>
      <c r="C82" s="540">
        <v>18596219706</v>
      </c>
      <c r="D82" s="308" t="s">
        <v>229</v>
      </c>
      <c r="E82" s="336" t="s">
        <v>220</v>
      </c>
      <c r="F82" s="342"/>
      <c r="G82" s="310">
        <v>46112</v>
      </c>
      <c r="H82" s="547" t="s">
        <v>300</v>
      </c>
      <c r="I82" s="131">
        <v>1</v>
      </c>
      <c r="J82" s="132"/>
      <c r="K82" s="133">
        <v>0</v>
      </c>
      <c r="L82" s="543"/>
      <c r="M82" s="78">
        <v>0</v>
      </c>
      <c r="X82" s="338">
        <v>46096</v>
      </c>
      <c r="Y82" s="339">
        <v>46097</v>
      </c>
      <c r="Z82" s="339">
        <v>46098</v>
      </c>
      <c r="AA82" s="339">
        <v>46099</v>
      </c>
      <c r="AB82" s="339">
        <v>46100</v>
      </c>
      <c r="AC82" s="339">
        <v>46101</v>
      </c>
      <c r="AD82" s="340">
        <v>46102</v>
      </c>
      <c r="AF82" s="305" t="s">
        <v>140</v>
      </c>
      <c r="AG82" s="545">
        <f>(AG80-AG81)/(8.8*S83)</f>
        <v>25.272727272727277</v>
      </c>
    </row>
    <row r="83" spans="2:33" ht="12.75" customHeight="1" x14ac:dyDescent="0.2">
      <c r="B83" s="565">
        <v>4</v>
      </c>
      <c r="C83" s="566">
        <v>12576147704</v>
      </c>
      <c r="D83" s="567" t="s">
        <v>234</v>
      </c>
      <c r="E83" s="350" t="s">
        <v>235</v>
      </c>
      <c r="F83" s="350"/>
      <c r="G83" s="310"/>
      <c r="H83" s="350"/>
      <c r="I83" s="131">
        <v>0</v>
      </c>
      <c r="J83" s="132"/>
      <c r="K83" s="133">
        <v>0</v>
      </c>
      <c r="L83" s="543"/>
      <c r="M83" s="78">
        <v>0</v>
      </c>
      <c r="R83" s="343" t="s">
        <v>22</v>
      </c>
      <c r="S83" s="344">
        <v>22</v>
      </c>
      <c r="U83" s="549" t="s">
        <v>141</v>
      </c>
      <c r="V83" s="550">
        <f>(P78+S80)/2</f>
        <v>27.5</v>
      </c>
      <c r="X83" s="346">
        <v>46103</v>
      </c>
      <c r="Y83" s="347">
        <v>46104</v>
      </c>
      <c r="Z83" s="347">
        <v>46105</v>
      </c>
      <c r="AA83" s="347">
        <v>46106</v>
      </c>
      <c r="AB83" s="347">
        <v>46107</v>
      </c>
      <c r="AC83" s="347">
        <v>46108</v>
      </c>
      <c r="AD83" s="348">
        <v>46109</v>
      </c>
      <c r="AG83" s="296"/>
    </row>
    <row r="84" spans="2:33" ht="12.75" customHeight="1" x14ac:dyDescent="0.2">
      <c r="B84" s="558">
        <v>35</v>
      </c>
      <c r="C84" s="568">
        <v>9621821762</v>
      </c>
      <c r="D84" s="308" t="s">
        <v>237</v>
      </c>
      <c r="E84" s="317" t="s">
        <v>220</v>
      </c>
      <c r="F84" s="350"/>
      <c r="G84" s="310"/>
      <c r="H84" s="350"/>
      <c r="I84" s="131">
        <v>0</v>
      </c>
      <c r="J84" s="160"/>
      <c r="K84" s="133">
        <v>0</v>
      </c>
      <c r="L84" s="543"/>
      <c r="M84" s="78">
        <v>0</v>
      </c>
      <c r="R84" s="343" t="s">
        <v>142</v>
      </c>
      <c r="S84" s="349">
        <v>9</v>
      </c>
      <c r="U84" s="343" t="s">
        <v>143</v>
      </c>
      <c r="V84" s="350">
        <f>S83*V83</f>
        <v>605</v>
      </c>
      <c r="X84" s="351">
        <v>46110</v>
      </c>
      <c r="Y84" s="352">
        <v>46111</v>
      </c>
      <c r="Z84" s="364">
        <v>46112</v>
      </c>
      <c r="AA84" s="365"/>
      <c r="AB84" s="366"/>
      <c r="AC84" s="366"/>
      <c r="AD84" s="367"/>
      <c r="AG84" s="296"/>
    </row>
    <row r="85" spans="2:33" ht="12.75" customHeight="1" x14ac:dyDescent="0.2">
      <c r="B85" s="565">
        <v>3</v>
      </c>
      <c r="C85" s="569">
        <v>86749072704</v>
      </c>
      <c r="D85" s="567" t="s">
        <v>239</v>
      </c>
      <c r="E85" s="350" t="s">
        <v>235</v>
      </c>
      <c r="F85" s="350"/>
      <c r="G85" s="310"/>
      <c r="H85" s="350"/>
      <c r="I85" s="131">
        <v>0</v>
      </c>
      <c r="J85" s="160"/>
      <c r="K85" s="133">
        <v>0</v>
      </c>
      <c r="L85" s="543"/>
      <c r="M85" s="78">
        <v>0</v>
      </c>
    </row>
    <row r="86" spans="2:33" ht="12.75" customHeight="1" x14ac:dyDescent="0.2">
      <c r="B86" s="558">
        <v>36</v>
      </c>
      <c r="C86" s="540">
        <v>7452452771</v>
      </c>
      <c r="D86" s="308" t="s">
        <v>241</v>
      </c>
      <c r="E86" s="336" t="s">
        <v>220</v>
      </c>
      <c r="F86" s="350"/>
      <c r="G86" s="310"/>
      <c r="H86" s="350"/>
      <c r="I86" s="131">
        <v>0</v>
      </c>
      <c r="J86" s="132"/>
      <c r="K86" s="133">
        <v>0</v>
      </c>
      <c r="L86" s="543"/>
      <c r="M86" s="78">
        <v>0</v>
      </c>
    </row>
    <row r="87" spans="2:33" ht="12.75" customHeight="1" x14ac:dyDescent="0.2">
      <c r="B87" s="565">
        <v>6</v>
      </c>
      <c r="C87" s="569">
        <v>7728013637</v>
      </c>
      <c r="D87" s="567" t="s">
        <v>245</v>
      </c>
      <c r="E87" s="350" t="s">
        <v>235</v>
      </c>
      <c r="F87" s="350"/>
      <c r="G87" s="310"/>
      <c r="H87" s="350"/>
      <c r="I87" s="131">
        <v>0</v>
      </c>
      <c r="J87" s="132"/>
      <c r="K87" s="133">
        <v>0</v>
      </c>
      <c r="L87" s="543"/>
      <c r="M87" s="78">
        <v>0</v>
      </c>
    </row>
    <row r="88" spans="2:33" ht="12.75" customHeight="1" x14ac:dyDescent="0.2">
      <c r="B88" s="558">
        <v>109</v>
      </c>
      <c r="C88" s="540">
        <v>17911909792</v>
      </c>
      <c r="D88" s="308" t="s">
        <v>247</v>
      </c>
      <c r="E88" s="317" t="s">
        <v>220</v>
      </c>
      <c r="F88" s="350"/>
      <c r="G88" s="310"/>
      <c r="H88" s="350"/>
      <c r="I88" s="131">
        <v>0</v>
      </c>
      <c r="J88" s="160"/>
      <c r="K88" s="133">
        <v>0</v>
      </c>
      <c r="L88" s="543"/>
      <c r="M88" s="78">
        <v>0</v>
      </c>
    </row>
    <row r="89" spans="2:33" ht="12.75" customHeight="1" x14ac:dyDescent="0.2">
      <c r="B89" s="558">
        <v>100</v>
      </c>
      <c r="C89" s="540">
        <v>21963396790</v>
      </c>
      <c r="D89" s="308" t="s">
        <v>251</v>
      </c>
      <c r="E89" s="336" t="s">
        <v>220</v>
      </c>
      <c r="F89" s="350"/>
      <c r="G89" s="310"/>
      <c r="H89" s="350"/>
      <c r="I89" s="131">
        <v>0</v>
      </c>
      <c r="J89" s="132"/>
      <c r="K89" s="133">
        <v>0</v>
      </c>
      <c r="L89" s="543"/>
      <c r="M89" s="78">
        <v>0</v>
      </c>
    </row>
    <row r="90" spans="2:33" ht="12.75" customHeight="1" x14ac:dyDescent="0.2">
      <c r="B90" s="558">
        <v>153</v>
      </c>
      <c r="C90" s="540">
        <v>19379132794</v>
      </c>
      <c r="D90" s="308" t="s">
        <v>256</v>
      </c>
      <c r="E90" s="336" t="s">
        <v>220</v>
      </c>
      <c r="F90" s="350"/>
      <c r="G90" s="310"/>
      <c r="H90" s="350"/>
      <c r="I90" s="131">
        <v>0</v>
      </c>
      <c r="J90" s="132"/>
      <c r="K90" s="133">
        <v>0</v>
      </c>
      <c r="L90" s="543"/>
      <c r="M90" s="78">
        <v>0</v>
      </c>
    </row>
    <row r="91" spans="2:33" ht="12.75" customHeight="1" x14ac:dyDescent="0.2">
      <c r="B91" s="558">
        <v>123</v>
      </c>
      <c r="C91" s="540">
        <v>17622438731</v>
      </c>
      <c r="D91" s="308" t="s">
        <v>258</v>
      </c>
      <c r="E91" s="317" t="s">
        <v>220</v>
      </c>
      <c r="F91" s="350"/>
      <c r="G91" s="310">
        <v>46085</v>
      </c>
      <c r="H91" s="350" t="s">
        <v>301</v>
      </c>
      <c r="I91" s="131">
        <v>20</v>
      </c>
      <c r="J91" s="160"/>
      <c r="K91" s="133">
        <v>0</v>
      </c>
      <c r="L91" s="543"/>
      <c r="M91" s="78">
        <v>0</v>
      </c>
    </row>
    <row r="92" spans="2:33" ht="12.75" customHeight="1" x14ac:dyDescent="0.2">
      <c r="B92" s="558">
        <v>63</v>
      </c>
      <c r="C92" s="540">
        <v>8932910723</v>
      </c>
      <c r="D92" s="308" t="s">
        <v>263</v>
      </c>
      <c r="E92" s="336" t="s">
        <v>220</v>
      </c>
      <c r="F92" s="350"/>
      <c r="G92" s="310"/>
      <c r="H92" s="350"/>
      <c r="I92" s="131">
        <v>0</v>
      </c>
      <c r="J92" s="132"/>
      <c r="K92" s="133">
        <v>0</v>
      </c>
      <c r="L92" s="543"/>
      <c r="M92" s="78">
        <v>0</v>
      </c>
    </row>
    <row r="93" spans="2:33" ht="12.75" customHeight="1" x14ac:dyDescent="0.2">
      <c r="B93" s="558">
        <v>135</v>
      </c>
      <c r="C93" s="540">
        <v>9823424705</v>
      </c>
      <c r="D93" s="308" t="s">
        <v>265</v>
      </c>
      <c r="E93" s="336" t="s">
        <v>220</v>
      </c>
      <c r="F93" s="350"/>
      <c r="G93" s="310"/>
      <c r="H93" s="350"/>
      <c r="I93" s="131">
        <v>0</v>
      </c>
      <c r="J93" s="132"/>
      <c r="K93" s="133">
        <v>0</v>
      </c>
      <c r="L93" s="543"/>
      <c r="M93" s="78">
        <v>0</v>
      </c>
    </row>
    <row r="94" spans="2:33" ht="12.75" customHeight="1" x14ac:dyDescent="0.2">
      <c r="B94" s="565">
        <v>5</v>
      </c>
      <c r="C94" s="569">
        <v>14676408757</v>
      </c>
      <c r="D94" s="567" t="s">
        <v>267</v>
      </c>
      <c r="E94" s="350" t="s">
        <v>235</v>
      </c>
      <c r="F94" s="350"/>
      <c r="G94" s="310"/>
      <c r="H94" s="350" t="s">
        <v>302</v>
      </c>
      <c r="I94" s="131">
        <v>10</v>
      </c>
      <c r="J94" s="132"/>
      <c r="K94" s="133">
        <v>0</v>
      </c>
      <c r="L94" s="543"/>
      <c r="M94" s="78">
        <v>0</v>
      </c>
    </row>
    <row r="95" spans="2:33" ht="12.75" customHeight="1" x14ac:dyDescent="0.2">
      <c r="B95" s="558">
        <v>147</v>
      </c>
      <c r="C95" s="540">
        <v>18605506733</v>
      </c>
      <c r="D95" s="308" t="s">
        <v>269</v>
      </c>
      <c r="E95" s="317" t="s">
        <v>220</v>
      </c>
      <c r="F95" s="350"/>
      <c r="G95" s="310"/>
      <c r="H95" s="350"/>
      <c r="I95" s="131">
        <v>0</v>
      </c>
      <c r="J95" s="160"/>
      <c r="K95" s="133">
        <v>0</v>
      </c>
      <c r="L95" s="543"/>
      <c r="M95" s="78">
        <v>0</v>
      </c>
    </row>
    <row r="96" spans="2:33" ht="12.75" customHeight="1" x14ac:dyDescent="0.2">
      <c r="B96" s="558">
        <v>99</v>
      </c>
      <c r="C96" s="540">
        <v>11968033742</v>
      </c>
      <c r="D96" s="308" t="s">
        <v>271</v>
      </c>
      <c r="E96" s="336" t="s">
        <v>220</v>
      </c>
      <c r="F96" s="350"/>
      <c r="G96" s="310"/>
      <c r="H96" s="350"/>
      <c r="I96" s="131">
        <v>0</v>
      </c>
      <c r="J96" s="160"/>
      <c r="K96" s="133">
        <v>0</v>
      </c>
      <c r="L96" s="543"/>
      <c r="M96" s="78">
        <v>0</v>
      </c>
    </row>
    <row r="97" spans="2:33" ht="12.75" customHeight="1" x14ac:dyDescent="0.2">
      <c r="B97" s="558">
        <v>54</v>
      </c>
      <c r="C97" s="540">
        <v>540533742</v>
      </c>
      <c r="D97" s="308" t="s">
        <v>273</v>
      </c>
      <c r="E97" s="336" t="s">
        <v>220</v>
      </c>
      <c r="F97" s="350"/>
      <c r="G97" s="310"/>
      <c r="H97" s="350"/>
      <c r="I97" s="131">
        <v>0</v>
      </c>
      <c r="J97" s="132"/>
      <c r="K97" s="133">
        <v>0</v>
      </c>
      <c r="L97" s="543"/>
      <c r="M97" s="78">
        <v>0</v>
      </c>
    </row>
    <row r="98" spans="2:33" ht="12.75" customHeight="1" x14ac:dyDescent="0.2">
      <c r="B98" s="558">
        <v>42</v>
      </c>
      <c r="C98" s="540">
        <v>8126990767</v>
      </c>
      <c r="D98" s="308" t="s">
        <v>274</v>
      </c>
      <c r="E98" s="336" t="s">
        <v>220</v>
      </c>
      <c r="F98" s="350"/>
      <c r="G98" s="310"/>
      <c r="H98" s="350"/>
      <c r="I98" s="131">
        <v>0</v>
      </c>
      <c r="J98" s="132"/>
      <c r="K98" s="133">
        <v>0</v>
      </c>
      <c r="L98" s="543"/>
      <c r="M98" s="78">
        <v>0</v>
      </c>
    </row>
    <row r="99" spans="2:33" ht="12.75" customHeight="1" x14ac:dyDescent="0.2">
      <c r="B99" s="558">
        <v>43</v>
      </c>
      <c r="C99" s="540">
        <v>6143838623</v>
      </c>
      <c r="D99" s="308" t="s">
        <v>275</v>
      </c>
      <c r="E99" s="336" t="s">
        <v>220</v>
      </c>
      <c r="F99" s="350"/>
      <c r="G99" s="310"/>
      <c r="H99" s="350"/>
      <c r="I99" s="131">
        <v>0</v>
      </c>
      <c r="J99" s="132"/>
      <c r="K99" s="133">
        <v>0</v>
      </c>
      <c r="L99" s="543"/>
      <c r="M99" s="78">
        <v>0</v>
      </c>
    </row>
    <row r="100" spans="2:33" ht="12.75" customHeight="1" x14ac:dyDescent="0.2">
      <c r="B100" s="558">
        <v>148</v>
      </c>
      <c r="C100" s="540">
        <v>19168959729</v>
      </c>
      <c r="D100" s="308" t="s">
        <v>277</v>
      </c>
      <c r="E100" s="336" t="s">
        <v>220</v>
      </c>
      <c r="F100" s="350"/>
      <c r="G100" s="310"/>
      <c r="H100" s="350"/>
      <c r="I100" s="131">
        <v>0</v>
      </c>
      <c r="J100" s="160"/>
      <c r="K100" s="133">
        <v>0</v>
      </c>
      <c r="L100" s="543"/>
      <c r="M100" s="78">
        <v>0</v>
      </c>
    </row>
    <row r="101" spans="2:33" ht="12.75" customHeight="1" x14ac:dyDescent="0.2">
      <c r="B101" s="558">
        <v>157</v>
      </c>
      <c r="C101" s="572">
        <v>18019744703</v>
      </c>
      <c r="D101" s="308" t="s">
        <v>278</v>
      </c>
      <c r="E101" s="336" t="s">
        <v>220</v>
      </c>
      <c r="F101" s="350"/>
      <c r="G101" s="310"/>
      <c r="H101" s="350"/>
      <c r="I101" s="131">
        <v>0</v>
      </c>
      <c r="J101" s="132"/>
      <c r="K101" s="133">
        <v>0</v>
      </c>
      <c r="L101" s="543"/>
      <c r="M101" s="78">
        <v>0</v>
      </c>
    </row>
    <row r="102" spans="2:33" ht="12.75" customHeight="1" x14ac:dyDescent="0.2">
      <c r="B102" s="558">
        <v>48</v>
      </c>
      <c r="C102" s="540">
        <v>9825505702</v>
      </c>
      <c r="D102" s="308" t="s">
        <v>279</v>
      </c>
      <c r="E102" s="336" t="s">
        <v>220</v>
      </c>
      <c r="F102" s="350"/>
      <c r="G102" s="310"/>
      <c r="H102" s="350"/>
      <c r="I102" s="131">
        <v>0</v>
      </c>
      <c r="J102" s="132"/>
      <c r="K102" s="133">
        <v>0</v>
      </c>
      <c r="L102" s="543"/>
      <c r="M102" s="78">
        <v>0</v>
      </c>
    </row>
    <row r="103" spans="2:33" ht="12.75" customHeight="1" x14ac:dyDescent="0.2">
      <c r="B103" s="565">
        <v>1</v>
      </c>
      <c r="C103" s="569">
        <v>20832236756</v>
      </c>
      <c r="D103" s="567" t="s">
        <v>280</v>
      </c>
      <c r="E103" s="350" t="s">
        <v>235</v>
      </c>
      <c r="F103" s="350"/>
      <c r="G103" s="310"/>
      <c r="H103" s="350"/>
      <c r="I103" s="131">
        <v>0</v>
      </c>
      <c r="J103" s="132"/>
      <c r="K103" s="133">
        <v>0</v>
      </c>
      <c r="L103" s="543"/>
      <c r="M103" s="78">
        <v>0</v>
      </c>
    </row>
    <row r="104" spans="2:33" ht="12.75" customHeight="1" x14ac:dyDescent="0.2">
      <c r="B104" s="580">
        <v>159</v>
      </c>
      <c r="C104" s="572">
        <v>11347893784</v>
      </c>
      <c r="D104" s="581" t="s">
        <v>284</v>
      </c>
      <c r="E104" s="317" t="s">
        <v>220</v>
      </c>
      <c r="F104" s="582"/>
      <c r="G104" s="310"/>
      <c r="H104" s="350"/>
      <c r="I104" s="131">
        <v>0</v>
      </c>
      <c r="J104" s="160"/>
      <c r="K104" s="133">
        <v>0</v>
      </c>
      <c r="L104" s="543"/>
      <c r="M104" s="78">
        <v>0</v>
      </c>
    </row>
    <row r="105" spans="2:33" ht="12.75" customHeight="1" x14ac:dyDescent="0.2">
      <c r="B105" s="558">
        <v>144</v>
      </c>
      <c r="C105" s="540">
        <v>9630506726</v>
      </c>
      <c r="D105" s="308" t="s">
        <v>286</v>
      </c>
      <c r="E105" s="336" t="s">
        <v>220</v>
      </c>
      <c r="F105" s="350"/>
      <c r="G105" s="310"/>
      <c r="H105" s="350"/>
      <c r="I105" s="131">
        <v>0</v>
      </c>
      <c r="J105" s="160"/>
      <c r="K105" s="133">
        <v>0</v>
      </c>
      <c r="L105" s="543"/>
      <c r="M105" s="78">
        <v>0</v>
      </c>
    </row>
    <row r="106" spans="2:33" ht="12.75" customHeight="1" x14ac:dyDescent="0.2">
      <c r="B106" s="558">
        <v>126</v>
      </c>
      <c r="C106" s="540">
        <v>11765503736</v>
      </c>
      <c r="D106" s="308" t="s">
        <v>288</v>
      </c>
      <c r="E106" s="336" t="s">
        <v>220</v>
      </c>
      <c r="F106" s="350"/>
      <c r="G106" s="310"/>
      <c r="H106" s="350"/>
      <c r="I106" s="131">
        <v>0</v>
      </c>
      <c r="J106" s="132"/>
      <c r="K106" s="133">
        <v>0</v>
      </c>
      <c r="L106" s="543"/>
      <c r="M106" s="78">
        <v>0</v>
      </c>
    </row>
    <row r="107" spans="2:33" ht="12.75" customHeight="1" x14ac:dyDescent="0.2">
      <c r="B107" s="558">
        <v>52</v>
      </c>
      <c r="C107" s="540">
        <v>9922359790</v>
      </c>
      <c r="D107" s="308" t="s">
        <v>289</v>
      </c>
      <c r="E107" s="336" t="s">
        <v>220</v>
      </c>
      <c r="F107" s="350"/>
      <c r="G107" s="310"/>
      <c r="H107" s="350"/>
      <c r="I107" s="131">
        <v>0</v>
      </c>
      <c r="J107" s="132"/>
      <c r="K107" s="133">
        <v>0</v>
      </c>
      <c r="L107" s="543"/>
      <c r="M107" s="78">
        <v>0</v>
      </c>
    </row>
    <row r="108" spans="2:33" ht="12.75" customHeight="1" x14ac:dyDescent="0.2">
      <c r="B108" s="354"/>
      <c r="C108" s="355"/>
      <c r="D108" s="356">
        <f>COUNTA(D79:D107)</f>
        <v>29</v>
      </c>
      <c r="E108" s="354"/>
      <c r="F108" s="356">
        <f>COUNTA(F79:F107)</f>
        <v>1</v>
      </c>
      <c r="G108" s="356">
        <f>COUNTA(G79:G107)</f>
        <v>2</v>
      </c>
      <c r="H108" s="356">
        <f>COUNTA(H79:H107)</f>
        <v>4</v>
      </c>
      <c r="I108" s="356">
        <f>SUM(I79:I107)</f>
        <v>38</v>
      </c>
      <c r="J108" s="356">
        <f>COUNTA(J79:J107)</f>
        <v>0</v>
      </c>
      <c r="K108" s="356">
        <f>SUM(K79:K107)</f>
        <v>0</v>
      </c>
      <c r="L108" s="356">
        <f>COUNTA(L79:L107)</f>
        <v>0</v>
      </c>
      <c r="M108" s="356">
        <f>SUM(M79:M107)</f>
        <v>0</v>
      </c>
      <c r="N108" s="354"/>
      <c r="O108" s="354"/>
      <c r="P108" s="354"/>
      <c r="Q108" s="354"/>
      <c r="R108" s="354"/>
      <c r="S108" s="354"/>
      <c r="T108" s="354"/>
      <c r="U108" s="354"/>
      <c r="V108" s="354"/>
      <c r="W108" s="354"/>
      <c r="X108" s="354"/>
      <c r="Y108" s="354"/>
      <c r="Z108" s="354"/>
      <c r="AA108" s="354"/>
      <c r="AB108" s="354"/>
      <c r="AC108" s="354"/>
      <c r="AD108" s="354"/>
      <c r="AE108" s="354"/>
      <c r="AF108" s="354"/>
      <c r="AG108" s="354"/>
    </row>
    <row r="110" spans="2:33" ht="12.75" customHeight="1" x14ac:dyDescent="0.2">
      <c r="B110" s="297" t="s">
        <v>41</v>
      </c>
      <c r="C110" s="297" t="s">
        <v>218</v>
      </c>
      <c r="D110" s="297" t="s">
        <v>42</v>
      </c>
      <c r="E110" s="297" t="s">
        <v>43</v>
      </c>
      <c r="F110" s="297" t="s">
        <v>44</v>
      </c>
      <c r="G110" s="297" t="s">
        <v>45</v>
      </c>
      <c r="H110" s="297" t="s">
        <v>46</v>
      </c>
      <c r="I110" s="297" t="s">
        <v>49</v>
      </c>
      <c r="J110" s="297" t="s">
        <v>39</v>
      </c>
      <c r="K110" s="297" t="s">
        <v>49</v>
      </c>
      <c r="L110" s="297" t="s">
        <v>40</v>
      </c>
      <c r="M110" s="297" t="s">
        <v>49</v>
      </c>
      <c r="O110" s="298" t="s">
        <v>125</v>
      </c>
      <c r="P110" s="358">
        <f>S80</f>
        <v>27</v>
      </c>
      <c r="R110" s="298" t="s">
        <v>44</v>
      </c>
      <c r="S110" s="300">
        <f>F138</f>
        <v>0</v>
      </c>
      <c r="U110" s="298" t="s">
        <v>39</v>
      </c>
      <c r="V110" s="301">
        <f>K138</f>
        <v>0</v>
      </c>
      <c r="X110" s="302"/>
      <c r="Y110" s="303"/>
      <c r="Z110" s="789" t="s">
        <v>147</v>
      </c>
      <c r="AA110" s="789"/>
      <c r="AB110" s="789"/>
      <c r="AC110" s="303"/>
      <c r="AD110" s="304"/>
      <c r="AF110" s="305" t="s">
        <v>127</v>
      </c>
      <c r="AG110" s="306">
        <f>(V116-V111-V110-S113)</f>
        <v>520</v>
      </c>
    </row>
    <row r="111" spans="2:33" ht="12.75" customHeight="1" x14ac:dyDescent="0.2">
      <c r="B111" s="558">
        <v>115</v>
      </c>
      <c r="C111" s="540">
        <v>17622871702</v>
      </c>
      <c r="D111" s="308" t="s">
        <v>223</v>
      </c>
      <c r="E111" s="317" t="s">
        <v>220</v>
      </c>
      <c r="F111" s="342"/>
      <c r="G111" s="310"/>
      <c r="H111" s="576"/>
      <c r="I111" s="131">
        <v>0</v>
      </c>
      <c r="J111" s="160"/>
      <c r="K111" s="133">
        <v>0</v>
      </c>
      <c r="L111" s="543"/>
      <c r="M111" s="78">
        <v>0</v>
      </c>
      <c r="R111" s="298" t="s">
        <v>45</v>
      </c>
      <c r="S111" s="301">
        <f>G138</f>
        <v>0</v>
      </c>
      <c r="U111" s="298" t="s">
        <v>40</v>
      </c>
      <c r="V111" s="301">
        <f>M138</f>
        <v>18</v>
      </c>
      <c r="X111" s="312" t="s">
        <v>128</v>
      </c>
      <c r="Y111" s="313" t="s">
        <v>129</v>
      </c>
      <c r="Z111" s="313" t="s">
        <v>130</v>
      </c>
      <c r="AA111" s="313" t="s">
        <v>131</v>
      </c>
      <c r="AB111" s="313" t="s">
        <v>132</v>
      </c>
      <c r="AC111" s="313" t="s">
        <v>133</v>
      </c>
      <c r="AD111" s="314" t="s">
        <v>134</v>
      </c>
      <c r="AF111" s="305" t="s">
        <v>135</v>
      </c>
      <c r="AG111" s="315">
        <f>V116-AG110</f>
        <v>20</v>
      </c>
    </row>
    <row r="112" spans="2:33" ht="12.75" customHeight="1" x14ac:dyDescent="0.2">
      <c r="B112" s="558">
        <v>160</v>
      </c>
      <c r="C112" s="540">
        <v>14212723778</v>
      </c>
      <c r="D112" s="327" t="s">
        <v>225</v>
      </c>
      <c r="E112" s="317" t="s">
        <v>220</v>
      </c>
      <c r="F112" s="342"/>
      <c r="G112" s="310"/>
      <c r="H112" s="576"/>
      <c r="I112" s="131">
        <v>0</v>
      </c>
      <c r="J112" s="160"/>
      <c r="K112" s="133">
        <v>0</v>
      </c>
      <c r="L112" s="543"/>
      <c r="M112" s="78">
        <v>0</v>
      </c>
      <c r="R112" s="319" t="s">
        <v>56</v>
      </c>
      <c r="S112" s="301">
        <f>P110+S110-S111</f>
        <v>27</v>
      </c>
      <c r="U112" s="298" t="s">
        <v>59</v>
      </c>
      <c r="V112" s="301">
        <f>L138</f>
        <v>2</v>
      </c>
      <c r="X112" s="320"/>
      <c r="Y112" s="321"/>
      <c r="Z112" s="322"/>
      <c r="AA112" s="369">
        <v>46113</v>
      </c>
      <c r="AB112" s="324">
        <v>46114</v>
      </c>
      <c r="AC112" s="370">
        <v>46115</v>
      </c>
      <c r="AD112" s="325">
        <v>46116</v>
      </c>
      <c r="AF112" s="305" t="s">
        <v>136</v>
      </c>
      <c r="AG112" s="545">
        <f>(S112*8.8)*S115</f>
        <v>4752</v>
      </c>
    </row>
    <row r="113" spans="2:33" ht="12.75" customHeight="1" x14ac:dyDescent="0.2">
      <c r="B113" s="558">
        <v>130</v>
      </c>
      <c r="C113" s="540">
        <v>16044643727</v>
      </c>
      <c r="D113" s="308" t="s">
        <v>227</v>
      </c>
      <c r="E113" s="336" t="s">
        <v>220</v>
      </c>
      <c r="F113" s="342"/>
      <c r="G113" s="310"/>
      <c r="H113" s="547"/>
      <c r="I113" s="131">
        <v>0</v>
      </c>
      <c r="J113" s="160"/>
      <c r="K113" s="133">
        <v>0</v>
      </c>
      <c r="L113" s="543" t="s">
        <v>303</v>
      </c>
      <c r="M113" s="78">
        <v>11</v>
      </c>
      <c r="R113" s="298" t="s">
        <v>137</v>
      </c>
      <c r="S113" s="329">
        <f>I138</f>
        <v>2</v>
      </c>
      <c r="U113" s="330"/>
      <c r="V113" s="331"/>
      <c r="X113" s="332">
        <v>46117</v>
      </c>
      <c r="Y113" s="333">
        <v>46118</v>
      </c>
      <c r="Z113" s="333">
        <v>46119</v>
      </c>
      <c r="AA113" s="333">
        <v>46120</v>
      </c>
      <c r="AB113" s="333">
        <v>46121</v>
      </c>
      <c r="AC113" s="333">
        <v>46122</v>
      </c>
      <c r="AD113" s="334">
        <v>46123</v>
      </c>
      <c r="AF113" s="305" t="s">
        <v>138</v>
      </c>
      <c r="AG113" s="545">
        <f>AG111*8.8</f>
        <v>176</v>
      </c>
    </row>
    <row r="114" spans="2:33" ht="12.75" customHeight="1" x14ac:dyDescent="0.2">
      <c r="B114" s="565">
        <v>4</v>
      </c>
      <c r="C114" s="566">
        <v>12576147704</v>
      </c>
      <c r="D114" s="567" t="s">
        <v>234</v>
      </c>
      <c r="E114" s="350" t="s">
        <v>235</v>
      </c>
      <c r="F114" s="350"/>
      <c r="G114" s="310"/>
      <c r="H114" s="350"/>
      <c r="I114" s="131">
        <v>0</v>
      </c>
      <c r="J114" s="132"/>
      <c r="K114" s="133">
        <v>0</v>
      </c>
      <c r="L114" s="543"/>
      <c r="M114" s="78">
        <v>0</v>
      </c>
      <c r="X114" s="338">
        <v>46124</v>
      </c>
      <c r="Y114" s="339">
        <v>46125</v>
      </c>
      <c r="Z114" s="339">
        <v>46126</v>
      </c>
      <c r="AA114" s="339">
        <v>46127</v>
      </c>
      <c r="AB114" s="339">
        <v>46128</v>
      </c>
      <c r="AC114" s="339">
        <v>46129</v>
      </c>
      <c r="AD114" s="340">
        <v>46130</v>
      </c>
      <c r="AF114" s="305" t="s">
        <v>140</v>
      </c>
      <c r="AG114" s="545">
        <f>(AG112-AG113)/(8.8*S115)</f>
        <v>26</v>
      </c>
    </row>
    <row r="115" spans="2:33" ht="12.75" customHeight="1" x14ac:dyDescent="0.2">
      <c r="B115" s="558">
        <v>35</v>
      </c>
      <c r="C115" s="568">
        <v>9621821762</v>
      </c>
      <c r="D115" s="308" t="s">
        <v>237</v>
      </c>
      <c r="E115" s="317" t="s">
        <v>220</v>
      </c>
      <c r="F115" s="350"/>
      <c r="G115" s="310"/>
      <c r="H115" s="350"/>
      <c r="I115" s="131">
        <v>0</v>
      </c>
      <c r="J115" s="160"/>
      <c r="K115" s="133">
        <v>0</v>
      </c>
      <c r="L115" s="543"/>
      <c r="M115" s="78">
        <v>0</v>
      </c>
      <c r="R115" s="343" t="s">
        <v>22</v>
      </c>
      <c r="S115" s="344">
        <v>20</v>
      </c>
      <c r="U115" s="549" t="s">
        <v>141</v>
      </c>
      <c r="V115" s="550">
        <f>(P110+S112)/2</f>
        <v>27</v>
      </c>
      <c r="X115" s="346">
        <v>46131</v>
      </c>
      <c r="Y115" s="347">
        <v>46132</v>
      </c>
      <c r="Z115" s="362">
        <v>46133</v>
      </c>
      <c r="AA115" s="347">
        <v>46134</v>
      </c>
      <c r="AB115" s="347">
        <v>46135</v>
      </c>
      <c r="AC115" s="347">
        <v>46136</v>
      </c>
      <c r="AD115" s="348">
        <v>46137</v>
      </c>
      <c r="AG115" s="296"/>
    </row>
    <row r="116" spans="2:33" ht="12.75" customHeight="1" x14ac:dyDescent="0.2">
      <c r="B116" s="565">
        <v>3</v>
      </c>
      <c r="C116" s="569">
        <v>86749072704</v>
      </c>
      <c r="D116" s="567" t="s">
        <v>239</v>
      </c>
      <c r="E116" s="350" t="s">
        <v>235</v>
      </c>
      <c r="F116" s="350"/>
      <c r="G116" s="310"/>
      <c r="H116" s="350" t="s">
        <v>304</v>
      </c>
      <c r="I116" s="131">
        <v>2</v>
      </c>
      <c r="J116" s="160"/>
      <c r="K116" s="133">
        <v>0</v>
      </c>
      <c r="L116" s="543"/>
      <c r="M116" s="78">
        <v>0</v>
      </c>
      <c r="R116" s="343" t="s">
        <v>142</v>
      </c>
      <c r="S116" s="349">
        <v>10</v>
      </c>
      <c r="U116" s="343" t="s">
        <v>143</v>
      </c>
      <c r="V116" s="350">
        <f>S115*V115</f>
        <v>540</v>
      </c>
      <c r="X116" s="351">
        <v>46138</v>
      </c>
      <c r="Y116" s="352">
        <v>46139</v>
      </c>
      <c r="Z116" s="352">
        <v>46140</v>
      </c>
      <c r="AA116" s="352">
        <v>46141</v>
      </c>
      <c r="AB116" s="364">
        <v>46142</v>
      </c>
      <c r="AC116" s="365"/>
      <c r="AD116" s="367"/>
      <c r="AG116" s="296"/>
    </row>
    <row r="117" spans="2:33" ht="12.75" customHeight="1" x14ac:dyDescent="0.2">
      <c r="B117" s="558">
        <v>36</v>
      </c>
      <c r="C117" s="540">
        <v>7452452771</v>
      </c>
      <c r="D117" s="308" t="s">
        <v>241</v>
      </c>
      <c r="E117" s="336" t="s">
        <v>220</v>
      </c>
      <c r="F117" s="350"/>
      <c r="G117" s="310"/>
      <c r="H117" s="350"/>
      <c r="I117" s="131">
        <v>0</v>
      </c>
      <c r="J117" s="132"/>
      <c r="K117" s="133">
        <v>0</v>
      </c>
      <c r="L117" s="543"/>
      <c r="M117" s="78">
        <v>0</v>
      </c>
    </row>
    <row r="118" spans="2:33" ht="12.75" customHeight="1" x14ac:dyDescent="0.2">
      <c r="B118" s="565">
        <v>6</v>
      </c>
      <c r="C118" s="569">
        <v>7728013637</v>
      </c>
      <c r="D118" s="567" t="s">
        <v>245</v>
      </c>
      <c r="E118" s="350" t="s">
        <v>235</v>
      </c>
      <c r="F118" s="350"/>
      <c r="G118" s="310"/>
      <c r="H118" s="350"/>
      <c r="I118" s="131">
        <v>0</v>
      </c>
      <c r="J118" s="132"/>
      <c r="K118" s="133">
        <v>0</v>
      </c>
      <c r="L118" s="543"/>
      <c r="M118" s="78">
        <v>0</v>
      </c>
    </row>
    <row r="119" spans="2:33" ht="12.75" customHeight="1" x14ac:dyDescent="0.2">
      <c r="B119" s="558">
        <v>109</v>
      </c>
      <c r="C119" s="540">
        <v>17911909792</v>
      </c>
      <c r="D119" s="308" t="s">
        <v>247</v>
      </c>
      <c r="E119" s="317" t="s">
        <v>220</v>
      </c>
      <c r="F119" s="350"/>
      <c r="G119" s="310"/>
      <c r="H119" s="350"/>
      <c r="I119" s="131">
        <v>0</v>
      </c>
      <c r="J119" s="160"/>
      <c r="K119" s="133">
        <v>0</v>
      </c>
      <c r="L119" s="543"/>
      <c r="M119" s="78">
        <v>0</v>
      </c>
    </row>
    <row r="120" spans="2:33" ht="12.75" customHeight="1" x14ac:dyDescent="0.2">
      <c r="B120" s="558">
        <v>100</v>
      </c>
      <c r="C120" s="540">
        <v>21963396790</v>
      </c>
      <c r="D120" s="308" t="s">
        <v>251</v>
      </c>
      <c r="E120" s="336" t="s">
        <v>220</v>
      </c>
      <c r="F120" s="350"/>
      <c r="G120" s="310"/>
      <c r="H120" s="350"/>
      <c r="I120" s="131">
        <v>0</v>
      </c>
      <c r="J120" s="132"/>
      <c r="K120" s="133">
        <v>0</v>
      </c>
      <c r="L120" s="543"/>
      <c r="M120" s="78">
        <v>0</v>
      </c>
    </row>
    <row r="121" spans="2:33" ht="12.75" customHeight="1" x14ac:dyDescent="0.2">
      <c r="B121" s="558">
        <v>153</v>
      </c>
      <c r="C121" s="540">
        <v>19379132794</v>
      </c>
      <c r="D121" s="308" t="s">
        <v>256</v>
      </c>
      <c r="E121" s="336" t="s">
        <v>220</v>
      </c>
      <c r="F121" s="350"/>
      <c r="G121" s="310"/>
      <c r="H121" s="350"/>
      <c r="I121" s="131">
        <v>0</v>
      </c>
      <c r="J121" s="132"/>
      <c r="K121" s="133">
        <v>0</v>
      </c>
      <c r="L121" s="543"/>
      <c r="M121" s="78">
        <v>0</v>
      </c>
    </row>
    <row r="122" spans="2:33" ht="12.75" customHeight="1" x14ac:dyDescent="0.2">
      <c r="B122" s="558">
        <v>63</v>
      </c>
      <c r="C122" s="540">
        <v>8932910723</v>
      </c>
      <c r="D122" s="308" t="s">
        <v>263</v>
      </c>
      <c r="E122" s="336" t="s">
        <v>220</v>
      </c>
      <c r="F122" s="350"/>
      <c r="G122" s="310"/>
      <c r="H122" s="350"/>
      <c r="I122" s="131">
        <v>0</v>
      </c>
      <c r="J122" s="132"/>
      <c r="K122" s="133">
        <v>0</v>
      </c>
      <c r="L122" s="543"/>
      <c r="M122" s="78">
        <v>0</v>
      </c>
    </row>
    <row r="123" spans="2:33" ht="12.75" customHeight="1" x14ac:dyDescent="0.2">
      <c r="B123" s="558">
        <v>135</v>
      </c>
      <c r="C123" s="540">
        <v>9823424705</v>
      </c>
      <c r="D123" s="308" t="s">
        <v>265</v>
      </c>
      <c r="E123" s="336" t="s">
        <v>220</v>
      </c>
      <c r="F123" s="350"/>
      <c r="G123" s="310"/>
      <c r="H123" s="350"/>
      <c r="I123" s="131">
        <v>0</v>
      </c>
      <c r="J123" s="132"/>
      <c r="K123" s="133">
        <v>0</v>
      </c>
      <c r="L123" s="543" t="s">
        <v>305</v>
      </c>
      <c r="M123" s="78">
        <v>7</v>
      </c>
    </row>
    <row r="124" spans="2:33" ht="12.75" customHeight="1" x14ac:dyDescent="0.2">
      <c r="B124" s="565">
        <v>5</v>
      </c>
      <c r="C124" s="569">
        <v>14676408757</v>
      </c>
      <c r="D124" s="567" t="s">
        <v>267</v>
      </c>
      <c r="E124" s="350" t="s">
        <v>235</v>
      </c>
      <c r="F124" s="350"/>
      <c r="G124" s="310"/>
      <c r="H124" s="350"/>
      <c r="I124" s="131">
        <v>0</v>
      </c>
      <c r="J124" s="132"/>
      <c r="K124" s="133">
        <v>0</v>
      </c>
      <c r="L124" s="543"/>
      <c r="M124" s="78">
        <v>0</v>
      </c>
    </row>
    <row r="125" spans="2:33" ht="12.75" customHeight="1" x14ac:dyDescent="0.2">
      <c r="B125" s="558">
        <v>147</v>
      </c>
      <c r="C125" s="540">
        <v>18605506733</v>
      </c>
      <c r="D125" s="308" t="s">
        <v>269</v>
      </c>
      <c r="E125" s="317" t="s">
        <v>220</v>
      </c>
      <c r="F125" s="350"/>
      <c r="G125" s="310"/>
      <c r="H125" s="350"/>
      <c r="I125" s="131">
        <v>0</v>
      </c>
      <c r="J125" s="160"/>
      <c r="K125" s="133">
        <v>0</v>
      </c>
      <c r="L125" s="543"/>
      <c r="M125" s="78">
        <v>0</v>
      </c>
    </row>
    <row r="126" spans="2:33" ht="12.75" customHeight="1" x14ac:dyDescent="0.2">
      <c r="B126" s="558">
        <v>99</v>
      </c>
      <c r="C126" s="540">
        <v>11968033742</v>
      </c>
      <c r="D126" s="308" t="s">
        <v>271</v>
      </c>
      <c r="E126" s="336" t="s">
        <v>220</v>
      </c>
      <c r="F126" s="350"/>
      <c r="G126" s="310"/>
      <c r="H126" s="350"/>
      <c r="I126" s="131">
        <v>0</v>
      </c>
      <c r="J126" s="160"/>
      <c r="K126" s="133">
        <v>0</v>
      </c>
      <c r="L126" s="543"/>
      <c r="M126" s="78">
        <v>0</v>
      </c>
    </row>
    <row r="127" spans="2:33" ht="12.75" customHeight="1" x14ac:dyDescent="0.2">
      <c r="B127" s="558">
        <v>54</v>
      </c>
      <c r="C127" s="540">
        <v>540533742</v>
      </c>
      <c r="D127" s="308" t="s">
        <v>273</v>
      </c>
      <c r="E127" s="336" t="s">
        <v>220</v>
      </c>
      <c r="F127" s="350"/>
      <c r="G127" s="310"/>
      <c r="H127" s="350"/>
      <c r="I127" s="131">
        <v>0</v>
      </c>
      <c r="J127" s="132"/>
      <c r="K127" s="133">
        <v>0</v>
      </c>
      <c r="L127" s="543"/>
      <c r="M127" s="78">
        <v>0</v>
      </c>
    </row>
    <row r="128" spans="2:33" ht="12.75" customHeight="1" x14ac:dyDescent="0.2">
      <c r="B128" s="558">
        <v>42</v>
      </c>
      <c r="C128" s="540">
        <v>8126990767</v>
      </c>
      <c r="D128" s="308" t="s">
        <v>274</v>
      </c>
      <c r="E128" s="336" t="s">
        <v>220</v>
      </c>
      <c r="F128" s="350"/>
      <c r="G128" s="310"/>
      <c r="H128" s="350"/>
      <c r="I128" s="131">
        <v>0</v>
      </c>
      <c r="J128" s="132"/>
      <c r="K128" s="133">
        <v>0</v>
      </c>
      <c r="L128" s="543"/>
      <c r="M128" s="78">
        <v>0</v>
      </c>
    </row>
    <row r="129" spans="2:33" ht="12.75" customHeight="1" x14ac:dyDescent="0.2">
      <c r="B129" s="558">
        <v>43</v>
      </c>
      <c r="C129" s="540">
        <v>6143838623</v>
      </c>
      <c r="D129" s="308" t="s">
        <v>275</v>
      </c>
      <c r="E129" s="336" t="s">
        <v>220</v>
      </c>
      <c r="F129" s="350"/>
      <c r="G129" s="310"/>
      <c r="H129" s="350"/>
      <c r="I129" s="131">
        <v>0</v>
      </c>
      <c r="J129" s="132"/>
      <c r="K129" s="133">
        <v>0</v>
      </c>
      <c r="L129" s="543"/>
      <c r="M129" s="78">
        <v>0</v>
      </c>
    </row>
    <row r="130" spans="2:33" ht="12.75" customHeight="1" x14ac:dyDescent="0.2">
      <c r="B130" s="558">
        <v>148</v>
      </c>
      <c r="C130" s="540">
        <v>19168959729</v>
      </c>
      <c r="D130" s="308" t="s">
        <v>277</v>
      </c>
      <c r="E130" s="336" t="s">
        <v>220</v>
      </c>
      <c r="F130" s="350"/>
      <c r="G130" s="310"/>
      <c r="H130" s="350"/>
      <c r="I130" s="131">
        <v>0</v>
      </c>
      <c r="J130" s="160"/>
      <c r="K130" s="133">
        <v>0</v>
      </c>
      <c r="L130" s="543"/>
      <c r="M130" s="78">
        <v>0</v>
      </c>
    </row>
    <row r="131" spans="2:33" ht="12.75" customHeight="1" x14ac:dyDescent="0.2">
      <c r="B131" s="558">
        <v>157</v>
      </c>
      <c r="C131" s="572">
        <v>18019744703</v>
      </c>
      <c r="D131" s="308" t="s">
        <v>278</v>
      </c>
      <c r="E131" s="336" t="s">
        <v>220</v>
      </c>
      <c r="F131" s="350"/>
      <c r="G131" s="310"/>
      <c r="H131" s="350"/>
      <c r="I131" s="131">
        <v>0</v>
      </c>
      <c r="J131" s="132"/>
      <c r="K131" s="133">
        <v>0</v>
      </c>
      <c r="L131" s="543"/>
      <c r="M131" s="78">
        <v>0</v>
      </c>
    </row>
    <row r="132" spans="2:33" ht="12.75" customHeight="1" x14ac:dyDescent="0.2">
      <c r="B132" s="558">
        <v>48</v>
      </c>
      <c r="C132" s="540">
        <v>9825505702</v>
      </c>
      <c r="D132" s="308" t="s">
        <v>279</v>
      </c>
      <c r="E132" s="336" t="s">
        <v>220</v>
      </c>
      <c r="F132" s="350"/>
      <c r="G132" s="310"/>
      <c r="H132" s="350"/>
      <c r="I132" s="131">
        <v>0</v>
      </c>
      <c r="J132" s="132"/>
      <c r="K132" s="133">
        <v>0</v>
      </c>
      <c r="L132" s="543"/>
      <c r="M132" s="78">
        <v>0</v>
      </c>
    </row>
    <row r="133" spans="2:33" ht="12.75" customHeight="1" x14ac:dyDescent="0.2">
      <c r="B133" s="565">
        <v>1</v>
      </c>
      <c r="C133" s="569">
        <v>20832236756</v>
      </c>
      <c r="D133" s="567" t="s">
        <v>280</v>
      </c>
      <c r="E133" s="350" t="s">
        <v>235</v>
      </c>
      <c r="F133" s="350"/>
      <c r="G133" s="310"/>
      <c r="H133" s="350"/>
      <c r="I133" s="131">
        <v>0</v>
      </c>
      <c r="J133" s="132"/>
      <c r="K133" s="133">
        <v>0</v>
      </c>
      <c r="L133" s="543"/>
      <c r="M133" s="78">
        <v>0</v>
      </c>
    </row>
    <row r="134" spans="2:33" ht="12.75" customHeight="1" x14ac:dyDescent="0.2">
      <c r="B134" s="580">
        <v>159</v>
      </c>
      <c r="C134" s="572">
        <v>11347893784</v>
      </c>
      <c r="D134" s="581" t="s">
        <v>284</v>
      </c>
      <c r="E134" s="317" t="s">
        <v>220</v>
      </c>
      <c r="F134" s="582"/>
      <c r="G134" s="310"/>
      <c r="H134" s="350"/>
      <c r="I134" s="131">
        <v>0</v>
      </c>
      <c r="J134" s="160"/>
      <c r="K134" s="133">
        <v>0</v>
      </c>
      <c r="L134" s="543"/>
      <c r="M134" s="78">
        <v>0</v>
      </c>
    </row>
    <row r="135" spans="2:33" ht="12.75" customHeight="1" x14ac:dyDescent="0.2">
      <c r="B135" s="558">
        <v>144</v>
      </c>
      <c r="C135" s="540">
        <v>9630506726</v>
      </c>
      <c r="D135" s="308" t="s">
        <v>286</v>
      </c>
      <c r="E135" s="336" t="s">
        <v>220</v>
      </c>
      <c r="F135" s="350"/>
      <c r="G135" s="310"/>
      <c r="H135" s="350"/>
      <c r="I135" s="131">
        <v>0</v>
      </c>
      <c r="J135" s="160"/>
      <c r="K135" s="133">
        <v>0</v>
      </c>
      <c r="L135" s="543"/>
      <c r="M135" s="78">
        <v>0</v>
      </c>
    </row>
    <row r="136" spans="2:33" ht="12.75" customHeight="1" x14ac:dyDescent="0.2">
      <c r="B136" s="558">
        <v>126</v>
      </c>
      <c r="C136" s="540">
        <v>11765503736</v>
      </c>
      <c r="D136" s="308" t="s">
        <v>288</v>
      </c>
      <c r="E136" s="336" t="s">
        <v>220</v>
      </c>
      <c r="F136" s="350"/>
      <c r="G136" s="310"/>
      <c r="H136" s="350"/>
      <c r="I136" s="131">
        <v>0</v>
      </c>
      <c r="J136" s="132"/>
      <c r="K136" s="133">
        <v>0</v>
      </c>
      <c r="L136" s="543"/>
      <c r="M136" s="78">
        <v>0</v>
      </c>
    </row>
    <row r="137" spans="2:33" ht="12.75" customHeight="1" x14ac:dyDescent="0.2">
      <c r="B137" s="558">
        <v>52</v>
      </c>
      <c r="C137" s="540">
        <v>9922359790</v>
      </c>
      <c r="D137" s="308" t="s">
        <v>289</v>
      </c>
      <c r="E137" s="336" t="s">
        <v>220</v>
      </c>
      <c r="F137" s="350"/>
      <c r="G137" s="310"/>
      <c r="H137" s="350"/>
      <c r="I137" s="131">
        <v>0</v>
      </c>
      <c r="J137" s="132"/>
      <c r="K137" s="133">
        <v>0</v>
      </c>
      <c r="L137" s="543"/>
      <c r="M137" s="78">
        <v>0</v>
      </c>
    </row>
    <row r="138" spans="2:33" ht="12.75" customHeight="1" x14ac:dyDescent="0.2">
      <c r="B138" s="354"/>
      <c r="C138" s="355"/>
      <c r="D138" s="356">
        <f>COUNTA(D111:D137)</f>
        <v>27</v>
      </c>
      <c r="E138" s="354"/>
      <c r="F138" s="356">
        <f>COUNTA(F111:F137)</f>
        <v>0</v>
      </c>
      <c r="G138" s="356">
        <f>COUNTA(G111:G137)</f>
        <v>0</v>
      </c>
      <c r="H138" s="356">
        <f>COUNTA(H111:H137)</f>
        <v>1</v>
      </c>
      <c r="I138" s="356">
        <f>SUM(I111:I137)</f>
        <v>2</v>
      </c>
      <c r="J138" s="356">
        <f>COUNTA(J111:J137)</f>
        <v>0</v>
      </c>
      <c r="K138" s="356">
        <f>SUM(K111:K137)</f>
        <v>0</v>
      </c>
      <c r="L138" s="356">
        <f>COUNTA(L111:L137)</f>
        <v>2</v>
      </c>
      <c r="M138" s="356">
        <f>SUM(M111:M137)</f>
        <v>18</v>
      </c>
      <c r="N138" s="354"/>
      <c r="O138" s="354"/>
      <c r="P138" s="354"/>
      <c r="Q138" s="354"/>
      <c r="R138" s="354"/>
      <c r="S138" s="354"/>
      <c r="T138" s="354"/>
      <c r="U138" s="354"/>
      <c r="V138" s="354"/>
      <c r="W138" s="354"/>
      <c r="X138" s="354"/>
      <c r="Y138" s="354"/>
      <c r="Z138" s="354"/>
      <c r="AA138" s="354"/>
      <c r="AB138" s="354"/>
      <c r="AC138" s="354"/>
      <c r="AD138" s="354"/>
      <c r="AE138" s="354"/>
      <c r="AF138" s="354"/>
      <c r="AG138" s="354"/>
    </row>
    <row r="140" spans="2:33" ht="12.75" customHeight="1" x14ac:dyDescent="0.2">
      <c r="B140" s="297" t="s">
        <v>41</v>
      </c>
      <c r="C140" s="297" t="s">
        <v>218</v>
      </c>
      <c r="D140" s="297" t="s">
        <v>42</v>
      </c>
      <c r="E140" s="297" t="s">
        <v>43</v>
      </c>
      <c r="F140" s="297" t="s">
        <v>44</v>
      </c>
      <c r="G140" s="297" t="s">
        <v>45</v>
      </c>
      <c r="H140" s="297" t="s">
        <v>46</v>
      </c>
      <c r="I140" s="297" t="s">
        <v>49</v>
      </c>
      <c r="J140" s="297" t="s">
        <v>39</v>
      </c>
      <c r="K140" s="297" t="s">
        <v>49</v>
      </c>
      <c r="L140" s="297" t="s">
        <v>40</v>
      </c>
      <c r="M140" s="297" t="s">
        <v>49</v>
      </c>
      <c r="O140" s="298" t="s">
        <v>125</v>
      </c>
      <c r="P140" s="358">
        <f>S110</f>
        <v>0</v>
      </c>
      <c r="R140" s="298" t="s">
        <v>44</v>
      </c>
      <c r="S140" s="300">
        <f>F168</f>
        <v>0</v>
      </c>
      <c r="U140" s="298" t="s">
        <v>39</v>
      </c>
      <c r="V140" s="301">
        <f>K168</f>
        <v>0</v>
      </c>
      <c r="X140" s="302"/>
      <c r="Y140" s="303"/>
      <c r="Z140" s="789" t="s">
        <v>149</v>
      </c>
      <c r="AA140" s="789"/>
      <c r="AB140" s="789"/>
      <c r="AC140" s="303"/>
      <c r="AD140" s="304"/>
      <c r="AF140" s="305" t="s">
        <v>127</v>
      </c>
      <c r="AG140" s="306">
        <f>(V146-V141-V140-S143)</f>
        <v>0</v>
      </c>
    </row>
    <row r="141" spans="2:33" ht="12.75" customHeight="1" x14ac:dyDescent="0.2">
      <c r="B141" s="558">
        <v>115</v>
      </c>
      <c r="C141" s="540">
        <v>17622871702</v>
      </c>
      <c r="D141" s="308" t="s">
        <v>223</v>
      </c>
      <c r="E141" s="317" t="s">
        <v>220</v>
      </c>
      <c r="F141" s="342"/>
      <c r="G141" s="310"/>
      <c r="H141" s="576"/>
      <c r="I141" s="131">
        <v>0</v>
      </c>
      <c r="J141" s="160"/>
      <c r="K141" s="133">
        <v>0</v>
      </c>
      <c r="L141" s="543"/>
      <c r="M141" s="78">
        <v>0</v>
      </c>
      <c r="R141" s="298" t="s">
        <v>45</v>
      </c>
      <c r="S141" s="301">
        <f>G168</f>
        <v>0</v>
      </c>
      <c r="U141" s="298" t="s">
        <v>40</v>
      </c>
      <c r="V141" s="301">
        <f>M168</f>
        <v>0</v>
      </c>
      <c r="X141" s="312" t="s">
        <v>128</v>
      </c>
      <c r="Y141" s="313" t="s">
        <v>129</v>
      </c>
      <c r="Z141" s="313" t="s">
        <v>130</v>
      </c>
      <c r="AA141" s="313" t="s">
        <v>131</v>
      </c>
      <c r="AB141" s="313" t="s">
        <v>132</v>
      </c>
      <c r="AC141" s="313" t="s">
        <v>133</v>
      </c>
      <c r="AD141" s="314" t="s">
        <v>134</v>
      </c>
      <c r="AF141" s="305" t="s">
        <v>135</v>
      </c>
      <c r="AG141" s="315">
        <f>V146-AG140</f>
        <v>0</v>
      </c>
    </row>
    <row r="142" spans="2:33" ht="12.75" customHeight="1" x14ac:dyDescent="0.2">
      <c r="B142" s="558">
        <v>160</v>
      </c>
      <c r="C142" s="540">
        <v>14212723778</v>
      </c>
      <c r="D142" s="327" t="s">
        <v>225</v>
      </c>
      <c r="E142" s="317" t="s">
        <v>220</v>
      </c>
      <c r="F142" s="342"/>
      <c r="G142" s="310"/>
      <c r="H142" s="576"/>
      <c r="I142" s="131">
        <v>0</v>
      </c>
      <c r="J142" s="160"/>
      <c r="K142" s="133">
        <v>0</v>
      </c>
      <c r="L142" s="543"/>
      <c r="M142" s="78">
        <v>0</v>
      </c>
      <c r="R142" s="319" t="s">
        <v>56</v>
      </c>
      <c r="S142" s="301">
        <f>P140+S140-S141</f>
        <v>0</v>
      </c>
      <c r="U142" s="298" t="s">
        <v>59</v>
      </c>
      <c r="V142" s="301">
        <f>L168</f>
        <v>0</v>
      </c>
      <c r="X142" s="320"/>
      <c r="Y142" s="321"/>
      <c r="Z142" s="321"/>
      <c r="AA142" s="321"/>
      <c r="AB142" s="322"/>
      <c r="AC142" s="378">
        <v>46143</v>
      </c>
      <c r="AD142" s="379">
        <v>46144</v>
      </c>
      <c r="AF142" s="305" t="s">
        <v>136</v>
      </c>
      <c r="AG142" s="545">
        <f>(S142*8.8)*S145</f>
        <v>0</v>
      </c>
    </row>
    <row r="143" spans="2:33" ht="12.75" customHeight="1" x14ac:dyDescent="0.2">
      <c r="B143" s="558">
        <v>130</v>
      </c>
      <c r="C143" s="540">
        <v>16044643727</v>
      </c>
      <c r="D143" s="308" t="s">
        <v>227</v>
      </c>
      <c r="E143" s="336" t="s">
        <v>220</v>
      </c>
      <c r="F143" s="342"/>
      <c r="G143" s="310"/>
      <c r="H143" s="547"/>
      <c r="I143" s="131">
        <v>0</v>
      </c>
      <c r="J143" s="160"/>
      <c r="K143" s="133">
        <v>0</v>
      </c>
      <c r="L143" s="543"/>
      <c r="M143" s="78">
        <v>0</v>
      </c>
      <c r="R143" s="298" t="s">
        <v>137</v>
      </c>
      <c r="S143" s="329">
        <f>I168</f>
        <v>0</v>
      </c>
      <c r="U143" s="330"/>
      <c r="V143" s="331"/>
      <c r="X143" s="380">
        <v>46145</v>
      </c>
      <c r="Y143" s="381">
        <v>46146</v>
      </c>
      <c r="Z143" s="381">
        <v>46147</v>
      </c>
      <c r="AA143" s="381">
        <v>46148</v>
      </c>
      <c r="AB143" s="381">
        <v>46149</v>
      </c>
      <c r="AC143" s="381">
        <v>46150</v>
      </c>
      <c r="AD143" s="382">
        <v>46151</v>
      </c>
      <c r="AF143" s="305" t="s">
        <v>138</v>
      </c>
      <c r="AG143" s="545">
        <f>AG141*8.8</f>
        <v>0</v>
      </c>
    </row>
    <row r="144" spans="2:33" ht="12.75" customHeight="1" x14ac:dyDescent="0.2">
      <c r="B144" s="565">
        <v>4</v>
      </c>
      <c r="C144" s="566">
        <v>12576147704</v>
      </c>
      <c r="D144" s="567" t="s">
        <v>234</v>
      </c>
      <c r="E144" s="350" t="s">
        <v>235</v>
      </c>
      <c r="F144" s="350"/>
      <c r="G144" s="310"/>
      <c r="H144" s="350"/>
      <c r="I144" s="131">
        <v>0</v>
      </c>
      <c r="J144" s="132"/>
      <c r="K144" s="133">
        <v>0</v>
      </c>
      <c r="L144" s="543"/>
      <c r="M144" s="78">
        <v>0</v>
      </c>
      <c r="X144" s="383">
        <v>46152</v>
      </c>
      <c r="Y144" s="384">
        <v>46153</v>
      </c>
      <c r="Z144" s="384">
        <v>46154</v>
      </c>
      <c r="AA144" s="384">
        <v>46155</v>
      </c>
      <c r="AB144" s="384">
        <v>46156</v>
      </c>
      <c r="AC144" s="384">
        <v>46157</v>
      </c>
      <c r="AD144" s="385">
        <v>46158</v>
      </c>
      <c r="AF144" s="305" t="s">
        <v>140</v>
      </c>
      <c r="AG144" s="545" t="e">
        <f>(AG142-AG143)/(8.8*S145)</f>
        <v>#DIV/0!</v>
      </c>
    </row>
    <row r="145" spans="2:33" ht="12.75" customHeight="1" x14ac:dyDescent="0.2">
      <c r="B145" s="558">
        <v>35</v>
      </c>
      <c r="C145" s="568">
        <v>9621821762</v>
      </c>
      <c r="D145" s="308" t="s">
        <v>237</v>
      </c>
      <c r="E145" s="317" t="s">
        <v>220</v>
      </c>
      <c r="F145" s="350"/>
      <c r="G145" s="310"/>
      <c r="H145" s="350"/>
      <c r="I145" s="131">
        <v>0</v>
      </c>
      <c r="J145" s="160"/>
      <c r="K145" s="133">
        <v>0</v>
      </c>
      <c r="L145" s="543"/>
      <c r="M145" s="78">
        <v>0</v>
      </c>
      <c r="R145" s="343" t="s">
        <v>22</v>
      </c>
      <c r="S145" s="344"/>
      <c r="U145" s="549" t="s">
        <v>141</v>
      </c>
      <c r="V145" s="550">
        <f>(P140+S142)/2</f>
        <v>0</v>
      </c>
      <c r="X145" s="383">
        <v>46159</v>
      </c>
      <c r="Y145" s="384">
        <v>46160</v>
      </c>
      <c r="Z145" s="384">
        <v>46161</v>
      </c>
      <c r="AA145" s="384">
        <v>46162</v>
      </c>
      <c r="AB145" s="384">
        <v>46163</v>
      </c>
      <c r="AC145" s="384">
        <v>46164</v>
      </c>
      <c r="AD145" s="385">
        <v>46165</v>
      </c>
      <c r="AG145" s="296"/>
    </row>
    <row r="146" spans="2:33" ht="12.75" customHeight="1" x14ac:dyDescent="0.2">
      <c r="B146" s="565">
        <v>3</v>
      </c>
      <c r="C146" s="569">
        <v>86749072704</v>
      </c>
      <c r="D146" s="567" t="s">
        <v>239</v>
      </c>
      <c r="E146" s="350" t="s">
        <v>235</v>
      </c>
      <c r="F146" s="350"/>
      <c r="G146" s="310"/>
      <c r="H146" s="350"/>
      <c r="I146" s="131">
        <v>0</v>
      </c>
      <c r="J146" s="160"/>
      <c r="K146" s="133">
        <v>0</v>
      </c>
      <c r="L146" s="543"/>
      <c r="M146" s="78">
        <v>0</v>
      </c>
      <c r="R146" s="343" t="s">
        <v>142</v>
      </c>
      <c r="S146" s="349"/>
      <c r="U146" s="343" t="s">
        <v>143</v>
      </c>
      <c r="V146" s="350">
        <f>S145*V145</f>
        <v>0</v>
      </c>
      <c r="X146" s="386">
        <v>46166</v>
      </c>
      <c r="Y146" s="387">
        <v>46167</v>
      </c>
      <c r="Z146" s="387">
        <v>46168</v>
      </c>
      <c r="AA146" s="387">
        <v>46169</v>
      </c>
      <c r="AB146" s="387">
        <v>46170</v>
      </c>
      <c r="AC146" s="387">
        <v>46171</v>
      </c>
      <c r="AD146" s="388">
        <v>46172</v>
      </c>
      <c r="AG146" s="296"/>
    </row>
    <row r="147" spans="2:33" ht="12.75" customHeight="1" x14ac:dyDescent="0.2">
      <c r="B147" s="558">
        <v>36</v>
      </c>
      <c r="C147" s="540">
        <v>7452452771</v>
      </c>
      <c r="D147" s="308" t="s">
        <v>241</v>
      </c>
      <c r="E147" s="336" t="s">
        <v>220</v>
      </c>
      <c r="F147" s="350"/>
      <c r="G147" s="310"/>
      <c r="H147" s="350"/>
      <c r="I147" s="131">
        <v>0</v>
      </c>
      <c r="J147" s="132"/>
      <c r="K147" s="133">
        <v>0</v>
      </c>
      <c r="L147" s="543"/>
      <c r="M147" s="78">
        <v>0</v>
      </c>
      <c r="X147" s="389">
        <v>46173</v>
      </c>
      <c r="Y147" s="365"/>
      <c r="Z147" s="366"/>
      <c r="AA147" s="366"/>
      <c r="AB147" s="366"/>
      <c r="AC147" s="366"/>
      <c r="AD147" s="367"/>
    </row>
    <row r="148" spans="2:33" ht="12.75" customHeight="1" x14ac:dyDescent="0.2">
      <c r="B148" s="565">
        <v>6</v>
      </c>
      <c r="C148" s="569">
        <v>7728013637</v>
      </c>
      <c r="D148" s="567" t="s">
        <v>245</v>
      </c>
      <c r="E148" s="350" t="s">
        <v>235</v>
      </c>
      <c r="F148" s="350"/>
      <c r="G148" s="310"/>
      <c r="H148" s="350"/>
      <c r="I148" s="131">
        <v>0</v>
      </c>
      <c r="J148" s="132"/>
      <c r="K148" s="133">
        <v>0</v>
      </c>
      <c r="L148" s="543"/>
      <c r="M148" s="78">
        <v>0</v>
      </c>
    </row>
    <row r="149" spans="2:33" ht="12.75" customHeight="1" x14ac:dyDescent="0.2">
      <c r="B149" s="558">
        <v>109</v>
      </c>
      <c r="C149" s="540">
        <v>17911909792</v>
      </c>
      <c r="D149" s="308" t="s">
        <v>247</v>
      </c>
      <c r="E149" s="317" t="s">
        <v>220</v>
      </c>
      <c r="F149" s="350"/>
      <c r="G149" s="310"/>
      <c r="H149" s="350"/>
      <c r="I149" s="131">
        <v>0</v>
      </c>
      <c r="J149" s="160"/>
      <c r="K149" s="133">
        <v>0</v>
      </c>
      <c r="L149" s="543"/>
      <c r="M149" s="78">
        <v>0</v>
      </c>
    </row>
    <row r="150" spans="2:33" ht="12.75" customHeight="1" x14ac:dyDescent="0.2">
      <c r="B150" s="558">
        <v>100</v>
      </c>
      <c r="C150" s="540">
        <v>21963396790</v>
      </c>
      <c r="D150" s="308" t="s">
        <v>251</v>
      </c>
      <c r="E150" s="336" t="s">
        <v>220</v>
      </c>
      <c r="F150" s="350"/>
      <c r="G150" s="310"/>
      <c r="H150" s="350"/>
      <c r="I150" s="131">
        <v>0</v>
      </c>
      <c r="J150" s="132"/>
      <c r="K150" s="133">
        <v>0</v>
      </c>
      <c r="L150" s="543"/>
      <c r="M150" s="78">
        <v>0</v>
      </c>
    </row>
    <row r="151" spans="2:33" ht="12.75" customHeight="1" x14ac:dyDescent="0.2">
      <c r="B151" s="558">
        <v>153</v>
      </c>
      <c r="C151" s="540">
        <v>19379132794</v>
      </c>
      <c r="D151" s="308" t="s">
        <v>256</v>
      </c>
      <c r="E151" s="336" t="s">
        <v>220</v>
      </c>
      <c r="F151" s="350"/>
      <c r="G151" s="310"/>
      <c r="H151" s="350"/>
      <c r="I151" s="131">
        <v>0</v>
      </c>
      <c r="J151" s="132"/>
      <c r="K151" s="133">
        <v>0</v>
      </c>
      <c r="L151" s="543"/>
      <c r="M151" s="78">
        <v>0</v>
      </c>
    </row>
    <row r="152" spans="2:33" ht="12.75" customHeight="1" x14ac:dyDescent="0.2">
      <c r="B152" s="558">
        <v>63</v>
      </c>
      <c r="C152" s="540">
        <v>8932910723</v>
      </c>
      <c r="D152" s="308" t="s">
        <v>263</v>
      </c>
      <c r="E152" s="336" t="s">
        <v>220</v>
      </c>
      <c r="F152" s="350"/>
      <c r="G152" s="310"/>
      <c r="H152" s="350"/>
      <c r="I152" s="131">
        <v>0</v>
      </c>
      <c r="J152" s="132"/>
      <c r="K152" s="133">
        <v>0</v>
      </c>
      <c r="L152" s="543"/>
      <c r="M152" s="78">
        <v>0</v>
      </c>
    </row>
    <row r="153" spans="2:33" ht="12.75" customHeight="1" x14ac:dyDescent="0.2">
      <c r="B153" s="558">
        <v>135</v>
      </c>
      <c r="C153" s="540">
        <v>9823424705</v>
      </c>
      <c r="D153" s="308" t="s">
        <v>265</v>
      </c>
      <c r="E153" s="336" t="s">
        <v>220</v>
      </c>
      <c r="F153" s="350"/>
      <c r="G153" s="310"/>
      <c r="H153" s="350"/>
      <c r="I153" s="131">
        <v>0</v>
      </c>
      <c r="J153" s="132"/>
      <c r="K153" s="133">
        <v>0</v>
      </c>
      <c r="L153" s="543"/>
      <c r="M153" s="78">
        <v>0</v>
      </c>
    </row>
    <row r="154" spans="2:33" ht="12.75" customHeight="1" x14ac:dyDescent="0.2">
      <c r="B154" s="565">
        <v>5</v>
      </c>
      <c r="C154" s="569">
        <v>14676408757</v>
      </c>
      <c r="D154" s="567" t="s">
        <v>267</v>
      </c>
      <c r="E154" s="350" t="s">
        <v>235</v>
      </c>
      <c r="F154" s="350"/>
      <c r="G154" s="310"/>
      <c r="H154" s="350"/>
      <c r="I154" s="131">
        <v>0</v>
      </c>
      <c r="J154" s="132"/>
      <c r="K154" s="133">
        <v>0</v>
      </c>
      <c r="L154" s="543"/>
      <c r="M154" s="78">
        <v>0</v>
      </c>
    </row>
    <row r="155" spans="2:33" ht="12.75" customHeight="1" x14ac:dyDescent="0.2">
      <c r="B155" s="558">
        <v>147</v>
      </c>
      <c r="C155" s="540">
        <v>18605506733</v>
      </c>
      <c r="D155" s="308" t="s">
        <v>269</v>
      </c>
      <c r="E155" s="317" t="s">
        <v>220</v>
      </c>
      <c r="F155" s="350"/>
      <c r="G155" s="310"/>
      <c r="H155" s="350"/>
      <c r="I155" s="131">
        <v>0</v>
      </c>
      <c r="J155" s="160"/>
      <c r="K155" s="133">
        <v>0</v>
      </c>
      <c r="L155" s="543"/>
      <c r="M155" s="78">
        <v>0</v>
      </c>
    </row>
    <row r="156" spans="2:33" ht="12.75" customHeight="1" x14ac:dyDescent="0.2">
      <c r="B156" s="558">
        <v>99</v>
      </c>
      <c r="C156" s="540">
        <v>11968033742</v>
      </c>
      <c r="D156" s="308" t="s">
        <v>271</v>
      </c>
      <c r="E156" s="336" t="s">
        <v>220</v>
      </c>
      <c r="F156" s="350"/>
      <c r="G156" s="310"/>
      <c r="H156" s="350"/>
      <c r="I156" s="131">
        <v>0</v>
      </c>
      <c r="J156" s="160"/>
      <c r="K156" s="133">
        <v>0</v>
      </c>
      <c r="L156" s="543"/>
      <c r="M156" s="78">
        <v>0</v>
      </c>
    </row>
    <row r="157" spans="2:33" ht="12.75" customHeight="1" x14ac:dyDescent="0.2">
      <c r="B157" s="558">
        <v>54</v>
      </c>
      <c r="C157" s="540">
        <v>540533742</v>
      </c>
      <c r="D157" s="308" t="s">
        <v>273</v>
      </c>
      <c r="E157" s="336" t="s">
        <v>220</v>
      </c>
      <c r="F157" s="350"/>
      <c r="G157" s="310"/>
      <c r="H157" s="350"/>
      <c r="I157" s="131">
        <v>0</v>
      </c>
      <c r="J157" s="132"/>
      <c r="K157" s="133">
        <v>0</v>
      </c>
      <c r="L157" s="543"/>
      <c r="M157" s="78">
        <v>0</v>
      </c>
    </row>
    <row r="158" spans="2:33" ht="12.75" customHeight="1" x14ac:dyDescent="0.2">
      <c r="B158" s="558">
        <v>42</v>
      </c>
      <c r="C158" s="540">
        <v>8126990767</v>
      </c>
      <c r="D158" s="308" t="s">
        <v>274</v>
      </c>
      <c r="E158" s="336" t="s">
        <v>220</v>
      </c>
      <c r="F158" s="350"/>
      <c r="G158" s="310"/>
      <c r="H158" s="350"/>
      <c r="I158" s="131">
        <v>0</v>
      </c>
      <c r="J158" s="132"/>
      <c r="K158" s="133">
        <v>0</v>
      </c>
      <c r="L158" s="543"/>
      <c r="M158" s="78">
        <v>0</v>
      </c>
    </row>
    <row r="159" spans="2:33" ht="12.75" customHeight="1" x14ac:dyDescent="0.2">
      <c r="B159" s="558">
        <v>43</v>
      </c>
      <c r="C159" s="540">
        <v>6143838623</v>
      </c>
      <c r="D159" s="308" t="s">
        <v>275</v>
      </c>
      <c r="E159" s="336" t="s">
        <v>220</v>
      </c>
      <c r="F159" s="350"/>
      <c r="G159" s="310"/>
      <c r="H159" s="350"/>
      <c r="I159" s="131">
        <v>0</v>
      </c>
      <c r="J159" s="132"/>
      <c r="K159" s="133">
        <v>0</v>
      </c>
      <c r="L159" s="543"/>
      <c r="M159" s="78">
        <v>0</v>
      </c>
    </row>
    <row r="160" spans="2:33" ht="12.75" customHeight="1" x14ac:dyDescent="0.2">
      <c r="B160" s="558">
        <v>148</v>
      </c>
      <c r="C160" s="540">
        <v>19168959729</v>
      </c>
      <c r="D160" s="308" t="s">
        <v>277</v>
      </c>
      <c r="E160" s="336" t="s">
        <v>220</v>
      </c>
      <c r="F160" s="350"/>
      <c r="G160" s="310"/>
      <c r="H160" s="350"/>
      <c r="I160" s="131">
        <v>0</v>
      </c>
      <c r="J160" s="160"/>
      <c r="K160" s="133">
        <v>0</v>
      </c>
      <c r="L160" s="543"/>
      <c r="M160" s="78">
        <v>0</v>
      </c>
    </row>
    <row r="161" spans="2:33" ht="12.75" customHeight="1" x14ac:dyDescent="0.2">
      <c r="B161" s="558">
        <v>157</v>
      </c>
      <c r="C161" s="572">
        <v>18019744703</v>
      </c>
      <c r="D161" s="308" t="s">
        <v>278</v>
      </c>
      <c r="E161" s="336" t="s">
        <v>220</v>
      </c>
      <c r="F161" s="350"/>
      <c r="G161" s="310"/>
      <c r="H161" s="350"/>
      <c r="I161" s="131">
        <v>0</v>
      </c>
      <c r="J161" s="132"/>
      <c r="K161" s="133">
        <v>0</v>
      </c>
      <c r="L161" s="543"/>
      <c r="M161" s="78">
        <v>0</v>
      </c>
    </row>
    <row r="162" spans="2:33" ht="12.75" customHeight="1" x14ac:dyDescent="0.2">
      <c r="B162" s="558">
        <v>48</v>
      </c>
      <c r="C162" s="540">
        <v>9825505702</v>
      </c>
      <c r="D162" s="308" t="s">
        <v>279</v>
      </c>
      <c r="E162" s="336" t="s">
        <v>220</v>
      </c>
      <c r="F162" s="350"/>
      <c r="G162" s="310"/>
      <c r="H162" s="350"/>
      <c r="I162" s="131">
        <v>0</v>
      </c>
      <c r="J162" s="132"/>
      <c r="K162" s="133">
        <v>0</v>
      </c>
      <c r="L162" s="543"/>
      <c r="M162" s="78">
        <v>0</v>
      </c>
    </row>
    <row r="163" spans="2:33" ht="12.75" customHeight="1" x14ac:dyDescent="0.2">
      <c r="B163" s="565">
        <v>1</v>
      </c>
      <c r="C163" s="569">
        <v>20832236756</v>
      </c>
      <c r="D163" s="567" t="s">
        <v>280</v>
      </c>
      <c r="E163" s="350" t="s">
        <v>235</v>
      </c>
      <c r="F163" s="350"/>
      <c r="G163" s="310"/>
      <c r="H163" s="350"/>
      <c r="I163" s="131">
        <v>0</v>
      </c>
      <c r="J163" s="132"/>
      <c r="K163" s="133">
        <v>0</v>
      </c>
      <c r="L163" s="543"/>
      <c r="M163" s="78">
        <v>0</v>
      </c>
    </row>
    <row r="164" spans="2:33" ht="12.75" customHeight="1" x14ac:dyDescent="0.2">
      <c r="B164" s="580">
        <v>159</v>
      </c>
      <c r="C164" s="572">
        <v>11347893784</v>
      </c>
      <c r="D164" s="581" t="s">
        <v>284</v>
      </c>
      <c r="E164" s="317" t="s">
        <v>220</v>
      </c>
      <c r="F164" s="582"/>
      <c r="G164" s="310"/>
      <c r="H164" s="350"/>
      <c r="I164" s="131">
        <v>0</v>
      </c>
      <c r="J164" s="160"/>
      <c r="K164" s="133">
        <v>0</v>
      </c>
      <c r="L164" s="543"/>
      <c r="M164" s="78">
        <v>0</v>
      </c>
    </row>
    <row r="165" spans="2:33" ht="12.75" customHeight="1" x14ac:dyDescent="0.2">
      <c r="B165" s="558">
        <v>144</v>
      </c>
      <c r="C165" s="540">
        <v>9630506726</v>
      </c>
      <c r="D165" s="308" t="s">
        <v>286</v>
      </c>
      <c r="E165" s="336" t="s">
        <v>220</v>
      </c>
      <c r="F165" s="350"/>
      <c r="G165" s="310"/>
      <c r="H165" s="350"/>
      <c r="I165" s="131">
        <v>0</v>
      </c>
      <c r="J165" s="160"/>
      <c r="K165" s="133">
        <v>0</v>
      </c>
      <c r="L165" s="543"/>
      <c r="M165" s="78">
        <v>0</v>
      </c>
    </row>
    <row r="166" spans="2:33" ht="12.75" customHeight="1" x14ac:dyDescent="0.2">
      <c r="B166" s="558">
        <v>126</v>
      </c>
      <c r="C166" s="540">
        <v>11765503736</v>
      </c>
      <c r="D166" s="308" t="s">
        <v>288</v>
      </c>
      <c r="E166" s="336" t="s">
        <v>220</v>
      </c>
      <c r="F166" s="350"/>
      <c r="G166" s="310"/>
      <c r="H166" s="350"/>
      <c r="I166" s="131">
        <v>0</v>
      </c>
      <c r="J166" s="132"/>
      <c r="K166" s="133">
        <v>0</v>
      </c>
      <c r="L166" s="543"/>
      <c r="M166" s="78">
        <v>0</v>
      </c>
    </row>
    <row r="167" spans="2:33" ht="12.75" customHeight="1" x14ac:dyDescent="0.2">
      <c r="B167" s="558">
        <v>52</v>
      </c>
      <c r="C167" s="540">
        <v>9922359790</v>
      </c>
      <c r="D167" s="308" t="s">
        <v>289</v>
      </c>
      <c r="E167" s="336" t="s">
        <v>220</v>
      </c>
      <c r="F167" s="350"/>
      <c r="G167" s="310"/>
      <c r="H167" s="350"/>
      <c r="I167" s="131">
        <v>0</v>
      </c>
      <c r="J167" s="132"/>
      <c r="K167" s="133">
        <v>0</v>
      </c>
      <c r="L167" s="543"/>
      <c r="M167" s="78">
        <v>0</v>
      </c>
    </row>
    <row r="168" spans="2:33" ht="12.75" customHeight="1" x14ac:dyDescent="0.2">
      <c r="B168" s="354"/>
      <c r="C168" s="355"/>
      <c r="D168" s="356">
        <f>COUNTA(D141:D167)</f>
        <v>27</v>
      </c>
      <c r="E168" s="354"/>
      <c r="F168" s="356">
        <f>COUNTA(F141:F167)</f>
        <v>0</v>
      </c>
      <c r="G168" s="356">
        <f>COUNTA(G141:G167)</f>
        <v>0</v>
      </c>
      <c r="H168" s="356">
        <f>COUNTA(H141:H167)</f>
        <v>0</v>
      </c>
      <c r="I168" s="356">
        <f>SUM(I141:I167)</f>
        <v>0</v>
      </c>
      <c r="J168" s="356">
        <f>COUNTA(J141:J167)</f>
        <v>0</v>
      </c>
      <c r="K168" s="356">
        <f>SUM(K141:K167)</f>
        <v>0</v>
      </c>
      <c r="L168" s="356">
        <f>COUNTA(L141:L167)</f>
        <v>0</v>
      </c>
      <c r="M168" s="356">
        <f>SUM(M141:M167)</f>
        <v>0</v>
      </c>
      <c r="N168" s="354"/>
      <c r="O168" s="354"/>
      <c r="P168" s="354"/>
      <c r="Q168" s="354"/>
      <c r="R168" s="354"/>
      <c r="S168" s="354"/>
      <c r="T168" s="354"/>
      <c r="U168" s="354"/>
      <c r="V168" s="354"/>
      <c r="W168" s="354"/>
      <c r="X168" s="354"/>
      <c r="Y168" s="354"/>
      <c r="Z168" s="354"/>
      <c r="AA168" s="354"/>
      <c r="AB168" s="354"/>
      <c r="AC168" s="354"/>
      <c r="AD168" s="354"/>
      <c r="AE168" s="354"/>
      <c r="AF168" s="354"/>
      <c r="AG168" s="354"/>
    </row>
    <row r="170" spans="2:33" ht="12.75" customHeight="1" x14ac:dyDescent="0.2">
      <c r="B170" s="297" t="s">
        <v>41</v>
      </c>
      <c r="C170" s="297" t="s">
        <v>218</v>
      </c>
      <c r="D170" s="297" t="s">
        <v>42</v>
      </c>
      <c r="E170" s="297" t="s">
        <v>43</v>
      </c>
      <c r="F170" s="297" t="s">
        <v>44</v>
      </c>
      <c r="G170" s="297" t="s">
        <v>45</v>
      </c>
      <c r="H170" s="297" t="s">
        <v>46</v>
      </c>
      <c r="I170" s="297" t="s">
        <v>49</v>
      </c>
      <c r="J170" s="297" t="s">
        <v>39</v>
      </c>
      <c r="K170" s="297" t="s">
        <v>49</v>
      </c>
      <c r="L170" s="297" t="s">
        <v>40</v>
      </c>
      <c r="M170" s="297" t="s">
        <v>49</v>
      </c>
      <c r="O170" s="298" t="s">
        <v>125</v>
      </c>
      <c r="P170" s="358">
        <f>S140</f>
        <v>0</v>
      </c>
      <c r="R170" s="298" t="s">
        <v>44</v>
      </c>
      <c r="S170" s="300">
        <f>F198</f>
        <v>0</v>
      </c>
      <c r="U170" s="298" t="s">
        <v>39</v>
      </c>
      <c r="V170" s="301">
        <f>K198</f>
        <v>0</v>
      </c>
      <c r="X170" s="302"/>
      <c r="Y170" s="303"/>
      <c r="Z170" s="789" t="s">
        <v>150</v>
      </c>
      <c r="AA170" s="789"/>
      <c r="AB170" s="789"/>
      <c r="AC170" s="303"/>
      <c r="AD170" s="304"/>
      <c r="AF170" s="305" t="s">
        <v>127</v>
      </c>
      <c r="AG170" s="306">
        <f>(V176-V171-V170-S173)</f>
        <v>0</v>
      </c>
    </row>
    <row r="171" spans="2:33" ht="12.75" customHeight="1" x14ac:dyDescent="0.2">
      <c r="B171" s="558">
        <v>115</v>
      </c>
      <c r="C171" s="540">
        <v>17622871702</v>
      </c>
      <c r="D171" s="308" t="s">
        <v>223</v>
      </c>
      <c r="E171" s="317" t="s">
        <v>220</v>
      </c>
      <c r="F171" s="342"/>
      <c r="G171" s="310"/>
      <c r="H171" s="576"/>
      <c r="I171" s="131">
        <v>0</v>
      </c>
      <c r="J171" s="160"/>
      <c r="K171" s="133">
        <v>0</v>
      </c>
      <c r="L171" s="543"/>
      <c r="M171" s="78">
        <v>0</v>
      </c>
      <c r="R171" s="298" t="s">
        <v>45</v>
      </c>
      <c r="S171" s="301">
        <f>G198</f>
        <v>0</v>
      </c>
      <c r="U171" s="298" t="s">
        <v>40</v>
      </c>
      <c r="V171" s="301">
        <f>M198</f>
        <v>0</v>
      </c>
      <c r="X171" s="312" t="s">
        <v>128</v>
      </c>
      <c r="Y171" s="313" t="s">
        <v>129</v>
      </c>
      <c r="Z171" s="313" t="s">
        <v>130</v>
      </c>
      <c r="AA171" s="313" t="s">
        <v>131</v>
      </c>
      <c r="AB171" s="313" t="s">
        <v>132</v>
      </c>
      <c r="AC171" s="313" t="s">
        <v>133</v>
      </c>
      <c r="AD171" s="314" t="s">
        <v>134</v>
      </c>
      <c r="AF171" s="305" t="s">
        <v>135</v>
      </c>
      <c r="AG171" s="315">
        <f>V176-AG170</f>
        <v>0</v>
      </c>
    </row>
    <row r="172" spans="2:33" ht="12.75" customHeight="1" x14ac:dyDescent="0.2">
      <c r="B172" s="558">
        <v>160</v>
      </c>
      <c r="C172" s="540">
        <v>14212723778</v>
      </c>
      <c r="D172" s="327" t="s">
        <v>225</v>
      </c>
      <c r="E172" s="317" t="s">
        <v>220</v>
      </c>
      <c r="F172" s="342"/>
      <c r="G172" s="310"/>
      <c r="H172" s="576"/>
      <c r="I172" s="131">
        <v>0</v>
      </c>
      <c r="J172" s="160"/>
      <c r="K172" s="133">
        <v>0</v>
      </c>
      <c r="L172" s="543"/>
      <c r="M172" s="78">
        <v>0</v>
      </c>
      <c r="R172" s="319" t="s">
        <v>56</v>
      </c>
      <c r="S172" s="301">
        <f>P170+S170-S171</f>
        <v>0</v>
      </c>
      <c r="U172" s="298" t="s">
        <v>59</v>
      </c>
      <c r="V172" s="301">
        <f>L198</f>
        <v>0</v>
      </c>
      <c r="X172" s="390"/>
      <c r="Y172" s="391">
        <v>46174</v>
      </c>
      <c r="Z172" s="392">
        <v>46175</v>
      </c>
      <c r="AA172" s="392">
        <v>46176</v>
      </c>
      <c r="AB172" s="393">
        <v>46177</v>
      </c>
      <c r="AC172" s="392">
        <v>46178</v>
      </c>
      <c r="AD172" s="379">
        <v>46179</v>
      </c>
      <c r="AF172" s="305" t="s">
        <v>136</v>
      </c>
      <c r="AG172" s="545">
        <f>(S172*8.8)*S175</f>
        <v>0</v>
      </c>
    </row>
    <row r="173" spans="2:33" ht="12.75" customHeight="1" x14ac:dyDescent="0.2">
      <c r="B173" s="558">
        <v>130</v>
      </c>
      <c r="C173" s="540">
        <v>16044643727</v>
      </c>
      <c r="D173" s="308" t="s">
        <v>227</v>
      </c>
      <c r="E173" s="336" t="s">
        <v>220</v>
      </c>
      <c r="F173" s="342"/>
      <c r="G173" s="310"/>
      <c r="H173" s="547"/>
      <c r="I173" s="131">
        <v>0</v>
      </c>
      <c r="J173" s="160"/>
      <c r="K173" s="133">
        <v>0</v>
      </c>
      <c r="L173" s="543"/>
      <c r="M173" s="78">
        <v>0</v>
      </c>
      <c r="R173" s="298" t="s">
        <v>137</v>
      </c>
      <c r="S173" s="329">
        <f>I198</f>
        <v>0</v>
      </c>
      <c r="U173" s="330"/>
      <c r="V173" s="331"/>
      <c r="X173" s="380">
        <v>46180</v>
      </c>
      <c r="Y173" s="381">
        <v>46181</v>
      </c>
      <c r="Z173" s="381">
        <v>46182</v>
      </c>
      <c r="AA173" s="381">
        <v>46183</v>
      </c>
      <c r="AB173" s="381">
        <v>46184</v>
      </c>
      <c r="AC173" s="381">
        <v>46185</v>
      </c>
      <c r="AD173" s="382">
        <v>46186</v>
      </c>
      <c r="AF173" s="305" t="s">
        <v>138</v>
      </c>
      <c r="AG173" s="545">
        <f>AG171*8.8</f>
        <v>0</v>
      </c>
    </row>
    <row r="174" spans="2:33" ht="12.75" customHeight="1" x14ac:dyDescent="0.2">
      <c r="B174" s="565">
        <v>4</v>
      </c>
      <c r="C174" s="566">
        <v>12576147704</v>
      </c>
      <c r="D174" s="567" t="s">
        <v>234</v>
      </c>
      <c r="E174" s="350" t="s">
        <v>235</v>
      </c>
      <c r="F174" s="350"/>
      <c r="G174" s="310"/>
      <c r="H174" s="350"/>
      <c r="I174" s="131">
        <v>0</v>
      </c>
      <c r="J174" s="132"/>
      <c r="K174" s="133">
        <v>0</v>
      </c>
      <c r="L174" s="543"/>
      <c r="M174" s="78">
        <v>0</v>
      </c>
      <c r="X174" s="383">
        <v>46187</v>
      </c>
      <c r="Y174" s="384">
        <v>46188</v>
      </c>
      <c r="Z174" s="384">
        <v>46189</v>
      </c>
      <c r="AA174" s="384">
        <v>46190</v>
      </c>
      <c r="AB174" s="384">
        <v>46191</v>
      </c>
      <c r="AC174" s="384">
        <v>46192</v>
      </c>
      <c r="AD174" s="385">
        <v>46193</v>
      </c>
      <c r="AF174" s="305" t="s">
        <v>140</v>
      </c>
      <c r="AG174" s="545" t="e">
        <f>(AG172-AG173)/(8.8*S175)</f>
        <v>#DIV/0!</v>
      </c>
    </row>
    <row r="175" spans="2:33" ht="12.75" customHeight="1" x14ac:dyDescent="0.2">
      <c r="B175" s="558">
        <v>35</v>
      </c>
      <c r="C175" s="568">
        <v>9621821762</v>
      </c>
      <c r="D175" s="308" t="s">
        <v>237</v>
      </c>
      <c r="E175" s="317" t="s">
        <v>220</v>
      </c>
      <c r="F175" s="350"/>
      <c r="G175" s="310"/>
      <c r="H175" s="350"/>
      <c r="I175" s="131">
        <v>0</v>
      </c>
      <c r="J175" s="160"/>
      <c r="K175" s="133">
        <v>0</v>
      </c>
      <c r="L175" s="543"/>
      <c r="M175" s="78">
        <v>0</v>
      </c>
      <c r="R175" s="343" t="s">
        <v>22</v>
      </c>
      <c r="S175" s="344"/>
      <c r="U175" s="549" t="s">
        <v>141</v>
      </c>
      <c r="V175" s="550">
        <f>(P170+S172)/2</f>
        <v>0</v>
      </c>
      <c r="X175" s="386">
        <v>46194</v>
      </c>
      <c r="Y175" s="387">
        <v>46195</v>
      </c>
      <c r="Z175" s="387">
        <v>46196</v>
      </c>
      <c r="AA175" s="387">
        <v>46197</v>
      </c>
      <c r="AB175" s="387">
        <v>46198</v>
      </c>
      <c r="AC175" s="387">
        <v>46199</v>
      </c>
      <c r="AD175" s="388">
        <v>46200</v>
      </c>
      <c r="AG175" s="296"/>
    </row>
    <row r="176" spans="2:33" ht="12.75" customHeight="1" x14ac:dyDescent="0.2">
      <c r="B176" s="565">
        <v>3</v>
      </c>
      <c r="C176" s="569">
        <v>86749072704</v>
      </c>
      <c r="D176" s="567" t="s">
        <v>239</v>
      </c>
      <c r="E176" s="350" t="s">
        <v>235</v>
      </c>
      <c r="F176" s="350"/>
      <c r="G176" s="310"/>
      <c r="H176" s="350"/>
      <c r="I176" s="131">
        <v>0</v>
      </c>
      <c r="J176" s="160"/>
      <c r="K176" s="133">
        <v>0</v>
      </c>
      <c r="L176" s="543"/>
      <c r="M176" s="78">
        <v>0</v>
      </c>
      <c r="R176" s="343" t="s">
        <v>142</v>
      </c>
      <c r="S176" s="349"/>
      <c r="U176" s="343" t="s">
        <v>143</v>
      </c>
      <c r="V176" s="350">
        <f>S175*V175</f>
        <v>0</v>
      </c>
      <c r="X176" s="394">
        <v>46201</v>
      </c>
      <c r="Y176" s="395">
        <v>46202</v>
      </c>
      <c r="Z176" s="396">
        <v>46203</v>
      </c>
      <c r="AA176" s="365"/>
      <c r="AB176" s="366"/>
      <c r="AC176" s="366"/>
      <c r="AD176" s="367"/>
      <c r="AG176" s="296"/>
    </row>
    <row r="177" spans="2:13" ht="12.75" customHeight="1" x14ac:dyDescent="0.2">
      <c r="B177" s="558">
        <v>36</v>
      </c>
      <c r="C177" s="540">
        <v>7452452771</v>
      </c>
      <c r="D177" s="308" t="s">
        <v>241</v>
      </c>
      <c r="E177" s="336" t="s">
        <v>220</v>
      </c>
      <c r="F177" s="350"/>
      <c r="G177" s="310"/>
      <c r="H177" s="350"/>
      <c r="I177" s="131">
        <v>0</v>
      </c>
      <c r="J177" s="132"/>
      <c r="K177" s="133">
        <v>0</v>
      </c>
      <c r="L177" s="543"/>
      <c r="M177" s="78">
        <v>0</v>
      </c>
    </row>
    <row r="178" spans="2:13" ht="12.75" customHeight="1" x14ac:dyDescent="0.2">
      <c r="B178" s="565">
        <v>6</v>
      </c>
      <c r="C178" s="569">
        <v>7728013637</v>
      </c>
      <c r="D178" s="567" t="s">
        <v>245</v>
      </c>
      <c r="E178" s="350" t="s">
        <v>235</v>
      </c>
      <c r="F178" s="350"/>
      <c r="G178" s="310"/>
      <c r="H178" s="350"/>
      <c r="I178" s="131">
        <v>0</v>
      </c>
      <c r="J178" s="132"/>
      <c r="K178" s="133">
        <v>0</v>
      </c>
      <c r="L178" s="543"/>
      <c r="M178" s="78">
        <v>0</v>
      </c>
    </row>
    <row r="179" spans="2:13" ht="12.75" customHeight="1" x14ac:dyDescent="0.2">
      <c r="B179" s="558">
        <v>109</v>
      </c>
      <c r="C179" s="540">
        <v>17911909792</v>
      </c>
      <c r="D179" s="308" t="s">
        <v>247</v>
      </c>
      <c r="E179" s="317" t="s">
        <v>220</v>
      </c>
      <c r="F179" s="350"/>
      <c r="G179" s="310"/>
      <c r="H179" s="350"/>
      <c r="I179" s="131">
        <v>0</v>
      </c>
      <c r="J179" s="160"/>
      <c r="K179" s="133">
        <v>0</v>
      </c>
      <c r="L179" s="543"/>
      <c r="M179" s="78">
        <v>0</v>
      </c>
    </row>
    <row r="180" spans="2:13" ht="12.75" customHeight="1" x14ac:dyDescent="0.2">
      <c r="B180" s="558">
        <v>100</v>
      </c>
      <c r="C180" s="540">
        <v>21963396790</v>
      </c>
      <c r="D180" s="308" t="s">
        <v>251</v>
      </c>
      <c r="E180" s="336" t="s">
        <v>220</v>
      </c>
      <c r="F180" s="350"/>
      <c r="G180" s="310"/>
      <c r="H180" s="350"/>
      <c r="I180" s="131">
        <v>0</v>
      </c>
      <c r="J180" s="132"/>
      <c r="K180" s="133">
        <v>0</v>
      </c>
      <c r="L180" s="543"/>
      <c r="M180" s="78">
        <v>0</v>
      </c>
    </row>
    <row r="181" spans="2:13" ht="12.75" customHeight="1" x14ac:dyDescent="0.2">
      <c r="B181" s="558">
        <v>153</v>
      </c>
      <c r="C181" s="540">
        <v>19379132794</v>
      </c>
      <c r="D181" s="308" t="s">
        <v>256</v>
      </c>
      <c r="E181" s="336" t="s">
        <v>220</v>
      </c>
      <c r="F181" s="350"/>
      <c r="G181" s="310"/>
      <c r="H181" s="350"/>
      <c r="I181" s="131">
        <v>0</v>
      </c>
      <c r="J181" s="132"/>
      <c r="K181" s="133">
        <v>0</v>
      </c>
      <c r="L181" s="543"/>
      <c r="M181" s="78">
        <v>0</v>
      </c>
    </row>
    <row r="182" spans="2:13" ht="12.75" customHeight="1" x14ac:dyDescent="0.2">
      <c r="B182" s="558">
        <v>63</v>
      </c>
      <c r="C182" s="540">
        <v>8932910723</v>
      </c>
      <c r="D182" s="308" t="s">
        <v>263</v>
      </c>
      <c r="E182" s="336" t="s">
        <v>220</v>
      </c>
      <c r="F182" s="350"/>
      <c r="G182" s="310"/>
      <c r="H182" s="350"/>
      <c r="I182" s="131">
        <v>0</v>
      </c>
      <c r="J182" s="132"/>
      <c r="K182" s="133">
        <v>0</v>
      </c>
      <c r="L182" s="543"/>
      <c r="M182" s="78">
        <v>0</v>
      </c>
    </row>
    <row r="183" spans="2:13" ht="12.75" customHeight="1" x14ac:dyDescent="0.2">
      <c r="B183" s="558">
        <v>135</v>
      </c>
      <c r="C183" s="540">
        <v>9823424705</v>
      </c>
      <c r="D183" s="308" t="s">
        <v>265</v>
      </c>
      <c r="E183" s="336" t="s">
        <v>220</v>
      </c>
      <c r="F183" s="350"/>
      <c r="G183" s="310"/>
      <c r="H183" s="350"/>
      <c r="I183" s="131">
        <v>0</v>
      </c>
      <c r="J183" s="132"/>
      <c r="K183" s="133">
        <v>0</v>
      </c>
      <c r="L183" s="543"/>
      <c r="M183" s="78">
        <v>0</v>
      </c>
    </row>
    <row r="184" spans="2:13" ht="12.75" customHeight="1" x14ac:dyDescent="0.2">
      <c r="B184" s="565">
        <v>5</v>
      </c>
      <c r="C184" s="569">
        <v>14676408757</v>
      </c>
      <c r="D184" s="567" t="s">
        <v>267</v>
      </c>
      <c r="E184" s="350" t="s">
        <v>235</v>
      </c>
      <c r="F184" s="350"/>
      <c r="G184" s="310"/>
      <c r="H184" s="350"/>
      <c r="I184" s="131">
        <v>0</v>
      </c>
      <c r="J184" s="132"/>
      <c r="K184" s="133">
        <v>0</v>
      </c>
      <c r="L184" s="543"/>
      <c r="M184" s="78">
        <v>0</v>
      </c>
    </row>
    <row r="185" spans="2:13" ht="12.75" customHeight="1" x14ac:dyDescent="0.2">
      <c r="B185" s="558">
        <v>147</v>
      </c>
      <c r="C185" s="540">
        <v>18605506733</v>
      </c>
      <c r="D185" s="308" t="s">
        <v>269</v>
      </c>
      <c r="E185" s="317" t="s">
        <v>220</v>
      </c>
      <c r="F185" s="350"/>
      <c r="G185" s="310"/>
      <c r="H185" s="350"/>
      <c r="I185" s="131">
        <v>0</v>
      </c>
      <c r="J185" s="160"/>
      <c r="K185" s="133">
        <v>0</v>
      </c>
      <c r="L185" s="543"/>
      <c r="M185" s="78">
        <v>0</v>
      </c>
    </row>
    <row r="186" spans="2:13" ht="12.75" customHeight="1" x14ac:dyDescent="0.2">
      <c r="B186" s="558">
        <v>99</v>
      </c>
      <c r="C186" s="540">
        <v>11968033742</v>
      </c>
      <c r="D186" s="308" t="s">
        <v>271</v>
      </c>
      <c r="E186" s="336" t="s">
        <v>220</v>
      </c>
      <c r="F186" s="350"/>
      <c r="G186" s="310"/>
      <c r="H186" s="350"/>
      <c r="I186" s="131">
        <v>0</v>
      </c>
      <c r="J186" s="160"/>
      <c r="K186" s="133">
        <v>0</v>
      </c>
      <c r="L186" s="543"/>
      <c r="M186" s="78">
        <v>0</v>
      </c>
    </row>
    <row r="187" spans="2:13" ht="12.75" customHeight="1" x14ac:dyDescent="0.2">
      <c r="B187" s="558">
        <v>54</v>
      </c>
      <c r="C187" s="540">
        <v>540533742</v>
      </c>
      <c r="D187" s="308" t="s">
        <v>273</v>
      </c>
      <c r="E187" s="336" t="s">
        <v>220</v>
      </c>
      <c r="F187" s="350"/>
      <c r="G187" s="310"/>
      <c r="H187" s="350"/>
      <c r="I187" s="131">
        <v>0</v>
      </c>
      <c r="J187" s="132"/>
      <c r="K187" s="133">
        <v>0</v>
      </c>
      <c r="L187" s="543"/>
      <c r="M187" s="78">
        <v>0</v>
      </c>
    </row>
    <row r="188" spans="2:13" ht="12.75" customHeight="1" x14ac:dyDescent="0.2">
      <c r="B188" s="558">
        <v>42</v>
      </c>
      <c r="C188" s="540">
        <v>8126990767</v>
      </c>
      <c r="D188" s="308" t="s">
        <v>274</v>
      </c>
      <c r="E188" s="336" t="s">
        <v>220</v>
      </c>
      <c r="F188" s="350"/>
      <c r="G188" s="310"/>
      <c r="H188" s="350"/>
      <c r="I188" s="131">
        <v>0</v>
      </c>
      <c r="J188" s="132"/>
      <c r="K188" s="133">
        <v>0</v>
      </c>
      <c r="L188" s="543"/>
      <c r="M188" s="78">
        <v>0</v>
      </c>
    </row>
    <row r="189" spans="2:13" ht="12.75" customHeight="1" x14ac:dyDescent="0.2">
      <c r="B189" s="558">
        <v>43</v>
      </c>
      <c r="C189" s="540">
        <v>6143838623</v>
      </c>
      <c r="D189" s="308" t="s">
        <v>275</v>
      </c>
      <c r="E189" s="336" t="s">
        <v>220</v>
      </c>
      <c r="F189" s="350"/>
      <c r="G189" s="310"/>
      <c r="H189" s="350"/>
      <c r="I189" s="131">
        <v>0</v>
      </c>
      <c r="J189" s="132"/>
      <c r="K189" s="133">
        <v>0</v>
      </c>
      <c r="L189" s="543"/>
      <c r="M189" s="78">
        <v>0</v>
      </c>
    </row>
    <row r="190" spans="2:13" ht="12.75" customHeight="1" x14ac:dyDescent="0.2">
      <c r="B190" s="558">
        <v>148</v>
      </c>
      <c r="C190" s="540">
        <v>19168959729</v>
      </c>
      <c r="D190" s="308" t="s">
        <v>277</v>
      </c>
      <c r="E190" s="336" t="s">
        <v>220</v>
      </c>
      <c r="F190" s="350"/>
      <c r="G190" s="310"/>
      <c r="H190" s="350"/>
      <c r="I190" s="131">
        <v>0</v>
      </c>
      <c r="J190" s="160"/>
      <c r="K190" s="133">
        <v>0</v>
      </c>
      <c r="L190" s="543"/>
      <c r="M190" s="78">
        <v>0</v>
      </c>
    </row>
    <row r="191" spans="2:13" ht="12.75" customHeight="1" x14ac:dyDescent="0.2">
      <c r="B191" s="558">
        <v>157</v>
      </c>
      <c r="C191" s="572">
        <v>18019744703</v>
      </c>
      <c r="D191" s="308" t="s">
        <v>278</v>
      </c>
      <c r="E191" s="336" t="s">
        <v>220</v>
      </c>
      <c r="F191" s="350"/>
      <c r="G191" s="310"/>
      <c r="H191" s="350"/>
      <c r="I191" s="131">
        <v>0</v>
      </c>
      <c r="J191" s="132"/>
      <c r="K191" s="133">
        <v>0</v>
      </c>
      <c r="L191" s="543"/>
      <c r="M191" s="78">
        <v>0</v>
      </c>
    </row>
    <row r="192" spans="2:13" ht="12.75" customHeight="1" x14ac:dyDescent="0.2">
      <c r="B192" s="558">
        <v>48</v>
      </c>
      <c r="C192" s="540">
        <v>9825505702</v>
      </c>
      <c r="D192" s="308" t="s">
        <v>279</v>
      </c>
      <c r="E192" s="336" t="s">
        <v>220</v>
      </c>
      <c r="F192" s="350"/>
      <c r="G192" s="310"/>
      <c r="H192" s="350"/>
      <c r="I192" s="131">
        <v>0</v>
      </c>
      <c r="J192" s="132"/>
      <c r="K192" s="133">
        <v>0</v>
      </c>
      <c r="L192" s="543"/>
      <c r="M192" s="78">
        <v>0</v>
      </c>
    </row>
    <row r="193" spans="2:33" ht="12.75" customHeight="1" x14ac:dyDescent="0.2">
      <c r="B193" s="565">
        <v>1</v>
      </c>
      <c r="C193" s="569">
        <v>20832236756</v>
      </c>
      <c r="D193" s="567" t="s">
        <v>280</v>
      </c>
      <c r="E193" s="350" t="s">
        <v>235</v>
      </c>
      <c r="F193" s="350"/>
      <c r="G193" s="310"/>
      <c r="H193" s="350"/>
      <c r="I193" s="131">
        <v>0</v>
      </c>
      <c r="J193" s="132"/>
      <c r="K193" s="133">
        <v>0</v>
      </c>
      <c r="L193" s="543"/>
      <c r="M193" s="78">
        <v>0</v>
      </c>
    </row>
    <row r="194" spans="2:33" ht="12.75" customHeight="1" x14ac:dyDescent="0.2">
      <c r="B194" s="580">
        <v>159</v>
      </c>
      <c r="C194" s="572">
        <v>11347893784</v>
      </c>
      <c r="D194" s="581" t="s">
        <v>284</v>
      </c>
      <c r="E194" s="317" t="s">
        <v>220</v>
      </c>
      <c r="F194" s="582"/>
      <c r="G194" s="310"/>
      <c r="H194" s="350"/>
      <c r="I194" s="131">
        <v>0</v>
      </c>
      <c r="J194" s="160"/>
      <c r="K194" s="133">
        <v>0</v>
      </c>
      <c r="L194" s="543"/>
      <c r="M194" s="78">
        <v>0</v>
      </c>
    </row>
    <row r="195" spans="2:33" ht="12.75" customHeight="1" x14ac:dyDescent="0.2">
      <c r="B195" s="558">
        <v>144</v>
      </c>
      <c r="C195" s="540">
        <v>9630506726</v>
      </c>
      <c r="D195" s="308" t="s">
        <v>286</v>
      </c>
      <c r="E195" s="336" t="s">
        <v>220</v>
      </c>
      <c r="F195" s="350"/>
      <c r="G195" s="310"/>
      <c r="H195" s="350"/>
      <c r="I195" s="131">
        <v>0</v>
      </c>
      <c r="J195" s="160"/>
      <c r="K195" s="133">
        <v>0</v>
      </c>
      <c r="L195" s="543"/>
      <c r="M195" s="78">
        <v>0</v>
      </c>
    </row>
    <row r="196" spans="2:33" ht="12.75" customHeight="1" x14ac:dyDescent="0.2">
      <c r="B196" s="558">
        <v>126</v>
      </c>
      <c r="C196" s="540">
        <v>11765503736</v>
      </c>
      <c r="D196" s="308" t="s">
        <v>288</v>
      </c>
      <c r="E196" s="336" t="s">
        <v>220</v>
      </c>
      <c r="F196" s="350"/>
      <c r="G196" s="310"/>
      <c r="H196" s="350"/>
      <c r="I196" s="131">
        <v>0</v>
      </c>
      <c r="J196" s="132"/>
      <c r="K196" s="133">
        <v>0</v>
      </c>
      <c r="L196" s="543"/>
      <c r="M196" s="78">
        <v>0</v>
      </c>
    </row>
    <row r="197" spans="2:33" ht="12.75" customHeight="1" x14ac:dyDescent="0.2">
      <c r="B197" s="558">
        <v>52</v>
      </c>
      <c r="C197" s="540">
        <v>9922359790</v>
      </c>
      <c r="D197" s="308" t="s">
        <v>289</v>
      </c>
      <c r="E197" s="336" t="s">
        <v>220</v>
      </c>
      <c r="F197" s="350"/>
      <c r="G197" s="310"/>
      <c r="H197" s="350"/>
      <c r="I197" s="131">
        <v>0</v>
      </c>
      <c r="J197" s="132"/>
      <c r="K197" s="133">
        <v>0</v>
      </c>
      <c r="L197" s="543"/>
      <c r="M197" s="78">
        <v>0</v>
      </c>
    </row>
    <row r="198" spans="2:33" ht="12.75" customHeight="1" x14ac:dyDescent="0.2">
      <c r="B198" s="354"/>
      <c r="C198" s="355"/>
      <c r="D198" s="356">
        <f>COUNTA(D171:D197)</f>
        <v>27</v>
      </c>
      <c r="E198" s="354"/>
      <c r="F198" s="356">
        <f>COUNTA(F171:F197)</f>
        <v>0</v>
      </c>
      <c r="G198" s="356">
        <f>COUNTA(G171:G197)</f>
        <v>0</v>
      </c>
      <c r="H198" s="356">
        <f>COUNTA(H171:H197)</f>
        <v>0</v>
      </c>
      <c r="I198" s="356">
        <f>SUM(I171:I197)</f>
        <v>0</v>
      </c>
      <c r="J198" s="356">
        <f>COUNTA(J171:J197)</f>
        <v>0</v>
      </c>
      <c r="K198" s="356">
        <f>SUM(K171:K197)</f>
        <v>0</v>
      </c>
      <c r="L198" s="356">
        <f>COUNTA(L171:L197)</f>
        <v>0</v>
      </c>
      <c r="M198" s="356">
        <f>SUM(M171:M197)</f>
        <v>0</v>
      </c>
      <c r="N198" s="354"/>
      <c r="O198" s="354"/>
      <c r="P198" s="354"/>
      <c r="Q198" s="354"/>
      <c r="R198" s="354"/>
      <c r="S198" s="354"/>
      <c r="T198" s="354"/>
      <c r="U198" s="354"/>
      <c r="V198" s="354"/>
      <c r="W198" s="354"/>
      <c r="X198" s="354"/>
      <c r="Y198" s="354"/>
      <c r="Z198" s="354"/>
      <c r="AA198" s="354"/>
      <c r="AB198" s="354"/>
      <c r="AC198" s="354"/>
      <c r="AD198" s="354"/>
      <c r="AE198" s="354"/>
      <c r="AF198" s="354"/>
      <c r="AG198" s="354"/>
    </row>
    <row r="200" spans="2:33" ht="12.75" customHeight="1" x14ac:dyDescent="0.2">
      <c r="B200" s="297" t="s">
        <v>41</v>
      </c>
      <c r="C200" s="297" t="s">
        <v>218</v>
      </c>
      <c r="D200" s="297" t="s">
        <v>42</v>
      </c>
      <c r="E200" s="297" t="s">
        <v>43</v>
      </c>
      <c r="F200" s="297" t="s">
        <v>44</v>
      </c>
      <c r="G200" s="297" t="s">
        <v>45</v>
      </c>
      <c r="H200" s="297" t="s">
        <v>46</v>
      </c>
      <c r="I200" s="297" t="s">
        <v>49</v>
      </c>
      <c r="J200" s="297" t="s">
        <v>39</v>
      </c>
      <c r="K200" s="297" t="s">
        <v>49</v>
      </c>
      <c r="L200" s="297" t="s">
        <v>40</v>
      </c>
      <c r="M200" s="297" t="s">
        <v>49</v>
      </c>
      <c r="O200" s="298" t="s">
        <v>125</v>
      </c>
      <c r="P200" s="358">
        <f>S170</f>
        <v>0</v>
      </c>
      <c r="R200" s="298" t="s">
        <v>44</v>
      </c>
      <c r="S200" s="300">
        <f>F228</f>
        <v>0</v>
      </c>
      <c r="U200" s="298" t="s">
        <v>39</v>
      </c>
      <c r="V200" s="301">
        <f>K228</f>
        <v>0</v>
      </c>
      <c r="X200" s="302"/>
      <c r="Y200" s="303"/>
      <c r="Z200" s="789" t="s">
        <v>151</v>
      </c>
      <c r="AA200" s="789"/>
      <c r="AB200" s="789"/>
      <c r="AC200" s="303"/>
      <c r="AD200" s="304"/>
      <c r="AF200" s="305" t="s">
        <v>127</v>
      </c>
      <c r="AG200" s="306">
        <f>(V206-V201-V200-S203)</f>
        <v>0</v>
      </c>
    </row>
    <row r="201" spans="2:33" ht="12.75" customHeight="1" x14ac:dyDescent="0.2">
      <c r="B201" s="558">
        <v>115</v>
      </c>
      <c r="C201" s="540">
        <v>17622871702</v>
      </c>
      <c r="D201" s="308" t="s">
        <v>223</v>
      </c>
      <c r="E201" s="317" t="s">
        <v>220</v>
      </c>
      <c r="F201" s="342"/>
      <c r="G201" s="310"/>
      <c r="H201" s="576"/>
      <c r="I201" s="131">
        <v>0</v>
      </c>
      <c r="J201" s="160"/>
      <c r="K201" s="133">
        <v>0</v>
      </c>
      <c r="L201" s="543"/>
      <c r="M201" s="78">
        <v>0</v>
      </c>
      <c r="R201" s="298" t="s">
        <v>45</v>
      </c>
      <c r="S201" s="301">
        <f>G228</f>
        <v>0</v>
      </c>
      <c r="U201" s="298" t="s">
        <v>40</v>
      </c>
      <c r="V201" s="301">
        <f>M228</f>
        <v>0</v>
      </c>
      <c r="X201" s="312" t="s">
        <v>128</v>
      </c>
      <c r="Y201" s="313" t="s">
        <v>129</v>
      </c>
      <c r="Z201" s="313" t="s">
        <v>130</v>
      </c>
      <c r="AA201" s="313" t="s">
        <v>131</v>
      </c>
      <c r="AB201" s="313" t="s">
        <v>132</v>
      </c>
      <c r="AC201" s="313" t="s">
        <v>133</v>
      </c>
      <c r="AD201" s="314" t="s">
        <v>134</v>
      </c>
      <c r="AF201" s="305" t="s">
        <v>135</v>
      </c>
      <c r="AG201" s="315">
        <f>V206-AG200</f>
        <v>0</v>
      </c>
    </row>
    <row r="202" spans="2:33" ht="12.75" customHeight="1" x14ac:dyDescent="0.2">
      <c r="B202" s="558">
        <v>160</v>
      </c>
      <c r="C202" s="540">
        <v>14212723778</v>
      </c>
      <c r="D202" s="327" t="s">
        <v>225</v>
      </c>
      <c r="E202" s="317" t="s">
        <v>220</v>
      </c>
      <c r="F202" s="342"/>
      <c r="G202" s="310"/>
      <c r="H202" s="576"/>
      <c r="I202" s="131">
        <v>0</v>
      </c>
      <c r="J202" s="160"/>
      <c r="K202" s="133">
        <v>0</v>
      </c>
      <c r="L202" s="543"/>
      <c r="M202" s="78">
        <v>0</v>
      </c>
      <c r="R202" s="319" t="s">
        <v>56</v>
      </c>
      <c r="S202" s="301">
        <f>P200+S200-S201</f>
        <v>0</v>
      </c>
      <c r="U202" s="298" t="s">
        <v>59</v>
      </c>
      <c r="V202" s="301">
        <f>L228</f>
        <v>0</v>
      </c>
      <c r="X202" s="320"/>
      <c r="Y202" s="321"/>
      <c r="Z202" s="322"/>
      <c r="AA202" s="391">
        <v>46204</v>
      </c>
      <c r="AB202" s="392">
        <v>46205</v>
      </c>
      <c r="AC202" s="392">
        <v>46206</v>
      </c>
      <c r="AD202" s="379">
        <v>46207</v>
      </c>
      <c r="AF202" s="305" t="s">
        <v>136</v>
      </c>
      <c r="AG202" s="545">
        <f>(S202*8.8)*S205</f>
        <v>0</v>
      </c>
    </row>
    <row r="203" spans="2:33" ht="12.75" customHeight="1" x14ac:dyDescent="0.2">
      <c r="B203" s="558">
        <v>130</v>
      </c>
      <c r="C203" s="540">
        <v>16044643727</v>
      </c>
      <c r="D203" s="308" t="s">
        <v>227</v>
      </c>
      <c r="E203" s="336" t="s">
        <v>220</v>
      </c>
      <c r="F203" s="342"/>
      <c r="G203" s="310"/>
      <c r="H203" s="547"/>
      <c r="I203" s="131">
        <v>0</v>
      </c>
      <c r="J203" s="160"/>
      <c r="K203" s="133">
        <v>0</v>
      </c>
      <c r="L203" s="543"/>
      <c r="M203" s="78">
        <v>0</v>
      </c>
      <c r="R203" s="298" t="s">
        <v>137</v>
      </c>
      <c r="S203" s="329">
        <f>I228</f>
        <v>0</v>
      </c>
      <c r="U203" s="330"/>
      <c r="V203" s="331"/>
      <c r="X203" s="380">
        <v>46208</v>
      </c>
      <c r="Y203" s="381">
        <v>46209</v>
      </c>
      <c r="Z203" s="381">
        <v>46210</v>
      </c>
      <c r="AA203" s="381">
        <v>46211</v>
      </c>
      <c r="AB203" s="381">
        <v>46212</v>
      </c>
      <c r="AC203" s="381">
        <v>46213</v>
      </c>
      <c r="AD203" s="382">
        <v>46214</v>
      </c>
      <c r="AF203" s="305" t="s">
        <v>138</v>
      </c>
      <c r="AG203" s="545">
        <f>AG201*8.8</f>
        <v>0</v>
      </c>
    </row>
    <row r="204" spans="2:33" ht="12.75" customHeight="1" x14ac:dyDescent="0.2">
      <c r="B204" s="565">
        <v>4</v>
      </c>
      <c r="C204" s="566">
        <v>12576147704</v>
      </c>
      <c r="D204" s="567" t="s">
        <v>234</v>
      </c>
      <c r="E204" s="350" t="s">
        <v>235</v>
      </c>
      <c r="F204" s="350"/>
      <c r="G204" s="310"/>
      <c r="H204" s="350"/>
      <c r="I204" s="131">
        <v>0</v>
      </c>
      <c r="J204" s="132"/>
      <c r="K204" s="133">
        <v>0</v>
      </c>
      <c r="L204" s="543"/>
      <c r="M204" s="78">
        <v>0</v>
      </c>
      <c r="X204" s="383">
        <v>46215</v>
      </c>
      <c r="Y204" s="384">
        <v>46216</v>
      </c>
      <c r="Z204" s="384">
        <v>46217</v>
      </c>
      <c r="AA204" s="384">
        <v>46218</v>
      </c>
      <c r="AB204" s="384">
        <v>46219</v>
      </c>
      <c r="AC204" s="384">
        <v>46220</v>
      </c>
      <c r="AD204" s="385">
        <v>46221</v>
      </c>
      <c r="AF204" s="305" t="s">
        <v>140</v>
      </c>
      <c r="AG204" s="545" t="e">
        <f>(AG202-AG203)/(8.8*S205)</f>
        <v>#DIV/0!</v>
      </c>
    </row>
    <row r="205" spans="2:33" ht="12.75" customHeight="1" x14ac:dyDescent="0.2">
      <c r="B205" s="558">
        <v>35</v>
      </c>
      <c r="C205" s="568">
        <v>9621821762</v>
      </c>
      <c r="D205" s="308" t="s">
        <v>237</v>
      </c>
      <c r="E205" s="317" t="s">
        <v>220</v>
      </c>
      <c r="F205" s="350"/>
      <c r="G205" s="310"/>
      <c r="H205" s="350"/>
      <c r="I205" s="131">
        <v>0</v>
      </c>
      <c r="J205" s="160"/>
      <c r="K205" s="133">
        <v>0</v>
      </c>
      <c r="L205" s="543"/>
      <c r="M205" s="78">
        <v>0</v>
      </c>
      <c r="R205" s="343" t="s">
        <v>22</v>
      </c>
      <c r="S205" s="344"/>
      <c r="U205" s="549" t="s">
        <v>141</v>
      </c>
      <c r="V205" s="550">
        <f>(P200+S202)/2</f>
        <v>0</v>
      </c>
      <c r="X205" s="386">
        <v>46222</v>
      </c>
      <c r="Y205" s="387">
        <v>46223</v>
      </c>
      <c r="Z205" s="387">
        <v>46224</v>
      </c>
      <c r="AA205" s="387">
        <v>46225</v>
      </c>
      <c r="AB205" s="387">
        <v>46226</v>
      </c>
      <c r="AC205" s="387">
        <v>46227</v>
      </c>
      <c r="AD205" s="388">
        <v>46228</v>
      </c>
      <c r="AG205" s="296"/>
    </row>
    <row r="206" spans="2:33" ht="12.75" customHeight="1" x14ac:dyDescent="0.2">
      <c r="B206" s="565">
        <v>3</v>
      </c>
      <c r="C206" s="569">
        <v>86749072704</v>
      </c>
      <c r="D206" s="567" t="s">
        <v>239</v>
      </c>
      <c r="E206" s="350" t="s">
        <v>235</v>
      </c>
      <c r="F206" s="350"/>
      <c r="G206" s="310"/>
      <c r="H206" s="350"/>
      <c r="I206" s="131">
        <v>0</v>
      </c>
      <c r="J206" s="160"/>
      <c r="K206" s="133">
        <v>0</v>
      </c>
      <c r="L206" s="543"/>
      <c r="M206" s="78">
        <v>0</v>
      </c>
      <c r="R206" s="343" t="s">
        <v>142</v>
      </c>
      <c r="S206" s="349"/>
      <c r="U206" s="343" t="s">
        <v>143</v>
      </c>
      <c r="V206" s="350">
        <f>S205*V205</f>
        <v>0</v>
      </c>
      <c r="X206" s="394">
        <v>46229</v>
      </c>
      <c r="Y206" s="395">
        <v>46230</v>
      </c>
      <c r="Z206" s="395">
        <v>46231</v>
      </c>
      <c r="AA206" s="395">
        <v>46232</v>
      </c>
      <c r="AB206" s="395">
        <v>46233</v>
      </c>
      <c r="AC206" s="396">
        <v>46234</v>
      </c>
      <c r="AD206" s="397"/>
      <c r="AG206" s="296"/>
    </row>
    <row r="207" spans="2:33" ht="12.75" customHeight="1" x14ac:dyDescent="0.2">
      <c r="B207" s="558">
        <v>36</v>
      </c>
      <c r="C207" s="540">
        <v>7452452771</v>
      </c>
      <c r="D207" s="308" t="s">
        <v>241</v>
      </c>
      <c r="E207" s="336" t="s">
        <v>220</v>
      </c>
      <c r="F207" s="350"/>
      <c r="G207" s="310"/>
      <c r="H207" s="350"/>
      <c r="I207" s="131">
        <v>0</v>
      </c>
      <c r="J207" s="132"/>
      <c r="K207" s="133">
        <v>0</v>
      </c>
      <c r="L207" s="543"/>
      <c r="M207" s="78">
        <v>0</v>
      </c>
    </row>
    <row r="208" spans="2:33" ht="12.75" customHeight="1" x14ac:dyDescent="0.2">
      <c r="B208" s="565">
        <v>6</v>
      </c>
      <c r="C208" s="569">
        <v>7728013637</v>
      </c>
      <c r="D208" s="567" t="s">
        <v>245</v>
      </c>
      <c r="E208" s="350" t="s">
        <v>235</v>
      </c>
      <c r="F208" s="350"/>
      <c r="G208" s="310"/>
      <c r="H208" s="350"/>
      <c r="I208" s="131">
        <v>0</v>
      </c>
      <c r="J208" s="132"/>
      <c r="K208" s="133">
        <v>0</v>
      </c>
      <c r="L208" s="543"/>
      <c r="M208" s="78">
        <v>0</v>
      </c>
    </row>
    <row r="209" spans="2:13" ht="12.75" customHeight="1" x14ac:dyDescent="0.2">
      <c r="B209" s="558">
        <v>109</v>
      </c>
      <c r="C209" s="540">
        <v>17911909792</v>
      </c>
      <c r="D209" s="308" t="s">
        <v>247</v>
      </c>
      <c r="E209" s="317" t="s">
        <v>220</v>
      </c>
      <c r="F209" s="350"/>
      <c r="G209" s="310"/>
      <c r="H209" s="350"/>
      <c r="I209" s="131">
        <v>0</v>
      </c>
      <c r="J209" s="160"/>
      <c r="K209" s="133">
        <v>0</v>
      </c>
      <c r="L209" s="543"/>
      <c r="M209" s="78">
        <v>0</v>
      </c>
    </row>
    <row r="210" spans="2:13" ht="12.75" customHeight="1" x14ac:dyDescent="0.2">
      <c r="B210" s="558">
        <v>100</v>
      </c>
      <c r="C210" s="540">
        <v>21963396790</v>
      </c>
      <c r="D210" s="308" t="s">
        <v>251</v>
      </c>
      <c r="E210" s="336" t="s">
        <v>220</v>
      </c>
      <c r="F210" s="350"/>
      <c r="G210" s="310"/>
      <c r="H210" s="350"/>
      <c r="I210" s="131">
        <v>0</v>
      </c>
      <c r="J210" s="132"/>
      <c r="K210" s="133">
        <v>0</v>
      </c>
      <c r="L210" s="543"/>
      <c r="M210" s="78">
        <v>0</v>
      </c>
    </row>
    <row r="211" spans="2:13" ht="12.75" customHeight="1" x14ac:dyDescent="0.2">
      <c r="B211" s="558">
        <v>153</v>
      </c>
      <c r="C211" s="540">
        <v>19379132794</v>
      </c>
      <c r="D211" s="308" t="s">
        <v>256</v>
      </c>
      <c r="E211" s="336" t="s">
        <v>220</v>
      </c>
      <c r="F211" s="350"/>
      <c r="G211" s="310"/>
      <c r="H211" s="350"/>
      <c r="I211" s="131">
        <v>0</v>
      </c>
      <c r="J211" s="132"/>
      <c r="K211" s="133">
        <v>0</v>
      </c>
      <c r="L211" s="543"/>
      <c r="M211" s="78">
        <v>0</v>
      </c>
    </row>
    <row r="212" spans="2:13" ht="12.75" customHeight="1" x14ac:dyDescent="0.2">
      <c r="B212" s="558">
        <v>63</v>
      </c>
      <c r="C212" s="540">
        <v>8932910723</v>
      </c>
      <c r="D212" s="308" t="s">
        <v>263</v>
      </c>
      <c r="E212" s="336" t="s">
        <v>220</v>
      </c>
      <c r="F212" s="350"/>
      <c r="G212" s="310"/>
      <c r="H212" s="350"/>
      <c r="I212" s="131">
        <v>0</v>
      </c>
      <c r="J212" s="132"/>
      <c r="K212" s="133">
        <v>0</v>
      </c>
      <c r="L212" s="543"/>
      <c r="M212" s="78">
        <v>0</v>
      </c>
    </row>
    <row r="213" spans="2:13" ht="12.75" customHeight="1" x14ac:dyDescent="0.2">
      <c r="B213" s="558">
        <v>135</v>
      </c>
      <c r="C213" s="540">
        <v>9823424705</v>
      </c>
      <c r="D213" s="308" t="s">
        <v>265</v>
      </c>
      <c r="E213" s="336" t="s">
        <v>220</v>
      </c>
      <c r="F213" s="350"/>
      <c r="G213" s="310"/>
      <c r="H213" s="350"/>
      <c r="I213" s="131">
        <v>0</v>
      </c>
      <c r="J213" s="132"/>
      <c r="K213" s="133">
        <v>0</v>
      </c>
      <c r="L213" s="543"/>
      <c r="M213" s="78">
        <v>0</v>
      </c>
    </row>
    <row r="214" spans="2:13" ht="12.75" customHeight="1" x14ac:dyDescent="0.2">
      <c r="B214" s="565">
        <v>5</v>
      </c>
      <c r="C214" s="569">
        <v>14676408757</v>
      </c>
      <c r="D214" s="567" t="s">
        <v>267</v>
      </c>
      <c r="E214" s="350" t="s">
        <v>235</v>
      </c>
      <c r="F214" s="350"/>
      <c r="G214" s="310"/>
      <c r="H214" s="350"/>
      <c r="I214" s="131">
        <v>0</v>
      </c>
      <c r="J214" s="132"/>
      <c r="K214" s="133">
        <v>0</v>
      </c>
      <c r="L214" s="543"/>
      <c r="M214" s="78">
        <v>0</v>
      </c>
    </row>
    <row r="215" spans="2:13" ht="12.75" customHeight="1" x14ac:dyDescent="0.2">
      <c r="B215" s="558">
        <v>147</v>
      </c>
      <c r="C215" s="540">
        <v>18605506733</v>
      </c>
      <c r="D215" s="308" t="s">
        <v>269</v>
      </c>
      <c r="E215" s="317" t="s">
        <v>220</v>
      </c>
      <c r="F215" s="350"/>
      <c r="G215" s="310"/>
      <c r="H215" s="350"/>
      <c r="I215" s="131">
        <v>0</v>
      </c>
      <c r="J215" s="160"/>
      <c r="K215" s="133">
        <v>0</v>
      </c>
      <c r="L215" s="543"/>
      <c r="M215" s="78">
        <v>0</v>
      </c>
    </row>
    <row r="216" spans="2:13" ht="12.75" customHeight="1" x14ac:dyDescent="0.2">
      <c r="B216" s="558">
        <v>99</v>
      </c>
      <c r="C216" s="540">
        <v>11968033742</v>
      </c>
      <c r="D216" s="308" t="s">
        <v>271</v>
      </c>
      <c r="E216" s="336" t="s">
        <v>220</v>
      </c>
      <c r="F216" s="350"/>
      <c r="G216" s="310"/>
      <c r="H216" s="350"/>
      <c r="I216" s="131">
        <v>0</v>
      </c>
      <c r="J216" s="160"/>
      <c r="K216" s="133">
        <v>0</v>
      </c>
      <c r="L216" s="543"/>
      <c r="M216" s="78">
        <v>0</v>
      </c>
    </row>
    <row r="217" spans="2:13" ht="12.75" customHeight="1" x14ac:dyDescent="0.2">
      <c r="B217" s="558">
        <v>54</v>
      </c>
      <c r="C217" s="540">
        <v>540533742</v>
      </c>
      <c r="D217" s="308" t="s">
        <v>273</v>
      </c>
      <c r="E217" s="336" t="s">
        <v>220</v>
      </c>
      <c r="F217" s="350"/>
      <c r="G217" s="310"/>
      <c r="H217" s="350"/>
      <c r="I217" s="131">
        <v>0</v>
      </c>
      <c r="J217" s="132"/>
      <c r="K217" s="133">
        <v>0</v>
      </c>
      <c r="L217" s="543"/>
      <c r="M217" s="78">
        <v>0</v>
      </c>
    </row>
    <row r="218" spans="2:13" ht="12.75" customHeight="1" x14ac:dyDescent="0.2">
      <c r="B218" s="558">
        <v>42</v>
      </c>
      <c r="C218" s="540">
        <v>8126990767</v>
      </c>
      <c r="D218" s="308" t="s">
        <v>274</v>
      </c>
      <c r="E218" s="336" t="s">
        <v>220</v>
      </c>
      <c r="F218" s="350"/>
      <c r="G218" s="310"/>
      <c r="H218" s="350"/>
      <c r="I218" s="131">
        <v>0</v>
      </c>
      <c r="J218" s="132"/>
      <c r="K218" s="133">
        <v>0</v>
      </c>
      <c r="L218" s="543"/>
      <c r="M218" s="78">
        <v>0</v>
      </c>
    </row>
    <row r="219" spans="2:13" ht="12.75" customHeight="1" x14ac:dyDescent="0.2">
      <c r="B219" s="558">
        <v>43</v>
      </c>
      <c r="C219" s="540">
        <v>6143838623</v>
      </c>
      <c r="D219" s="308" t="s">
        <v>275</v>
      </c>
      <c r="E219" s="336" t="s">
        <v>220</v>
      </c>
      <c r="F219" s="350"/>
      <c r="G219" s="310"/>
      <c r="H219" s="350"/>
      <c r="I219" s="131">
        <v>0</v>
      </c>
      <c r="J219" s="132"/>
      <c r="K219" s="133">
        <v>0</v>
      </c>
      <c r="L219" s="543"/>
      <c r="M219" s="78">
        <v>0</v>
      </c>
    </row>
    <row r="220" spans="2:13" ht="12.75" customHeight="1" x14ac:dyDescent="0.2">
      <c r="B220" s="558">
        <v>148</v>
      </c>
      <c r="C220" s="540">
        <v>19168959729</v>
      </c>
      <c r="D220" s="308" t="s">
        <v>277</v>
      </c>
      <c r="E220" s="336" t="s">
        <v>220</v>
      </c>
      <c r="F220" s="350"/>
      <c r="G220" s="310"/>
      <c r="H220" s="350"/>
      <c r="I220" s="131">
        <v>0</v>
      </c>
      <c r="J220" s="160"/>
      <c r="K220" s="133">
        <v>0</v>
      </c>
      <c r="L220" s="543"/>
      <c r="M220" s="78">
        <v>0</v>
      </c>
    </row>
    <row r="221" spans="2:13" ht="12.75" customHeight="1" x14ac:dyDescent="0.2">
      <c r="B221" s="558">
        <v>157</v>
      </c>
      <c r="C221" s="572">
        <v>18019744703</v>
      </c>
      <c r="D221" s="308" t="s">
        <v>278</v>
      </c>
      <c r="E221" s="336" t="s">
        <v>220</v>
      </c>
      <c r="F221" s="350"/>
      <c r="G221" s="310"/>
      <c r="H221" s="350"/>
      <c r="I221" s="131">
        <v>0</v>
      </c>
      <c r="J221" s="132"/>
      <c r="K221" s="133">
        <v>0</v>
      </c>
      <c r="L221" s="543"/>
      <c r="M221" s="78">
        <v>0</v>
      </c>
    </row>
    <row r="222" spans="2:13" ht="12.75" customHeight="1" x14ac:dyDescent="0.2">
      <c r="B222" s="558">
        <v>48</v>
      </c>
      <c r="C222" s="540">
        <v>9825505702</v>
      </c>
      <c r="D222" s="308" t="s">
        <v>279</v>
      </c>
      <c r="E222" s="336" t="s">
        <v>220</v>
      </c>
      <c r="F222" s="350"/>
      <c r="G222" s="310"/>
      <c r="H222" s="350"/>
      <c r="I222" s="131">
        <v>0</v>
      </c>
      <c r="J222" s="132"/>
      <c r="K222" s="133">
        <v>0</v>
      </c>
      <c r="L222" s="543"/>
      <c r="M222" s="78">
        <v>0</v>
      </c>
    </row>
    <row r="223" spans="2:13" ht="12.75" customHeight="1" x14ac:dyDescent="0.2">
      <c r="B223" s="565">
        <v>1</v>
      </c>
      <c r="C223" s="569">
        <v>20832236756</v>
      </c>
      <c r="D223" s="567" t="s">
        <v>280</v>
      </c>
      <c r="E223" s="350" t="s">
        <v>235</v>
      </c>
      <c r="F223" s="350"/>
      <c r="G223" s="310"/>
      <c r="H223" s="350"/>
      <c r="I223" s="131">
        <v>0</v>
      </c>
      <c r="J223" s="132"/>
      <c r="K223" s="133">
        <v>0</v>
      </c>
      <c r="L223" s="543"/>
      <c r="M223" s="78">
        <v>0</v>
      </c>
    </row>
    <row r="224" spans="2:13" ht="12.75" customHeight="1" x14ac:dyDescent="0.2">
      <c r="B224" s="580">
        <v>159</v>
      </c>
      <c r="C224" s="572">
        <v>11347893784</v>
      </c>
      <c r="D224" s="581" t="s">
        <v>284</v>
      </c>
      <c r="E224" s="317" t="s">
        <v>220</v>
      </c>
      <c r="F224" s="582"/>
      <c r="G224" s="310"/>
      <c r="H224" s="350"/>
      <c r="I224" s="131">
        <v>0</v>
      </c>
      <c r="J224" s="160"/>
      <c r="K224" s="133">
        <v>0</v>
      </c>
      <c r="L224" s="543"/>
      <c r="M224" s="78">
        <v>0</v>
      </c>
    </row>
    <row r="225" spans="2:33" ht="12.75" customHeight="1" x14ac:dyDescent="0.2">
      <c r="B225" s="558">
        <v>144</v>
      </c>
      <c r="C225" s="540">
        <v>9630506726</v>
      </c>
      <c r="D225" s="308" t="s">
        <v>286</v>
      </c>
      <c r="E225" s="336" t="s">
        <v>220</v>
      </c>
      <c r="F225" s="350"/>
      <c r="G225" s="310"/>
      <c r="H225" s="350"/>
      <c r="I225" s="131">
        <v>0</v>
      </c>
      <c r="J225" s="160"/>
      <c r="K225" s="133">
        <v>0</v>
      </c>
      <c r="L225" s="543"/>
      <c r="M225" s="78">
        <v>0</v>
      </c>
    </row>
    <row r="226" spans="2:33" ht="12.75" customHeight="1" x14ac:dyDescent="0.2">
      <c r="B226" s="558">
        <v>126</v>
      </c>
      <c r="C226" s="540">
        <v>11765503736</v>
      </c>
      <c r="D226" s="308" t="s">
        <v>288</v>
      </c>
      <c r="E226" s="336" t="s">
        <v>220</v>
      </c>
      <c r="F226" s="350"/>
      <c r="G226" s="310"/>
      <c r="H226" s="350"/>
      <c r="I226" s="131">
        <v>0</v>
      </c>
      <c r="J226" s="132"/>
      <c r="K226" s="133">
        <v>0</v>
      </c>
      <c r="L226" s="543"/>
      <c r="M226" s="78">
        <v>0</v>
      </c>
    </row>
    <row r="227" spans="2:33" ht="12.75" customHeight="1" x14ac:dyDescent="0.2">
      <c r="B227" s="558">
        <v>52</v>
      </c>
      <c r="C227" s="540">
        <v>9922359790</v>
      </c>
      <c r="D227" s="308" t="s">
        <v>289</v>
      </c>
      <c r="E227" s="336" t="s">
        <v>220</v>
      </c>
      <c r="F227" s="350"/>
      <c r="G227" s="310"/>
      <c r="H227" s="350"/>
      <c r="I227" s="131">
        <v>0</v>
      </c>
      <c r="J227" s="132"/>
      <c r="K227" s="133">
        <v>0</v>
      </c>
      <c r="L227" s="543"/>
      <c r="M227" s="78">
        <v>0</v>
      </c>
    </row>
    <row r="228" spans="2:33" ht="12.75" customHeight="1" x14ac:dyDescent="0.2">
      <c r="B228" s="354"/>
      <c r="C228" s="355"/>
      <c r="D228" s="356">
        <f>COUNTA(D201:D227)</f>
        <v>27</v>
      </c>
      <c r="E228" s="354"/>
      <c r="F228" s="356">
        <f>COUNTA(F201:F227)</f>
        <v>0</v>
      </c>
      <c r="G228" s="356">
        <f>COUNTA(G201:G227)</f>
        <v>0</v>
      </c>
      <c r="H228" s="356">
        <f>COUNTA(H201:H227)</f>
        <v>0</v>
      </c>
      <c r="I228" s="356">
        <f>SUM(I201:I227)</f>
        <v>0</v>
      </c>
      <c r="J228" s="356">
        <f>COUNTA(J201:J227)</f>
        <v>0</v>
      </c>
      <c r="K228" s="356">
        <f>SUM(K201:K227)</f>
        <v>0</v>
      </c>
      <c r="L228" s="356">
        <f>COUNTA(L201:L227)</f>
        <v>0</v>
      </c>
      <c r="M228" s="356">
        <f>SUM(M201:M227)</f>
        <v>0</v>
      </c>
      <c r="N228" s="354"/>
      <c r="O228" s="354"/>
      <c r="P228" s="354"/>
      <c r="Q228" s="354"/>
      <c r="R228" s="354"/>
      <c r="S228" s="354"/>
      <c r="T228" s="354"/>
      <c r="U228" s="354"/>
      <c r="V228" s="354"/>
      <c r="W228" s="354"/>
      <c r="X228" s="354"/>
      <c r="Y228" s="354"/>
      <c r="Z228" s="354"/>
      <c r="AA228" s="354"/>
      <c r="AB228" s="354"/>
      <c r="AC228" s="354"/>
      <c r="AD228" s="354"/>
      <c r="AE228" s="354"/>
      <c r="AF228" s="354"/>
      <c r="AG228" s="354"/>
    </row>
    <row r="230" spans="2:33" ht="12.75" customHeight="1" x14ac:dyDescent="0.2">
      <c r="B230" s="297" t="s">
        <v>41</v>
      </c>
      <c r="C230" s="297" t="s">
        <v>218</v>
      </c>
      <c r="D230" s="297" t="s">
        <v>42</v>
      </c>
      <c r="E230" s="297" t="s">
        <v>43</v>
      </c>
      <c r="F230" s="297" t="s">
        <v>44</v>
      </c>
      <c r="G230" s="297" t="s">
        <v>45</v>
      </c>
      <c r="H230" s="297" t="s">
        <v>46</v>
      </c>
      <c r="I230" s="297" t="s">
        <v>49</v>
      </c>
      <c r="J230" s="297" t="s">
        <v>39</v>
      </c>
      <c r="K230" s="297" t="s">
        <v>49</v>
      </c>
      <c r="L230" s="297" t="s">
        <v>40</v>
      </c>
      <c r="M230" s="297" t="s">
        <v>49</v>
      </c>
      <c r="O230" s="298" t="s">
        <v>125</v>
      </c>
      <c r="P230" s="358">
        <f>S200</f>
        <v>0</v>
      </c>
      <c r="R230" s="298" t="s">
        <v>44</v>
      </c>
      <c r="S230" s="300">
        <f>F258</f>
        <v>0</v>
      </c>
      <c r="U230" s="298" t="s">
        <v>39</v>
      </c>
      <c r="V230" s="301">
        <f>K258</f>
        <v>0</v>
      </c>
      <c r="X230" s="302"/>
      <c r="Y230" s="303"/>
      <c r="Z230" s="789" t="s">
        <v>152</v>
      </c>
      <c r="AA230" s="789"/>
      <c r="AB230" s="789"/>
      <c r="AC230" s="303"/>
      <c r="AD230" s="304"/>
      <c r="AF230" s="305" t="s">
        <v>127</v>
      </c>
      <c r="AG230" s="306">
        <f>(V236-V231-V230-S233)</f>
        <v>0</v>
      </c>
    </row>
    <row r="231" spans="2:33" ht="12.75" customHeight="1" x14ac:dyDescent="0.2">
      <c r="B231" s="558">
        <v>115</v>
      </c>
      <c r="C231" s="540">
        <v>17622871702</v>
      </c>
      <c r="D231" s="308" t="s">
        <v>223</v>
      </c>
      <c r="E231" s="317" t="s">
        <v>220</v>
      </c>
      <c r="F231" s="342"/>
      <c r="G231" s="310"/>
      <c r="H231" s="576"/>
      <c r="I231" s="131">
        <v>0</v>
      </c>
      <c r="J231" s="160"/>
      <c r="K231" s="133">
        <v>0</v>
      </c>
      <c r="L231" s="543"/>
      <c r="M231" s="78">
        <v>0</v>
      </c>
      <c r="R231" s="298" t="s">
        <v>45</v>
      </c>
      <c r="S231" s="301">
        <f>G258</f>
        <v>0</v>
      </c>
      <c r="U231" s="298" t="s">
        <v>40</v>
      </c>
      <c r="V231" s="301">
        <f>M258</f>
        <v>0</v>
      </c>
      <c r="X231" s="312" t="s">
        <v>128</v>
      </c>
      <c r="Y231" s="313" t="s">
        <v>129</v>
      </c>
      <c r="Z231" s="313" t="s">
        <v>130</v>
      </c>
      <c r="AA231" s="313" t="s">
        <v>131</v>
      </c>
      <c r="AB231" s="313" t="s">
        <v>132</v>
      </c>
      <c r="AC231" s="313" t="s">
        <v>133</v>
      </c>
      <c r="AD231" s="314" t="s">
        <v>134</v>
      </c>
      <c r="AF231" s="305" t="s">
        <v>135</v>
      </c>
      <c r="AG231" s="315">
        <f>V236-AG230</f>
        <v>0</v>
      </c>
    </row>
    <row r="232" spans="2:33" ht="12.75" customHeight="1" x14ac:dyDescent="0.2">
      <c r="B232" s="558">
        <v>160</v>
      </c>
      <c r="C232" s="540">
        <v>14212723778</v>
      </c>
      <c r="D232" s="327" t="s">
        <v>225</v>
      </c>
      <c r="E232" s="317" t="s">
        <v>220</v>
      </c>
      <c r="F232" s="342"/>
      <c r="G232" s="310"/>
      <c r="H232" s="576"/>
      <c r="I232" s="131">
        <v>0</v>
      </c>
      <c r="J232" s="160"/>
      <c r="K232" s="133">
        <v>0</v>
      </c>
      <c r="L232" s="543"/>
      <c r="M232" s="78">
        <v>0</v>
      </c>
      <c r="R232" s="319" t="s">
        <v>56</v>
      </c>
      <c r="S232" s="301">
        <f>P230+S230-S231</f>
        <v>0</v>
      </c>
      <c r="U232" s="298" t="s">
        <v>59</v>
      </c>
      <c r="V232" s="301">
        <f>L258</f>
        <v>0</v>
      </c>
      <c r="X232" s="320"/>
      <c r="Y232" s="321"/>
      <c r="Z232" s="321"/>
      <c r="AA232" s="321"/>
      <c r="AB232" s="321"/>
      <c r="AC232" s="322"/>
      <c r="AD232" s="398">
        <v>46235</v>
      </c>
      <c r="AF232" s="305" t="s">
        <v>136</v>
      </c>
      <c r="AG232" s="545">
        <f>(S232*8.8)*S235</f>
        <v>0</v>
      </c>
    </row>
    <row r="233" spans="2:33" ht="12.75" customHeight="1" x14ac:dyDescent="0.2">
      <c r="B233" s="558">
        <v>130</v>
      </c>
      <c r="C233" s="540">
        <v>16044643727</v>
      </c>
      <c r="D233" s="308" t="s">
        <v>227</v>
      </c>
      <c r="E233" s="336" t="s">
        <v>220</v>
      </c>
      <c r="F233" s="342"/>
      <c r="G233" s="310"/>
      <c r="H233" s="547"/>
      <c r="I233" s="131">
        <v>0</v>
      </c>
      <c r="J233" s="160"/>
      <c r="K233" s="133">
        <v>0</v>
      </c>
      <c r="L233" s="543"/>
      <c r="M233" s="78">
        <v>0</v>
      </c>
      <c r="R233" s="298" t="s">
        <v>137</v>
      </c>
      <c r="S233" s="329">
        <f>I258</f>
        <v>0</v>
      </c>
      <c r="U233" s="330"/>
      <c r="V233" s="331"/>
      <c r="X233" s="380">
        <v>46236</v>
      </c>
      <c r="Y233" s="381">
        <v>46237</v>
      </c>
      <c r="Z233" s="381">
        <v>46238</v>
      </c>
      <c r="AA233" s="381">
        <v>46239</v>
      </c>
      <c r="AB233" s="381">
        <v>46240</v>
      </c>
      <c r="AC233" s="381">
        <v>46241</v>
      </c>
      <c r="AD233" s="382">
        <v>46242</v>
      </c>
      <c r="AF233" s="305" t="s">
        <v>138</v>
      </c>
      <c r="AG233" s="545">
        <f>AG231*8.8</f>
        <v>0</v>
      </c>
    </row>
    <row r="234" spans="2:33" ht="12.75" customHeight="1" x14ac:dyDescent="0.2">
      <c r="B234" s="565">
        <v>4</v>
      </c>
      <c r="C234" s="566">
        <v>12576147704</v>
      </c>
      <c r="D234" s="567" t="s">
        <v>234</v>
      </c>
      <c r="E234" s="350" t="s">
        <v>235</v>
      </c>
      <c r="F234" s="350"/>
      <c r="G234" s="310"/>
      <c r="H234" s="350"/>
      <c r="I234" s="131">
        <v>0</v>
      </c>
      <c r="J234" s="132"/>
      <c r="K234" s="133">
        <v>0</v>
      </c>
      <c r="L234" s="543"/>
      <c r="M234" s="78">
        <v>0</v>
      </c>
      <c r="X234" s="383">
        <v>46243</v>
      </c>
      <c r="Y234" s="384">
        <v>46244</v>
      </c>
      <c r="Z234" s="384">
        <v>46245</v>
      </c>
      <c r="AA234" s="384">
        <v>46246</v>
      </c>
      <c r="AB234" s="384">
        <v>46247</v>
      </c>
      <c r="AC234" s="384">
        <v>46248</v>
      </c>
      <c r="AD234" s="385">
        <v>46249</v>
      </c>
      <c r="AF234" s="305" t="s">
        <v>140</v>
      </c>
      <c r="AG234" s="545" t="e">
        <f>(AG232-AG233)/(8.8*S235)</f>
        <v>#DIV/0!</v>
      </c>
    </row>
    <row r="235" spans="2:33" ht="12.75" customHeight="1" x14ac:dyDescent="0.2">
      <c r="B235" s="558">
        <v>35</v>
      </c>
      <c r="C235" s="568">
        <v>9621821762</v>
      </c>
      <c r="D235" s="308" t="s">
        <v>237</v>
      </c>
      <c r="E235" s="317" t="s">
        <v>220</v>
      </c>
      <c r="F235" s="350"/>
      <c r="G235" s="310"/>
      <c r="H235" s="350"/>
      <c r="I235" s="131">
        <v>0</v>
      </c>
      <c r="J235" s="160"/>
      <c r="K235" s="133">
        <v>0</v>
      </c>
      <c r="L235" s="543"/>
      <c r="M235" s="78">
        <v>0</v>
      </c>
      <c r="R235" s="343" t="s">
        <v>22</v>
      </c>
      <c r="S235" s="344"/>
      <c r="U235" s="549" t="s">
        <v>141</v>
      </c>
      <c r="V235" s="550">
        <f>(P230+S232)/2</f>
        <v>0</v>
      </c>
      <c r="X235" s="383">
        <v>46250</v>
      </c>
      <c r="Y235" s="384">
        <v>46251</v>
      </c>
      <c r="Z235" s="384">
        <v>46252</v>
      </c>
      <c r="AA235" s="384">
        <v>46253</v>
      </c>
      <c r="AB235" s="384">
        <v>46254</v>
      </c>
      <c r="AC235" s="384">
        <v>46255</v>
      </c>
      <c r="AD235" s="385">
        <v>46256</v>
      </c>
      <c r="AG235" s="296"/>
    </row>
    <row r="236" spans="2:33" ht="12.75" customHeight="1" x14ac:dyDescent="0.2">
      <c r="B236" s="565">
        <v>3</v>
      </c>
      <c r="C236" s="569">
        <v>86749072704</v>
      </c>
      <c r="D236" s="567" t="s">
        <v>239</v>
      </c>
      <c r="E236" s="350" t="s">
        <v>235</v>
      </c>
      <c r="F236" s="350"/>
      <c r="G236" s="310"/>
      <c r="H236" s="350"/>
      <c r="I236" s="131">
        <v>0</v>
      </c>
      <c r="J236" s="160"/>
      <c r="K236" s="133">
        <v>0</v>
      </c>
      <c r="L236" s="543"/>
      <c r="M236" s="78">
        <v>0</v>
      </c>
      <c r="R236" s="343" t="s">
        <v>142</v>
      </c>
      <c r="S236" s="349"/>
      <c r="U236" s="343" t="s">
        <v>143</v>
      </c>
      <c r="V236" s="350">
        <f>S235*V235</f>
        <v>0</v>
      </c>
      <c r="X236" s="386">
        <v>46257</v>
      </c>
      <c r="Y236" s="387">
        <v>46258</v>
      </c>
      <c r="Z236" s="387">
        <v>46259</v>
      </c>
      <c r="AA236" s="387">
        <v>46260</v>
      </c>
      <c r="AB236" s="387">
        <v>46261</v>
      </c>
      <c r="AC236" s="387">
        <v>46262</v>
      </c>
      <c r="AD236" s="388">
        <v>46263</v>
      </c>
      <c r="AG236" s="296"/>
    </row>
    <row r="237" spans="2:33" ht="12.75" customHeight="1" x14ac:dyDescent="0.2">
      <c r="B237" s="558">
        <v>36</v>
      </c>
      <c r="C237" s="540">
        <v>7452452771</v>
      </c>
      <c r="D237" s="308" t="s">
        <v>241</v>
      </c>
      <c r="E237" s="336" t="s">
        <v>220</v>
      </c>
      <c r="F237" s="350"/>
      <c r="G237" s="310"/>
      <c r="H237" s="350"/>
      <c r="I237" s="131">
        <v>0</v>
      </c>
      <c r="J237" s="132"/>
      <c r="K237" s="133">
        <v>0</v>
      </c>
      <c r="L237" s="543"/>
      <c r="M237" s="78">
        <v>0</v>
      </c>
      <c r="X237" s="394">
        <v>46264</v>
      </c>
      <c r="Y237" s="396">
        <v>46265</v>
      </c>
      <c r="Z237" s="365"/>
      <c r="AA237" s="366"/>
      <c r="AB237" s="366"/>
      <c r="AC237" s="366"/>
      <c r="AD237" s="367"/>
    </row>
    <row r="238" spans="2:33" ht="12.75" customHeight="1" x14ac:dyDescent="0.2">
      <c r="B238" s="565">
        <v>6</v>
      </c>
      <c r="C238" s="569">
        <v>7728013637</v>
      </c>
      <c r="D238" s="567" t="s">
        <v>245</v>
      </c>
      <c r="E238" s="350" t="s">
        <v>235</v>
      </c>
      <c r="F238" s="350"/>
      <c r="G238" s="310"/>
      <c r="H238" s="350"/>
      <c r="I238" s="131">
        <v>0</v>
      </c>
      <c r="J238" s="132"/>
      <c r="K238" s="133">
        <v>0</v>
      </c>
      <c r="L238" s="543"/>
      <c r="M238" s="78">
        <v>0</v>
      </c>
    </row>
    <row r="239" spans="2:33" ht="12.75" customHeight="1" x14ac:dyDescent="0.2">
      <c r="B239" s="558">
        <v>109</v>
      </c>
      <c r="C239" s="540">
        <v>17911909792</v>
      </c>
      <c r="D239" s="308" t="s">
        <v>247</v>
      </c>
      <c r="E239" s="317" t="s">
        <v>220</v>
      </c>
      <c r="F239" s="350"/>
      <c r="G239" s="310"/>
      <c r="H239" s="350"/>
      <c r="I239" s="131">
        <v>0</v>
      </c>
      <c r="J239" s="160"/>
      <c r="K239" s="133">
        <v>0</v>
      </c>
      <c r="L239" s="543"/>
      <c r="M239" s="78">
        <v>0</v>
      </c>
    </row>
    <row r="240" spans="2:33" ht="12.75" customHeight="1" x14ac:dyDescent="0.2">
      <c r="B240" s="558">
        <v>100</v>
      </c>
      <c r="C240" s="540">
        <v>21963396790</v>
      </c>
      <c r="D240" s="308" t="s">
        <v>251</v>
      </c>
      <c r="E240" s="336" t="s">
        <v>220</v>
      </c>
      <c r="F240" s="350"/>
      <c r="G240" s="310"/>
      <c r="H240" s="350"/>
      <c r="I240" s="131">
        <v>0</v>
      </c>
      <c r="J240" s="132"/>
      <c r="K240" s="133">
        <v>0</v>
      </c>
      <c r="L240" s="543"/>
      <c r="M240" s="78">
        <v>0</v>
      </c>
    </row>
    <row r="241" spans="2:13" ht="12.75" customHeight="1" x14ac:dyDescent="0.2">
      <c r="B241" s="558">
        <v>153</v>
      </c>
      <c r="C241" s="540">
        <v>19379132794</v>
      </c>
      <c r="D241" s="308" t="s">
        <v>256</v>
      </c>
      <c r="E241" s="336" t="s">
        <v>220</v>
      </c>
      <c r="F241" s="350"/>
      <c r="G241" s="310"/>
      <c r="H241" s="350"/>
      <c r="I241" s="131">
        <v>0</v>
      </c>
      <c r="J241" s="132"/>
      <c r="K241" s="133">
        <v>0</v>
      </c>
      <c r="L241" s="543"/>
      <c r="M241" s="78">
        <v>0</v>
      </c>
    </row>
    <row r="242" spans="2:13" ht="12.75" customHeight="1" x14ac:dyDescent="0.2">
      <c r="B242" s="558">
        <v>63</v>
      </c>
      <c r="C242" s="540">
        <v>8932910723</v>
      </c>
      <c r="D242" s="308" t="s">
        <v>263</v>
      </c>
      <c r="E242" s="336" t="s">
        <v>220</v>
      </c>
      <c r="F242" s="350"/>
      <c r="G242" s="310"/>
      <c r="H242" s="350"/>
      <c r="I242" s="131">
        <v>0</v>
      </c>
      <c r="J242" s="132"/>
      <c r="K242" s="133">
        <v>0</v>
      </c>
      <c r="L242" s="543"/>
      <c r="M242" s="78">
        <v>0</v>
      </c>
    </row>
    <row r="243" spans="2:13" ht="12.75" customHeight="1" x14ac:dyDescent="0.2">
      <c r="B243" s="558">
        <v>135</v>
      </c>
      <c r="C243" s="540">
        <v>9823424705</v>
      </c>
      <c r="D243" s="308" t="s">
        <v>265</v>
      </c>
      <c r="E243" s="336" t="s">
        <v>220</v>
      </c>
      <c r="F243" s="350"/>
      <c r="G243" s="310"/>
      <c r="H243" s="350"/>
      <c r="I243" s="131">
        <v>0</v>
      </c>
      <c r="J243" s="132"/>
      <c r="K243" s="133">
        <v>0</v>
      </c>
      <c r="L243" s="543"/>
      <c r="M243" s="78">
        <v>0</v>
      </c>
    </row>
    <row r="244" spans="2:13" ht="12.75" customHeight="1" x14ac:dyDescent="0.2">
      <c r="B244" s="565">
        <v>5</v>
      </c>
      <c r="C244" s="569">
        <v>14676408757</v>
      </c>
      <c r="D244" s="567" t="s">
        <v>267</v>
      </c>
      <c r="E244" s="350" t="s">
        <v>235</v>
      </c>
      <c r="F244" s="350"/>
      <c r="G244" s="310"/>
      <c r="H244" s="350"/>
      <c r="I244" s="131">
        <v>0</v>
      </c>
      <c r="J244" s="132"/>
      <c r="K244" s="133">
        <v>0</v>
      </c>
      <c r="L244" s="543"/>
      <c r="M244" s="78">
        <v>0</v>
      </c>
    </row>
    <row r="245" spans="2:13" ht="12.75" customHeight="1" x14ac:dyDescent="0.2">
      <c r="B245" s="558">
        <v>147</v>
      </c>
      <c r="C245" s="540">
        <v>18605506733</v>
      </c>
      <c r="D245" s="308" t="s">
        <v>269</v>
      </c>
      <c r="E245" s="317" t="s">
        <v>220</v>
      </c>
      <c r="F245" s="350"/>
      <c r="G245" s="310"/>
      <c r="H245" s="350"/>
      <c r="I245" s="131">
        <v>0</v>
      </c>
      <c r="J245" s="160"/>
      <c r="K245" s="133">
        <v>0</v>
      </c>
      <c r="L245" s="543"/>
      <c r="M245" s="78">
        <v>0</v>
      </c>
    </row>
    <row r="246" spans="2:13" ht="12.75" customHeight="1" x14ac:dyDescent="0.2">
      <c r="B246" s="558">
        <v>99</v>
      </c>
      <c r="C246" s="540">
        <v>11968033742</v>
      </c>
      <c r="D246" s="308" t="s">
        <v>271</v>
      </c>
      <c r="E246" s="336" t="s">
        <v>220</v>
      </c>
      <c r="F246" s="350"/>
      <c r="G246" s="310"/>
      <c r="H246" s="350"/>
      <c r="I246" s="131">
        <v>0</v>
      </c>
      <c r="J246" s="160"/>
      <c r="K246" s="133">
        <v>0</v>
      </c>
      <c r="L246" s="543"/>
      <c r="M246" s="78">
        <v>0</v>
      </c>
    </row>
    <row r="247" spans="2:13" ht="12.75" customHeight="1" x14ac:dyDescent="0.2">
      <c r="B247" s="558">
        <v>54</v>
      </c>
      <c r="C247" s="540">
        <v>540533742</v>
      </c>
      <c r="D247" s="308" t="s">
        <v>273</v>
      </c>
      <c r="E247" s="336" t="s">
        <v>220</v>
      </c>
      <c r="F247" s="350"/>
      <c r="G247" s="310"/>
      <c r="H247" s="350"/>
      <c r="I247" s="131">
        <v>0</v>
      </c>
      <c r="J247" s="132"/>
      <c r="K247" s="133">
        <v>0</v>
      </c>
      <c r="L247" s="543"/>
      <c r="M247" s="78">
        <v>0</v>
      </c>
    </row>
    <row r="248" spans="2:13" ht="12.75" customHeight="1" x14ac:dyDescent="0.2">
      <c r="B248" s="558">
        <v>42</v>
      </c>
      <c r="C248" s="540">
        <v>8126990767</v>
      </c>
      <c r="D248" s="308" t="s">
        <v>274</v>
      </c>
      <c r="E248" s="336" t="s">
        <v>220</v>
      </c>
      <c r="F248" s="350"/>
      <c r="G248" s="310"/>
      <c r="H248" s="350"/>
      <c r="I248" s="131">
        <v>0</v>
      </c>
      <c r="J248" s="132"/>
      <c r="K248" s="133">
        <v>0</v>
      </c>
      <c r="L248" s="543"/>
      <c r="M248" s="78">
        <v>0</v>
      </c>
    </row>
    <row r="249" spans="2:13" ht="12.75" customHeight="1" x14ac:dyDescent="0.2">
      <c r="B249" s="558">
        <v>43</v>
      </c>
      <c r="C249" s="540">
        <v>6143838623</v>
      </c>
      <c r="D249" s="308" t="s">
        <v>275</v>
      </c>
      <c r="E249" s="336" t="s">
        <v>220</v>
      </c>
      <c r="F249" s="350"/>
      <c r="G249" s="310"/>
      <c r="H249" s="350"/>
      <c r="I249" s="131">
        <v>0</v>
      </c>
      <c r="J249" s="132"/>
      <c r="K249" s="133">
        <v>0</v>
      </c>
      <c r="L249" s="543"/>
      <c r="M249" s="78">
        <v>0</v>
      </c>
    </row>
    <row r="250" spans="2:13" ht="12.75" customHeight="1" x14ac:dyDescent="0.2">
      <c r="B250" s="558">
        <v>148</v>
      </c>
      <c r="C250" s="540">
        <v>19168959729</v>
      </c>
      <c r="D250" s="308" t="s">
        <v>277</v>
      </c>
      <c r="E250" s="336" t="s">
        <v>220</v>
      </c>
      <c r="F250" s="350"/>
      <c r="G250" s="310"/>
      <c r="H250" s="350"/>
      <c r="I250" s="131">
        <v>0</v>
      </c>
      <c r="J250" s="160"/>
      <c r="K250" s="133">
        <v>0</v>
      </c>
      <c r="L250" s="543"/>
      <c r="M250" s="78">
        <v>0</v>
      </c>
    </row>
    <row r="251" spans="2:13" ht="12.75" customHeight="1" x14ac:dyDescent="0.2">
      <c r="B251" s="558">
        <v>157</v>
      </c>
      <c r="C251" s="572">
        <v>18019744703</v>
      </c>
      <c r="D251" s="308" t="s">
        <v>278</v>
      </c>
      <c r="E251" s="336" t="s">
        <v>220</v>
      </c>
      <c r="F251" s="350"/>
      <c r="G251" s="310"/>
      <c r="H251" s="350"/>
      <c r="I251" s="131">
        <v>0</v>
      </c>
      <c r="J251" s="132"/>
      <c r="K251" s="133">
        <v>0</v>
      </c>
      <c r="L251" s="543"/>
      <c r="M251" s="78">
        <v>0</v>
      </c>
    </row>
    <row r="252" spans="2:13" ht="12.75" customHeight="1" x14ac:dyDescent="0.2">
      <c r="B252" s="558">
        <v>48</v>
      </c>
      <c r="C252" s="540">
        <v>9825505702</v>
      </c>
      <c r="D252" s="308" t="s">
        <v>279</v>
      </c>
      <c r="E252" s="336" t="s">
        <v>220</v>
      </c>
      <c r="F252" s="350"/>
      <c r="G252" s="310"/>
      <c r="H252" s="350"/>
      <c r="I252" s="131">
        <v>0</v>
      </c>
      <c r="J252" s="132"/>
      <c r="K252" s="133">
        <v>0</v>
      </c>
      <c r="L252" s="543"/>
      <c r="M252" s="78">
        <v>0</v>
      </c>
    </row>
    <row r="253" spans="2:13" ht="12.75" customHeight="1" x14ac:dyDescent="0.2">
      <c r="B253" s="565">
        <v>1</v>
      </c>
      <c r="C253" s="569">
        <v>20832236756</v>
      </c>
      <c r="D253" s="567" t="s">
        <v>280</v>
      </c>
      <c r="E253" s="350" t="s">
        <v>235</v>
      </c>
      <c r="F253" s="350"/>
      <c r="G253" s="310"/>
      <c r="H253" s="350"/>
      <c r="I253" s="131">
        <v>0</v>
      </c>
      <c r="J253" s="132"/>
      <c r="K253" s="133">
        <v>0</v>
      </c>
      <c r="L253" s="543"/>
      <c r="M253" s="78">
        <v>0</v>
      </c>
    </row>
    <row r="254" spans="2:13" ht="12.75" customHeight="1" x14ac:dyDescent="0.2">
      <c r="B254" s="580">
        <v>159</v>
      </c>
      <c r="C254" s="572">
        <v>11347893784</v>
      </c>
      <c r="D254" s="581" t="s">
        <v>284</v>
      </c>
      <c r="E254" s="317" t="s">
        <v>220</v>
      </c>
      <c r="F254" s="582"/>
      <c r="G254" s="310"/>
      <c r="H254" s="350"/>
      <c r="I254" s="131">
        <v>0</v>
      </c>
      <c r="J254" s="160"/>
      <c r="K254" s="133">
        <v>0</v>
      </c>
      <c r="L254" s="543"/>
      <c r="M254" s="78">
        <v>0</v>
      </c>
    </row>
    <row r="255" spans="2:13" ht="12.75" customHeight="1" x14ac:dyDescent="0.2">
      <c r="B255" s="558">
        <v>144</v>
      </c>
      <c r="C255" s="540">
        <v>9630506726</v>
      </c>
      <c r="D255" s="308" t="s">
        <v>286</v>
      </c>
      <c r="E255" s="336" t="s">
        <v>220</v>
      </c>
      <c r="F255" s="350"/>
      <c r="G255" s="310"/>
      <c r="H255" s="350"/>
      <c r="I255" s="131">
        <v>0</v>
      </c>
      <c r="J255" s="160"/>
      <c r="K255" s="133">
        <v>0</v>
      </c>
      <c r="L255" s="543"/>
      <c r="M255" s="78">
        <v>0</v>
      </c>
    </row>
    <row r="256" spans="2:13" ht="12.75" customHeight="1" x14ac:dyDescent="0.2">
      <c r="B256" s="558">
        <v>126</v>
      </c>
      <c r="C256" s="540">
        <v>11765503736</v>
      </c>
      <c r="D256" s="308" t="s">
        <v>288</v>
      </c>
      <c r="E256" s="336" t="s">
        <v>220</v>
      </c>
      <c r="F256" s="350"/>
      <c r="G256" s="310"/>
      <c r="H256" s="350"/>
      <c r="I256" s="131">
        <v>0</v>
      </c>
      <c r="J256" s="132"/>
      <c r="K256" s="133">
        <v>0</v>
      </c>
      <c r="L256" s="543"/>
      <c r="M256" s="78">
        <v>0</v>
      </c>
    </row>
    <row r="257" spans="2:33" ht="12.75" customHeight="1" x14ac:dyDescent="0.2">
      <c r="B257" s="558">
        <v>52</v>
      </c>
      <c r="C257" s="540">
        <v>9922359790</v>
      </c>
      <c r="D257" s="308" t="s">
        <v>289</v>
      </c>
      <c r="E257" s="336" t="s">
        <v>220</v>
      </c>
      <c r="F257" s="350"/>
      <c r="G257" s="310"/>
      <c r="H257" s="350"/>
      <c r="I257" s="131">
        <v>0</v>
      </c>
      <c r="J257" s="132"/>
      <c r="K257" s="133">
        <v>0</v>
      </c>
      <c r="L257" s="543"/>
      <c r="M257" s="78">
        <v>0</v>
      </c>
    </row>
    <row r="258" spans="2:33" ht="12.75" customHeight="1" x14ac:dyDescent="0.2">
      <c r="B258" s="354"/>
      <c r="C258" s="355"/>
      <c r="D258" s="356">
        <f>COUNTA(D231:D257)</f>
        <v>27</v>
      </c>
      <c r="E258" s="354"/>
      <c r="F258" s="356">
        <f>COUNTA(F231:F257)</f>
        <v>0</v>
      </c>
      <c r="G258" s="356">
        <f>COUNTA(G231:G257)</f>
        <v>0</v>
      </c>
      <c r="H258" s="356">
        <f>COUNTA(H231:H257)</f>
        <v>0</v>
      </c>
      <c r="I258" s="356">
        <f>SUM(I231:I257)</f>
        <v>0</v>
      </c>
      <c r="J258" s="356">
        <f>COUNTA(J231:J257)</f>
        <v>0</v>
      </c>
      <c r="K258" s="356">
        <f>SUM(K231:K257)</f>
        <v>0</v>
      </c>
      <c r="L258" s="356">
        <f>COUNTA(L231:L257)</f>
        <v>0</v>
      </c>
      <c r="M258" s="356">
        <f>SUM(M231:M257)</f>
        <v>0</v>
      </c>
      <c r="N258" s="354"/>
      <c r="O258" s="354"/>
      <c r="P258" s="354"/>
      <c r="Q258" s="354"/>
      <c r="R258" s="354"/>
      <c r="S258" s="354"/>
      <c r="T258" s="354"/>
      <c r="U258" s="354"/>
      <c r="V258" s="354"/>
      <c r="W258" s="354"/>
      <c r="X258" s="354"/>
      <c r="Y258" s="354"/>
      <c r="Z258" s="354"/>
      <c r="AA258" s="354"/>
      <c r="AB258" s="354"/>
      <c r="AC258" s="354"/>
      <c r="AD258" s="354"/>
      <c r="AE258" s="354"/>
      <c r="AF258" s="354"/>
      <c r="AG258" s="354"/>
    </row>
    <row r="260" spans="2:33" ht="12.75" customHeight="1" x14ac:dyDescent="0.2">
      <c r="B260" s="297" t="s">
        <v>41</v>
      </c>
      <c r="C260" s="297" t="s">
        <v>218</v>
      </c>
      <c r="D260" s="297" t="s">
        <v>42</v>
      </c>
      <c r="E260" s="297" t="s">
        <v>43</v>
      </c>
      <c r="F260" s="297" t="s">
        <v>44</v>
      </c>
      <c r="G260" s="297" t="s">
        <v>45</v>
      </c>
      <c r="H260" s="297" t="s">
        <v>46</v>
      </c>
      <c r="I260" s="297" t="s">
        <v>49</v>
      </c>
      <c r="J260" s="297" t="s">
        <v>39</v>
      </c>
      <c r="K260" s="297" t="s">
        <v>49</v>
      </c>
      <c r="L260" s="297" t="s">
        <v>40</v>
      </c>
      <c r="M260" s="297" t="s">
        <v>49</v>
      </c>
      <c r="O260" s="298" t="s">
        <v>125</v>
      </c>
      <c r="P260" s="358">
        <f>S230</f>
        <v>0</v>
      </c>
      <c r="R260" s="298" t="s">
        <v>44</v>
      </c>
      <c r="S260" s="300">
        <f>F288</f>
        <v>0</v>
      </c>
      <c r="U260" s="298" t="s">
        <v>39</v>
      </c>
      <c r="V260" s="301">
        <f>K288</f>
        <v>0</v>
      </c>
      <c r="X260" s="302"/>
      <c r="Y260" s="303"/>
      <c r="Z260" s="789" t="s">
        <v>153</v>
      </c>
      <c r="AA260" s="789"/>
      <c r="AB260" s="789"/>
      <c r="AC260" s="303"/>
      <c r="AD260" s="304"/>
      <c r="AF260" s="305" t="s">
        <v>127</v>
      </c>
      <c r="AG260" s="306">
        <f>(V266-V261-V260-S263)</f>
        <v>0</v>
      </c>
    </row>
    <row r="261" spans="2:33" ht="12.75" customHeight="1" x14ac:dyDescent="0.2">
      <c r="B261" s="558">
        <v>115</v>
      </c>
      <c r="C261" s="540">
        <v>17622871702</v>
      </c>
      <c r="D261" s="308" t="s">
        <v>223</v>
      </c>
      <c r="E261" s="317" t="s">
        <v>220</v>
      </c>
      <c r="F261" s="342"/>
      <c r="G261" s="310"/>
      <c r="H261" s="576"/>
      <c r="I261" s="131">
        <v>0</v>
      </c>
      <c r="J261" s="160"/>
      <c r="K261" s="133">
        <v>0</v>
      </c>
      <c r="L261" s="543"/>
      <c r="M261" s="78">
        <v>0</v>
      </c>
      <c r="R261" s="298" t="s">
        <v>45</v>
      </c>
      <c r="S261" s="301">
        <f>G288</f>
        <v>0</v>
      </c>
      <c r="U261" s="298" t="s">
        <v>40</v>
      </c>
      <c r="V261" s="301">
        <f>M288</f>
        <v>0</v>
      </c>
      <c r="X261" s="312" t="s">
        <v>128</v>
      </c>
      <c r="Y261" s="313" t="s">
        <v>129</v>
      </c>
      <c r="Z261" s="313" t="s">
        <v>130</v>
      </c>
      <c r="AA261" s="313" t="s">
        <v>131</v>
      </c>
      <c r="AB261" s="313" t="s">
        <v>132</v>
      </c>
      <c r="AC261" s="313" t="s">
        <v>133</v>
      </c>
      <c r="AD261" s="314" t="s">
        <v>134</v>
      </c>
      <c r="AF261" s="305" t="s">
        <v>135</v>
      </c>
      <c r="AG261" s="315">
        <f>V266-AG260</f>
        <v>0</v>
      </c>
    </row>
    <row r="262" spans="2:33" ht="12.75" customHeight="1" x14ac:dyDescent="0.2">
      <c r="B262" s="558">
        <v>160</v>
      </c>
      <c r="C262" s="540">
        <v>14212723778</v>
      </c>
      <c r="D262" s="327" t="s">
        <v>225</v>
      </c>
      <c r="E262" s="317" t="s">
        <v>220</v>
      </c>
      <c r="F262" s="342"/>
      <c r="G262" s="310"/>
      <c r="H262" s="576"/>
      <c r="I262" s="131">
        <v>0</v>
      </c>
      <c r="J262" s="160"/>
      <c r="K262" s="133">
        <v>0</v>
      </c>
      <c r="L262" s="543"/>
      <c r="M262" s="78">
        <v>0</v>
      </c>
      <c r="R262" s="319" t="s">
        <v>56</v>
      </c>
      <c r="S262" s="301">
        <f>P260+S260-S261</f>
        <v>0</v>
      </c>
      <c r="U262" s="298" t="s">
        <v>59</v>
      </c>
      <c r="V262" s="301">
        <f>L288</f>
        <v>0</v>
      </c>
      <c r="X262" s="320"/>
      <c r="Y262" s="322"/>
      <c r="Z262" s="391">
        <v>46266</v>
      </c>
      <c r="AA262" s="392">
        <v>46267</v>
      </c>
      <c r="AB262" s="392">
        <v>46268</v>
      </c>
      <c r="AC262" s="392">
        <v>46269</v>
      </c>
      <c r="AD262" s="379">
        <v>46270</v>
      </c>
      <c r="AF262" s="305" t="s">
        <v>136</v>
      </c>
      <c r="AG262" s="545">
        <f>(S262*8.8)*S265</f>
        <v>0</v>
      </c>
    </row>
    <row r="263" spans="2:33" ht="12.75" customHeight="1" x14ac:dyDescent="0.2">
      <c r="B263" s="558">
        <v>130</v>
      </c>
      <c r="C263" s="540">
        <v>16044643727</v>
      </c>
      <c r="D263" s="308" t="s">
        <v>227</v>
      </c>
      <c r="E263" s="336" t="s">
        <v>220</v>
      </c>
      <c r="F263" s="342"/>
      <c r="G263" s="310"/>
      <c r="H263" s="547"/>
      <c r="I263" s="131">
        <v>0</v>
      </c>
      <c r="J263" s="160"/>
      <c r="K263" s="133">
        <v>0</v>
      </c>
      <c r="L263" s="543"/>
      <c r="M263" s="78">
        <v>0</v>
      </c>
      <c r="R263" s="298" t="s">
        <v>137</v>
      </c>
      <c r="S263" s="329">
        <f>I288</f>
        <v>0</v>
      </c>
      <c r="U263" s="330"/>
      <c r="V263" s="331"/>
      <c r="X263" s="380">
        <v>46271</v>
      </c>
      <c r="Y263" s="399">
        <v>46272</v>
      </c>
      <c r="Z263" s="381">
        <v>46273</v>
      </c>
      <c r="AA263" s="381">
        <v>46274</v>
      </c>
      <c r="AB263" s="381">
        <v>46275</v>
      </c>
      <c r="AC263" s="381">
        <v>46276</v>
      </c>
      <c r="AD263" s="382">
        <v>46277</v>
      </c>
      <c r="AF263" s="305" t="s">
        <v>138</v>
      </c>
      <c r="AG263" s="545">
        <f>AG261*8.8</f>
        <v>0</v>
      </c>
    </row>
    <row r="264" spans="2:33" ht="12.75" customHeight="1" x14ac:dyDescent="0.2">
      <c r="B264" s="565">
        <v>4</v>
      </c>
      <c r="C264" s="566">
        <v>12576147704</v>
      </c>
      <c r="D264" s="567" t="s">
        <v>234</v>
      </c>
      <c r="E264" s="350" t="s">
        <v>235</v>
      </c>
      <c r="F264" s="350"/>
      <c r="G264" s="310"/>
      <c r="H264" s="350"/>
      <c r="I264" s="131">
        <v>0</v>
      </c>
      <c r="J264" s="132"/>
      <c r="K264" s="133">
        <v>0</v>
      </c>
      <c r="L264" s="543"/>
      <c r="M264" s="78">
        <v>0</v>
      </c>
      <c r="X264" s="383">
        <v>46278</v>
      </c>
      <c r="Y264" s="384">
        <v>46279</v>
      </c>
      <c r="Z264" s="384">
        <v>46280</v>
      </c>
      <c r="AA264" s="384">
        <v>46281</v>
      </c>
      <c r="AB264" s="384">
        <v>46282</v>
      </c>
      <c r="AC264" s="384">
        <v>46283</v>
      </c>
      <c r="AD264" s="385">
        <v>46284</v>
      </c>
      <c r="AF264" s="305" t="s">
        <v>140</v>
      </c>
      <c r="AG264" s="545" t="e">
        <f>(AG262-AG263)/(8.8*S265)</f>
        <v>#DIV/0!</v>
      </c>
    </row>
    <row r="265" spans="2:33" ht="12.75" customHeight="1" x14ac:dyDescent="0.2">
      <c r="B265" s="558">
        <v>35</v>
      </c>
      <c r="C265" s="568">
        <v>9621821762</v>
      </c>
      <c r="D265" s="308" t="s">
        <v>237</v>
      </c>
      <c r="E265" s="317" t="s">
        <v>220</v>
      </c>
      <c r="F265" s="350"/>
      <c r="G265" s="310"/>
      <c r="H265" s="350"/>
      <c r="I265" s="131">
        <v>0</v>
      </c>
      <c r="J265" s="160"/>
      <c r="K265" s="133">
        <v>0</v>
      </c>
      <c r="L265" s="543"/>
      <c r="M265" s="78">
        <v>0</v>
      </c>
      <c r="R265" s="343" t="s">
        <v>22</v>
      </c>
      <c r="S265" s="344"/>
      <c r="U265" s="549" t="s">
        <v>141</v>
      </c>
      <c r="V265" s="550">
        <f>(P260+S262)/2</f>
        <v>0</v>
      </c>
      <c r="X265" s="386">
        <v>46285</v>
      </c>
      <c r="Y265" s="387">
        <v>46286</v>
      </c>
      <c r="Z265" s="387">
        <v>46287</v>
      </c>
      <c r="AA265" s="387">
        <v>46288</v>
      </c>
      <c r="AB265" s="387">
        <v>46289</v>
      </c>
      <c r="AC265" s="387">
        <v>46290</v>
      </c>
      <c r="AD265" s="388">
        <v>46291</v>
      </c>
      <c r="AG265" s="296"/>
    </row>
    <row r="266" spans="2:33" ht="12.75" customHeight="1" x14ac:dyDescent="0.2">
      <c r="B266" s="565">
        <v>3</v>
      </c>
      <c r="C266" s="569">
        <v>86749072704</v>
      </c>
      <c r="D266" s="567" t="s">
        <v>239</v>
      </c>
      <c r="E266" s="350" t="s">
        <v>235</v>
      </c>
      <c r="F266" s="350"/>
      <c r="G266" s="310"/>
      <c r="H266" s="350"/>
      <c r="I266" s="131">
        <v>0</v>
      </c>
      <c r="J266" s="160"/>
      <c r="K266" s="133">
        <v>0</v>
      </c>
      <c r="L266" s="543"/>
      <c r="M266" s="78">
        <v>0</v>
      </c>
      <c r="R266" s="343" t="s">
        <v>142</v>
      </c>
      <c r="S266" s="349"/>
      <c r="U266" s="343" t="s">
        <v>143</v>
      </c>
      <c r="V266" s="350">
        <f>S265*V265</f>
        <v>0</v>
      </c>
      <c r="X266" s="394">
        <v>46292</v>
      </c>
      <c r="Y266" s="395">
        <v>46293</v>
      </c>
      <c r="Z266" s="395">
        <v>46294</v>
      </c>
      <c r="AA266" s="396">
        <v>46295</v>
      </c>
      <c r="AB266" s="365"/>
      <c r="AC266" s="366"/>
      <c r="AD266" s="367"/>
      <c r="AG266" s="296"/>
    </row>
    <row r="267" spans="2:33" ht="12.75" customHeight="1" x14ac:dyDescent="0.2">
      <c r="B267" s="558">
        <v>36</v>
      </c>
      <c r="C267" s="540">
        <v>7452452771</v>
      </c>
      <c r="D267" s="308" t="s">
        <v>241</v>
      </c>
      <c r="E267" s="336" t="s">
        <v>220</v>
      </c>
      <c r="F267" s="350"/>
      <c r="G267" s="310"/>
      <c r="H267" s="350"/>
      <c r="I267" s="131">
        <v>0</v>
      </c>
      <c r="J267" s="132"/>
      <c r="K267" s="133">
        <v>0</v>
      </c>
      <c r="L267" s="543"/>
      <c r="M267" s="78">
        <v>0</v>
      </c>
    </row>
    <row r="268" spans="2:33" ht="12.75" customHeight="1" x14ac:dyDescent="0.2">
      <c r="B268" s="565">
        <v>6</v>
      </c>
      <c r="C268" s="569">
        <v>7728013637</v>
      </c>
      <c r="D268" s="567" t="s">
        <v>245</v>
      </c>
      <c r="E268" s="350" t="s">
        <v>235</v>
      </c>
      <c r="F268" s="350"/>
      <c r="G268" s="310"/>
      <c r="H268" s="350"/>
      <c r="I268" s="131">
        <v>0</v>
      </c>
      <c r="J268" s="132"/>
      <c r="K268" s="133">
        <v>0</v>
      </c>
      <c r="L268" s="543"/>
      <c r="M268" s="78">
        <v>0</v>
      </c>
    </row>
    <row r="269" spans="2:33" ht="12.75" customHeight="1" x14ac:dyDescent="0.2">
      <c r="B269" s="558">
        <v>109</v>
      </c>
      <c r="C269" s="540">
        <v>17911909792</v>
      </c>
      <c r="D269" s="308" t="s">
        <v>247</v>
      </c>
      <c r="E269" s="317" t="s">
        <v>220</v>
      </c>
      <c r="F269" s="350"/>
      <c r="G269" s="310"/>
      <c r="H269" s="350"/>
      <c r="I269" s="131">
        <v>0</v>
      </c>
      <c r="J269" s="160"/>
      <c r="K269" s="133">
        <v>0</v>
      </c>
      <c r="L269" s="543"/>
      <c r="M269" s="78">
        <v>0</v>
      </c>
    </row>
    <row r="270" spans="2:33" ht="12.75" customHeight="1" x14ac:dyDescent="0.2">
      <c r="B270" s="558">
        <v>100</v>
      </c>
      <c r="C270" s="540">
        <v>21963396790</v>
      </c>
      <c r="D270" s="308" t="s">
        <v>251</v>
      </c>
      <c r="E270" s="336" t="s">
        <v>220</v>
      </c>
      <c r="F270" s="350"/>
      <c r="G270" s="310"/>
      <c r="H270" s="350"/>
      <c r="I270" s="131">
        <v>0</v>
      </c>
      <c r="J270" s="132"/>
      <c r="K270" s="133">
        <v>0</v>
      </c>
      <c r="L270" s="543"/>
      <c r="M270" s="78">
        <v>0</v>
      </c>
    </row>
    <row r="271" spans="2:33" ht="12.75" customHeight="1" x14ac:dyDescent="0.2">
      <c r="B271" s="558">
        <v>153</v>
      </c>
      <c r="C271" s="540">
        <v>19379132794</v>
      </c>
      <c r="D271" s="308" t="s">
        <v>256</v>
      </c>
      <c r="E271" s="336" t="s">
        <v>220</v>
      </c>
      <c r="F271" s="350"/>
      <c r="G271" s="310"/>
      <c r="H271" s="350"/>
      <c r="I271" s="131">
        <v>0</v>
      </c>
      <c r="J271" s="132"/>
      <c r="K271" s="133">
        <v>0</v>
      </c>
      <c r="L271" s="543"/>
      <c r="M271" s="78">
        <v>0</v>
      </c>
    </row>
    <row r="272" spans="2:33" ht="12.75" customHeight="1" x14ac:dyDescent="0.2">
      <c r="B272" s="558">
        <v>63</v>
      </c>
      <c r="C272" s="540">
        <v>8932910723</v>
      </c>
      <c r="D272" s="308" t="s">
        <v>263</v>
      </c>
      <c r="E272" s="336" t="s">
        <v>220</v>
      </c>
      <c r="F272" s="350"/>
      <c r="G272" s="310"/>
      <c r="H272" s="350"/>
      <c r="I272" s="131">
        <v>0</v>
      </c>
      <c r="J272" s="132"/>
      <c r="K272" s="133">
        <v>0</v>
      </c>
      <c r="L272" s="543"/>
      <c r="M272" s="78">
        <v>0</v>
      </c>
    </row>
    <row r="273" spans="2:33" ht="12.75" customHeight="1" x14ac:dyDescent="0.2">
      <c r="B273" s="558">
        <v>135</v>
      </c>
      <c r="C273" s="540">
        <v>9823424705</v>
      </c>
      <c r="D273" s="308" t="s">
        <v>265</v>
      </c>
      <c r="E273" s="336" t="s">
        <v>220</v>
      </c>
      <c r="F273" s="350"/>
      <c r="G273" s="310"/>
      <c r="H273" s="350"/>
      <c r="I273" s="131">
        <v>0</v>
      </c>
      <c r="J273" s="132"/>
      <c r="K273" s="133">
        <v>0</v>
      </c>
      <c r="L273" s="543"/>
      <c r="M273" s="78">
        <v>0</v>
      </c>
    </row>
    <row r="274" spans="2:33" ht="12.75" customHeight="1" x14ac:dyDescent="0.2">
      <c r="B274" s="565">
        <v>5</v>
      </c>
      <c r="C274" s="569">
        <v>14676408757</v>
      </c>
      <c r="D274" s="567" t="s">
        <v>267</v>
      </c>
      <c r="E274" s="350" t="s">
        <v>235</v>
      </c>
      <c r="F274" s="350"/>
      <c r="G274" s="310"/>
      <c r="H274" s="350"/>
      <c r="I274" s="131">
        <v>0</v>
      </c>
      <c r="J274" s="132"/>
      <c r="K274" s="133">
        <v>0</v>
      </c>
      <c r="L274" s="543"/>
      <c r="M274" s="78">
        <v>0</v>
      </c>
    </row>
    <row r="275" spans="2:33" ht="12.75" customHeight="1" x14ac:dyDescent="0.2">
      <c r="B275" s="558">
        <v>147</v>
      </c>
      <c r="C275" s="540">
        <v>18605506733</v>
      </c>
      <c r="D275" s="308" t="s">
        <v>269</v>
      </c>
      <c r="E275" s="317" t="s">
        <v>220</v>
      </c>
      <c r="F275" s="350"/>
      <c r="G275" s="310"/>
      <c r="H275" s="350"/>
      <c r="I275" s="131">
        <v>0</v>
      </c>
      <c r="J275" s="160"/>
      <c r="K275" s="133">
        <v>0</v>
      </c>
      <c r="L275" s="543"/>
      <c r="M275" s="78">
        <v>0</v>
      </c>
    </row>
    <row r="276" spans="2:33" ht="12.75" customHeight="1" x14ac:dyDescent="0.2">
      <c r="B276" s="558">
        <v>99</v>
      </c>
      <c r="C276" s="540">
        <v>11968033742</v>
      </c>
      <c r="D276" s="308" t="s">
        <v>271</v>
      </c>
      <c r="E276" s="336" t="s">
        <v>220</v>
      </c>
      <c r="F276" s="350"/>
      <c r="G276" s="310"/>
      <c r="H276" s="350"/>
      <c r="I276" s="131">
        <v>0</v>
      </c>
      <c r="J276" s="160"/>
      <c r="K276" s="133">
        <v>0</v>
      </c>
      <c r="L276" s="543"/>
      <c r="M276" s="78">
        <v>0</v>
      </c>
    </row>
    <row r="277" spans="2:33" ht="12.75" customHeight="1" x14ac:dyDescent="0.2">
      <c r="B277" s="558">
        <v>54</v>
      </c>
      <c r="C277" s="540">
        <v>540533742</v>
      </c>
      <c r="D277" s="308" t="s">
        <v>273</v>
      </c>
      <c r="E277" s="336" t="s">
        <v>220</v>
      </c>
      <c r="F277" s="350"/>
      <c r="G277" s="310"/>
      <c r="H277" s="350"/>
      <c r="I277" s="131">
        <v>0</v>
      </c>
      <c r="J277" s="132"/>
      <c r="K277" s="133">
        <v>0</v>
      </c>
      <c r="L277" s="543"/>
      <c r="M277" s="78">
        <v>0</v>
      </c>
    </row>
    <row r="278" spans="2:33" ht="12.75" customHeight="1" x14ac:dyDescent="0.2">
      <c r="B278" s="558">
        <v>42</v>
      </c>
      <c r="C278" s="540">
        <v>8126990767</v>
      </c>
      <c r="D278" s="308" t="s">
        <v>274</v>
      </c>
      <c r="E278" s="336" t="s">
        <v>220</v>
      </c>
      <c r="F278" s="350"/>
      <c r="G278" s="310"/>
      <c r="H278" s="350"/>
      <c r="I278" s="131">
        <v>0</v>
      </c>
      <c r="J278" s="132"/>
      <c r="K278" s="133">
        <v>0</v>
      </c>
      <c r="L278" s="543"/>
      <c r="M278" s="78">
        <v>0</v>
      </c>
    </row>
    <row r="279" spans="2:33" ht="12.75" customHeight="1" x14ac:dyDescent="0.2">
      <c r="B279" s="558">
        <v>43</v>
      </c>
      <c r="C279" s="540">
        <v>6143838623</v>
      </c>
      <c r="D279" s="308" t="s">
        <v>275</v>
      </c>
      <c r="E279" s="336" t="s">
        <v>220</v>
      </c>
      <c r="F279" s="350"/>
      <c r="G279" s="310"/>
      <c r="H279" s="350"/>
      <c r="I279" s="131">
        <v>0</v>
      </c>
      <c r="J279" s="132"/>
      <c r="K279" s="133">
        <v>0</v>
      </c>
      <c r="L279" s="543"/>
      <c r="M279" s="78">
        <v>0</v>
      </c>
    </row>
    <row r="280" spans="2:33" ht="12.75" customHeight="1" x14ac:dyDescent="0.2">
      <c r="B280" s="558">
        <v>148</v>
      </c>
      <c r="C280" s="540">
        <v>19168959729</v>
      </c>
      <c r="D280" s="308" t="s">
        <v>277</v>
      </c>
      <c r="E280" s="336" t="s">
        <v>220</v>
      </c>
      <c r="F280" s="350"/>
      <c r="G280" s="310"/>
      <c r="H280" s="350"/>
      <c r="I280" s="131">
        <v>0</v>
      </c>
      <c r="J280" s="160"/>
      <c r="K280" s="133">
        <v>0</v>
      </c>
      <c r="L280" s="543"/>
      <c r="M280" s="78">
        <v>0</v>
      </c>
    </row>
    <row r="281" spans="2:33" ht="12.75" customHeight="1" x14ac:dyDescent="0.2">
      <c r="B281" s="558">
        <v>157</v>
      </c>
      <c r="C281" s="572">
        <v>18019744703</v>
      </c>
      <c r="D281" s="308" t="s">
        <v>278</v>
      </c>
      <c r="E281" s="336" t="s">
        <v>220</v>
      </c>
      <c r="F281" s="350"/>
      <c r="G281" s="310"/>
      <c r="H281" s="350"/>
      <c r="I281" s="131">
        <v>0</v>
      </c>
      <c r="J281" s="132"/>
      <c r="K281" s="133">
        <v>0</v>
      </c>
      <c r="L281" s="543"/>
      <c r="M281" s="78">
        <v>0</v>
      </c>
    </row>
    <row r="282" spans="2:33" ht="12.75" customHeight="1" x14ac:dyDescent="0.2">
      <c r="B282" s="558">
        <v>48</v>
      </c>
      <c r="C282" s="540">
        <v>9825505702</v>
      </c>
      <c r="D282" s="308" t="s">
        <v>279</v>
      </c>
      <c r="E282" s="336" t="s">
        <v>220</v>
      </c>
      <c r="F282" s="350"/>
      <c r="G282" s="310"/>
      <c r="H282" s="350"/>
      <c r="I282" s="131">
        <v>0</v>
      </c>
      <c r="J282" s="132"/>
      <c r="K282" s="133">
        <v>0</v>
      </c>
      <c r="L282" s="543"/>
      <c r="M282" s="78">
        <v>0</v>
      </c>
    </row>
    <row r="283" spans="2:33" ht="12.75" customHeight="1" x14ac:dyDescent="0.2">
      <c r="B283" s="565">
        <v>1</v>
      </c>
      <c r="C283" s="569">
        <v>20832236756</v>
      </c>
      <c r="D283" s="567" t="s">
        <v>280</v>
      </c>
      <c r="E283" s="350" t="s">
        <v>235</v>
      </c>
      <c r="F283" s="350"/>
      <c r="G283" s="310"/>
      <c r="H283" s="350"/>
      <c r="I283" s="131">
        <v>0</v>
      </c>
      <c r="J283" s="132"/>
      <c r="K283" s="133">
        <v>0</v>
      </c>
      <c r="L283" s="543"/>
      <c r="M283" s="78">
        <v>0</v>
      </c>
    </row>
    <row r="284" spans="2:33" ht="12.75" customHeight="1" x14ac:dyDescent="0.2">
      <c r="B284" s="580">
        <v>159</v>
      </c>
      <c r="C284" s="572">
        <v>11347893784</v>
      </c>
      <c r="D284" s="581" t="s">
        <v>284</v>
      </c>
      <c r="E284" s="317" t="s">
        <v>220</v>
      </c>
      <c r="F284" s="582"/>
      <c r="G284" s="310"/>
      <c r="H284" s="350"/>
      <c r="I284" s="131">
        <v>0</v>
      </c>
      <c r="J284" s="160"/>
      <c r="K284" s="133">
        <v>0</v>
      </c>
      <c r="L284" s="543"/>
      <c r="M284" s="78">
        <v>0</v>
      </c>
    </row>
    <row r="285" spans="2:33" ht="12.75" customHeight="1" x14ac:dyDescent="0.2">
      <c r="B285" s="558">
        <v>144</v>
      </c>
      <c r="C285" s="540">
        <v>9630506726</v>
      </c>
      <c r="D285" s="308" t="s">
        <v>286</v>
      </c>
      <c r="E285" s="336" t="s">
        <v>220</v>
      </c>
      <c r="F285" s="350"/>
      <c r="G285" s="310"/>
      <c r="H285" s="350"/>
      <c r="I285" s="131">
        <v>0</v>
      </c>
      <c r="J285" s="160"/>
      <c r="K285" s="133">
        <v>0</v>
      </c>
      <c r="L285" s="543"/>
      <c r="M285" s="78">
        <v>0</v>
      </c>
    </row>
    <row r="286" spans="2:33" ht="12.75" customHeight="1" x14ac:dyDescent="0.2">
      <c r="B286" s="558">
        <v>126</v>
      </c>
      <c r="C286" s="540">
        <v>11765503736</v>
      </c>
      <c r="D286" s="308" t="s">
        <v>288</v>
      </c>
      <c r="E286" s="336" t="s">
        <v>220</v>
      </c>
      <c r="F286" s="350"/>
      <c r="G286" s="310"/>
      <c r="H286" s="350"/>
      <c r="I286" s="131">
        <v>0</v>
      </c>
      <c r="J286" s="132"/>
      <c r="K286" s="133">
        <v>0</v>
      </c>
      <c r="L286" s="543"/>
      <c r="M286" s="78">
        <v>0</v>
      </c>
    </row>
    <row r="287" spans="2:33" ht="12.75" customHeight="1" x14ac:dyDescent="0.2">
      <c r="B287" s="558">
        <v>52</v>
      </c>
      <c r="C287" s="540">
        <v>9922359790</v>
      </c>
      <c r="D287" s="308" t="s">
        <v>289</v>
      </c>
      <c r="E287" s="336" t="s">
        <v>220</v>
      </c>
      <c r="F287" s="350"/>
      <c r="G287" s="310"/>
      <c r="H287" s="350"/>
      <c r="I287" s="131">
        <v>0</v>
      </c>
      <c r="J287" s="132"/>
      <c r="K287" s="133">
        <v>0</v>
      </c>
      <c r="L287" s="543"/>
      <c r="M287" s="78">
        <v>0</v>
      </c>
    </row>
    <row r="288" spans="2:33" ht="12.75" customHeight="1" x14ac:dyDescent="0.2">
      <c r="B288" s="354"/>
      <c r="C288" s="355"/>
      <c r="D288" s="356">
        <f>COUNTA(D261:D287)</f>
        <v>27</v>
      </c>
      <c r="E288" s="354"/>
      <c r="F288" s="356">
        <f>COUNTA(F261:F287)</f>
        <v>0</v>
      </c>
      <c r="G288" s="356">
        <f>COUNTA(G261:G287)</f>
        <v>0</v>
      </c>
      <c r="H288" s="356">
        <f>COUNTA(H261:H287)</f>
        <v>0</v>
      </c>
      <c r="I288" s="356">
        <f>SUM(I261:I287)</f>
        <v>0</v>
      </c>
      <c r="J288" s="356">
        <f>COUNTA(J261:J287)</f>
        <v>0</v>
      </c>
      <c r="K288" s="356">
        <f>SUM(K261:K287)</f>
        <v>0</v>
      </c>
      <c r="L288" s="356">
        <f>COUNTA(L261:L287)</f>
        <v>0</v>
      </c>
      <c r="M288" s="356">
        <f>SUM(M261:M287)</f>
        <v>0</v>
      </c>
      <c r="N288" s="354"/>
      <c r="O288" s="354"/>
      <c r="P288" s="354"/>
      <c r="Q288" s="354"/>
      <c r="R288" s="354"/>
      <c r="S288" s="354"/>
      <c r="T288" s="354"/>
      <c r="U288" s="354"/>
      <c r="V288" s="354"/>
      <c r="W288" s="354"/>
      <c r="X288" s="354"/>
      <c r="Y288" s="354"/>
      <c r="Z288" s="354"/>
      <c r="AA288" s="354"/>
      <c r="AB288" s="354"/>
      <c r="AC288" s="354"/>
      <c r="AD288" s="354"/>
      <c r="AE288" s="354"/>
      <c r="AF288" s="354"/>
      <c r="AG288" s="354"/>
    </row>
    <row r="290" spans="2:33" ht="12.75" customHeight="1" x14ac:dyDescent="0.2">
      <c r="B290" s="297" t="s">
        <v>41</v>
      </c>
      <c r="C290" s="297" t="s">
        <v>218</v>
      </c>
      <c r="D290" s="297" t="s">
        <v>42</v>
      </c>
      <c r="E290" s="297" t="s">
        <v>43</v>
      </c>
      <c r="F290" s="297" t="s">
        <v>44</v>
      </c>
      <c r="G290" s="297" t="s">
        <v>45</v>
      </c>
      <c r="H290" s="297" t="s">
        <v>46</v>
      </c>
      <c r="I290" s="297" t="s">
        <v>49</v>
      </c>
      <c r="J290" s="297" t="s">
        <v>39</v>
      </c>
      <c r="K290" s="297" t="s">
        <v>49</v>
      </c>
      <c r="L290" s="297" t="s">
        <v>40</v>
      </c>
      <c r="M290" s="297" t="s">
        <v>49</v>
      </c>
      <c r="O290" s="298" t="s">
        <v>125</v>
      </c>
      <c r="P290" s="358">
        <f>S260</f>
        <v>0</v>
      </c>
      <c r="R290" s="298" t="s">
        <v>44</v>
      </c>
      <c r="S290" s="300">
        <f>F318</f>
        <v>0</v>
      </c>
      <c r="U290" s="298" t="s">
        <v>39</v>
      </c>
      <c r="V290" s="301">
        <f>K318</f>
        <v>0</v>
      </c>
      <c r="X290" s="302"/>
      <c r="Y290" s="303"/>
      <c r="Z290" s="789" t="s">
        <v>154</v>
      </c>
      <c r="AA290" s="789"/>
      <c r="AB290" s="789"/>
      <c r="AC290" s="303"/>
      <c r="AD290" s="304"/>
      <c r="AF290" s="305" t="s">
        <v>127</v>
      </c>
      <c r="AG290" s="306">
        <f>(V296-V291-V290-S293)</f>
        <v>0</v>
      </c>
    </row>
    <row r="291" spans="2:33" ht="12.75" customHeight="1" x14ac:dyDescent="0.2">
      <c r="B291" s="558">
        <v>115</v>
      </c>
      <c r="C291" s="540">
        <v>17622871702</v>
      </c>
      <c r="D291" s="308" t="s">
        <v>223</v>
      </c>
      <c r="E291" s="317" t="s">
        <v>220</v>
      </c>
      <c r="F291" s="342"/>
      <c r="G291" s="310"/>
      <c r="H291" s="576"/>
      <c r="I291" s="131">
        <v>0</v>
      </c>
      <c r="J291" s="160"/>
      <c r="K291" s="133">
        <v>0</v>
      </c>
      <c r="L291" s="543"/>
      <c r="M291" s="78">
        <v>0</v>
      </c>
      <c r="R291" s="298" t="s">
        <v>45</v>
      </c>
      <c r="S291" s="301">
        <f>G318</f>
        <v>0</v>
      </c>
      <c r="U291" s="298" t="s">
        <v>40</v>
      </c>
      <c r="V291" s="301">
        <f>M318</f>
        <v>0</v>
      </c>
      <c r="X291" s="312" t="s">
        <v>128</v>
      </c>
      <c r="Y291" s="313" t="s">
        <v>129</v>
      </c>
      <c r="Z291" s="313" t="s">
        <v>130</v>
      </c>
      <c r="AA291" s="313" t="s">
        <v>131</v>
      </c>
      <c r="AB291" s="313" t="s">
        <v>132</v>
      </c>
      <c r="AC291" s="313" t="s">
        <v>133</v>
      </c>
      <c r="AD291" s="314" t="s">
        <v>134</v>
      </c>
      <c r="AF291" s="305" t="s">
        <v>135</v>
      </c>
      <c r="AG291" s="315">
        <f>V296-AG290</f>
        <v>0</v>
      </c>
    </row>
    <row r="292" spans="2:33" ht="12.75" customHeight="1" x14ac:dyDescent="0.2">
      <c r="B292" s="558">
        <v>160</v>
      </c>
      <c r="C292" s="540">
        <v>14212723778</v>
      </c>
      <c r="D292" s="327" t="s">
        <v>225</v>
      </c>
      <c r="E292" s="317" t="s">
        <v>220</v>
      </c>
      <c r="F292" s="342"/>
      <c r="G292" s="310"/>
      <c r="H292" s="576"/>
      <c r="I292" s="131">
        <v>0</v>
      </c>
      <c r="J292" s="160"/>
      <c r="K292" s="133">
        <v>0</v>
      </c>
      <c r="L292" s="543"/>
      <c r="M292" s="78">
        <v>0</v>
      </c>
      <c r="R292" s="319" t="s">
        <v>56</v>
      </c>
      <c r="S292" s="301">
        <f>P290+S290-S291</f>
        <v>0</v>
      </c>
      <c r="U292" s="298" t="s">
        <v>59</v>
      </c>
      <c r="V292" s="301">
        <f>L318</f>
        <v>0</v>
      </c>
      <c r="X292" s="320"/>
      <c r="Y292" s="321"/>
      <c r="Z292" s="321"/>
      <c r="AA292" s="322"/>
      <c r="AB292" s="391">
        <v>46296</v>
      </c>
      <c r="AC292" s="392">
        <v>46297</v>
      </c>
      <c r="AD292" s="379">
        <v>46298</v>
      </c>
      <c r="AF292" s="305" t="s">
        <v>136</v>
      </c>
      <c r="AG292" s="545">
        <f>(S292*8.8)*S295</f>
        <v>0</v>
      </c>
    </row>
    <row r="293" spans="2:33" ht="12.75" customHeight="1" x14ac:dyDescent="0.2">
      <c r="B293" s="558">
        <v>130</v>
      </c>
      <c r="C293" s="540">
        <v>16044643727</v>
      </c>
      <c r="D293" s="308" t="s">
        <v>227</v>
      </c>
      <c r="E293" s="336" t="s">
        <v>220</v>
      </c>
      <c r="F293" s="342"/>
      <c r="G293" s="310"/>
      <c r="H293" s="547"/>
      <c r="I293" s="131">
        <v>0</v>
      </c>
      <c r="J293" s="160"/>
      <c r="K293" s="133">
        <v>0</v>
      </c>
      <c r="L293" s="543"/>
      <c r="M293" s="78">
        <v>0</v>
      </c>
      <c r="R293" s="298" t="s">
        <v>137</v>
      </c>
      <c r="S293" s="329">
        <f>I318</f>
        <v>0</v>
      </c>
      <c r="U293" s="330"/>
      <c r="V293" s="331"/>
      <c r="X293" s="380">
        <v>46299</v>
      </c>
      <c r="Y293" s="381">
        <v>46300</v>
      </c>
      <c r="Z293" s="381">
        <v>46301</v>
      </c>
      <c r="AA293" s="381">
        <v>46302</v>
      </c>
      <c r="AB293" s="381">
        <v>46303</v>
      </c>
      <c r="AC293" s="381">
        <v>46304</v>
      </c>
      <c r="AD293" s="382">
        <v>46305</v>
      </c>
      <c r="AF293" s="305" t="s">
        <v>138</v>
      </c>
      <c r="AG293" s="545">
        <f>AG291*8.8</f>
        <v>0</v>
      </c>
    </row>
    <row r="294" spans="2:33" ht="12.75" customHeight="1" x14ac:dyDescent="0.2">
      <c r="B294" s="565">
        <v>4</v>
      </c>
      <c r="C294" s="566">
        <v>12576147704</v>
      </c>
      <c r="D294" s="567" t="s">
        <v>234</v>
      </c>
      <c r="E294" s="350" t="s">
        <v>235</v>
      </c>
      <c r="F294" s="350"/>
      <c r="G294" s="310"/>
      <c r="H294" s="350"/>
      <c r="I294" s="131">
        <v>0</v>
      </c>
      <c r="J294" s="132"/>
      <c r="K294" s="133">
        <v>0</v>
      </c>
      <c r="L294" s="543"/>
      <c r="M294" s="78">
        <v>0</v>
      </c>
      <c r="X294" s="383">
        <v>46306</v>
      </c>
      <c r="Y294" s="400">
        <v>46307</v>
      </c>
      <c r="Z294" s="384">
        <v>46308</v>
      </c>
      <c r="AA294" s="384">
        <v>46309</v>
      </c>
      <c r="AB294" s="384">
        <v>46310</v>
      </c>
      <c r="AC294" s="384">
        <v>46311</v>
      </c>
      <c r="AD294" s="385">
        <v>46312</v>
      </c>
      <c r="AF294" s="305" t="s">
        <v>140</v>
      </c>
      <c r="AG294" s="545" t="e">
        <f>(AG292-AG293)/(8.8*S295)</f>
        <v>#DIV/0!</v>
      </c>
    </row>
    <row r="295" spans="2:33" ht="12.75" customHeight="1" x14ac:dyDescent="0.2">
      <c r="B295" s="558">
        <v>35</v>
      </c>
      <c r="C295" s="568">
        <v>9621821762</v>
      </c>
      <c r="D295" s="308" t="s">
        <v>237</v>
      </c>
      <c r="E295" s="317" t="s">
        <v>220</v>
      </c>
      <c r="F295" s="350"/>
      <c r="G295" s="310"/>
      <c r="H295" s="350"/>
      <c r="I295" s="131">
        <v>0</v>
      </c>
      <c r="J295" s="160"/>
      <c r="K295" s="133">
        <v>0</v>
      </c>
      <c r="L295" s="543"/>
      <c r="M295" s="78">
        <v>0</v>
      </c>
      <c r="R295" s="343" t="s">
        <v>22</v>
      </c>
      <c r="S295" s="344"/>
      <c r="U295" s="549" t="s">
        <v>141</v>
      </c>
      <c r="V295" s="550">
        <f>(P290+S292)/2</f>
        <v>0</v>
      </c>
      <c r="X295" s="386">
        <v>46313</v>
      </c>
      <c r="Y295" s="387">
        <v>46314</v>
      </c>
      <c r="Z295" s="387">
        <v>46315</v>
      </c>
      <c r="AA295" s="387">
        <v>46316</v>
      </c>
      <c r="AB295" s="387">
        <v>46317</v>
      </c>
      <c r="AC295" s="387">
        <v>46318</v>
      </c>
      <c r="AD295" s="388">
        <v>46319</v>
      </c>
      <c r="AG295" s="296"/>
    </row>
    <row r="296" spans="2:33" ht="12.75" customHeight="1" x14ac:dyDescent="0.2">
      <c r="B296" s="565">
        <v>3</v>
      </c>
      <c r="C296" s="569">
        <v>86749072704</v>
      </c>
      <c r="D296" s="567" t="s">
        <v>239</v>
      </c>
      <c r="E296" s="350" t="s">
        <v>235</v>
      </c>
      <c r="F296" s="350"/>
      <c r="G296" s="310"/>
      <c r="H296" s="350"/>
      <c r="I296" s="131">
        <v>0</v>
      </c>
      <c r="J296" s="160"/>
      <c r="K296" s="133">
        <v>0</v>
      </c>
      <c r="L296" s="543"/>
      <c r="M296" s="78">
        <v>0</v>
      </c>
      <c r="R296" s="343" t="s">
        <v>142</v>
      </c>
      <c r="S296" s="349"/>
      <c r="U296" s="343" t="s">
        <v>143</v>
      </c>
      <c r="V296" s="350">
        <f>S295*V295</f>
        <v>0</v>
      </c>
      <c r="X296" s="394">
        <v>46320</v>
      </c>
      <c r="Y296" s="395">
        <v>46321</v>
      </c>
      <c r="Z296" s="395">
        <v>46322</v>
      </c>
      <c r="AA296" s="401">
        <v>46323</v>
      </c>
      <c r="AB296" s="395">
        <v>46324</v>
      </c>
      <c r="AC296" s="395">
        <v>46325</v>
      </c>
      <c r="AD296" s="402">
        <v>46326</v>
      </c>
      <c r="AG296" s="296"/>
    </row>
    <row r="297" spans="2:33" ht="12.75" customHeight="1" x14ac:dyDescent="0.2">
      <c r="B297" s="558">
        <v>36</v>
      </c>
      <c r="C297" s="540">
        <v>7452452771</v>
      </c>
      <c r="D297" s="308" t="s">
        <v>241</v>
      </c>
      <c r="E297" s="336" t="s">
        <v>220</v>
      </c>
      <c r="F297" s="350"/>
      <c r="G297" s="310"/>
      <c r="H297" s="350"/>
      <c r="I297" s="131">
        <v>0</v>
      </c>
      <c r="J297" s="132"/>
      <c r="K297" s="133">
        <v>0</v>
      </c>
      <c r="L297" s="543"/>
      <c r="M297" s="78">
        <v>0</v>
      </c>
    </row>
    <row r="298" spans="2:33" ht="12.75" customHeight="1" x14ac:dyDescent="0.2">
      <c r="B298" s="565">
        <v>6</v>
      </c>
      <c r="C298" s="569">
        <v>7728013637</v>
      </c>
      <c r="D298" s="567" t="s">
        <v>245</v>
      </c>
      <c r="E298" s="350" t="s">
        <v>235</v>
      </c>
      <c r="F298" s="350"/>
      <c r="G298" s="310"/>
      <c r="H298" s="350"/>
      <c r="I298" s="131">
        <v>0</v>
      </c>
      <c r="J298" s="132"/>
      <c r="K298" s="133">
        <v>0</v>
      </c>
      <c r="L298" s="543"/>
      <c r="M298" s="78">
        <v>0</v>
      </c>
    </row>
    <row r="299" spans="2:33" ht="12.75" customHeight="1" x14ac:dyDescent="0.2">
      <c r="B299" s="558">
        <v>109</v>
      </c>
      <c r="C299" s="540">
        <v>17911909792</v>
      </c>
      <c r="D299" s="308" t="s">
        <v>247</v>
      </c>
      <c r="E299" s="317" t="s">
        <v>220</v>
      </c>
      <c r="F299" s="350"/>
      <c r="G299" s="310"/>
      <c r="H299" s="350"/>
      <c r="I299" s="131">
        <v>0</v>
      </c>
      <c r="J299" s="160"/>
      <c r="K299" s="133">
        <v>0</v>
      </c>
      <c r="L299" s="543"/>
      <c r="M299" s="78">
        <v>0</v>
      </c>
    </row>
    <row r="300" spans="2:33" ht="12.75" customHeight="1" x14ac:dyDescent="0.2">
      <c r="B300" s="558">
        <v>100</v>
      </c>
      <c r="C300" s="540">
        <v>21963396790</v>
      </c>
      <c r="D300" s="308" t="s">
        <v>251</v>
      </c>
      <c r="E300" s="336" t="s">
        <v>220</v>
      </c>
      <c r="F300" s="350"/>
      <c r="G300" s="310"/>
      <c r="H300" s="350"/>
      <c r="I300" s="131">
        <v>0</v>
      </c>
      <c r="J300" s="132"/>
      <c r="K300" s="133">
        <v>0</v>
      </c>
      <c r="L300" s="543"/>
      <c r="M300" s="78">
        <v>0</v>
      </c>
    </row>
    <row r="301" spans="2:33" ht="12.75" customHeight="1" x14ac:dyDescent="0.2">
      <c r="B301" s="558">
        <v>153</v>
      </c>
      <c r="C301" s="540">
        <v>19379132794</v>
      </c>
      <c r="D301" s="308" t="s">
        <v>256</v>
      </c>
      <c r="E301" s="336" t="s">
        <v>220</v>
      </c>
      <c r="F301" s="350"/>
      <c r="G301" s="310"/>
      <c r="H301" s="350"/>
      <c r="I301" s="131">
        <v>0</v>
      </c>
      <c r="J301" s="132"/>
      <c r="K301" s="133">
        <v>0</v>
      </c>
      <c r="L301" s="543"/>
      <c r="M301" s="78">
        <v>0</v>
      </c>
    </row>
    <row r="302" spans="2:33" ht="12.75" customHeight="1" x14ac:dyDescent="0.2">
      <c r="B302" s="558">
        <v>63</v>
      </c>
      <c r="C302" s="540">
        <v>8932910723</v>
      </c>
      <c r="D302" s="308" t="s">
        <v>263</v>
      </c>
      <c r="E302" s="336" t="s">
        <v>220</v>
      </c>
      <c r="F302" s="350"/>
      <c r="G302" s="310"/>
      <c r="H302" s="350"/>
      <c r="I302" s="131">
        <v>0</v>
      </c>
      <c r="J302" s="132"/>
      <c r="K302" s="133">
        <v>0</v>
      </c>
      <c r="L302" s="543"/>
      <c r="M302" s="78">
        <v>0</v>
      </c>
    </row>
    <row r="303" spans="2:33" ht="12.75" customHeight="1" x14ac:dyDescent="0.2">
      <c r="B303" s="558">
        <v>135</v>
      </c>
      <c r="C303" s="540">
        <v>9823424705</v>
      </c>
      <c r="D303" s="308" t="s">
        <v>265</v>
      </c>
      <c r="E303" s="336" t="s">
        <v>220</v>
      </c>
      <c r="F303" s="350"/>
      <c r="G303" s="310"/>
      <c r="H303" s="350"/>
      <c r="I303" s="131">
        <v>0</v>
      </c>
      <c r="J303" s="132"/>
      <c r="K303" s="133">
        <v>0</v>
      </c>
      <c r="L303" s="543"/>
      <c r="M303" s="78">
        <v>0</v>
      </c>
    </row>
    <row r="304" spans="2:33" ht="12.75" customHeight="1" x14ac:dyDescent="0.2">
      <c r="B304" s="565">
        <v>5</v>
      </c>
      <c r="C304" s="569">
        <v>14676408757</v>
      </c>
      <c r="D304" s="567" t="s">
        <v>267</v>
      </c>
      <c r="E304" s="350" t="s">
        <v>235</v>
      </c>
      <c r="F304" s="350"/>
      <c r="G304" s="310"/>
      <c r="H304" s="350"/>
      <c r="I304" s="131">
        <v>0</v>
      </c>
      <c r="J304" s="132"/>
      <c r="K304" s="133">
        <v>0</v>
      </c>
      <c r="L304" s="543"/>
      <c r="M304" s="78">
        <v>0</v>
      </c>
    </row>
    <row r="305" spans="2:33" ht="12.75" customHeight="1" x14ac:dyDescent="0.2">
      <c r="B305" s="558">
        <v>147</v>
      </c>
      <c r="C305" s="540">
        <v>18605506733</v>
      </c>
      <c r="D305" s="308" t="s">
        <v>269</v>
      </c>
      <c r="E305" s="317" t="s">
        <v>220</v>
      </c>
      <c r="F305" s="350"/>
      <c r="G305" s="310"/>
      <c r="H305" s="350"/>
      <c r="I305" s="131">
        <v>0</v>
      </c>
      <c r="J305" s="160"/>
      <c r="K305" s="133">
        <v>0</v>
      </c>
      <c r="L305" s="543"/>
      <c r="M305" s="78">
        <v>0</v>
      </c>
    </row>
    <row r="306" spans="2:33" ht="12.75" customHeight="1" x14ac:dyDescent="0.2">
      <c r="B306" s="558">
        <v>99</v>
      </c>
      <c r="C306" s="540">
        <v>11968033742</v>
      </c>
      <c r="D306" s="308" t="s">
        <v>271</v>
      </c>
      <c r="E306" s="336" t="s">
        <v>220</v>
      </c>
      <c r="F306" s="350"/>
      <c r="G306" s="310"/>
      <c r="H306" s="350"/>
      <c r="I306" s="131">
        <v>0</v>
      </c>
      <c r="J306" s="160"/>
      <c r="K306" s="133">
        <v>0</v>
      </c>
      <c r="L306" s="543"/>
      <c r="M306" s="78">
        <v>0</v>
      </c>
    </row>
    <row r="307" spans="2:33" ht="12.75" customHeight="1" x14ac:dyDescent="0.2">
      <c r="B307" s="558">
        <v>54</v>
      </c>
      <c r="C307" s="540">
        <v>540533742</v>
      </c>
      <c r="D307" s="308" t="s">
        <v>273</v>
      </c>
      <c r="E307" s="336" t="s">
        <v>220</v>
      </c>
      <c r="F307" s="350"/>
      <c r="G307" s="310"/>
      <c r="H307" s="350"/>
      <c r="I307" s="131">
        <v>0</v>
      </c>
      <c r="J307" s="132"/>
      <c r="K307" s="133">
        <v>0</v>
      </c>
      <c r="L307" s="543"/>
      <c r="M307" s="78">
        <v>0</v>
      </c>
    </row>
    <row r="308" spans="2:33" ht="12.75" customHeight="1" x14ac:dyDescent="0.2">
      <c r="B308" s="558">
        <v>42</v>
      </c>
      <c r="C308" s="540">
        <v>8126990767</v>
      </c>
      <c r="D308" s="308" t="s">
        <v>274</v>
      </c>
      <c r="E308" s="336" t="s">
        <v>220</v>
      </c>
      <c r="F308" s="350"/>
      <c r="G308" s="310"/>
      <c r="H308" s="350"/>
      <c r="I308" s="131">
        <v>0</v>
      </c>
      <c r="J308" s="132"/>
      <c r="K308" s="133">
        <v>0</v>
      </c>
      <c r="L308" s="543"/>
      <c r="M308" s="78">
        <v>0</v>
      </c>
    </row>
    <row r="309" spans="2:33" ht="12.75" customHeight="1" x14ac:dyDescent="0.2">
      <c r="B309" s="558">
        <v>43</v>
      </c>
      <c r="C309" s="540">
        <v>6143838623</v>
      </c>
      <c r="D309" s="308" t="s">
        <v>275</v>
      </c>
      <c r="E309" s="336" t="s">
        <v>220</v>
      </c>
      <c r="F309" s="350"/>
      <c r="G309" s="310"/>
      <c r="H309" s="350"/>
      <c r="I309" s="131">
        <v>0</v>
      </c>
      <c r="J309" s="132"/>
      <c r="K309" s="133">
        <v>0</v>
      </c>
      <c r="L309" s="543"/>
      <c r="M309" s="78">
        <v>0</v>
      </c>
    </row>
    <row r="310" spans="2:33" ht="12.75" customHeight="1" x14ac:dyDescent="0.2">
      <c r="B310" s="558">
        <v>148</v>
      </c>
      <c r="C310" s="540">
        <v>19168959729</v>
      </c>
      <c r="D310" s="308" t="s">
        <v>277</v>
      </c>
      <c r="E310" s="336" t="s">
        <v>220</v>
      </c>
      <c r="F310" s="350"/>
      <c r="G310" s="310"/>
      <c r="H310" s="350"/>
      <c r="I310" s="131">
        <v>0</v>
      </c>
      <c r="J310" s="160"/>
      <c r="K310" s="133">
        <v>0</v>
      </c>
      <c r="L310" s="543"/>
      <c r="M310" s="78">
        <v>0</v>
      </c>
    </row>
    <row r="311" spans="2:33" ht="12.75" customHeight="1" x14ac:dyDescent="0.2">
      <c r="B311" s="558">
        <v>157</v>
      </c>
      <c r="C311" s="572">
        <v>18019744703</v>
      </c>
      <c r="D311" s="308" t="s">
        <v>278</v>
      </c>
      <c r="E311" s="336" t="s">
        <v>220</v>
      </c>
      <c r="F311" s="350"/>
      <c r="G311" s="310"/>
      <c r="H311" s="350"/>
      <c r="I311" s="131">
        <v>0</v>
      </c>
      <c r="J311" s="132"/>
      <c r="K311" s="133">
        <v>0</v>
      </c>
      <c r="L311" s="543"/>
      <c r="M311" s="78">
        <v>0</v>
      </c>
    </row>
    <row r="312" spans="2:33" ht="12.75" customHeight="1" x14ac:dyDescent="0.2">
      <c r="B312" s="558">
        <v>48</v>
      </c>
      <c r="C312" s="540">
        <v>9825505702</v>
      </c>
      <c r="D312" s="308" t="s">
        <v>279</v>
      </c>
      <c r="E312" s="336" t="s">
        <v>220</v>
      </c>
      <c r="F312" s="350"/>
      <c r="G312" s="310"/>
      <c r="H312" s="350"/>
      <c r="I312" s="131">
        <v>0</v>
      </c>
      <c r="J312" s="132"/>
      <c r="K312" s="133">
        <v>0</v>
      </c>
      <c r="L312" s="543"/>
      <c r="M312" s="78">
        <v>0</v>
      </c>
    </row>
    <row r="313" spans="2:33" ht="12.75" customHeight="1" x14ac:dyDescent="0.2">
      <c r="B313" s="565">
        <v>1</v>
      </c>
      <c r="C313" s="569">
        <v>20832236756</v>
      </c>
      <c r="D313" s="567" t="s">
        <v>280</v>
      </c>
      <c r="E313" s="350" t="s">
        <v>235</v>
      </c>
      <c r="F313" s="350"/>
      <c r="G313" s="310"/>
      <c r="H313" s="350"/>
      <c r="I313" s="131">
        <v>0</v>
      </c>
      <c r="J313" s="132"/>
      <c r="K313" s="133">
        <v>0</v>
      </c>
      <c r="L313" s="543"/>
      <c r="M313" s="78">
        <v>0</v>
      </c>
    </row>
    <row r="314" spans="2:33" ht="12.75" customHeight="1" x14ac:dyDescent="0.2">
      <c r="B314" s="580">
        <v>159</v>
      </c>
      <c r="C314" s="572">
        <v>11347893784</v>
      </c>
      <c r="D314" s="581" t="s">
        <v>284</v>
      </c>
      <c r="E314" s="317" t="s">
        <v>220</v>
      </c>
      <c r="F314" s="582"/>
      <c r="G314" s="310"/>
      <c r="H314" s="350"/>
      <c r="I314" s="131">
        <v>0</v>
      </c>
      <c r="J314" s="160"/>
      <c r="K314" s="133">
        <v>0</v>
      </c>
      <c r="L314" s="543"/>
      <c r="M314" s="78">
        <v>0</v>
      </c>
    </row>
    <row r="315" spans="2:33" ht="12.75" customHeight="1" x14ac:dyDescent="0.2">
      <c r="B315" s="558">
        <v>144</v>
      </c>
      <c r="C315" s="540">
        <v>9630506726</v>
      </c>
      <c r="D315" s="308" t="s">
        <v>286</v>
      </c>
      <c r="E315" s="336" t="s">
        <v>220</v>
      </c>
      <c r="F315" s="350"/>
      <c r="G315" s="310"/>
      <c r="H315" s="350"/>
      <c r="I315" s="131">
        <v>0</v>
      </c>
      <c r="J315" s="160"/>
      <c r="K315" s="133">
        <v>0</v>
      </c>
      <c r="L315" s="543"/>
      <c r="M315" s="78">
        <v>0</v>
      </c>
    </row>
    <row r="316" spans="2:33" ht="12.75" customHeight="1" x14ac:dyDescent="0.2">
      <c r="B316" s="558">
        <v>126</v>
      </c>
      <c r="C316" s="540">
        <v>11765503736</v>
      </c>
      <c r="D316" s="308" t="s">
        <v>288</v>
      </c>
      <c r="E316" s="336" t="s">
        <v>220</v>
      </c>
      <c r="F316" s="350"/>
      <c r="G316" s="310"/>
      <c r="H316" s="350"/>
      <c r="I316" s="131">
        <v>0</v>
      </c>
      <c r="J316" s="132"/>
      <c r="K316" s="133">
        <v>0</v>
      </c>
      <c r="L316" s="543"/>
      <c r="M316" s="78">
        <v>0</v>
      </c>
    </row>
    <row r="317" spans="2:33" ht="12.75" customHeight="1" x14ac:dyDescent="0.2">
      <c r="B317" s="558">
        <v>52</v>
      </c>
      <c r="C317" s="540">
        <v>9922359790</v>
      </c>
      <c r="D317" s="308" t="s">
        <v>289</v>
      </c>
      <c r="E317" s="336" t="s">
        <v>220</v>
      </c>
      <c r="F317" s="350"/>
      <c r="G317" s="310"/>
      <c r="H317" s="350"/>
      <c r="I317" s="131">
        <v>0</v>
      </c>
      <c r="J317" s="132"/>
      <c r="K317" s="133">
        <v>0</v>
      </c>
      <c r="L317" s="543"/>
      <c r="M317" s="78">
        <v>0</v>
      </c>
    </row>
    <row r="318" spans="2:33" ht="12.75" customHeight="1" x14ac:dyDescent="0.2">
      <c r="B318" s="354"/>
      <c r="C318" s="355"/>
      <c r="D318" s="356">
        <f>COUNTA(D291:D317)</f>
        <v>27</v>
      </c>
      <c r="E318" s="354"/>
      <c r="F318" s="356">
        <f>COUNTA(F291:F317)</f>
        <v>0</v>
      </c>
      <c r="G318" s="356">
        <f>COUNTA(G291:G317)</f>
        <v>0</v>
      </c>
      <c r="H318" s="356">
        <f>COUNTA(H291:H317)</f>
        <v>0</v>
      </c>
      <c r="I318" s="356">
        <f>SUM(I291:I317)</f>
        <v>0</v>
      </c>
      <c r="J318" s="356">
        <f>COUNTA(J291:J317)</f>
        <v>0</v>
      </c>
      <c r="K318" s="356">
        <f>SUM(K291:K317)</f>
        <v>0</v>
      </c>
      <c r="L318" s="356">
        <f>COUNTA(L291:L317)</f>
        <v>0</v>
      </c>
      <c r="M318" s="356">
        <f>SUM(M291:M317)</f>
        <v>0</v>
      </c>
      <c r="N318" s="354"/>
      <c r="O318" s="354"/>
      <c r="P318" s="354"/>
      <c r="Q318" s="354"/>
      <c r="R318" s="354"/>
      <c r="S318" s="354"/>
      <c r="T318" s="354"/>
      <c r="U318" s="354"/>
      <c r="V318" s="354"/>
      <c r="W318" s="354"/>
      <c r="X318" s="354"/>
      <c r="Y318" s="354"/>
      <c r="Z318" s="354"/>
      <c r="AA318" s="354"/>
      <c r="AB318" s="354"/>
      <c r="AC318" s="354"/>
      <c r="AD318" s="354"/>
      <c r="AE318" s="354"/>
      <c r="AF318" s="354"/>
      <c r="AG318" s="354"/>
    </row>
    <row r="320" spans="2:33" ht="12.75" customHeight="1" x14ac:dyDescent="0.2">
      <c r="B320" s="297" t="s">
        <v>41</v>
      </c>
      <c r="C320" s="297" t="s">
        <v>218</v>
      </c>
      <c r="D320" s="297" t="s">
        <v>42</v>
      </c>
      <c r="E320" s="297" t="s">
        <v>43</v>
      </c>
      <c r="F320" s="297" t="s">
        <v>44</v>
      </c>
      <c r="G320" s="297" t="s">
        <v>45</v>
      </c>
      <c r="H320" s="297" t="s">
        <v>46</v>
      </c>
      <c r="I320" s="297" t="s">
        <v>49</v>
      </c>
      <c r="J320" s="297" t="s">
        <v>39</v>
      </c>
      <c r="K320" s="297" t="s">
        <v>49</v>
      </c>
      <c r="L320" s="297" t="s">
        <v>40</v>
      </c>
      <c r="M320" s="297" t="s">
        <v>49</v>
      </c>
      <c r="O320" s="298" t="s">
        <v>125</v>
      </c>
      <c r="P320" s="358">
        <f>S290</f>
        <v>0</v>
      </c>
      <c r="R320" s="298" t="s">
        <v>44</v>
      </c>
      <c r="S320" s="300">
        <f>F348</f>
        <v>0</v>
      </c>
      <c r="U320" s="298" t="s">
        <v>39</v>
      </c>
      <c r="V320" s="301">
        <f>K348</f>
        <v>0</v>
      </c>
      <c r="X320" s="302"/>
      <c r="Y320" s="303"/>
      <c r="Z320" s="789" t="s">
        <v>155</v>
      </c>
      <c r="AA320" s="789"/>
      <c r="AB320" s="789"/>
      <c r="AC320" s="303"/>
      <c r="AD320" s="304"/>
      <c r="AF320" s="305" t="s">
        <v>127</v>
      </c>
      <c r="AG320" s="306">
        <f>(V326-V321-V320-S323)</f>
        <v>0</v>
      </c>
    </row>
    <row r="321" spans="2:33" ht="12.75" customHeight="1" x14ac:dyDescent="0.2">
      <c r="B321" s="558">
        <v>115</v>
      </c>
      <c r="C321" s="540">
        <v>17622871702</v>
      </c>
      <c r="D321" s="308" t="s">
        <v>223</v>
      </c>
      <c r="E321" s="317" t="s">
        <v>220</v>
      </c>
      <c r="F321" s="342"/>
      <c r="G321" s="310"/>
      <c r="H321" s="576"/>
      <c r="I321" s="131">
        <v>0</v>
      </c>
      <c r="J321" s="160"/>
      <c r="K321" s="133">
        <v>0</v>
      </c>
      <c r="L321" s="543"/>
      <c r="M321" s="78">
        <v>0</v>
      </c>
      <c r="R321" s="298" t="s">
        <v>45</v>
      </c>
      <c r="S321" s="301">
        <f>G348</f>
        <v>0</v>
      </c>
      <c r="U321" s="298" t="s">
        <v>40</v>
      </c>
      <c r="V321" s="301">
        <f>M348</f>
        <v>0</v>
      </c>
      <c r="X321" s="312" t="s">
        <v>128</v>
      </c>
      <c r="Y321" s="313" t="s">
        <v>129</v>
      </c>
      <c r="Z321" s="313" t="s">
        <v>130</v>
      </c>
      <c r="AA321" s="313" t="s">
        <v>131</v>
      </c>
      <c r="AB321" s="313" t="s">
        <v>132</v>
      </c>
      <c r="AC321" s="313" t="s">
        <v>133</v>
      </c>
      <c r="AD321" s="314" t="s">
        <v>134</v>
      </c>
      <c r="AF321" s="305" t="s">
        <v>135</v>
      </c>
      <c r="AG321" s="315">
        <f>V326-AG320</f>
        <v>0</v>
      </c>
    </row>
    <row r="322" spans="2:33" ht="12.75" customHeight="1" x14ac:dyDescent="0.2">
      <c r="B322" s="558">
        <v>160</v>
      </c>
      <c r="C322" s="540">
        <v>14212723778</v>
      </c>
      <c r="D322" s="327" t="s">
        <v>225</v>
      </c>
      <c r="E322" s="317" t="s">
        <v>220</v>
      </c>
      <c r="F322" s="342"/>
      <c r="G322" s="310"/>
      <c r="H322" s="576"/>
      <c r="I322" s="131">
        <v>0</v>
      </c>
      <c r="J322" s="160"/>
      <c r="K322" s="133">
        <v>0</v>
      </c>
      <c r="L322" s="543"/>
      <c r="M322" s="78">
        <v>0</v>
      </c>
      <c r="R322" s="319" t="s">
        <v>56</v>
      </c>
      <c r="S322" s="301">
        <f>P320+S320-S321</f>
        <v>0</v>
      </c>
      <c r="U322" s="298" t="s">
        <v>59</v>
      </c>
      <c r="V322" s="301">
        <f>L348</f>
        <v>0</v>
      </c>
      <c r="X322" s="403">
        <v>46327</v>
      </c>
      <c r="Y322" s="393">
        <v>46328</v>
      </c>
      <c r="Z322" s="392">
        <v>46329</v>
      </c>
      <c r="AA322" s="392">
        <v>46330</v>
      </c>
      <c r="AB322" s="392">
        <v>46331</v>
      </c>
      <c r="AC322" s="392">
        <v>46332</v>
      </c>
      <c r="AD322" s="379">
        <v>46333</v>
      </c>
      <c r="AF322" s="305" t="s">
        <v>136</v>
      </c>
      <c r="AG322" s="545">
        <f>(S322*8.8)*S325</f>
        <v>0</v>
      </c>
    </row>
    <row r="323" spans="2:33" ht="12.75" customHeight="1" x14ac:dyDescent="0.2">
      <c r="B323" s="558">
        <v>130</v>
      </c>
      <c r="C323" s="540">
        <v>16044643727</v>
      </c>
      <c r="D323" s="308" t="s">
        <v>227</v>
      </c>
      <c r="E323" s="336" t="s">
        <v>220</v>
      </c>
      <c r="F323" s="342"/>
      <c r="G323" s="310"/>
      <c r="H323" s="547"/>
      <c r="I323" s="131">
        <v>0</v>
      </c>
      <c r="J323" s="160"/>
      <c r="K323" s="133">
        <v>0</v>
      </c>
      <c r="L323" s="543"/>
      <c r="M323" s="78">
        <v>0</v>
      </c>
      <c r="R323" s="298" t="s">
        <v>137</v>
      </c>
      <c r="S323" s="329">
        <f>I348</f>
        <v>0</v>
      </c>
      <c r="U323" s="330"/>
      <c r="V323" s="331"/>
      <c r="X323" s="380">
        <v>46334</v>
      </c>
      <c r="Y323" s="381">
        <v>46335</v>
      </c>
      <c r="Z323" s="381">
        <v>46336</v>
      </c>
      <c r="AA323" s="381">
        <v>46337</v>
      </c>
      <c r="AB323" s="381">
        <v>46338</v>
      </c>
      <c r="AC323" s="381">
        <v>46339</v>
      </c>
      <c r="AD323" s="382">
        <v>46340</v>
      </c>
      <c r="AF323" s="305" t="s">
        <v>138</v>
      </c>
      <c r="AG323" s="545">
        <f>AG321*8.8</f>
        <v>0</v>
      </c>
    </row>
    <row r="324" spans="2:33" ht="12.75" customHeight="1" x14ac:dyDescent="0.2">
      <c r="B324" s="565">
        <v>4</v>
      </c>
      <c r="C324" s="566">
        <v>12576147704</v>
      </c>
      <c r="D324" s="567" t="s">
        <v>234</v>
      </c>
      <c r="E324" s="350" t="s">
        <v>235</v>
      </c>
      <c r="F324" s="350"/>
      <c r="G324" s="310"/>
      <c r="H324" s="350"/>
      <c r="I324" s="131">
        <v>0</v>
      </c>
      <c r="J324" s="132"/>
      <c r="K324" s="133">
        <v>0</v>
      </c>
      <c r="L324" s="543"/>
      <c r="M324" s="78">
        <v>0</v>
      </c>
      <c r="X324" s="404">
        <v>46341</v>
      </c>
      <c r="Y324" s="384">
        <v>46342</v>
      </c>
      <c r="Z324" s="384">
        <v>46343</v>
      </c>
      <c r="AA324" s="384">
        <v>46344</v>
      </c>
      <c r="AB324" s="400">
        <v>46345</v>
      </c>
      <c r="AC324" s="400">
        <v>46346</v>
      </c>
      <c r="AD324" s="385">
        <v>46347</v>
      </c>
      <c r="AF324" s="305" t="s">
        <v>140</v>
      </c>
      <c r="AG324" s="545" t="e">
        <f>(AG322-AG323)/(8.8*S325)</f>
        <v>#DIV/0!</v>
      </c>
    </row>
    <row r="325" spans="2:33" ht="12.75" customHeight="1" x14ac:dyDescent="0.2">
      <c r="B325" s="558">
        <v>35</v>
      </c>
      <c r="C325" s="568">
        <v>9621821762</v>
      </c>
      <c r="D325" s="308" t="s">
        <v>237</v>
      </c>
      <c r="E325" s="317" t="s">
        <v>220</v>
      </c>
      <c r="F325" s="350"/>
      <c r="G325" s="310"/>
      <c r="H325" s="350"/>
      <c r="I325" s="131">
        <v>0</v>
      </c>
      <c r="J325" s="160"/>
      <c r="K325" s="133">
        <v>0</v>
      </c>
      <c r="L325" s="543"/>
      <c r="M325" s="78">
        <v>0</v>
      </c>
      <c r="R325" s="343" t="s">
        <v>22</v>
      </c>
      <c r="S325" s="344"/>
      <c r="U325" s="549" t="s">
        <v>141</v>
      </c>
      <c r="V325" s="550">
        <f>(P320+S322)/2</f>
        <v>0</v>
      </c>
      <c r="X325" s="386">
        <v>46348</v>
      </c>
      <c r="Y325" s="387">
        <v>46349</v>
      </c>
      <c r="Z325" s="387">
        <v>46350</v>
      </c>
      <c r="AA325" s="387">
        <v>46351</v>
      </c>
      <c r="AB325" s="387">
        <v>46352</v>
      </c>
      <c r="AC325" s="387">
        <v>46353</v>
      </c>
      <c r="AD325" s="388">
        <v>46354</v>
      </c>
      <c r="AG325" s="296"/>
    </row>
    <row r="326" spans="2:33" ht="12.75" customHeight="1" x14ac:dyDescent="0.2">
      <c r="B326" s="565">
        <v>3</v>
      </c>
      <c r="C326" s="569">
        <v>86749072704</v>
      </c>
      <c r="D326" s="567" t="s">
        <v>239</v>
      </c>
      <c r="E326" s="350" t="s">
        <v>235</v>
      </c>
      <c r="F326" s="350"/>
      <c r="G326" s="310"/>
      <c r="H326" s="350"/>
      <c r="I326" s="131">
        <v>0</v>
      </c>
      <c r="J326" s="160"/>
      <c r="K326" s="133">
        <v>0</v>
      </c>
      <c r="L326" s="543"/>
      <c r="M326" s="78">
        <v>0</v>
      </c>
      <c r="R326" s="343" t="s">
        <v>142</v>
      </c>
      <c r="S326" s="349"/>
      <c r="U326" s="343" t="s">
        <v>143</v>
      </c>
      <c r="V326" s="350">
        <f>S325*V325</f>
        <v>0</v>
      </c>
      <c r="X326" s="394">
        <v>46355</v>
      </c>
      <c r="Y326" s="396">
        <v>46356</v>
      </c>
      <c r="Z326" s="365"/>
      <c r="AA326" s="366"/>
      <c r="AB326" s="366"/>
      <c r="AC326" s="366"/>
      <c r="AD326" s="367"/>
      <c r="AG326" s="296"/>
    </row>
    <row r="327" spans="2:33" ht="12.75" customHeight="1" x14ac:dyDescent="0.2">
      <c r="B327" s="558">
        <v>36</v>
      </c>
      <c r="C327" s="540">
        <v>7452452771</v>
      </c>
      <c r="D327" s="308" t="s">
        <v>241</v>
      </c>
      <c r="E327" s="336" t="s">
        <v>220</v>
      </c>
      <c r="F327" s="350"/>
      <c r="G327" s="310"/>
      <c r="H327" s="350"/>
      <c r="I327" s="131">
        <v>0</v>
      </c>
      <c r="J327" s="132"/>
      <c r="K327" s="133">
        <v>0</v>
      </c>
      <c r="L327" s="543"/>
      <c r="M327" s="78">
        <v>0</v>
      </c>
    </row>
    <row r="328" spans="2:33" ht="12.75" customHeight="1" x14ac:dyDescent="0.2">
      <c r="B328" s="565">
        <v>6</v>
      </c>
      <c r="C328" s="569">
        <v>7728013637</v>
      </c>
      <c r="D328" s="567" t="s">
        <v>245</v>
      </c>
      <c r="E328" s="350" t="s">
        <v>235</v>
      </c>
      <c r="F328" s="350"/>
      <c r="G328" s="310"/>
      <c r="H328" s="350"/>
      <c r="I328" s="131">
        <v>0</v>
      </c>
      <c r="J328" s="132"/>
      <c r="K328" s="133">
        <v>0</v>
      </c>
      <c r="L328" s="543"/>
      <c r="M328" s="78">
        <v>0</v>
      </c>
    </row>
    <row r="329" spans="2:33" ht="12.75" customHeight="1" x14ac:dyDescent="0.2">
      <c r="B329" s="558">
        <v>109</v>
      </c>
      <c r="C329" s="540">
        <v>17911909792</v>
      </c>
      <c r="D329" s="308" t="s">
        <v>247</v>
      </c>
      <c r="E329" s="317" t="s">
        <v>220</v>
      </c>
      <c r="F329" s="350"/>
      <c r="G329" s="310"/>
      <c r="H329" s="350"/>
      <c r="I329" s="131">
        <v>0</v>
      </c>
      <c r="J329" s="160"/>
      <c r="K329" s="133">
        <v>0</v>
      </c>
      <c r="L329" s="543"/>
      <c r="M329" s="78">
        <v>0</v>
      </c>
    </row>
    <row r="330" spans="2:33" ht="12.75" customHeight="1" x14ac:dyDescent="0.2">
      <c r="B330" s="558">
        <v>100</v>
      </c>
      <c r="C330" s="540">
        <v>21963396790</v>
      </c>
      <c r="D330" s="308" t="s">
        <v>251</v>
      </c>
      <c r="E330" s="336" t="s">
        <v>220</v>
      </c>
      <c r="F330" s="350"/>
      <c r="G330" s="310"/>
      <c r="H330" s="350"/>
      <c r="I330" s="131">
        <v>0</v>
      </c>
      <c r="J330" s="132"/>
      <c r="K330" s="133">
        <v>0</v>
      </c>
      <c r="L330" s="543"/>
      <c r="M330" s="78">
        <v>0</v>
      </c>
    </row>
    <row r="331" spans="2:33" ht="12.75" customHeight="1" x14ac:dyDescent="0.2">
      <c r="B331" s="558">
        <v>153</v>
      </c>
      <c r="C331" s="540">
        <v>19379132794</v>
      </c>
      <c r="D331" s="308" t="s">
        <v>256</v>
      </c>
      <c r="E331" s="336" t="s">
        <v>220</v>
      </c>
      <c r="F331" s="350"/>
      <c r="G331" s="310"/>
      <c r="H331" s="350"/>
      <c r="I331" s="131">
        <v>0</v>
      </c>
      <c r="J331" s="132"/>
      <c r="K331" s="133">
        <v>0</v>
      </c>
      <c r="L331" s="543"/>
      <c r="M331" s="78">
        <v>0</v>
      </c>
    </row>
    <row r="332" spans="2:33" ht="12.75" customHeight="1" x14ac:dyDescent="0.2">
      <c r="B332" s="558">
        <v>63</v>
      </c>
      <c r="C332" s="540">
        <v>8932910723</v>
      </c>
      <c r="D332" s="308" t="s">
        <v>263</v>
      </c>
      <c r="E332" s="336" t="s">
        <v>220</v>
      </c>
      <c r="F332" s="350"/>
      <c r="G332" s="310"/>
      <c r="H332" s="350"/>
      <c r="I332" s="131">
        <v>0</v>
      </c>
      <c r="J332" s="132"/>
      <c r="K332" s="133">
        <v>0</v>
      </c>
      <c r="L332" s="543"/>
      <c r="M332" s="78">
        <v>0</v>
      </c>
    </row>
    <row r="333" spans="2:33" ht="12.75" customHeight="1" x14ac:dyDescent="0.2">
      <c r="B333" s="558">
        <v>135</v>
      </c>
      <c r="C333" s="540">
        <v>9823424705</v>
      </c>
      <c r="D333" s="308" t="s">
        <v>265</v>
      </c>
      <c r="E333" s="336" t="s">
        <v>220</v>
      </c>
      <c r="F333" s="350"/>
      <c r="G333" s="310"/>
      <c r="H333" s="350"/>
      <c r="I333" s="131">
        <v>0</v>
      </c>
      <c r="J333" s="132"/>
      <c r="K333" s="133">
        <v>0</v>
      </c>
      <c r="L333" s="543"/>
      <c r="M333" s="78">
        <v>0</v>
      </c>
    </row>
    <row r="334" spans="2:33" ht="12.75" customHeight="1" x14ac:dyDescent="0.2">
      <c r="B334" s="565">
        <v>5</v>
      </c>
      <c r="C334" s="569">
        <v>14676408757</v>
      </c>
      <c r="D334" s="567" t="s">
        <v>267</v>
      </c>
      <c r="E334" s="350" t="s">
        <v>235</v>
      </c>
      <c r="F334" s="350"/>
      <c r="G334" s="310"/>
      <c r="H334" s="350"/>
      <c r="I334" s="131">
        <v>0</v>
      </c>
      <c r="J334" s="132"/>
      <c r="K334" s="133">
        <v>0</v>
      </c>
      <c r="L334" s="543"/>
      <c r="M334" s="78">
        <v>0</v>
      </c>
    </row>
    <row r="335" spans="2:33" ht="12.75" customHeight="1" x14ac:dyDescent="0.2">
      <c r="B335" s="558">
        <v>147</v>
      </c>
      <c r="C335" s="540">
        <v>18605506733</v>
      </c>
      <c r="D335" s="308" t="s">
        <v>269</v>
      </c>
      <c r="E335" s="317" t="s">
        <v>220</v>
      </c>
      <c r="F335" s="350"/>
      <c r="G335" s="310"/>
      <c r="H335" s="350"/>
      <c r="I335" s="131">
        <v>0</v>
      </c>
      <c r="J335" s="160"/>
      <c r="K335" s="133">
        <v>0</v>
      </c>
      <c r="L335" s="543"/>
      <c r="M335" s="78">
        <v>0</v>
      </c>
    </row>
    <row r="336" spans="2:33" ht="12.75" customHeight="1" x14ac:dyDescent="0.2">
      <c r="B336" s="558">
        <v>99</v>
      </c>
      <c r="C336" s="540">
        <v>11968033742</v>
      </c>
      <c r="D336" s="308" t="s">
        <v>271</v>
      </c>
      <c r="E336" s="336" t="s">
        <v>220</v>
      </c>
      <c r="F336" s="350"/>
      <c r="G336" s="310"/>
      <c r="H336" s="350"/>
      <c r="I336" s="131">
        <v>0</v>
      </c>
      <c r="J336" s="160"/>
      <c r="K336" s="133">
        <v>0</v>
      </c>
      <c r="L336" s="543"/>
      <c r="M336" s="78">
        <v>0</v>
      </c>
    </row>
    <row r="337" spans="2:33" ht="12.75" customHeight="1" x14ac:dyDescent="0.2">
      <c r="B337" s="558">
        <v>54</v>
      </c>
      <c r="C337" s="540">
        <v>540533742</v>
      </c>
      <c r="D337" s="308" t="s">
        <v>273</v>
      </c>
      <c r="E337" s="336" t="s">
        <v>220</v>
      </c>
      <c r="F337" s="350"/>
      <c r="G337" s="310"/>
      <c r="H337" s="350"/>
      <c r="I337" s="131">
        <v>0</v>
      </c>
      <c r="J337" s="132"/>
      <c r="K337" s="133">
        <v>0</v>
      </c>
      <c r="L337" s="543"/>
      <c r="M337" s="78">
        <v>0</v>
      </c>
    </row>
    <row r="338" spans="2:33" ht="12.75" customHeight="1" x14ac:dyDescent="0.2">
      <c r="B338" s="558">
        <v>42</v>
      </c>
      <c r="C338" s="540">
        <v>8126990767</v>
      </c>
      <c r="D338" s="308" t="s">
        <v>274</v>
      </c>
      <c r="E338" s="336" t="s">
        <v>220</v>
      </c>
      <c r="F338" s="350"/>
      <c r="G338" s="310"/>
      <c r="H338" s="350"/>
      <c r="I338" s="131">
        <v>0</v>
      </c>
      <c r="J338" s="132"/>
      <c r="K338" s="133">
        <v>0</v>
      </c>
      <c r="L338" s="543"/>
      <c r="M338" s="78">
        <v>0</v>
      </c>
    </row>
    <row r="339" spans="2:33" ht="12.75" customHeight="1" x14ac:dyDescent="0.2">
      <c r="B339" s="558">
        <v>43</v>
      </c>
      <c r="C339" s="540">
        <v>6143838623</v>
      </c>
      <c r="D339" s="308" t="s">
        <v>275</v>
      </c>
      <c r="E339" s="336" t="s">
        <v>220</v>
      </c>
      <c r="F339" s="350"/>
      <c r="G339" s="310"/>
      <c r="H339" s="350"/>
      <c r="I339" s="131">
        <v>0</v>
      </c>
      <c r="J339" s="132"/>
      <c r="K339" s="133">
        <v>0</v>
      </c>
      <c r="L339" s="543"/>
      <c r="M339" s="78">
        <v>0</v>
      </c>
    </row>
    <row r="340" spans="2:33" ht="12.75" customHeight="1" x14ac:dyDescent="0.2">
      <c r="B340" s="558">
        <v>148</v>
      </c>
      <c r="C340" s="540">
        <v>19168959729</v>
      </c>
      <c r="D340" s="308" t="s">
        <v>277</v>
      </c>
      <c r="E340" s="336" t="s">
        <v>220</v>
      </c>
      <c r="F340" s="350"/>
      <c r="G340" s="310"/>
      <c r="H340" s="350"/>
      <c r="I340" s="131">
        <v>0</v>
      </c>
      <c r="J340" s="160"/>
      <c r="K340" s="133">
        <v>0</v>
      </c>
      <c r="L340" s="543"/>
      <c r="M340" s="78">
        <v>0</v>
      </c>
    </row>
    <row r="341" spans="2:33" ht="12.75" customHeight="1" x14ac:dyDescent="0.2">
      <c r="B341" s="558">
        <v>157</v>
      </c>
      <c r="C341" s="572">
        <v>18019744703</v>
      </c>
      <c r="D341" s="308" t="s">
        <v>278</v>
      </c>
      <c r="E341" s="336" t="s">
        <v>220</v>
      </c>
      <c r="F341" s="350"/>
      <c r="G341" s="310"/>
      <c r="H341" s="350"/>
      <c r="I341" s="131">
        <v>0</v>
      </c>
      <c r="J341" s="132"/>
      <c r="K341" s="133">
        <v>0</v>
      </c>
      <c r="L341" s="543"/>
      <c r="M341" s="78">
        <v>0</v>
      </c>
    </row>
    <row r="342" spans="2:33" ht="12.75" customHeight="1" x14ac:dyDescent="0.2">
      <c r="B342" s="558">
        <v>48</v>
      </c>
      <c r="C342" s="540">
        <v>9825505702</v>
      </c>
      <c r="D342" s="308" t="s">
        <v>279</v>
      </c>
      <c r="E342" s="336" t="s">
        <v>220</v>
      </c>
      <c r="F342" s="350"/>
      <c r="G342" s="310"/>
      <c r="H342" s="350"/>
      <c r="I342" s="131">
        <v>0</v>
      </c>
      <c r="J342" s="132"/>
      <c r="K342" s="133">
        <v>0</v>
      </c>
      <c r="L342" s="543"/>
      <c r="M342" s="78">
        <v>0</v>
      </c>
    </row>
    <row r="343" spans="2:33" ht="12.75" customHeight="1" x14ac:dyDescent="0.2">
      <c r="B343" s="565">
        <v>1</v>
      </c>
      <c r="C343" s="569">
        <v>20832236756</v>
      </c>
      <c r="D343" s="567" t="s">
        <v>280</v>
      </c>
      <c r="E343" s="350" t="s">
        <v>235</v>
      </c>
      <c r="F343" s="350"/>
      <c r="G343" s="310"/>
      <c r="H343" s="350"/>
      <c r="I343" s="131">
        <v>0</v>
      </c>
      <c r="J343" s="132"/>
      <c r="K343" s="133">
        <v>0</v>
      </c>
      <c r="L343" s="543"/>
      <c r="M343" s="78">
        <v>0</v>
      </c>
    </row>
    <row r="344" spans="2:33" ht="12.75" customHeight="1" x14ac:dyDescent="0.2">
      <c r="B344" s="580">
        <v>159</v>
      </c>
      <c r="C344" s="572">
        <v>11347893784</v>
      </c>
      <c r="D344" s="581" t="s">
        <v>284</v>
      </c>
      <c r="E344" s="317" t="s">
        <v>220</v>
      </c>
      <c r="F344" s="582"/>
      <c r="G344" s="310"/>
      <c r="H344" s="350"/>
      <c r="I344" s="131">
        <v>0</v>
      </c>
      <c r="J344" s="160"/>
      <c r="K344" s="133">
        <v>0</v>
      </c>
      <c r="L344" s="543"/>
      <c r="M344" s="78">
        <v>0</v>
      </c>
    </row>
    <row r="345" spans="2:33" ht="12.75" customHeight="1" x14ac:dyDescent="0.2">
      <c r="B345" s="558">
        <v>144</v>
      </c>
      <c r="C345" s="540">
        <v>9630506726</v>
      </c>
      <c r="D345" s="308" t="s">
        <v>286</v>
      </c>
      <c r="E345" s="336" t="s">
        <v>220</v>
      </c>
      <c r="F345" s="350"/>
      <c r="G345" s="310"/>
      <c r="H345" s="350"/>
      <c r="I345" s="131">
        <v>0</v>
      </c>
      <c r="J345" s="160"/>
      <c r="K345" s="133">
        <v>0</v>
      </c>
      <c r="L345" s="543"/>
      <c r="M345" s="78">
        <v>0</v>
      </c>
    </row>
    <row r="346" spans="2:33" ht="12.75" customHeight="1" x14ac:dyDescent="0.2">
      <c r="B346" s="558">
        <v>126</v>
      </c>
      <c r="C346" s="540">
        <v>11765503736</v>
      </c>
      <c r="D346" s="308" t="s">
        <v>288</v>
      </c>
      <c r="E346" s="336" t="s">
        <v>220</v>
      </c>
      <c r="F346" s="350"/>
      <c r="G346" s="310"/>
      <c r="H346" s="350"/>
      <c r="I346" s="131">
        <v>0</v>
      </c>
      <c r="J346" s="132"/>
      <c r="K346" s="133">
        <v>0</v>
      </c>
      <c r="L346" s="543"/>
      <c r="M346" s="78">
        <v>0</v>
      </c>
    </row>
    <row r="347" spans="2:33" ht="12.75" customHeight="1" x14ac:dyDescent="0.2">
      <c r="B347" s="558">
        <v>52</v>
      </c>
      <c r="C347" s="540">
        <v>9922359790</v>
      </c>
      <c r="D347" s="308" t="s">
        <v>289</v>
      </c>
      <c r="E347" s="336" t="s">
        <v>220</v>
      </c>
      <c r="F347" s="350"/>
      <c r="G347" s="310"/>
      <c r="H347" s="350"/>
      <c r="I347" s="131">
        <v>0</v>
      </c>
      <c r="J347" s="132"/>
      <c r="K347" s="133">
        <v>0</v>
      </c>
      <c r="L347" s="543"/>
      <c r="M347" s="78">
        <v>0</v>
      </c>
    </row>
    <row r="348" spans="2:33" ht="12.75" customHeight="1" x14ac:dyDescent="0.2">
      <c r="B348" s="354"/>
      <c r="C348" s="355"/>
      <c r="D348" s="356">
        <f>COUNTA(D321:D347)</f>
        <v>27</v>
      </c>
      <c r="E348" s="354"/>
      <c r="F348" s="356">
        <f>COUNTA(F321:F347)</f>
        <v>0</v>
      </c>
      <c r="G348" s="356">
        <f>COUNTA(G321:G347)</f>
        <v>0</v>
      </c>
      <c r="H348" s="356">
        <f>COUNTA(H321:H347)</f>
        <v>0</v>
      </c>
      <c r="I348" s="356">
        <f>SUM(I321:I347)</f>
        <v>0</v>
      </c>
      <c r="J348" s="356">
        <f>COUNTA(J321:J347)</f>
        <v>0</v>
      </c>
      <c r="K348" s="356">
        <f>SUM(K321:K347)</f>
        <v>0</v>
      </c>
      <c r="L348" s="356">
        <f>COUNTA(L321:L347)</f>
        <v>0</v>
      </c>
      <c r="M348" s="356">
        <f>SUM(M321:M347)</f>
        <v>0</v>
      </c>
      <c r="N348" s="354"/>
      <c r="O348" s="354"/>
      <c r="P348" s="354"/>
      <c r="Q348" s="354"/>
      <c r="R348" s="354"/>
      <c r="S348" s="354"/>
      <c r="T348" s="354"/>
      <c r="U348" s="354"/>
      <c r="V348" s="354"/>
      <c r="W348" s="354"/>
      <c r="X348" s="354"/>
      <c r="Y348" s="354"/>
      <c r="Z348" s="354"/>
      <c r="AA348" s="354"/>
      <c r="AB348" s="354"/>
      <c r="AC348" s="354"/>
      <c r="AD348" s="354"/>
      <c r="AE348" s="354"/>
      <c r="AF348" s="354"/>
      <c r="AG348" s="354"/>
    </row>
    <row r="350" spans="2:33" ht="12.75" customHeight="1" x14ac:dyDescent="0.2">
      <c r="B350" s="297" t="s">
        <v>41</v>
      </c>
      <c r="C350" s="297" t="s">
        <v>218</v>
      </c>
      <c r="D350" s="297" t="s">
        <v>42</v>
      </c>
      <c r="E350" s="297" t="s">
        <v>43</v>
      </c>
      <c r="F350" s="297" t="s">
        <v>44</v>
      </c>
      <c r="G350" s="297" t="s">
        <v>45</v>
      </c>
      <c r="H350" s="297" t="s">
        <v>46</v>
      </c>
      <c r="I350" s="297" t="s">
        <v>49</v>
      </c>
      <c r="J350" s="297" t="s">
        <v>39</v>
      </c>
      <c r="K350" s="297" t="s">
        <v>49</v>
      </c>
      <c r="L350" s="297" t="s">
        <v>40</v>
      </c>
      <c r="M350" s="297" t="s">
        <v>49</v>
      </c>
      <c r="O350" s="298" t="s">
        <v>125</v>
      </c>
      <c r="P350" s="358">
        <f>S320</f>
        <v>0</v>
      </c>
      <c r="R350" s="298" t="s">
        <v>44</v>
      </c>
      <c r="S350" s="300">
        <f>F378</f>
        <v>0</v>
      </c>
      <c r="U350" s="298" t="s">
        <v>39</v>
      </c>
      <c r="V350" s="301">
        <f>K378</f>
        <v>0</v>
      </c>
      <c r="X350" s="302"/>
      <c r="Y350" s="303"/>
      <c r="Z350" s="789" t="s">
        <v>156</v>
      </c>
      <c r="AA350" s="789"/>
      <c r="AB350" s="789"/>
      <c r="AC350" s="303"/>
      <c r="AD350" s="304"/>
      <c r="AF350" s="305" t="s">
        <v>127</v>
      </c>
      <c r="AG350" s="306">
        <f>(V356-V351-V350-S353)</f>
        <v>0</v>
      </c>
    </row>
    <row r="351" spans="2:33" ht="12.75" customHeight="1" x14ac:dyDescent="0.2">
      <c r="B351" s="558">
        <v>115</v>
      </c>
      <c r="C351" s="540">
        <v>17622871702</v>
      </c>
      <c r="D351" s="308" t="s">
        <v>223</v>
      </c>
      <c r="E351" s="317" t="s">
        <v>220</v>
      </c>
      <c r="F351" s="342"/>
      <c r="G351" s="310"/>
      <c r="H351" s="576"/>
      <c r="I351" s="131">
        <v>0</v>
      </c>
      <c r="J351" s="160"/>
      <c r="K351" s="133">
        <v>0</v>
      </c>
      <c r="L351" s="543"/>
      <c r="M351" s="78">
        <v>0</v>
      </c>
      <c r="R351" s="298" t="s">
        <v>45</v>
      </c>
      <c r="S351" s="301">
        <f>G378</f>
        <v>0</v>
      </c>
      <c r="U351" s="298" t="s">
        <v>40</v>
      </c>
      <c r="V351" s="301">
        <f>M378</f>
        <v>0</v>
      </c>
      <c r="X351" s="312" t="s">
        <v>128</v>
      </c>
      <c r="Y351" s="313" t="s">
        <v>129</v>
      </c>
      <c r="Z351" s="313" t="s">
        <v>130</v>
      </c>
      <c r="AA351" s="313" t="s">
        <v>131</v>
      </c>
      <c r="AB351" s="313" t="s">
        <v>132</v>
      </c>
      <c r="AC351" s="313" t="s">
        <v>133</v>
      </c>
      <c r="AD351" s="314" t="s">
        <v>134</v>
      </c>
      <c r="AF351" s="305" t="s">
        <v>135</v>
      </c>
      <c r="AG351" s="315">
        <f>V356-AG350</f>
        <v>0</v>
      </c>
    </row>
    <row r="352" spans="2:33" ht="12.75" customHeight="1" x14ac:dyDescent="0.2">
      <c r="B352" s="558">
        <v>160</v>
      </c>
      <c r="C352" s="540">
        <v>14212723778</v>
      </c>
      <c r="D352" s="327" t="s">
        <v>225</v>
      </c>
      <c r="E352" s="317" t="s">
        <v>220</v>
      </c>
      <c r="F352" s="342"/>
      <c r="G352" s="310"/>
      <c r="H352" s="576"/>
      <c r="I352" s="131">
        <v>0</v>
      </c>
      <c r="J352" s="160"/>
      <c r="K352" s="133">
        <v>0</v>
      </c>
      <c r="L352" s="543"/>
      <c r="M352" s="78">
        <v>0</v>
      </c>
      <c r="R352" s="319" t="s">
        <v>56</v>
      </c>
      <c r="S352" s="301">
        <f>P350+S350-S351</f>
        <v>0</v>
      </c>
      <c r="U352" s="298" t="s">
        <v>59</v>
      </c>
      <c r="V352" s="301">
        <f>L378</f>
        <v>0</v>
      </c>
      <c r="X352" s="320"/>
      <c r="Y352" s="322"/>
      <c r="Z352" s="391">
        <v>46357</v>
      </c>
      <c r="AA352" s="392">
        <v>46358</v>
      </c>
      <c r="AB352" s="392">
        <v>46359</v>
      </c>
      <c r="AC352" s="392">
        <v>46360</v>
      </c>
      <c r="AD352" s="379">
        <v>46361</v>
      </c>
      <c r="AF352" s="305" t="s">
        <v>136</v>
      </c>
      <c r="AG352" s="545">
        <f>(S352*8.8)*S355</f>
        <v>0</v>
      </c>
    </row>
    <row r="353" spans="2:33" ht="12.75" customHeight="1" x14ac:dyDescent="0.2">
      <c r="B353" s="558">
        <v>130</v>
      </c>
      <c r="C353" s="540">
        <v>16044643727</v>
      </c>
      <c r="D353" s="308" t="s">
        <v>227</v>
      </c>
      <c r="E353" s="336" t="s">
        <v>220</v>
      </c>
      <c r="F353" s="342"/>
      <c r="G353" s="310"/>
      <c r="H353" s="547"/>
      <c r="I353" s="131">
        <v>0</v>
      </c>
      <c r="J353" s="160"/>
      <c r="K353" s="133">
        <v>0</v>
      </c>
      <c r="L353" s="543"/>
      <c r="M353" s="78">
        <v>0</v>
      </c>
      <c r="R353" s="298" t="s">
        <v>137</v>
      </c>
      <c r="S353" s="329">
        <f>I378</f>
        <v>0</v>
      </c>
      <c r="U353" s="330"/>
      <c r="V353" s="331"/>
      <c r="X353" s="380">
        <v>46362</v>
      </c>
      <c r="Y353" s="381">
        <v>46363</v>
      </c>
      <c r="Z353" s="381">
        <v>46364</v>
      </c>
      <c r="AA353" s="381">
        <v>46365</v>
      </c>
      <c r="AB353" s="381">
        <v>46366</v>
      </c>
      <c r="AC353" s="381">
        <v>46367</v>
      </c>
      <c r="AD353" s="382">
        <v>46368</v>
      </c>
      <c r="AF353" s="305" t="s">
        <v>138</v>
      </c>
      <c r="AG353" s="545">
        <f>AG351*8.8</f>
        <v>0</v>
      </c>
    </row>
    <row r="354" spans="2:33" ht="12.75" customHeight="1" x14ac:dyDescent="0.2">
      <c r="B354" s="565">
        <v>4</v>
      </c>
      <c r="C354" s="566">
        <v>12576147704</v>
      </c>
      <c r="D354" s="567" t="s">
        <v>234</v>
      </c>
      <c r="E354" s="350" t="s">
        <v>235</v>
      </c>
      <c r="F354" s="350"/>
      <c r="G354" s="310"/>
      <c r="H354" s="350"/>
      <c r="I354" s="131">
        <v>0</v>
      </c>
      <c r="J354" s="132"/>
      <c r="K354" s="133">
        <v>0</v>
      </c>
      <c r="L354" s="543"/>
      <c r="M354" s="78">
        <v>0</v>
      </c>
      <c r="X354" s="383">
        <v>46369</v>
      </c>
      <c r="Y354" s="384">
        <v>46370</v>
      </c>
      <c r="Z354" s="384">
        <v>46371</v>
      </c>
      <c r="AA354" s="384">
        <v>46372</v>
      </c>
      <c r="AB354" s="384">
        <v>46373</v>
      </c>
      <c r="AC354" s="384">
        <v>46374</v>
      </c>
      <c r="AD354" s="385">
        <v>46375</v>
      </c>
      <c r="AF354" s="305" t="s">
        <v>140</v>
      </c>
      <c r="AG354" s="545" t="e">
        <f>(AG352-AG353)/(8.8*S355)</f>
        <v>#DIV/0!</v>
      </c>
    </row>
    <row r="355" spans="2:33" ht="12.75" customHeight="1" x14ac:dyDescent="0.2">
      <c r="B355" s="558">
        <v>35</v>
      </c>
      <c r="C355" s="568">
        <v>9621821762</v>
      </c>
      <c r="D355" s="308" t="s">
        <v>237</v>
      </c>
      <c r="E355" s="317" t="s">
        <v>220</v>
      </c>
      <c r="F355" s="350"/>
      <c r="G355" s="310"/>
      <c r="H355" s="350"/>
      <c r="I355" s="131">
        <v>0</v>
      </c>
      <c r="J355" s="160"/>
      <c r="K355" s="133">
        <v>0</v>
      </c>
      <c r="L355" s="543"/>
      <c r="M355" s="78">
        <v>0</v>
      </c>
      <c r="R355" s="343" t="s">
        <v>22</v>
      </c>
      <c r="S355" s="344"/>
      <c r="U355" s="549" t="s">
        <v>141</v>
      </c>
      <c r="V355" s="550">
        <f>(P350+S352)/2</f>
        <v>0</v>
      </c>
      <c r="X355" s="386">
        <v>46376</v>
      </c>
      <c r="Y355" s="387">
        <v>46377</v>
      </c>
      <c r="Z355" s="387">
        <v>46378</v>
      </c>
      <c r="AA355" s="387">
        <v>46379</v>
      </c>
      <c r="AB355" s="387">
        <v>46380</v>
      </c>
      <c r="AC355" s="405">
        <v>46381</v>
      </c>
      <c r="AD355" s="388">
        <v>46382</v>
      </c>
      <c r="AG355" s="296"/>
    </row>
    <row r="356" spans="2:33" ht="12.75" customHeight="1" x14ac:dyDescent="0.2">
      <c r="B356" s="565">
        <v>3</v>
      </c>
      <c r="C356" s="569">
        <v>86749072704</v>
      </c>
      <c r="D356" s="567" t="s">
        <v>239</v>
      </c>
      <c r="E356" s="350" t="s">
        <v>235</v>
      </c>
      <c r="F356" s="350"/>
      <c r="G356" s="310"/>
      <c r="H356" s="350"/>
      <c r="I356" s="131">
        <v>0</v>
      </c>
      <c r="J356" s="160"/>
      <c r="K356" s="133">
        <v>0</v>
      </c>
      <c r="L356" s="543"/>
      <c r="M356" s="78">
        <v>0</v>
      </c>
      <c r="R356" s="343" t="s">
        <v>142</v>
      </c>
      <c r="S356" s="349"/>
      <c r="U356" s="343" t="s">
        <v>143</v>
      </c>
      <c r="V356" s="350">
        <f>S355*V355</f>
        <v>0</v>
      </c>
      <c r="X356" s="394">
        <v>46383</v>
      </c>
      <c r="Y356" s="395">
        <v>46384</v>
      </c>
      <c r="Z356" s="395">
        <v>46385</v>
      </c>
      <c r="AA356" s="395">
        <v>46386</v>
      </c>
      <c r="AB356" s="396">
        <v>46387</v>
      </c>
      <c r="AC356" s="365"/>
      <c r="AD356" s="367"/>
      <c r="AG356" s="296"/>
    </row>
    <row r="357" spans="2:33" ht="12.75" customHeight="1" x14ac:dyDescent="0.2">
      <c r="B357" s="558">
        <v>36</v>
      </c>
      <c r="C357" s="540">
        <v>7452452771</v>
      </c>
      <c r="D357" s="308" t="s">
        <v>241</v>
      </c>
      <c r="E357" s="336" t="s">
        <v>220</v>
      </c>
      <c r="F357" s="350"/>
      <c r="G357" s="310"/>
      <c r="H357" s="350"/>
      <c r="I357" s="131">
        <v>0</v>
      </c>
      <c r="J357" s="132"/>
      <c r="K357" s="133">
        <v>0</v>
      </c>
      <c r="L357" s="543"/>
      <c r="M357" s="78">
        <v>0</v>
      </c>
    </row>
    <row r="358" spans="2:33" ht="12.75" customHeight="1" x14ac:dyDescent="0.2">
      <c r="B358" s="565">
        <v>6</v>
      </c>
      <c r="C358" s="569">
        <v>7728013637</v>
      </c>
      <c r="D358" s="567" t="s">
        <v>245</v>
      </c>
      <c r="E358" s="350" t="s">
        <v>235</v>
      </c>
      <c r="F358" s="350"/>
      <c r="G358" s="310"/>
      <c r="H358" s="350"/>
      <c r="I358" s="131">
        <v>0</v>
      </c>
      <c r="J358" s="132"/>
      <c r="K358" s="133">
        <v>0</v>
      </c>
      <c r="L358" s="543"/>
      <c r="M358" s="78">
        <v>0</v>
      </c>
    </row>
    <row r="359" spans="2:33" ht="12.75" customHeight="1" x14ac:dyDescent="0.2">
      <c r="B359" s="558">
        <v>109</v>
      </c>
      <c r="C359" s="540">
        <v>17911909792</v>
      </c>
      <c r="D359" s="308" t="s">
        <v>247</v>
      </c>
      <c r="E359" s="317" t="s">
        <v>220</v>
      </c>
      <c r="F359" s="350"/>
      <c r="G359" s="310"/>
      <c r="H359" s="350"/>
      <c r="I359" s="131">
        <v>0</v>
      </c>
      <c r="J359" s="160"/>
      <c r="K359" s="133">
        <v>0</v>
      </c>
      <c r="L359" s="543"/>
      <c r="M359" s="78">
        <v>0</v>
      </c>
    </row>
    <row r="360" spans="2:33" ht="12.75" customHeight="1" x14ac:dyDescent="0.2">
      <c r="B360" s="558">
        <v>100</v>
      </c>
      <c r="C360" s="540">
        <v>21963396790</v>
      </c>
      <c r="D360" s="308" t="s">
        <v>251</v>
      </c>
      <c r="E360" s="336" t="s">
        <v>220</v>
      </c>
      <c r="F360" s="350"/>
      <c r="G360" s="310"/>
      <c r="H360" s="350"/>
      <c r="I360" s="131">
        <v>0</v>
      </c>
      <c r="J360" s="132"/>
      <c r="K360" s="133">
        <v>0</v>
      </c>
      <c r="L360" s="543"/>
      <c r="M360" s="78">
        <v>0</v>
      </c>
    </row>
    <row r="361" spans="2:33" ht="12.75" customHeight="1" x14ac:dyDescent="0.2">
      <c r="B361" s="558">
        <v>153</v>
      </c>
      <c r="C361" s="540">
        <v>19379132794</v>
      </c>
      <c r="D361" s="308" t="s">
        <v>256</v>
      </c>
      <c r="E361" s="336" t="s">
        <v>220</v>
      </c>
      <c r="F361" s="350"/>
      <c r="G361" s="310"/>
      <c r="H361" s="350"/>
      <c r="I361" s="131">
        <v>0</v>
      </c>
      <c r="J361" s="132"/>
      <c r="K361" s="133">
        <v>0</v>
      </c>
      <c r="L361" s="543"/>
      <c r="M361" s="78">
        <v>0</v>
      </c>
    </row>
    <row r="362" spans="2:33" ht="12.75" customHeight="1" x14ac:dyDescent="0.2">
      <c r="B362" s="558">
        <v>63</v>
      </c>
      <c r="C362" s="540">
        <v>8932910723</v>
      </c>
      <c r="D362" s="308" t="s">
        <v>263</v>
      </c>
      <c r="E362" s="336" t="s">
        <v>220</v>
      </c>
      <c r="F362" s="350"/>
      <c r="G362" s="310"/>
      <c r="H362" s="350"/>
      <c r="I362" s="131">
        <v>0</v>
      </c>
      <c r="J362" s="132"/>
      <c r="K362" s="133">
        <v>0</v>
      </c>
      <c r="L362" s="543"/>
      <c r="M362" s="78">
        <v>0</v>
      </c>
    </row>
    <row r="363" spans="2:33" ht="12.75" customHeight="1" x14ac:dyDescent="0.2">
      <c r="B363" s="558">
        <v>135</v>
      </c>
      <c r="C363" s="540">
        <v>9823424705</v>
      </c>
      <c r="D363" s="308" t="s">
        <v>265</v>
      </c>
      <c r="E363" s="336" t="s">
        <v>220</v>
      </c>
      <c r="F363" s="350"/>
      <c r="G363" s="310"/>
      <c r="H363" s="350"/>
      <c r="I363" s="131">
        <v>0</v>
      </c>
      <c r="J363" s="132"/>
      <c r="K363" s="133">
        <v>0</v>
      </c>
      <c r="L363" s="543"/>
      <c r="M363" s="78">
        <v>0</v>
      </c>
    </row>
    <row r="364" spans="2:33" ht="12.75" customHeight="1" x14ac:dyDescent="0.2">
      <c r="B364" s="565">
        <v>5</v>
      </c>
      <c r="C364" s="569">
        <v>14676408757</v>
      </c>
      <c r="D364" s="567" t="s">
        <v>267</v>
      </c>
      <c r="E364" s="350" t="s">
        <v>235</v>
      </c>
      <c r="F364" s="350"/>
      <c r="G364" s="310"/>
      <c r="H364" s="350"/>
      <c r="I364" s="131">
        <v>0</v>
      </c>
      <c r="J364" s="132"/>
      <c r="K364" s="133">
        <v>0</v>
      </c>
      <c r="L364" s="543"/>
      <c r="M364" s="78">
        <v>0</v>
      </c>
    </row>
    <row r="365" spans="2:33" ht="12.75" customHeight="1" x14ac:dyDescent="0.2">
      <c r="B365" s="558">
        <v>147</v>
      </c>
      <c r="C365" s="540">
        <v>18605506733</v>
      </c>
      <c r="D365" s="308" t="s">
        <v>269</v>
      </c>
      <c r="E365" s="317" t="s">
        <v>220</v>
      </c>
      <c r="F365" s="350"/>
      <c r="G365" s="310"/>
      <c r="H365" s="350"/>
      <c r="I365" s="131">
        <v>0</v>
      </c>
      <c r="J365" s="160"/>
      <c r="K365" s="133">
        <v>0</v>
      </c>
      <c r="L365" s="543"/>
      <c r="M365" s="78">
        <v>0</v>
      </c>
    </row>
    <row r="366" spans="2:33" ht="12.75" customHeight="1" x14ac:dyDescent="0.2">
      <c r="B366" s="558">
        <v>99</v>
      </c>
      <c r="C366" s="540">
        <v>11968033742</v>
      </c>
      <c r="D366" s="308" t="s">
        <v>271</v>
      </c>
      <c r="E366" s="336" t="s">
        <v>220</v>
      </c>
      <c r="F366" s="350"/>
      <c r="G366" s="310"/>
      <c r="H366" s="350"/>
      <c r="I366" s="131">
        <v>0</v>
      </c>
      <c r="J366" s="160"/>
      <c r="K366" s="133">
        <v>0</v>
      </c>
      <c r="L366" s="543"/>
      <c r="M366" s="78">
        <v>0</v>
      </c>
    </row>
    <row r="367" spans="2:33" ht="12.75" customHeight="1" x14ac:dyDescent="0.2">
      <c r="B367" s="558">
        <v>54</v>
      </c>
      <c r="C367" s="540">
        <v>540533742</v>
      </c>
      <c r="D367" s="308" t="s">
        <v>273</v>
      </c>
      <c r="E367" s="336" t="s">
        <v>220</v>
      </c>
      <c r="F367" s="350"/>
      <c r="G367" s="310"/>
      <c r="H367" s="350"/>
      <c r="I367" s="131">
        <v>0</v>
      </c>
      <c r="J367" s="132"/>
      <c r="K367" s="133">
        <v>0</v>
      </c>
      <c r="L367" s="543"/>
      <c r="M367" s="78">
        <v>0</v>
      </c>
    </row>
    <row r="368" spans="2:33" ht="12.75" customHeight="1" x14ac:dyDescent="0.2">
      <c r="B368" s="558">
        <v>42</v>
      </c>
      <c r="C368" s="540">
        <v>8126990767</v>
      </c>
      <c r="D368" s="308" t="s">
        <v>274</v>
      </c>
      <c r="E368" s="336" t="s">
        <v>220</v>
      </c>
      <c r="F368" s="350"/>
      <c r="G368" s="310"/>
      <c r="H368" s="350"/>
      <c r="I368" s="131">
        <v>0</v>
      </c>
      <c r="J368" s="132"/>
      <c r="K368" s="133">
        <v>0</v>
      </c>
      <c r="L368" s="543"/>
      <c r="M368" s="78">
        <v>0</v>
      </c>
    </row>
    <row r="369" spans="2:33" ht="12.75" customHeight="1" x14ac:dyDescent="0.2">
      <c r="B369" s="558">
        <v>43</v>
      </c>
      <c r="C369" s="540">
        <v>6143838623</v>
      </c>
      <c r="D369" s="308" t="s">
        <v>275</v>
      </c>
      <c r="E369" s="336" t="s">
        <v>220</v>
      </c>
      <c r="F369" s="350"/>
      <c r="G369" s="310"/>
      <c r="H369" s="350"/>
      <c r="I369" s="131">
        <v>0</v>
      </c>
      <c r="J369" s="132"/>
      <c r="K369" s="133">
        <v>0</v>
      </c>
      <c r="L369" s="543"/>
      <c r="M369" s="78">
        <v>0</v>
      </c>
    </row>
    <row r="370" spans="2:33" ht="12.75" customHeight="1" x14ac:dyDescent="0.2">
      <c r="B370" s="558">
        <v>148</v>
      </c>
      <c r="C370" s="540">
        <v>19168959729</v>
      </c>
      <c r="D370" s="308" t="s">
        <v>277</v>
      </c>
      <c r="E370" s="336" t="s">
        <v>220</v>
      </c>
      <c r="F370" s="350"/>
      <c r="G370" s="310"/>
      <c r="H370" s="350"/>
      <c r="I370" s="131">
        <v>0</v>
      </c>
      <c r="J370" s="160"/>
      <c r="K370" s="133">
        <v>0</v>
      </c>
      <c r="L370" s="543"/>
      <c r="M370" s="78">
        <v>0</v>
      </c>
    </row>
    <row r="371" spans="2:33" ht="12.75" customHeight="1" x14ac:dyDescent="0.2">
      <c r="B371" s="558">
        <v>157</v>
      </c>
      <c r="C371" s="572">
        <v>18019744703</v>
      </c>
      <c r="D371" s="308" t="s">
        <v>278</v>
      </c>
      <c r="E371" s="336" t="s">
        <v>220</v>
      </c>
      <c r="F371" s="350"/>
      <c r="G371" s="310"/>
      <c r="H371" s="350"/>
      <c r="I371" s="131">
        <v>0</v>
      </c>
      <c r="J371" s="132"/>
      <c r="K371" s="133">
        <v>0</v>
      </c>
      <c r="L371" s="543"/>
      <c r="M371" s="78">
        <v>0</v>
      </c>
    </row>
    <row r="372" spans="2:33" ht="12.75" customHeight="1" x14ac:dyDescent="0.2">
      <c r="B372" s="558">
        <v>48</v>
      </c>
      <c r="C372" s="540">
        <v>9825505702</v>
      </c>
      <c r="D372" s="308" t="s">
        <v>279</v>
      </c>
      <c r="E372" s="336" t="s">
        <v>220</v>
      </c>
      <c r="F372" s="350"/>
      <c r="G372" s="310"/>
      <c r="H372" s="350"/>
      <c r="I372" s="131">
        <v>0</v>
      </c>
      <c r="J372" s="132"/>
      <c r="K372" s="133">
        <v>0</v>
      </c>
      <c r="L372" s="543"/>
      <c r="M372" s="78">
        <v>0</v>
      </c>
    </row>
    <row r="373" spans="2:33" ht="12.75" customHeight="1" x14ac:dyDescent="0.2">
      <c r="B373" s="565">
        <v>1</v>
      </c>
      <c r="C373" s="569">
        <v>20832236756</v>
      </c>
      <c r="D373" s="567" t="s">
        <v>280</v>
      </c>
      <c r="E373" s="350" t="s">
        <v>235</v>
      </c>
      <c r="F373" s="350"/>
      <c r="G373" s="310"/>
      <c r="H373" s="350"/>
      <c r="I373" s="131">
        <v>0</v>
      </c>
      <c r="J373" s="132"/>
      <c r="K373" s="133">
        <v>0</v>
      </c>
      <c r="L373" s="543"/>
      <c r="M373" s="78">
        <v>0</v>
      </c>
    </row>
    <row r="374" spans="2:33" ht="12.75" customHeight="1" x14ac:dyDescent="0.2">
      <c r="B374" s="580">
        <v>159</v>
      </c>
      <c r="C374" s="572">
        <v>11347893784</v>
      </c>
      <c r="D374" s="581" t="s">
        <v>284</v>
      </c>
      <c r="E374" s="317" t="s">
        <v>220</v>
      </c>
      <c r="F374" s="582"/>
      <c r="G374" s="310"/>
      <c r="H374" s="350"/>
      <c r="I374" s="131">
        <v>0</v>
      </c>
      <c r="J374" s="160"/>
      <c r="K374" s="133">
        <v>0</v>
      </c>
      <c r="L374" s="543"/>
      <c r="M374" s="78">
        <v>0</v>
      </c>
    </row>
    <row r="375" spans="2:33" ht="12.75" customHeight="1" x14ac:dyDescent="0.2">
      <c r="B375" s="558">
        <v>144</v>
      </c>
      <c r="C375" s="540">
        <v>9630506726</v>
      </c>
      <c r="D375" s="308" t="s">
        <v>286</v>
      </c>
      <c r="E375" s="336" t="s">
        <v>220</v>
      </c>
      <c r="F375" s="350"/>
      <c r="G375" s="310"/>
      <c r="H375" s="350"/>
      <c r="I375" s="131">
        <v>0</v>
      </c>
      <c r="J375" s="160"/>
      <c r="K375" s="133">
        <v>0</v>
      </c>
      <c r="L375" s="543"/>
      <c r="M375" s="78">
        <v>0</v>
      </c>
    </row>
    <row r="376" spans="2:33" ht="12.75" customHeight="1" x14ac:dyDescent="0.2">
      <c r="B376" s="558">
        <v>126</v>
      </c>
      <c r="C376" s="540">
        <v>11765503736</v>
      </c>
      <c r="D376" s="308" t="s">
        <v>288</v>
      </c>
      <c r="E376" s="336" t="s">
        <v>220</v>
      </c>
      <c r="F376" s="350"/>
      <c r="G376" s="310"/>
      <c r="H376" s="350"/>
      <c r="I376" s="131">
        <v>0</v>
      </c>
      <c r="J376" s="132"/>
      <c r="K376" s="133">
        <v>0</v>
      </c>
      <c r="L376" s="543"/>
      <c r="M376" s="78">
        <v>0</v>
      </c>
    </row>
    <row r="377" spans="2:33" ht="12.75" customHeight="1" x14ac:dyDescent="0.2">
      <c r="B377" s="558">
        <v>52</v>
      </c>
      <c r="C377" s="540">
        <v>9922359790</v>
      </c>
      <c r="D377" s="308" t="s">
        <v>289</v>
      </c>
      <c r="E377" s="336" t="s">
        <v>220</v>
      </c>
      <c r="F377" s="350"/>
      <c r="G377" s="310"/>
      <c r="H377" s="350"/>
      <c r="I377" s="131">
        <v>0</v>
      </c>
      <c r="J377" s="132"/>
      <c r="K377" s="133">
        <v>0</v>
      </c>
      <c r="L377" s="543"/>
      <c r="M377" s="78">
        <v>0</v>
      </c>
    </row>
    <row r="378" spans="2:33" ht="12.75" customHeight="1" x14ac:dyDescent="0.2">
      <c r="B378" s="354"/>
      <c r="C378" s="355"/>
      <c r="D378" s="356">
        <f>COUNTA(D351:D377)</f>
        <v>27</v>
      </c>
      <c r="E378" s="354"/>
      <c r="F378" s="356">
        <f>COUNTA(F351:F377)</f>
        <v>0</v>
      </c>
      <c r="G378" s="356">
        <f>COUNTA(G351:G377)</f>
        <v>0</v>
      </c>
      <c r="H378" s="356">
        <f>COUNTA(H351:H377)</f>
        <v>0</v>
      </c>
      <c r="I378" s="356">
        <f>SUM(I351:I377)</f>
        <v>0</v>
      </c>
      <c r="J378" s="356">
        <f>COUNTA(J351:J377)</f>
        <v>0</v>
      </c>
      <c r="K378" s="356">
        <f>SUM(K351:K377)</f>
        <v>0</v>
      </c>
      <c r="L378" s="356">
        <f>COUNTA(L351:L377)</f>
        <v>0</v>
      </c>
      <c r="M378" s="356">
        <f>SUM(M351:M377)</f>
        <v>0</v>
      </c>
      <c r="N378" s="354"/>
      <c r="O378" s="354"/>
      <c r="P378" s="354"/>
      <c r="Q378" s="354"/>
      <c r="R378" s="354"/>
      <c r="S378" s="354"/>
      <c r="T378" s="354"/>
      <c r="U378" s="354"/>
      <c r="V378" s="354"/>
      <c r="W378" s="354"/>
      <c r="X378" s="354"/>
      <c r="Y378" s="354"/>
      <c r="Z378" s="354"/>
      <c r="AA378" s="354"/>
      <c r="AB378" s="354"/>
      <c r="AC378" s="354"/>
      <c r="AD378" s="354"/>
      <c r="AE378" s="354"/>
      <c r="AF378" s="354"/>
      <c r="AG378" s="354"/>
    </row>
  </sheetData>
  <mergeCells count="12">
    <mergeCell ref="X2:AD2"/>
    <mergeCell ref="X40:AD40"/>
    <mergeCell ref="Z78:AB78"/>
    <mergeCell ref="Z110:AB110"/>
    <mergeCell ref="Z140:AB140"/>
    <mergeCell ref="Z320:AB320"/>
    <mergeCell ref="Z350:AB350"/>
    <mergeCell ref="Z170:AB170"/>
    <mergeCell ref="Z200:AB200"/>
    <mergeCell ref="Z230:AB230"/>
    <mergeCell ref="Z260:AB260"/>
    <mergeCell ref="Z290:AB290"/>
  </mergeCells>
  <conditionalFormatting sqref="C3:C37 C41:C75 C79:C107 C111:C137">
    <cfRule type="expression" dxfId="30" priority="10">
      <formula>"00"".""000"".""000""-""00"</formula>
    </cfRule>
  </conditionalFormatting>
  <conditionalFormatting sqref="C141:C167">
    <cfRule type="expression" dxfId="29" priority="9">
      <formula>"00"".""000"".""000""-""00"</formula>
    </cfRule>
  </conditionalFormatting>
  <conditionalFormatting sqref="C171:C197">
    <cfRule type="expression" dxfId="28" priority="8">
      <formula>"00"".""000"".""000""-""00"</formula>
    </cfRule>
  </conditionalFormatting>
  <conditionalFormatting sqref="C201:C227">
    <cfRule type="expression" dxfId="27" priority="7">
      <formula>"00"".""000"".""000""-""00"</formula>
    </cfRule>
  </conditionalFormatting>
  <conditionalFormatting sqref="C231:C257">
    <cfRule type="expression" dxfId="26" priority="6">
      <formula>"00"".""000"".""000""-""00"</formula>
    </cfRule>
  </conditionalFormatting>
  <conditionalFormatting sqref="C261:C287">
    <cfRule type="expression" dxfId="25" priority="5">
      <formula>"00"".""000"".""000""-""00"</formula>
    </cfRule>
  </conditionalFormatting>
  <conditionalFormatting sqref="C291:C317">
    <cfRule type="expression" dxfId="24" priority="4">
      <formula>"00"".""000"".""000""-""00"</formula>
    </cfRule>
  </conditionalFormatting>
  <conditionalFormatting sqref="C321:C347">
    <cfRule type="expression" dxfId="23" priority="3">
      <formula>"00"".""000"".""000""-""00"</formula>
    </cfRule>
  </conditionalFormatting>
  <conditionalFormatting sqref="C351:C377">
    <cfRule type="expression" dxfId="22" priority="2">
      <formula>"00"".""000"".""000""-""00"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070C0"/>
  </sheetPr>
  <dimension ref="B1:AD411"/>
  <sheetViews>
    <sheetView zoomScale="85" zoomScaleNormal="85" workbookViewId="0">
      <selection activeCell="M410" sqref="M410"/>
    </sheetView>
  </sheetViews>
  <sheetFormatPr defaultColWidth="9.140625" defaultRowHeight="12.75" x14ac:dyDescent="0.25"/>
  <cols>
    <col min="1" max="1" width="2.140625" style="435" customWidth="1"/>
    <col min="2" max="2" width="37" style="435" customWidth="1"/>
    <col min="3" max="3" width="10.28515625" style="435" customWidth="1"/>
    <col min="4" max="4" width="8.85546875" style="435" customWidth="1"/>
    <col min="5" max="5" width="10.28515625" style="435" customWidth="1"/>
    <col min="6" max="6" width="9.28515625" style="435" customWidth="1"/>
    <col min="7" max="7" width="7.42578125" style="435" customWidth="1"/>
    <col min="8" max="8" width="10.5703125" style="435" customWidth="1"/>
    <col min="9" max="9" width="9.28515625" style="435" customWidth="1"/>
    <col min="10" max="10" width="7.7109375" style="435" customWidth="1"/>
    <col min="11" max="11" width="9.42578125" style="435" customWidth="1"/>
    <col min="12" max="12" width="11.28515625" style="435" customWidth="1"/>
    <col min="13" max="13" width="10.28515625" style="436" customWidth="1"/>
    <col min="14" max="14" width="9.28515625" style="436" customWidth="1"/>
    <col min="15" max="15" width="9.42578125" style="436" customWidth="1"/>
    <col min="16" max="16" width="9.28515625" style="435" customWidth="1"/>
    <col min="17" max="17" width="10.28515625" style="435" customWidth="1"/>
    <col min="18" max="19" width="9.28515625" style="436" customWidth="1"/>
    <col min="20" max="20" width="9.7109375" style="436" customWidth="1"/>
    <col min="21" max="21" width="9.28515625" style="435" customWidth="1"/>
    <col min="22" max="22" width="10.5703125" style="435" customWidth="1"/>
    <col min="23" max="23" width="10.7109375" style="435" customWidth="1"/>
    <col min="24" max="24" width="7.7109375" style="435" customWidth="1"/>
    <col min="25" max="25" width="9.85546875" style="435" customWidth="1"/>
    <col min="26" max="26" width="9.28515625" style="435" customWidth="1"/>
    <col min="27" max="27" width="10.28515625" style="435" customWidth="1"/>
    <col min="28" max="28" width="11.28515625" style="435" customWidth="1"/>
    <col min="29" max="29" width="9.7109375" style="435" customWidth="1"/>
    <col min="30" max="30" width="11.28515625" style="435" customWidth="1"/>
    <col min="31" max="31" width="1.85546875" style="435" customWidth="1"/>
    <col min="32" max="247" width="9.140625" style="435"/>
    <col min="248" max="248" width="6.85546875" style="435" customWidth="1"/>
    <col min="249" max="249" width="22.140625" style="435" customWidth="1"/>
    <col min="250" max="251" width="13.42578125" style="435" customWidth="1"/>
    <col min="252" max="252" width="10.85546875" style="435" customWidth="1"/>
    <col min="253" max="254" width="13" style="435" customWidth="1"/>
    <col min="255" max="256" width="11.7109375" style="435" customWidth="1"/>
    <col min="257" max="257" width="11.42578125" style="435" customWidth="1"/>
    <col min="258" max="258" width="12.5703125" style="435" customWidth="1"/>
    <col min="259" max="259" width="12" style="435" customWidth="1"/>
    <col min="260" max="260" width="12.7109375" style="435" customWidth="1"/>
    <col min="261" max="261" width="11.7109375" style="435" customWidth="1"/>
    <col min="262" max="262" width="10.85546875" style="435" customWidth="1"/>
    <col min="263" max="263" width="12.7109375" style="435" customWidth="1"/>
    <col min="264" max="264" width="10.5703125" style="435" customWidth="1"/>
    <col min="265" max="265" width="7.5703125" style="435" customWidth="1"/>
    <col min="266" max="266" width="9.140625" style="435"/>
    <col min="267" max="267" width="13" style="435" customWidth="1"/>
    <col min="268" max="268" width="11.42578125" style="435" customWidth="1"/>
    <col min="269" max="503" width="9.140625" style="435"/>
    <col min="504" max="504" width="6.85546875" style="435" customWidth="1"/>
    <col min="505" max="505" width="22.140625" style="435" customWidth="1"/>
    <col min="506" max="507" width="13.42578125" style="435" customWidth="1"/>
    <col min="508" max="508" width="10.85546875" style="435" customWidth="1"/>
    <col min="509" max="510" width="13" style="435" customWidth="1"/>
    <col min="511" max="512" width="11.7109375" style="435" customWidth="1"/>
    <col min="513" max="513" width="11.42578125" style="435" customWidth="1"/>
    <col min="514" max="514" width="12.5703125" style="435" customWidth="1"/>
    <col min="515" max="515" width="12" style="435" customWidth="1"/>
    <col min="516" max="516" width="12.7109375" style="435" customWidth="1"/>
    <col min="517" max="517" width="11.7109375" style="435" customWidth="1"/>
    <col min="518" max="518" width="10.85546875" style="435" customWidth="1"/>
    <col min="519" max="519" width="12.7109375" style="435" customWidth="1"/>
    <col min="520" max="520" width="10.5703125" style="435" customWidth="1"/>
    <col min="521" max="521" width="7.5703125" style="435" customWidth="1"/>
    <col min="522" max="522" width="9.140625" style="435"/>
    <col min="523" max="523" width="13" style="435" customWidth="1"/>
    <col min="524" max="524" width="11.42578125" style="435" customWidth="1"/>
    <col min="525" max="759" width="9.140625" style="435"/>
    <col min="760" max="760" width="6.85546875" style="435" customWidth="1"/>
    <col min="761" max="761" width="22.140625" style="435" customWidth="1"/>
    <col min="762" max="763" width="13.42578125" style="435" customWidth="1"/>
    <col min="764" max="764" width="10.85546875" style="435" customWidth="1"/>
    <col min="765" max="766" width="13" style="435" customWidth="1"/>
    <col min="767" max="768" width="11.7109375" style="435" customWidth="1"/>
    <col min="769" max="769" width="11.42578125" style="435" customWidth="1"/>
    <col min="770" max="770" width="12.5703125" style="435" customWidth="1"/>
    <col min="771" max="771" width="12" style="435" customWidth="1"/>
    <col min="772" max="772" width="12.7109375" style="435" customWidth="1"/>
    <col min="773" max="773" width="11.7109375" style="435" customWidth="1"/>
    <col min="774" max="774" width="10.85546875" style="435" customWidth="1"/>
    <col min="775" max="775" width="12.7109375" style="435" customWidth="1"/>
    <col min="776" max="776" width="10.5703125" style="435" customWidth="1"/>
    <col min="777" max="777" width="7.5703125" style="435" customWidth="1"/>
    <col min="778" max="778" width="9.140625" style="435"/>
    <col min="779" max="779" width="13" style="435" customWidth="1"/>
    <col min="780" max="780" width="11.42578125" style="435" customWidth="1"/>
    <col min="781" max="1015" width="9.140625" style="435"/>
    <col min="1016" max="1016" width="6.85546875" style="435" customWidth="1"/>
    <col min="1017" max="1017" width="22.140625" style="435" customWidth="1"/>
    <col min="1018" max="1019" width="13.42578125" style="435" customWidth="1"/>
    <col min="1020" max="1020" width="10.85546875" style="435" customWidth="1"/>
    <col min="1021" max="1022" width="13" style="435" customWidth="1"/>
    <col min="1023" max="1024" width="11.7109375" style="435" customWidth="1"/>
    <col min="1025" max="1025" width="11.42578125" style="435" customWidth="1"/>
    <col min="1026" max="1026" width="12.5703125" style="435" customWidth="1"/>
    <col min="1027" max="1027" width="12" style="435" customWidth="1"/>
    <col min="1028" max="1028" width="12.7109375" style="435" customWidth="1"/>
    <col min="1029" max="1029" width="11.7109375" style="435" customWidth="1"/>
    <col min="1030" max="1030" width="10.85546875" style="435" customWidth="1"/>
    <col min="1031" max="1031" width="12.7109375" style="435" customWidth="1"/>
    <col min="1032" max="1032" width="10.5703125" style="435" customWidth="1"/>
    <col min="1033" max="1033" width="7.5703125" style="435" customWidth="1"/>
    <col min="1034" max="1034" width="9.140625" style="435"/>
    <col min="1035" max="1035" width="13" style="435" customWidth="1"/>
    <col min="1036" max="1036" width="11.42578125" style="435" customWidth="1"/>
    <col min="1037" max="1271" width="9.140625" style="435"/>
    <col min="1272" max="1272" width="6.85546875" style="435" customWidth="1"/>
    <col min="1273" max="1273" width="22.140625" style="435" customWidth="1"/>
    <col min="1274" max="1275" width="13.42578125" style="435" customWidth="1"/>
    <col min="1276" max="1276" width="10.85546875" style="435" customWidth="1"/>
    <col min="1277" max="1278" width="13" style="435" customWidth="1"/>
    <col min="1279" max="1280" width="11.7109375" style="435" customWidth="1"/>
    <col min="1281" max="1281" width="11.42578125" style="435" customWidth="1"/>
    <col min="1282" max="1282" width="12.5703125" style="435" customWidth="1"/>
    <col min="1283" max="1283" width="12" style="435" customWidth="1"/>
    <col min="1284" max="1284" width="12.7109375" style="435" customWidth="1"/>
    <col min="1285" max="1285" width="11.7109375" style="435" customWidth="1"/>
    <col min="1286" max="1286" width="10.85546875" style="435" customWidth="1"/>
    <col min="1287" max="1287" width="12.7109375" style="435" customWidth="1"/>
    <col min="1288" max="1288" width="10.5703125" style="435" customWidth="1"/>
    <col min="1289" max="1289" width="7.5703125" style="435" customWidth="1"/>
    <col min="1290" max="1290" width="9.140625" style="435"/>
    <col min="1291" max="1291" width="13" style="435" customWidth="1"/>
    <col min="1292" max="1292" width="11.42578125" style="435" customWidth="1"/>
    <col min="1293" max="1527" width="9.140625" style="435"/>
    <col min="1528" max="1528" width="6.85546875" style="435" customWidth="1"/>
    <col min="1529" max="1529" width="22.140625" style="435" customWidth="1"/>
    <col min="1530" max="1531" width="13.42578125" style="435" customWidth="1"/>
    <col min="1532" max="1532" width="10.85546875" style="435" customWidth="1"/>
    <col min="1533" max="1534" width="13" style="435" customWidth="1"/>
    <col min="1535" max="1536" width="11.7109375" style="435" customWidth="1"/>
    <col min="1537" max="1537" width="11.42578125" style="435" customWidth="1"/>
    <col min="1538" max="1538" width="12.5703125" style="435" customWidth="1"/>
    <col min="1539" max="1539" width="12" style="435" customWidth="1"/>
    <col min="1540" max="1540" width="12.7109375" style="435" customWidth="1"/>
    <col min="1541" max="1541" width="11.7109375" style="435" customWidth="1"/>
    <col min="1542" max="1542" width="10.85546875" style="435" customWidth="1"/>
    <col min="1543" max="1543" width="12.7109375" style="435" customWidth="1"/>
    <col min="1544" max="1544" width="10.5703125" style="435" customWidth="1"/>
    <col min="1545" max="1545" width="7.5703125" style="435" customWidth="1"/>
    <col min="1546" max="1546" width="9.140625" style="435"/>
    <col min="1547" max="1547" width="13" style="435" customWidth="1"/>
    <col min="1548" max="1548" width="11.42578125" style="435" customWidth="1"/>
    <col min="1549" max="1783" width="9.140625" style="435"/>
    <col min="1784" max="1784" width="6.85546875" style="435" customWidth="1"/>
    <col min="1785" max="1785" width="22.140625" style="435" customWidth="1"/>
    <col min="1786" max="1787" width="13.42578125" style="435" customWidth="1"/>
    <col min="1788" max="1788" width="10.85546875" style="435" customWidth="1"/>
    <col min="1789" max="1790" width="13" style="435" customWidth="1"/>
    <col min="1791" max="1792" width="11.7109375" style="435" customWidth="1"/>
    <col min="1793" max="1793" width="11.42578125" style="435" customWidth="1"/>
    <col min="1794" max="1794" width="12.5703125" style="435" customWidth="1"/>
    <col min="1795" max="1795" width="12" style="435" customWidth="1"/>
    <col min="1796" max="1796" width="12.7109375" style="435" customWidth="1"/>
    <col min="1797" max="1797" width="11.7109375" style="435" customWidth="1"/>
    <col min="1798" max="1798" width="10.85546875" style="435" customWidth="1"/>
    <col min="1799" max="1799" width="12.7109375" style="435" customWidth="1"/>
    <col min="1800" max="1800" width="10.5703125" style="435" customWidth="1"/>
    <col min="1801" max="1801" width="7.5703125" style="435" customWidth="1"/>
    <col min="1802" max="1802" width="9.140625" style="435"/>
    <col min="1803" max="1803" width="13" style="435" customWidth="1"/>
    <col min="1804" max="1804" width="11.42578125" style="435" customWidth="1"/>
    <col min="1805" max="2039" width="9.140625" style="435"/>
    <col min="2040" max="2040" width="6.85546875" style="435" customWidth="1"/>
    <col min="2041" max="2041" width="22.140625" style="435" customWidth="1"/>
    <col min="2042" max="2043" width="13.42578125" style="435" customWidth="1"/>
    <col min="2044" max="2044" width="10.85546875" style="435" customWidth="1"/>
    <col min="2045" max="2046" width="13" style="435" customWidth="1"/>
    <col min="2047" max="2048" width="11.7109375" style="435" customWidth="1"/>
    <col min="2049" max="2049" width="11.42578125" style="435" customWidth="1"/>
    <col min="2050" max="2050" width="12.5703125" style="435" customWidth="1"/>
    <col min="2051" max="2051" width="12" style="435" customWidth="1"/>
    <col min="2052" max="2052" width="12.7109375" style="435" customWidth="1"/>
    <col min="2053" max="2053" width="11.7109375" style="435" customWidth="1"/>
    <col min="2054" max="2054" width="10.85546875" style="435" customWidth="1"/>
    <col min="2055" max="2055" width="12.7109375" style="435" customWidth="1"/>
    <col min="2056" max="2056" width="10.5703125" style="435" customWidth="1"/>
    <col min="2057" max="2057" width="7.5703125" style="435" customWidth="1"/>
    <col min="2058" max="2058" width="9.140625" style="435"/>
    <col min="2059" max="2059" width="13" style="435" customWidth="1"/>
    <col min="2060" max="2060" width="11.42578125" style="435" customWidth="1"/>
    <col min="2061" max="2295" width="9.140625" style="435"/>
    <col min="2296" max="2296" width="6.85546875" style="435" customWidth="1"/>
    <col min="2297" max="2297" width="22.140625" style="435" customWidth="1"/>
    <col min="2298" max="2299" width="13.42578125" style="435" customWidth="1"/>
    <col min="2300" max="2300" width="10.85546875" style="435" customWidth="1"/>
    <col min="2301" max="2302" width="13" style="435" customWidth="1"/>
    <col min="2303" max="2304" width="11.7109375" style="435" customWidth="1"/>
    <col min="2305" max="2305" width="11.42578125" style="435" customWidth="1"/>
    <col min="2306" max="2306" width="12.5703125" style="435" customWidth="1"/>
    <col min="2307" max="2307" width="12" style="435" customWidth="1"/>
    <col min="2308" max="2308" width="12.7109375" style="435" customWidth="1"/>
    <col min="2309" max="2309" width="11.7109375" style="435" customWidth="1"/>
    <col min="2310" max="2310" width="10.85546875" style="435" customWidth="1"/>
    <col min="2311" max="2311" width="12.7109375" style="435" customWidth="1"/>
    <col min="2312" max="2312" width="10.5703125" style="435" customWidth="1"/>
    <col min="2313" max="2313" width="7.5703125" style="435" customWidth="1"/>
    <col min="2314" max="2314" width="9.140625" style="435"/>
    <col min="2315" max="2315" width="13" style="435" customWidth="1"/>
    <col min="2316" max="2316" width="11.42578125" style="435" customWidth="1"/>
    <col min="2317" max="2551" width="9.140625" style="435"/>
    <col min="2552" max="2552" width="6.85546875" style="435" customWidth="1"/>
    <col min="2553" max="2553" width="22.140625" style="435" customWidth="1"/>
    <col min="2554" max="2555" width="13.42578125" style="435" customWidth="1"/>
    <col min="2556" max="2556" width="10.85546875" style="435" customWidth="1"/>
    <col min="2557" max="2558" width="13" style="435" customWidth="1"/>
    <col min="2559" max="2560" width="11.7109375" style="435" customWidth="1"/>
    <col min="2561" max="2561" width="11.42578125" style="435" customWidth="1"/>
    <col min="2562" max="2562" width="12.5703125" style="435" customWidth="1"/>
    <col min="2563" max="2563" width="12" style="435" customWidth="1"/>
    <col min="2564" max="2564" width="12.7109375" style="435" customWidth="1"/>
    <col min="2565" max="2565" width="11.7109375" style="435" customWidth="1"/>
    <col min="2566" max="2566" width="10.85546875" style="435" customWidth="1"/>
    <col min="2567" max="2567" width="12.7109375" style="435" customWidth="1"/>
    <col min="2568" max="2568" width="10.5703125" style="435" customWidth="1"/>
    <col min="2569" max="2569" width="7.5703125" style="435" customWidth="1"/>
    <col min="2570" max="2570" width="9.140625" style="435"/>
    <col min="2571" max="2571" width="13" style="435" customWidth="1"/>
    <col min="2572" max="2572" width="11.42578125" style="435" customWidth="1"/>
    <col min="2573" max="2807" width="9.140625" style="435"/>
    <col min="2808" max="2808" width="6.85546875" style="435" customWidth="1"/>
    <col min="2809" max="2809" width="22.140625" style="435" customWidth="1"/>
    <col min="2810" max="2811" width="13.42578125" style="435" customWidth="1"/>
    <col min="2812" max="2812" width="10.85546875" style="435" customWidth="1"/>
    <col min="2813" max="2814" width="13" style="435" customWidth="1"/>
    <col min="2815" max="2816" width="11.7109375" style="435" customWidth="1"/>
    <col min="2817" max="2817" width="11.42578125" style="435" customWidth="1"/>
    <col min="2818" max="2818" width="12.5703125" style="435" customWidth="1"/>
    <col min="2819" max="2819" width="12" style="435" customWidth="1"/>
    <col min="2820" max="2820" width="12.7109375" style="435" customWidth="1"/>
    <col min="2821" max="2821" width="11.7109375" style="435" customWidth="1"/>
    <col min="2822" max="2822" width="10.85546875" style="435" customWidth="1"/>
    <col min="2823" max="2823" width="12.7109375" style="435" customWidth="1"/>
    <col min="2824" max="2824" width="10.5703125" style="435" customWidth="1"/>
    <col min="2825" max="2825" width="7.5703125" style="435" customWidth="1"/>
    <col min="2826" max="2826" width="9.140625" style="435"/>
    <col min="2827" max="2827" width="13" style="435" customWidth="1"/>
    <col min="2828" max="2828" width="11.42578125" style="435" customWidth="1"/>
    <col min="2829" max="3063" width="9.140625" style="435"/>
    <col min="3064" max="3064" width="6.85546875" style="435" customWidth="1"/>
    <col min="3065" max="3065" width="22.140625" style="435" customWidth="1"/>
    <col min="3066" max="3067" width="13.42578125" style="435" customWidth="1"/>
    <col min="3068" max="3068" width="10.85546875" style="435" customWidth="1"/>
    <col min="3069" max="3070" width="13" style="435" customWidth="1"/>
    <col min="3071" max="3072" width="11.7109375" style="435" customWidth="1"/>
    <col min="3073" max="3073" width="11.42578125" style="435" customWidth="1"/>
    <col min="3074" max="3074" width="12.5703125" style="435" customWidth="1"/>
    <col min="3075" max="3075" width="12" style="435" customWidth="1"/>
    <col min="3076" max="3076" width="12.7109375" style="435" customWidth="1"/>
    <col min="3077" max="3077" width="11.7109375" style="435" customWidth="1"/>
    <col min="3078" max="3078" width="10.85546875" style="435" customWidth="1"/>
    <col min="3079" max="3079" width="12.7109375" style="435" customWidth="1"/>
    <col min="3080" max="3080" width="10.5703125" style="435" customWidth="1"/>
    <col min="3081" max="3081" width="7.5703125" style="435" customWidth="1"/>
    <col min="3082" max="3082" width="9.140625" style="435"/>
    <col min="3083" max="3083" width="13" style="435" customWidth="1"/>
    <col min="3084" max="3084" width="11.42578125" style="435" customWidth="1"/>
    <col min="3085" max="3319" width="9.140625" style="435"/>
    <col min="3320" max="3320" width="6.85546875" style="435" customWidth="1"/>
    <col min="3321" max="3321" width="22.140625" style="435" customWidth="1"/>
    <col min="3322" max="3323" width="13.42578125" style="435" customWidth="1"/>
    <col min="3324" max="3324" width="10.85546875" style="435" customWidth="1"/>
    <col min="3325" max="3326" width="13" style="435" customWidth="1"/>
    <col min="3327" max="3328" width="11.7109375" style="435" customWidth="1"/>
    <col min="3329" max="3329" width="11.42578125" style="435" customWidth="1"/>
    <col min="3330" max="3330" width="12.5703125" style="435" customWidth="1"/>
    <col min="3331" max="3331" width="12" style="435" customWidth="1"/>
    <col min="3332" max="3332" width="12.7109375" style="435" customWidth="1"/>
    <col min="3333" max="3333" width="11.7109375" style="435" customWidth="1"/>
    <col min="3334" max="3334" width="10.85546875" style="435" customWidth="1"/>
    <col min="3335" max="3335" width="12.7109375" style="435" customWidth="1"/>
    <col min="3336" max="3336" width="10.5703125" style="435" customWidth="1"/>
    <col min="3337" max="3337" width="7.5703125" style="435" customWidth="1"/>
    <col min="3338" max="3338" width="9.140625" style="435"/>
    <col min="3339" max="3339" width="13" style="435" customWidth="1"/>
    <col min="3340" max="3340" width="11.42578125" style="435" customWidth="1"/>
    <col min="3341" max="3575" width="9.140625" style="435"/>
    <col min="3576" max="3576" width="6.85546875" style="435" customWidth="1"/>
    <col min="3577" max="3577" width="22.140625" style="435" customWidth="1"/>
    <col min="3578" max="3579" width="13.42578125" style="435" customWidth="1"/>
    <col min="3580" max="3580" width="10.85546875" style="435" customWidth="1"/>
    <col min="3581" max="3582" width="13" style="435" customWidth="1"/>
    <col min="3583" max="3584" width="11.7109375" style="435" customWidth="1"/>
    <col min="3585" max="3585" width="11.42578125" style="435" customWidth="1"/>
    <col min="3586" max="3586" width="12.5703125" style="435" customWidth="1"/>
    <col min="3587" max="3587" width="12" style="435" customWidth="1"/>
    <col min="3588" max="3588" width="12.7109375" style="435" customWidth="1"/>
    <col min="3589" max="3589" width="11.7109375" style="435" customWidth="1"/>
    <col min="3590" max="3590" width="10.85546875" style="435" customWidth="1"/>
    <col min="3591" max="3591" width="12.7109375" style="435" customWidth="1"/>
    <col min="3592" max="3592" width="10.5703125" style="435" customWidth="1"/>
    <col min="3593" max="3593" width="7.5703125" style="435" customWidth="1"/>
    <col min="3594" max="3594" width="9.140625" style="435"/>
    <col min="3595" max="3595" width="13" style="435" customWidth="1"/>
    <col min="3596" max="3596" width="11.42578125" style="435" customWidth="1"/>
    <col min="3597" max="3831" width="9.140625" style="435"/>
    <col min="3832" max="3832" width="6.85546875" style="435" customWidth="1"/>
    <col min="3833" max="3833" width="22.140625" style="435" customWidth="1"/>
    <col min="3834" max="3835" width="13.42578125" style="435" customWidth="1"/>
    <col min="3836" max="3836" width="10.85546875" style="435" customWidth="1"/>
    <col min="3837" max="3838" width="13" style="435" customWidth="1"/>
    <col min="3839" max="3840" width="11.7109375" style="435" customWidth="1"/>
    <col min="3841" max="3841" width="11.42578125" style="435" customWidth="1"/>
    <col min="3842" max="3842" width="12.5703125" style="435" customWidth="1"/>
    <col min="3843" max="3843" width="12" style="435" customWidth="1"/>
    <col min="3844" max="3844" width="12.7109375" style="435" customWidth="1"/>
    <col min="3845" max="3845" width="11.7109375" style="435" customWidth="1"/>
    <col min="3846" max="3846" width="10.85546875" style="435" customWidth="1"/>
    <col min="3847" max="3847" width="12.7109375" style="435" customWidth="1"/>
    <col min="3848" max="3848" width="10.5703125" style="435" customWidth="1"/>
    <col min="3849" max="3849" width="7.5703125" style="435" customWidth="1"/>
    <col min="3850" max="3850" width="9.140625" style="435"/>
    <col min="3851" max="3851" width="13" style="435" customWidth="1"/>
    <col min="3852" max="3852" width="11.42578125" style="435" customWidth="1"/>
    <col min="3853" max="4087" width="9.140625" style="435"/>
    <col min="4088" max="4088" width="6.85546875" style="435" customWidth="1"/>
    <col min="4089" max="4089" width="22.140625" style="435" customWidth="1"/>
    <col min="4090" max="4091" width="13.42578125" style="435" customWidth="1"/>
    <col min="4092" max="4092" width="10.85546875" style="435" customWidth="1"/>
    <col min="4093" max="4094" width="13" style="435" customWidth="1"/>
    <col min="4095" max="4096" width="11.7109375" style="435" customWidth="1"/>
    <col min="4097" max="4097" width="11.42578125" style="435" customWidth="1"/>
    <col min="4098" max="4098" width="12.5703125" style="435" customWidth="1"/>
    <col min="4099" max="4099" width="12" style="435" customWidth="1"/>
    <col min="4100" max="4100" width="12.7109375" style="435" customWidth="1"/>
    <col min="4101" max="4101" width="11.7109375" style="435" customWidth="1"/>
    <col min="4102" max="4102" width="10.85546875" style="435" customWidth="1"/>
    <col min="4103" max="4103" width="12.7109375" style="435" customWidth="1"/>
    <col min="4104" max="4104" width="10.5703125" style="435" customWidth="1"/>
    <col min="4105" max="4105" width="7.5703125" style="435" customWidth="1"/>
    <col min="4106" max="4106" width="9.140625" style="435"/>
    <col min="4107" max="4107" width="13" style="435" customWidth="1"/>
    <col min="4108" max="4108" width="11.42578125" style="435" customWidth="1"/>
    <col min="4109" max="4343" width="9.140625" style="435"/>
    <col min="4344" max="4344" width="6.85546875" style="435" customWidth="1"/>
    <col min="4345" max="4345" width="22.140625" style="435" customWidth="1"/>
    <col min="4346" max="4347" width="13.42578125" style="435" customWidth="1"/>
    <col min="4348" max="4348" width="10.85546875" style="435" customWidth="1"/>
    <col min="4349" max="4350" width="13" style="435" customWidth="1"/>
    <col min="4351" max="4352" width="11.7109375" style="435" customWidth="1"/>
    <col min="4353" max="4353" width="11.42578125" style="435" customWidth="1"/>
    <col min="4354" max="4354" width="12.5703125" style="435" customWidth="1"/>
    <col min="4355" max="4355" width="12" style="435" customWidth="1"/>
    <col min="4356" max="4356" width="12.7109375" style="435" customWidth="1"/>
    <col min="4357" max="4357" width="11.7109375" style="435" customWidth="1"/>
    <col min="4358" max="4358" width="10.85546875" style="435" customWidth="1"/>
    <col min="4359" max="4359" width="12.7109375" style="435" customWidth="1"/>
    <col min="4360" max="4360" width="10.5703125" style="435" customWidth="1"/>
    <col min="4361" max="4361" width="7.5703125" style="435" customWidth="1"/>
    <col min="4362" max="4362" width="9.140625" style="435"/>
    <col min="4363" max="4363" width="13" style="435" customWidth="1"/>
    <col min="4364" max="4364" width="11.42578125" style="435" customWidth="1"/>
    <col min="4365" max="4599" width="9.140625" style="435"/>
    <col min="4600" max="4600" width="6.85546875" style="435" customWidth="1"/>
    <col min="4601" max="4601" width="22.140625" style="435" customWidth="1"/>
    <col min="4602" max="4603" width="13.42578125" style="435" customWidth="1"/>
    <col min="4604" max="4604" width="10.85546875" style="435" customWidth="1"/>
    <col min="4605" max="4606" width="13" style="435" customWidth="1"/>
    <col min="4607" max="4608" width="11.7109375" style="435" customWidth="1"/>
    <col min="4609" max="4609" width="11.42578125" style="435" customWidth="1"/>
    <col min="4610" max="4610" width="12.5703125" style="435" customWidth="1"/>
    <col min="4611" max="4611" width="12" style="435" customWidth="1"/>
    <col min="4612" max="4612" width="12.7109375" style="435" customWidth="1"/>
    <col min="4613" max="4613" width="11.7109375" style="435" customWidth="1"/>
    <col min="4614" max="4614" width="10.85546875" style="435" customWidth="1"/>
    <col min="4615" max="4615" width="12.7109375" style="435" customWidth="1"/>
    <col min="4616" max="4616" width="10.5703125" style="435" customWidth="1"/>
    <col min="4617" max="4617" width="7.5703125" style="435" customWidth="1"/>
    <col min="4618" max="4618" width="9.140625" style="435"/>
    <col min="4619" max="4619" width="13" style="435" customWidth="1"/>
    <col min="4620" max="4620" width="11.42578125" style="435" customWidth="1"/>
    <col min="4621" max="4855" width="9.140625" style="435"/>
    <col min="4856" max="4856" width="6.85546875" style="435" customWidth="1"/>
    <col min="4857" max="4857" width="22.140625" style="435" customWidth="1"/>
    <col min="4858" max="4859" width="13.42578125" style="435" customWidth="1"/>
    <col min="4860" max="4860" width="10.85546875" style="435" customWidth="1"/>
    <col min="4861" max="4862" width="13" style="435" customWidth="1"/>
    <col min="4863" max="4864" width="11.7109375" style="435" customWidth="1"/>
    <col min="4865" max="4865" width="11.42578125" style="435" customWidth="1"/>
    <col min="4866" max="4866" width="12.5703125" style="435" customWidth="1"/>
    <col min="4867" max="4867" width="12" style="435" customWidth="1"/>
    <col min="4868" max="4868" width="12.7109375" style="435" customWidth="1"/>
    <col min="4869" max="4869" width="11.7109375" style="435" customWidth="1"/>
    <col min="4870" max="4870" width="10.85546875" style="435" customWidth="1"/>
    <col min="4871" max="4871" width="12.7109375" style="435" customWidth="1"/>
    <col min="4872" max="4872" width="10.5703125" style="435" customWidth="1"/>
    <col min="4873" max="4873" width="7.5703125" style="435" customWidth="1"/>
    <col min="4874" max="4874" width="9.140625" style="435"/>
    <col min="4875" max="4875" width="13" style="435" customWidth="1"/>
    <col min="4876" max="4876" width="11.42578125" style="435" customWidth="1"/>
    <col min="4877" max="5111" width="9.140625" style="435"/>
    <col min="5112" max="5112" width="6.85546875" style="435" customWidth="1"/>
    <col min="5113" max="5113" width="22.140625" style="435" customWidth="1"/>
    <col min="5114" max="5115" width="13.42578125" style="435" customWidth="1"/>
    <col min="5116" max="5116" width="10.85546875" style="435" customWidth="1"/>
    <col min="5117" max="5118" width="13" style="435" customWidth="1"/>
    <col min="5119" max="5120" width="11.7109375" style="435" customWidth="1"/>
    <col min="5121" max="5121" width="11.42578125" style="435" customWidth="1"/>
    <col min="5122" max="5122" width="12.5703125" style="435" customWidth="1"/>
    <col min="5123" max="5123" width="12" style="435" customWidth="1"/>
    <col min="5124" max="5124" width="12.7109375" style="435" customWidth="1"/>
    <col min="5125" max="5125" width="11.7109375" style="435" customWidth="1"/>
    <col min="5126" max="5126" width="10.85546875" style="435" customWidth="1"/>
    <col min="5127" max="5127" width="12.7109375" style="435" customWidth="1"/>
    <col min="5128" max="5128" width="10.5703125" style="435" customWidth="1"/>
    <col min="5129" max="5129" width="7.5703125" style="435" customWidth="1"/>
    <col min="5130" max="5130" width="9.140625" style="435"/>
    <col min="5131" max="5131" width="13" style="435" customWidth="1"/>
    <col min="5132" max="5132" width="11.42578125" style="435" customWidth="1"/>
    <col min="5133" max="5367" width="9.140625" style="435"/>
    <col min="5368" max="5368" width="6.85546875" style="435" customWidth="1"/>
    <col min="5369" max="5369" width="22.140625" style="435" customWidth="1"/>
    <col min="5370" max="5371" width="13.42578125" style="435" customWidth="1"/>
    <col min="5372" max="5372" width="10.85546875" style="435" customWidth="1"/>
    <col min="5373" max="5374" width="13" style="435" customWidth="1"/>
    <col min="5375" max="5376" width="11.7109375" style="435" customWidth="1"/>
    <col min="5377" max="5377" width="11.42578125" style="435" customWidth="1"/>
    <col min="5378" max="5378" width="12.5703125" style="435" customWidth="1"/>
    <col min="5379" max="5379" width="12" style="435" customWidth="1"/>
    <col min="5380" max="5380" width="12.7109375" style="435" customWidth="1"/>
    <col min="5381" max="5381" width="11.7109375" style="435" customWidth="1"/>
    <col min="5382" max="5382" width="10.85546875" style="435" customWidth="1"/>
    <col min="5383" max="5383" width="12.7109375" style="435" customWidth="1"/>
    <col min="5384" max="5384" width="10.5703125" style="435" customWidth="1"/>
    <col min="5385" max="5385" width="7.5703125" style="435" customWidth="1"/>
    <col min="5386" max="5386" width="9.140625" style="435"/>
    <col min="5387" max="5387" width="13" style="435" customWidth="1"/>
    <col min="5388" max="5388" width="11.42578125" style="435" customWidth="1"/>
    <col min="5389" max="5623" width="9.140625" style="435"/>
    <col min="5624" max="5624" width="6.85546875" style="435" customWidth="1"/>
    <col min="5625" max="5625" width="22.140625" style="435" customWidth="1"/>
    <col min="5626" max="5627" width="13.42578125" style="435" customWidth="1"/>
    <col min="5628" max="5628" width="10.85546875" style="435" customWidth="1"/>
    <col min="5629" max="5630" width="13" style="435" customWidth="1"/>
    <col min="5631" max="5632" width="11.7109375" style="435" customWidth="1"/>
    <col min="5633" max="5633" width="11.42578125" style="435" customWidth="1"/>
    <col min="5634" max="5634" width="12.5703125" style="435" customWidth="1"/>
    <col min="5635" max="5635" width="12" style="435" customWidth="1"/>
    <col min="5636" max="5636" width="12.7109375" style="435" customWidth="1"/>
    <col min="5637" max="5637" width="11.7109375" style="435" customWidth="1"/>
    <col min="5638" max="5638" width="10.85546875" style="435" customWidth="1"/>
    <col min="5639" max="5639" width="12.7109375" style="435" customWidth="1"/>
    <col min="5640" max="5640" width="10.5703125" style="435" customWidth="1"/>
    <col min="5641" max="5641" width="7.5703125" style="435" customWidth="1"/>
    <col min="5642" max="5642" width="9.140625" style="435"/>
    <col min="5643" max="5643" width="13" style="435" customWidth="1"/>
    <col min="5644" max="5644" width="11.42578125" style="435" customWidth="1"/>
    <col min="5645" max="5879" width="9.140625" style="435"/>
    <col min="5880" max="5880" width="6.85546875" style="435" customWidth="1"/>
    <col min="5881" max="5881" width="22.140625" style="435" customWidth="1"/>
    <col min="5882" max="5883" width="13.42578125" style="435" customWidth="1"/>
    <col min="5884" max="5884" width="10.85546875" style="435" customWidth="1"/>
    <col min="5885" max="5886" width="13" style="435" customWidth="1"/>
    <col min="5887" max="5888" width="11.7109375" style="435" customWidth="1"/>
    <col min="5889" max="5889" width="11.42578125" style="435" customWidth="1"/>
    <col min="5890" max="5890" width="12.5703125" style="435" customWidth="1"/>
    <col min="5891" max="5891" width="12" style="435" customWidth="1"/>
    <col min="5892" max="5892" width="12.7109375" style="435" customWidth="1"/>
    <col min="5893" max="5893" width="11.7109375" style="435" customWidth="1"/>
    <col min="5894" max="5894" width="10.85546875" style="435" customWidth="1"/>
    <col min="5895" max="5895" width="12.7109375" style="435" customWidth="1"/>
    <col min="5896" max="5896" width="10.5703125" style="435" customWidth="1"/>
    <col min="5897" max="5897" width="7.5703125" style="435" customWidth="1"/>
    <col min="5898" max="5898" width="9.140625" style="435"/>
    <col min="5899" max="5899" width="13" style="435" customWidth="1"/>
    <col min="5900" max="5900" width="11.42578125" style="435" customWidth="1"/>
    <col min="5901" max="6135" width="9.140625" style="435"/>
    <col min="6136" max="6136" width="6.85546875" style="435" customWidth="1"/>
    <col min="6137" max="6137" width="22.140625" style="435" customWidth="1"/>
    <col min="6138" max="6139" width="13.42578125" style="435" customWidth="1"/>
    <col min="6140" max="6140" width="10.85546875" style="435" customWidth="1"/>
    <col min="6141" max="6142" width="13" style="435" customWidth="1"/>
    <col min="6143" max="6144" width="11.7109375" style="435" customWidth="1"/>
    <col min="6145" max="6145" width="11.42578125" style="435" customWidth="1"/>
    <col min="6146" max="6146" width="12.5703125" style="435" customWidth="1"/>
    <col min="6147" max="6147" width="12" style="435" customWidth="1"/>
    <col min="6148" max="6148" width="12.7109375" style="435" customWidth="1"/>
    <col min="6149" max="6149" width="11.7109375" style="435" customWidth="1"/>
    <col min="6150" max="6150" width="10.85546875" style="435" customWidth="1"/>
    <col min="6151" max="6151" width="12.7109375" style="435" customWidth="1"/>
    <col min="6152" max="6152" width="10.5703125" style="435" customWidth="1"/>
    <col min="6153" max="6153" width="7.5703125" style="435" customWidth="1"/>
    <col min="6154" max="6154" width="9.140625" style="435"/>
    <col min="6155" max="6155" width="13" style="435" customWidth="1"/>
    <col min="6156" max="6156" width="11.42578125" style="435" customWidth="1"/>
    <col min="6157" max="6391" width="9.140625" style="435"/>
    <col min="6392" max="6392" width="6.85546875" style="435" customWidth="1"/>
    <col min="6393" max="6393" width="22.140625" style="435" customWidth="1"/>
    <col min="6394" max="6395" width="13.42578125" style="435" customWidth="1"/>
    <col min="6396" max="6396" width="10.85546875" style="435" customWidth="1"/>
    <col min="6397" max="6398" width="13" style="435" customWidth="1"/>
    <col min="6399" max="6400" width="11.7109375" style="435" customWidth="1"/>
    <col min="6401" max="6401" width="11.42578125" style="435" customWidth="1"/>
    <col min="6402" max="6402" width="12.5703125" style="435" customWidth="1"/>
    <col min="6403" max="6403" width="12" style="435" customWidth="1"/>
    <col min="6404" max="6404" width="12.7109375" style="435" customWidth="1"/>
    <col min="6405" max="6405" width="11.7109375" style="435" customWidth="1"/>
    <col min="6406" max="6406" width="10.85546875" style="435" customWidth="1"/>
    <col min="6407" max="6407" width="12.7109375" style="435" customWidth="1"/>
    <col min="6408" max="6408" width="10.5703125" style="435" customWidth="1"/>
    <col min="6409" max="6409" width="7.5703125" style="435" customWidth="1"/>
    <col min="6410" max="6410" width="9.140625" style="435"/>
    <col min="6411" max="6411" width="13" style="435" customWidth="1"/>
    <col min="6412" max="6412" width="11.42578125" style="435" customWidth="1"/>
    <col min="6413" max="6647" width="9.140625" style="435"/>
    <col min="6648" max="6648" width="6.85546875" style="435" customWidth="1"/>
    <col min="6649" max="6649" width="22.140625" style="435" customWidth="1"/>
    <col min="6650" max="6651" width="13.42578125" style="435" customWidth="1"/>
    <col min="6652" max="6652" width="10.85546875" style="435" customWidth="1"/>
    <col min="6653" max="6654" width="13" style="435" customWidth="1"/>
    <col min="6655" max="6656" width="11.7109375" style="435" customWidth="1"/>
    <col min="6657" max="6657" width="11.42578125" style="435" customWidth="1"/>
    <col min="6658" max="6658" width="12.5703125" style="435" customWidth="1"/>
    <col min="6659" max="6659" width="12" style="435" customWidth="1"/>
    <col min="6660" max="6660" width="12.7109375" style="435" customWidth="1"/>
    <col min="6661" max="6661" width="11.7109375" style="435" customWidth="1"/>
    <col min="6662" max="6662" width="10.85546875" style="435" customWidth="1"/>
    <col min="6663" max="6663" width="12.7109375" style="435" customWidth="1"/>
    <col min="6664" max="6664" width="10.5703125" style="435" customWidth="1"/>
    <col min="6665" max="6665" width="7.5703125" style="435" customWidth="1"/>
    <col min="6666" max="6666" width="9.140625" style="435"/>
    <col min="6667" max="6667" width="13" style="435" customWidth="1"/>
    <col min="6668" max="6668" width="11.42578125" style="435" customWidth="1"/>
    <col min="6669" max="6903" width="9.140625" style="435"/>
    <col min="6904" max="6904" width="6.85546875" style="435" customWidth="1"/>
    <col min="6905" max="6905" width="22.140625" style="435" customWidth="1"/>
    <col min="6906" max="6907" width="13.42578125" style="435" customWidth="1"/>
    <col min="6908" max="6908" width="10.85546875" style="435" customWidth="1"/>
    <col min="6909" max="6910" width="13" style="435" customWidth="1"/>
    <col min="6911" max="6912" width="11.7109375" style="435" customWidth="1"/>
    <col min="6913" max="6913" width="11.42578125" style="435" customWidth="1"/>
    <col min="6914" max="6914" width="12.5703125" style="435" customWidth="1"/>
    <col min="6915" max="6915" width="12" style="435" customWidth="1"/>
    <col min="6916" max="6916" width="12.7109375" style="435" customWidth="1"/>
    <col min="6917" max="6917" width="11.7109375" style="435" customWidth="1"/>
    <col min="6918" max="6918" width="10.85546875" style="435" customWidth="1"/>
    <col min="6919" max="6919" width="12.7109375" style="435" customWidth="1"/>
    <col min="6920" max="6920" width="10.5703125" style="435" customWidth="1"/>
    <col min="6921" max="6921" width="7.5703125" style="435" customWidth="1"/>
    <col min="6922" max="6922" width="9.140625" style="435"/>
    <col min="6923" max="6923" width="13" style="435" customWidth="1"/>
    <col min="6924" max="6924" width="11.42578125" style="435" customWidth="1"/>
    <col min="6925" max="7159" width="9.140625" style="435"/>
    <col min="7160" max="7160" width="6.85546875" style="435" customWidth="1"/>
    <col min="7161" max="7161" width="22.140625" style="435" customWidth="1"/>
    <col min="7162" max="7163" width="13.42578125" style="435" customWidth="1"/>
    <col min="7164" max="7164" width="10.85546875" style="435" customWidth="1"/>
    <col min="7165" max="7166" width="13" style="435" customWidth="1"/>
    <col min="7167" max="7168" width="11.7109375" style="435" customWidth="1"/>
    <col min="7169" max="7169" width="11.42578125" style="435" customWidth="1"/>
    <col min="7170" max="7170" width="12.5703125" style="435" customWidth="1"/>
    <col min="7171" max="7171" width="12" style="435" customWidth="1"/>
    <col min="7172" max="7172" width="12.7109375" style="435" customWidth="1"/>
    <col min="7173" max="7173" width="11.7109375" style="435" customWidth="1"/>
    <col min="7174" max="7174" width="10.85546875" style="435" customWidth="1"/>
    <col min="7175" max="7175" width="12.7109375" style="435" customWidth="1"/>
    <col min="7176" max="7176" width="10.5703125" style="435" customWidth="1"/>
    <col min="7177" max="7177" width="7.5703125" style="435" customWidth="1"/>
    <col min="7178" max="7178" width="9.140625" style="435"/>
    <col min="7179" max="7179" width="13" style="435" customWidth="1"/>
    <col min="7180" max="7180" width="11.42578125" style="435" customWidth="1"/>
    <col min="7181" max="7415" width="9.140625" style="435"/>
    <col min="7416" max="7416" width="6.85546875" style="435" customWidth="1"/>
    <col min="7417" max="7417" width="22.140625" style="435" customWidth="1"/>
    <col min="7418" max="7419" width="13.42578125" style="435" customWidth="1"/>
    <col min="7420" max="7420" width="10.85546875" style="435" customWidth="1"/>
    <col min="7421" max="7422" width="13" style="435" customWidth="1"/>
    <col min="7423" max="7424" width="11.7109375" style="435" customWidth="1"/>
    <col min="7425" max="7425" width="11.42578125" style="435" customWidth="1"/>
    <col min="7426" max="7426" width="12.5703125" style="435" customWidth="1"/>
    <col min="7427" max="7427" width="12" style="435" customWidth="1"/>
    <col min="7428" max="7428" width="12.7109375" style="435" customWidth="1"/>
    <col min="7429" max="7429" width="11.7109375" style="435" customWidth="1"/>
    <col min="7430" max="7430" width="10.85546875" style="435" customWidth="1"/>
    <col min="7431" max="7431" width="12.7109375" style="435" customWidth="1"/>
    <col min="7432" max="7432" width="10.5703125" style="435" customWidth="1"/>
    <col min="7433" max="7433" width="7.5703125" style="435" customWidth="1"/>
    <col min="7434" max="7434" width="9.140625" style="435"/>
    <col min="7435" max="7435" width="13" style="435" customWidth="1"/>
    <col min="7436" max="7436" width="11.42578125" style="435" customWidth="1"/>
    <col min="7437" max="7671" width="9.140625" style="435"/>
    <col min="7672" max="7672" width="6.85546875" style="435" customWidth="1"/>
    <col min="7673" max="7673" width="22.140625" style="435" customWidth="1"/>
    <col min="7674" max="7675" width="13.42578125" style="435" customWidth="1"/>
    <col min="7676" max="7676" width="10.85546875" style="435" customWidth="1"/>
    <col min="7677" max="7678" width="13" style="435" customWidth="1"/>
    <col min="7679" max="7680" width="11.7109375" style="435" customWidth="1"/>
    <col min="7681" max="7681" width="11.42578125" style="435" customWidth="1"/>
    <col min="7682" max="7682" width="12.5703125" style="435" customWidth="1"/>
    <col min="7683" max="7683" width="12" style="435" customWidth="1"/>
    <col min="7684" max="7684" width="12.7109375" style="435" customWidth="1"/>
    <col min="7685" max="7685" width="11.7109375" style="435" customWidth="1"/>
    <col min="7686" max="7686" width="10.85546875" style="435" customWidth="1"/>
    <col min="7687" max="7687" width="12.7109375" style="435" customWidth="1"/>
    <col min="7688" max="7688" width="10.5703125" style="435" customWidth="1"/>
    <col min="7689" max="7689" width="7.5703125" style="435" customWidth="1"/>
    <col min="7690" max="7690" width="9.140625" style="435"/>
    <col min="7691" max="7691" width="13" style="435" customWidth="1"/>
    <col min="7692" max="7692" width="11.42578125" style="435" customWidth="1"/>
    <col min="7693" max="7927" width="9.140625" style="435"/>
    <col min="7928" max="7928" width="6.85546875" style="435" customWidth="1"/>
    <col min="7929" max="7929" width="22.140625" style="435" customWidth="1"/>
    <col min="7930" max="7931" width="13.42578125" style="435" customWidth="1"/>
    <col min="7932" max="7932" width="10.85546875" style="435" customWidth="1"/>
    <col min="7933" max="7934" width="13" style="435" customWidth="1"/>
    <col min="7935" max="7936" width="11.7109375" style="435" customWidth="1"/>
    <col min="7937" max="7937" width="11.42578125" style="435" customWidth="1"/>
    <col min="7938" max="7938" width="12.5703125" style="435" customWidth="1"/>
    <col min="7939" max="7939" width="12" style="435" customWidth="1"/>
    <col min="7940" max="7940" width="12.7109375" style="435" customWidth="1"/>
    <col min="7941" max="7941" width="11.7109375" style="435" customWidth="1"/>
    <col min="7942" max="7942" width="10.85546875" style="435" customWidth="1"/>
    <col min="7943" max="7943" width="12.7109375" style="435" customWidth="1"/>
    <col min="7944" max="7944" width="10.5703125" style="435" customWidth="1"/>
    <col min="7945" max="7945" width="7.5703125" style="435" customWidth="1"/>
    <col min="7946" max="7946" width="9.140625" style="435"/>
    <col min="7947" max="7947" width="13" style="435" customWidth="1"/>
    <col min="7948" max="7948" width="11.42578125" style="435" customWidth="1"/>
    <col min="7949" max="8183" width="9.140625" style="435"/>
    <col min="8184" max="8184" width="6.85546875" style="435" customWidth="1"/>
    <col min="8185" max="8185" width="22.140625" style="435" customWidth="1"/>
    <col min="8186" max="8187" width="13.42578125" style="435" customWidth="1"/>
    <col min="8188" max="8188" width="10.85546875" style="435" customWidth="1"/>
    <col min="8189" max="8190" width="13" style="435" customWidth="1"/>
    <col min="8191" max="8192" width="11.7109375" style="435" customWidth="1"/>
    <col min="8193" max="8193" width="11.42578125" style="435" customWidth="1"/>
    <col min="8194" max="8194" width="12.5703125" style="435" customWidth="1"/>
    <col min="8195" max="8195" width="12" style="435" customWidth="1"/>
    <col min="8196" max="8196" width="12.7109375" style="435" customWidth="1"/>
    <col min="8197" max="8197" width="11.7109375" style="435" customWidth="1"/>
    <col min="8198" max="8198" width="10.85546875" style="435" customWidth="1"/>
    <col min="8199" max="8199" width="12.7109375" style="435" customWidth="1"/>
    <col min="8200" max="8200" width="10.5703125" style="435" customWidth="1"/>
    <col min="8201" max="8201" width="7.5703125" style="435" customWidth="1"/>
    <col min="8202" max="8202" width="9.140625" style="435"/>
    <col min="8203" max="8203" width="13" style="435" customWidth="1"/>
    <col min="8204" max="8204" width="11.42578125" style="435" customWidth="1"/>
    <col min="8205" max="8439" width="9.140625" style="435"/>
    <col min="8440" max="8440" width="6.85546875" style="435" customWidth="1"/>
    <col min="8441" max="8441" width="22.140625" style="435" customWidth="1"/>
    <col min="8442" max="8443" width="13.42578125" style="435" customWidth="1"/>
    <col min="8444" max="8444" width="10.85546875" style="435" customWidth="1"/>
    <col min="8445" max="8446" width="13" style="435" customWidth="1"/>
    <col min="8447" max="8448" width="11.7109375" style="435" customWidth="1"/>
    <col min="8449" max="8449" width="11.42578125" style="435" customWidth="1"/>
    <col min="8450" max="8450" width="12.5703125" style="435" customWidth="1"/>
    <col min="8451" max="8451" width="12" style="435" customWidth="1"/>
    <col min="8452" max="8452" width="12.7109375" style="435" customWidth="1"/>
    <col min="8453" max="8453" width="11.7109375" style="435" customWidth="1"/>
    <col min="8454" max="8454" width="10.85546875" style="435" customWidth="1"/>
    <col min="8455" max="8455" width="12.7109375" style="435" customWidth="1"/>
    <col min="8456" max="8456" width="10.5703125" style="435" customWidth="1"/>
    <col min="8457" max="8457" width="7.5703125" style="435" customWidth="1"/>
    <col min="8458" max="8458" width="9.140625" style="435"/>
    <col min="8459" max="8459" width="13" style="435" customWidth="1"/>
    <col min="8460" max="8460" width="11.42578125" style="435" customWidth="1"/>
    <col min="8461" max="8695" width="9.140625" style="435"/>
    <col min="8696" max="8696" width="6.85546875" style="435" customWidth="1"/>
    <col min="8697" max="8697" width="22.140625" style="435" customWidth="1"/>
    <col min="8698" max="8699" width="13.42578125" style="435" customWidth="1"/>
    <col min="8700" max="8700" width="10.85546875" style="435" customWidth="1"/>
    <col min="8701" max="8702" width="13" style="435" customWidth="1"/>
    <col min="8703" max="8704" width="11.7109375" style="435" customWidth="1"/>
    <col min="8705" max="8705" width="11.42578125" style="435" customWidth="1"/>
    <col min="8706" max="8706" width="12.5703125" style="435" customWidth="1"/>
    <col min="8707" max="8707" width="12" style="435" customWidth="1"/>
    <col min="8708" max="8708" width="12.7109375" style="435" customWidth="1"/>
    <col min="8709" max="8709" width="11.7109375" style="435" customWidth="1"/>
    <col min="8710" max="8710" width="10.85546875" style="435" customWidth="1"/>
    <col min="8711" max="8711" width="12.7109375" style="435" customWidth="1"/>
    <col min="8712" max="8712" width="10.5703125" style="435" customWidth="1"/>
    <col min="8713" max="8713" width="7.5703125" style="435" customWidth="1"/>
    <col min="8714" max="8714" width="9.140625" style="435"/>
    <col min="8715" max="8715" width="13" style="435" customWidth="1"/>
    <col min="8716" max="8716" width="11.42578125" style="435" customWidth="1"/>
    <col min="8717" max="8951" width="9.140625" style="435"/>
    <col min="8952" max="8952" width="6.85546875" style="435" customWidth="1"/>
    <col min="8953" max="8953" width="22.140625" style="435" customWidth="1"/>
    <col min="8954" max="8955" width="13.42578125" style="435" customWidth="1"/>
    <col min="8956" max="8956" width="10.85546875" style="435" customWidth="1"/>
    <col min="8957" max="8958" width="13" style="435" customWidth="1"/>
    <col min="8959" max="8960" width="11.7109375" style="435" customWidth="1"/>
    <col min="8961" max="8961" width="11.42578125" style="435" customWidth="1"/>
    <col min="8962" max="8962" width="12.5703125" style="435" customWidth="1"/>
    <col min="8963" max="8963" width="12" style="435" customWidth="1"/>
    <col min="8964" max="8964" width="12.7109375" style="435" customWidth="1"/>
    <col min="8965" max="8965" width="11.7109375" style="435" customWidth="1"/>
    <col min="8966" max="8966" width="10.85546875" style="435" customWidth="1"/>
    <col min="8967" max="8967" width="12.7109375" style="435" customWidth="1"/>
    <col min="8968" max="8968" width="10.5703125" style="435" customWidth="1"/>
    <col min="8969" max="8969" width="7.5703125" style="435" customWidth="1"/>
    <col min="8970" max="8970" width="9.140625" style="435"/>
    <col min="8971" max="8971" width="13" style="435" customWidth="1"/>
    <col min="8972" max="8972" width="11.42578125" style="435" customWidth="1"/>
    <col min="8973" max="9207" width="9.140625" style="435"/>
    <col min="9208" max="9208" width="6.85546875" style="435" customWidth="1"/>
    <col min="9209" max="9209" width="22.140625" style="435" customWidth="1"/>
    <col min="9210" max="9211" width="13.42578125" style="435" customWidth="1"/>
    <col min="9212" max="9212" width="10.85546875" style="435" customWidth="1"/>
    <col min="9213" max="9214" width="13" style="435" customWidth="1"/>
    <col min="9215" max="9216" width="11.7109375" style="435" customWidth="1"/>
    <col min="9217" max="9217" width="11.42578125" style="435" customWidth="1"/>
    <col min="9218" max="9218" width="12.5703125" style="435" customWidth="1"/>
    <col min="9219" max="9219" width="12" style="435" customWidth="1"/>
    <col min="9220" max="9220" width="12.7109375" style="435" customWidth="1"/>
    <col min="9221" max="9221" width="11.7109375" style="435" customWidth="1"/>
    <col min="9222" max="9222" width="10.85546875" style="435" customWidth="1"/>
    <col min="9223" max="9223" width="12.7109375" style="435" customWidth="1"/>
    <col min="9224" max="9224" width="10.5703125" style="435" customWidth="1"/>
    <col min="9225" max="9225" width="7.5703125" style="435" customWidth="1"/>
    <col min="9226" max="9226" width="9.140625" style="435"/>
    <col min="9227" max="9227" width="13" style="435" customWidth="1"/>
    <col min="9228" max="9228" width="11.42578125" style="435" customWidth="1"/>
    <col min="9229" max="9463" width="9.140625" style="435"/>
    <col min="9464" max="9464" width="6.85546875" style="435" customWidth="1"/>
    <col min="9465" max="9465" width="22.140625" style="435" customWidth="1"/>
    <col min="9466" max="9467" width="13.42578125" style="435" customWidth="1"/>
    <col min="9468" max="9468" width="10.85546875" style="435" customWidth="1"/>
    <col min="9469" max="9470" width="13" style="435" customWidth="1"/>
    <col min="9471" max="9472" width="11.7109375" style="435" customWidth="1"/>
    <col min="9473" max="9473" width="11.42578125" style="435" customWidth="1"/>
    <col min="9474" max="9474" width="12.5703125" style="435" customWidth="1"/>
    <col min="9475" max="9475" width="12" style="435" customWidth="1"/>
    <col min="9476" max="9476" width="12.7109375" style="435" customWidth="1"/>
    <col min="9477" max="9477" width="11.7109375" style="435" customWidth="1"/>
    <col min="9478" max="9478" width="10.85546875" style="435" customWidth="1"/>
    <col min="9479" max="9479" width="12.7109375" style="435" customWidth="1"/>
    <col min="9480" max="9480" width="10.5703125" style="435" customWidth="1"/>
    <col min="9481" max="9481" width="7.5703125" style="435" customWidth="1"/>
    <col min="9482" max="9482" width="9.140625" style="435"/>
    <col min="9483" max="9483" width="13" style="435" customWidth="1"/>
    <col min="9484" max="9484" width="11.42578125" style="435" customWidth="1"/>
    <col min="9485" max="9719" width="9.140625" style="435"/>
    <col min="9720" max="9720" width="6.85546875" style="435" customWidth="1"/>
    <col min="9721" max="9721" width="22.140625" style="435" customWidth="1"/>
    <col min="9722" max="9723" width="13.42578125" style="435" customWidth="1"/>
    <col min="9724" max="9724" width="10.85546875" style="435" customWidth="1"/>
    <col min="9725" max="9726" width="13" style="435" customWidth="1"/>
    <col min="9727" max="9728" width="11.7109375" style="435" customWidth="1"/>
    <col min="9729" max="9729" width="11.42578125" style="435" customWidth="1"/>
    <col min="9730" max="9730" width="12.5703125" style="435" customWidth="1"/>
    <col min="9731" max="9731" width="12" style="435" customWidth="1"/>
    <col min="9732" max="9732" width="12.7109375" style="435" customWidth="1"/>
    <col min="9733" max="9733" width="11.7109375" style="435" customWidth="1"/>
    <col min="9734" max="9734" width="10.85546875" style="435" customWidth="1"/>
    <col min="9735" max="9735" width="12.7109375" style="435" customWidth="1"/>
    <col min="9736" max="9736" width="10.5703125" style="435" customWidth="1"/>
    <col min="9737" max="9737" width="7.5703125" style="435" customWidth="1"/>
    <col min="9738" max="9738" width="9.140625" style="435"/>
    <col min="9739" max="9739" width="13" style="435" customWidth="1"/>
    <col min="9740" max="9740" width="11.42578125" style="435" customWidth="1"/>
    <col min="9741" max="9975" width="9.140625" style="435"/>
    <col min="9976" max="9976" width="6.85546875" style="435" customWidth="1"/>
    <col min="9977" max="9977" width="22.140625" style="435" customWidth="1"/>
    <col min="9978" max="9979" width="13.42578125" style="435" customWidth="1"/>
    <col min="9980" max="9980" width="10.85546875" style="435" customWidth="1"/>
    <col min="9981" max="9982" width="13" style="435" customWidth="1"/>
    <col min="9983" max="9984" width="11.7109375" style="435" customWidth="1"/>
    <col min="9985" max="9985" width="11.42578125" style="435" customWidth="1"/>
    <col min="9986" max="9986" width="12.5703125" style="435" customWidth="1"/>
    <col min="9987" max="9987" width="12" style="435" customWidth="1"/>
    <col min="9988" max="9988" width="12.7109375" style="435" customWidth="1"/>
    <col min="9989" max="9989" width="11.7109375" style="435" customWidth="1"/>
    <col min="9990" max="9990" width="10.85546875" style="435" customWidth="1"/>
    <col min="9991" max="9991" width="12.7109375" style="435" customWidth="1"/>
    <col min="9992" max="9992" width="10.5703125" style="435" customWidth="1"/>
    <col min="9993" max="9993" width="7.5703125" style="435" customWidth="1"/>
    <col min="9994" max="9994" width="9.140625" style="435"/>
    <col min="9995" max="9995" width="13" style="435" customWidth="1"/>
    <col min="9996" max="9996" width="11.42578125" style="435" customWidth="1"/>
    <col min="9997" max="10231" width="9.140625" style="435"/>
    <col min="10232" max="10232" width="6.85546875" style="435" customWidth="1"/>
    <col min="10233" max="10233" width="22.140625" style="435" customWidth="1"/>
    <col min="10234" max="10235" width="13.42578125" style="435" customWidth="1"/>
    <col min="10236" max="10236" width="10.85546875" style="435" customWidth="1"/>
    <col min="10237" max="10238" width="13" style="435" customWidth="1"/>
    <col min="10239" max="10240" width="11.7109375" style="435" customWidth="1"/>
    <col min="10241" max="10241" width="11.42578125" style="435" customWidth="1"/>
    <col min="10242" max="10242" width="12.5703125" style="435" customWidth="1"/>
    <col min="10243" max="10243" width="12" style="435" customWidth="1"/>
    <col min="10244" max="10244" width="12.7109375" style="435" customWidth="1"/>
    <col min="10245" max="10245" width="11.7109375" style="435" customWidth="1"/>
    <col min="10246" max="10246" width="10.85546875" style="435" customWidth="1"/>
    <col min="10247" max="10247" width="12.7109375" style="435" customWidth="1"/>
    <col min="10248" max="10248" width="10.5703125" style="435" customWidth="1"/>
    <col min="10249" max="10249" width="7.5703125" style="435" customWidth="1"/>
    <col min="10250" max="10250" width="9.140625" style="435"/>
    <col min="10251" max="10251" width="13" style="435" customWidth="1"/>
    <col min="10252" max="10252" width="11.42578125" style="435" customWidth="1"/>
    <col min="10253" max="10487" width="9.140625" style="435"/>
    <col min="10488" max="10488" width="6.85546875" style="435" customWidth="1"/>
    <col min="10489" max="10489" width="22.140625" style="435" customWidth="1"/>
    <col min="10490" max="10491" width="13.42578125" style="435" customWidth="1"/>
    <col min="10492" max="10492" width="10.85546875" style="435" customWidth="1"/>
    <col min="10493" max="10494" width="13" style="435" customWidth="1"/>
    <col min="10495" max="10496" width="11.7109375" style="435" customWidth="1"/>
    <col min="10497" max="10497" width="11.42578125" style="435" customWidth="1"/>
    <col min="10498" max="10498" width="12.5703125" style="435" customWidth="1"/>
    <col min="10499" max="10499" width="12" style="435" customWidth="1"/>
    <col min="10500" max="10500" width="12.7109375" style="435" customWidth="1"/>
    <col min="10501" max="10501" width="11.7109375" style="435" customWidth="1"/>
    <col min="10502" max="10502" width="10.85546875" style="435" customWidth="1"/>
    <col min="10503" max="10503" width="12.7109375" style="435" customWidth="1"/>
    <col min="10504" max="10504" width="10.5703125" style="435" customWidth="1"/>
    <col min="10505" max="10505" width="7.5703125" style="435" customWidth="1"/>
    <col min="10506" max="10506" width="9.140625" style="435"/>
    <col min="10507" max="10507" width="13" style="435" customWidth="1"/>
    <col min="10508" max="10508" width="11.42578125" style="435" customWidth="1"/>
    <col min="10509" max="10743" width="9.140625" style="435"/>
    <col min="10744" max="10744" width="6.85546875" style="435" customWidth="1"/>
    <col min="10745" max="10745" width="22.140625" style="435" customWidth="1"/>
    <col min="10746" max="10747" width="13.42578125" style="435" customWidth="1"/>
    <col min="10748" max="10748" width="10.85546875" style="435" customWidth="1"/>
    <col min="10749" max="10750" width="13" style="435" customWidth="1"/>
    <col min="10751" max="10752" width="11.7109375" style="435" customWidth="1"/>
    <col min="10753" max="10753" width="11.42578125" style="435" customWidth="1"/>
    <col min="10754" max="10754" width="12.5703125" style="435" customWidth="1"/>
    <col min="10755" max="10755" width="12" style="435" customWidth="1"/>
    <col min="10756" max="10756" width="12.7109375" style="435" customWidth="1"/>
    <col min="10757" max="10757" width="11.7109375" style="435" customWidth="1"/>
    <col min="10758" max="10758" width="10.85546875" style="435" customWidth="1"/>
    <col min="10759" max="10759" width="12.7109375" style="435" customWidth="1"/>
    <col min="10760" max="10760" width="10.5703125" style="435" customWidth="1"/>
    <col min="10761" max="10761" width="7.5703125" style="435" customWidth="1"/>
    <col min="10762" max="10762" width="9.140625" style="435"/>
    <col min="10763" max="10763" width="13" style="435" customWidth="1"/>
    <col min="10764" max="10764" width="11.42578125" style="435" customWidth="1"/>
    <col min="10765" max="10999" width="9.140625" style="435"/>
    <col min="11000" max="11000" width="6.85546875" style="435" customWidth="1"/>
    <col min="11001" max="11001" width="22.140625" style="435" customWidth="1"/>
    <col min="11002" max="11003" width="13.42578125" style="435" customWidth="1"/>
    <col min="11004" max="11004" width="10.85546875" style="435" customWidth="1"/>
    <col min="11005" max="11006" width="13" style="435" customWidth="1"/>
    <col min="11007" max="11008" width="11.7109375" style="435" customWidth="1"/>
    <col min="11009" max="11009" width="11.42578125" style="435" customWidth="1"/>
    <col min="11010" max="11010" width="12.5703125" style="435" customWidth="1"/>
    <col min="11011" max="11011" width="12" style="435" customWidth="1"/>
    <col min="11012" max="11012" width="12.7109375" style="435" customWidth="1"/>
    <col min="11013" max="11013" width="11.7109375" style="435" customWidth="1"/>
    <col min="11014" max="11014" width="10.85546875" style="435" customWidth="1"/>
    <col min="11015" max="11015" width="12.7109375" style="435" customWidth="1"/>
    <col min="11016" max="11016" width="10.5703125" style="435" customWidth="1"/>
    <col min="11017" max="11017" width="7.5703125" style="435" customWidth="1"/>
    <col min="11018" max="11018" width="9.140625" style="435"/>
    <col min="11019" max="11019" width="13" style="435" customWidth="1"/>
    <col min="11020" max="11020" width="11.42578125" style="435" customWidth="1"/>
    <col min="11021" max="11255" width="9.140625" style="435"/>
    <col min="11256" max="11256" width="6.85546875" style="435" customWidth="1"/>
    <col min="11257" max="11257" width="22.140625" style="435" customWidth="1"/>
    <col min="11258" max="11259" width="13.42578125" style="435" customWidth="1"/>
    <col min="11260" max="11260" width="10.85546875" style="435" customWidth="1"/>
    <col min="11261" max="11262" width="13" style="435" customWidth="1"/>
    <col min="11263" max="11264" width="11.7109375" style="435" customWidth="1"/>
    <col min="11265" max="11265" width="11.42578125" style="435" customWidth="1"/>
    <col min="11266" max="11266" width="12.5703125" style="435" customWidth="1"/>
    <col min="11267" max="11267" width="12" style="435" customWidth="1"/>
    <col min="11268" max="11268" width="12.7109375" style="435" customWidth="1"/>
    <col min="11269" max="11269" width="11.7109375" style="435" customWidth="1"/>
    <col min="11270" max="11270" width="10.85546875" style="435" customWidth="1"/>
    <col min="11271" max="11271" width="12.7109375" style="435" customWidth="1"/>
    <col min="11272" max="11272" width="10.5703125" style="435" customWidth="1"/>
    <col min="11273" max="11273" width="7.5703125" style="435" customWidth="1"/>
    <col min="11274" max="11274" width="9.140625" style="435"/>
    <col min="11275" max="11275" width="13" style="435" customWidth="1"/>
    <col min="11276" max="11276" width="11.42578125" style="435" customWidth="1"/>
    <col min="11277" max="11511" width="9.140625" style="435"/>
    <col min="11512" max="11512" width="6.85546875" style="435" customWidth="1"/>
    <col min="11513" max="11513" width="22.140625" style="435" customWidth="1"/>
    <col min="11514" max="11515" width="13.42578125" style="435" customWidth="1"/>
    <col min="11516" max="11516" width="10.85546875" style="435" customWidth="1"/>
    <col min="11517" max="11518" width="13" style="435" customWidth="1"/>
    <col min="11519" max="11520" width="11.7109375" style="435" customWidth="1"/>
    <col min="11521" max="11521" width="11.42578125" style="435" customWidth="1"/>
    <col min="11522" max="11522" width="12.5703125" style="435" customWidth="1"/>
    <col min="11523" max="11523" width="12" style="435" customWidth="1"/>
    <col min="11524" max="11524" width="12.7109375" style="435" customWidth="1"/>
    <col min="11525" max="11525" width="11.7109375" style="435" customWidth="1"/>
    <col min="11526" max="11526" width="10.85546875" style="435" customWidth="1"/>
    <col min="11527" max="11527" width="12.7109375" style="435" customWidth="1"/>
    <col min="11528" max="11528" width="10.5703125" style="435" customWidth="1"/>
    <col min="11529" max="11529" width="7.5703125" style="435" customWidth="1"/>
    <col min="11530" max="11530" width="9.140625" style="435"/>
    <col min="11531" max="11531" width="13" style="435" customWidth="1"/>
    <col min="11532" max="11532" width="11.42578125" style="435" customWidth="1"/>
    <col min="11533" max="11767" width="9.140625" style="435"/>
    <col min="11768" max="11768" width="6.85546875" style="435" customWidth="1"/>
    <col min="11769" max="11769" width="22.140625" style="435" customWidth="1"/>
    <col min="11770" max="11771" width="13.42578125" style="435" customWidth="1"/>
    <col min="11772" max="11772" width="10.85546875" style="435" customWidth="1"/>
    <col min="11773" max="11774" width="13" style="435" customWidth="1"/>
    <col min="11775" max="11776" width="11.7109375" style="435" customWidth="1"/>
    <col min="11777" max="11777" width="11.42578125" style="435" customWidth="1"/>
    <col min="11778" max="11778" width="12.5703125" style="435" customWidth="1"/>
    <col min="11779" max="11779" width="12" style="435" customWidth="1"/>
    <col min="11780" max="11780" width="12.7109375" style="435" customWidth="1"/>
    <col min="11781" max="11781" width="11.7109375" style="435" customWidth="1"/>
    <col min="11782" max="11782" width="10.85546875" style="435" customWidth="1"/>
    <col min="11783" max="11783" width="12.7109375" style="435" customWidth="1"/>
    <col min="11784" max="11784" width="10.5703125" style="435" customWidth="1"/>
    <col min="11785" max="11785" width="7.5703125" style="435" customWidth="1"/>
    <col min="11786" max="11786" width="9.140625" style="435"/>
    <col min="11787" max="11787" width="13" style="435" customWidth="1"/>
    <col min="11788" max="11788" width="11.42578125" style="435" customWidth="1"/>
    <col min="11789" max="12023" width="9.140625" style="435"/>
    <col min="12024" max="12024" width="6.85546875" style="435" customWidth="1"/>
    <col min="12025" max="12025" width="22.140625" style="435" customWidth="1"/>
    <col min="12026" max="12027" width="13.42578125" style="435" customWidth="1"/>
    <col min="12028" max="12028" width="10.85546875" style="435" customWidth="1"/>
    <col min="12029" max="12030" width="13" style="435" customWidth="1"/>
    <col min="12031" max="12032" width="11.7109375" style="435" customWidth="1"/>
    <col min="12033" max="12033" width="11.42578125" style="435" customWidth="1"/>
    <col min="12034" max="12034" width="12.5703125" style="435" customWidth="1"/>
    <col min="12035" max="12035" width="12" style="435" customWidth="1"/>
    <col min="12036" max="12036" width="12.7109375" style="435" customWidth="1"/>
    <col min="12037" max="12037" width="11.7109375" style="435" customWidth="1"/>
    <col min="12038" max="12038" width="10.85546875" style="435" customWidth="1"/>
    <col min="12039" max="12039" width="12.7109375" style="435" customWidth="1"/>
    <col min="12040" max="12040" width="10.5703125" style="435" customWidth="1"/>
    <col min="12041" max="12041" width="7.5703125" style="435" customWidth="1"/>
    <col min="12042" max="12042" width="9.140625" style="435"/>
    <col min="12043" max="12043" width="13" style="435" customWidth="1"/>
    <col min="12044" max="12044" width="11.42578125" style="435" customWidth="1"/>
    <col min="12045" max="12279" width="9.140625" style="435"/>
    <col min="12280" max="12280" width="6.85546875" style="435" customWidth="1"/>
    <col min="12281" max="12281" width="22.140625" style="435" customWidth="1"/>
    <col min="12282" max="12283" width="13.42578125" style="435" customWidth="1"/>
    <col min="12284" max="12284" width="10.85546875" style="435" customWidth="1"/>
    <col min="12285" max="12286" width="13" style="435" customWidth="1"/>
    <col min="12287" max="12288" width="11.7109375" style="435" customWidth="1"/>
    <col min="12289" max="12289" width="11.42578125" style="435" customWidth="1"/>
    <col min="12290" max="12290" width="12.5703125" style="435" customWidth="1"/>
    <col min="12291" max="12291" width="12" style="435" customWidth="1"/>
    <col min="12292" max="12292" width="12.7109375" style="435" customWidth="1"/>
    <col min="12293" max="12293" width="11.7109375" style="435" customWidth="1"/>
    <col min="12294" max="12294" width="10.85546875" style="435" customWidth="1"/>
    <col min="12295" max="12295" width="12.7109375" style="435" customWidth="1"/>
    <col min="12296" max="12296" width="10.5703125" style="435" customWidth="1"/>
    <col min="12297" max="12297" width="7.5703125" style="435" customWidth="1"/>
    <col min="12298" max="12298" width="9.140625" style="435"/>
    <col min="12299" max="12299" width="13" style="435" customWidth="1"/>
    <col min="12300" max="12300" width="11.42578125" style="435" customWidth="1"/>
    <col min="12301" max="12535" width="9.140625" style="435"/>
    <col min="12536" max="12536" width="6.85546875" style="435" customWidth="1"/>
    <col min="12537" max="12537" width="22.140625" style="435" customWidth="1"/>
    <col min="12538" max="12539" width="13.42578125" style="435" customWidth="1"/>
    <col min="12540" max="12540" width="10.85546875" style="435" customWidth="1"/>
    <col min="12541" max="12542" width="13" style="435" customWidth="1"/>
    <col min="12543" max="12544" width="11.7109375" style="435" customWidth="1"/>
    <col min="12545" max="12545" width="11.42578125" style="435" customWidth="1"/>
    <col min="12546" max="12546" width="12.5703125" style="435" customWidth="1"/>
    <col min="12547" max="12547" width="12" style="435" customWidth="1"/>
    <col min="12548" max="12548" width="12.7109375" style="435" customWidth="1"/>
    <col min="12549" max="12549" width="11.7109375" style="435" customWidth="1"/>
    <col min="12550" max="12550" width="10.85546875" style="435" customWidth="1"/>
    <col min="12551" max="12551" width="12.7109375" style="435" customWidth="1"/>
    <col min="12552" max="12552" width="10.5703125" style="435" customWidth="1"/>
    <col min="12553" max="12553" width="7.5703125" style="435" customWidth="1"/>
    <col min="12554" max="12554" width="9.140625" style="435"/>
    <col min="12555" max="12555" width="13" style="435" customWidth="1"/>
    <col min="12556" max="12556" width="11.42578125" style="435" customWidth="1"/>
    <col min="12557" max="12791" width="9.140625" style="435"/>
    <col min="12792" max="12792" width="6.85546875" style="435" customWidth="1"/>
    <col min="12793" max="12793" width="22.140625" style="435" customWidth="1"/>
    <col min="12794" max="12795" width="13.42578125" style="435" customWidth="1"/>
    <col min="12796" max="12796" width="10.85546875" style="435" customWidth="1"/>
    <col min="12797" max="12798" width="13" style="435" customWidth="1"/>
    <col min="12799" max="12800" width="11.7109375" style="435" customWidth="1"/>
    <col min="12801" max="12801" width="11.42578125" style="435" customWidth="1"/>
    <col min="12802" max="12802" width="12.5703125" style="435" customWidth="1"/>
    <col min="12803" max="12803" width="12" style="435" customWidth="1"/>
    <col min="12804" max="12804" width="12.7109375" style="435" customWidth="1"/>
    <col min="12805" max="12805" width="11.7109375" style="435" customWidth="1"/>
    <col min="12806" max="12806" width="10.85546875" style="435" customWidth="1"/>
    <col min="12807" max="12807" width="12.7109375" style="435" customWidth="1"/>
    <col min="12808" max="12808" width="10.5703125" style="435" customWidth="1"/>
    <col min="12809" max="12809" width="7.5703125" style="435" customWidth="1"/>
    <col min="12810" max="12810" width="9.140625" style="435"/>
    <col min="12811" max="12811" width="13" style="435" customWidth="1"/>
    <col min="12812" max="12812" width="11.42578125" style="435" customWidth="1"/>
    <col min="12813" max="13047" width="9.140625" style="435"/>
    <col min="13048" max="13048" width="6.85546875" style="435" customWidth="1"/>
    <col min="13049" max="13049" width="22.140625" style="435" customWidth="1"/>
    <col min="13050" max="13051" width="13.42578125" style="435" customWidth="1"/>
    <col min="13052" max="13052" width="10.85546875" style="435" customWidth="1"/>
    <col min="13053" max="13054" width="13" style="435" customWidth="1"/>
    <col min="13055" max="13056" width="11.7109375" style="435" customWidth="1"/>
    <col min="13057" max="13057" width="11.42578125" style="435" customWidth="1"/>
    <col min="13058" max="13058" width="12.5703125" style="435" customWidth="1"/>
    <col min="13059" max="13059" width="12" style="435" customWidth="1"/>
    <col min="13060" max="13060" width="12.7109375" style="435" customWidth="1"/>
    <col min="13061" max="13061" width="11.7109375" style="435" customWidth="1"/>
    <col min="13062" max="13062" width="10.85546875" style="435" customWidth="1"/>
    <col min="13063" max="13063" width="12.7109375" style="435" customWidth="1"/>
    <col min="13064" max="13064" width="10.5703125" style="435" customWidth="1"/>
    <col min="13065" max="13065" width="7.5703125" style="435" customWidth="1"/>
    <col min="13066" max="13066" width="9.140625" style="435"/>
    <col min="13067" max="13067" width="13" style="435" customWidth="1"/>
    <col min="13068" max="13068" width="11.42578125" style="435" customWidth="1"/>
    <col min="13069" max="13303" width="9.140625" style="435"/>
    <col min="13304" max="13304" width="6.85546875" style="435" customWidth="1"/>
    <col min="13305" max="13305" width="22.140625" style="435" customWidth="1"/>
    <col min="13306" max="13307" width="13.42578125" style="435" customWidth="1"/>
    <col min="13308" max="13308" width="10.85546875" style="435" customWidth="1"/>
    <col min="13309" max="13310" width="13" style="435" customWidth="1"/>
    <col min="13311" max="13312" width="11.7109375" style="435" customWidth="1"/>
    <col min="13313" max="13313" width="11.42578125" style="435" customWidth="1"/>
    <col min="13314" max="13314" width="12.5703125" style="435" customWidth="1"/>
    <col min="13315" max="13315" width="12" style="435" customWidth="1"/>
    <col min="13316" max="13316" width="12.7109375" style="435" customWidth="1"/>
    <col min="13317" max="13317" width="11.7109375" style="435" customWidth="1"/>
    <col min="13318" max="13318" width="10.85546875" style="435" customWidth="1"/>
    <col min="13319" max="13319" width="12.7109375" style="435" customWidth="1"/>
    <col min="13320" max="13320" width="10.5703125" style="435" customWidth="1"/>
    <col min="13321" max="13321" width="7.5703125" style="435" customWidth="1"/>
    <col min="13322" max="13322" width="9.140625" style="435"/>
    <col min="13323" max="13323" width="13" style="435" customWidth="1"/>
    <col min="13324" max="13324" width="11.42578125" style="435" customWidth="1"/>
    <col min="13325" max="13559" width="9.140625" style="435"/>
    <col min="13560" max="13560" width="6.85546875" style="435" customWidth="1"/>
    <col min="13561" max="13561" width="22.140625" style="435" customWidth="1"/>
    <col min="13562" max="13563" width="13.42578125" style="435" customWidth="1"/>
    <col min="13564" max="13564" width="10.85546875" style="435" customWidth="1"/>
    <col min="13565" max="13566" width="13" style="435" customWidth="1"/>
    <col min="13567" max="13568" width="11.7109375" style="435" customWidth="1"/>
    <col min="13569" max="13569" width="11.42578125" style="435" customWidth="1"/>
    <col min="13570" max="13570" width="12.5703125" style="435" customWidth="1"/>
    <col min="13571" max="13571" width="12" style="435" customWidth="1"/>
    <col min="13572" max="13572" width="12.7109375" style="435" customWidth="1"/>
    <col min="13573" max="13573" width="11.7109375" style="435" customWidth="1"/>
    <col min="13574" max="13574" width="10.85546875" style="435" customWidth="1"/>
    <col min="13575" max="13575" width="12.7109375" style="435" customWidth="1"/>
    <col min="13576" max="13576" width="10.5703125" style="435" customWidth="1"/>
    <col min="13577" max="13577" width="7.5703125" style="435" customWidth="1"/>
    <col min="13578" max="13578" width="9.140625" style="435"/>
    <col min="13579" max="13579" width="13" style="435" customWidth="1"/>
    <col min="13580" max="13580" width="11.42578125" style="435" customWidth="1"/>
    <col min="13581" max="13815" width="9.140625" style="435"/>
    <col min="13816" max="13816" width="6.85546875" style="435" customWidth="1"/>
    <col min="13817" max="13817" width="22.140625" style="435" customWidth="1"/>
    <col min="13818" max="13819" width="13.42578125" style="435" customWidth="1"/>
    <col min="13820" max="13820" width="10.85546875" style="435" customWidth="1"/>
    <col min="13821" max="13822" width="13" style="435" customWidth="1"/>
    <col min="13823" max="13824" width="11.7109375" style="435" customWidth="1"/>
    <col min="13825" max="13825" width="11.42578125" style="435" customWidth="1"/>
    <col min="13826" max="13826" width="12.5703125" style="435" customWidth="1"/>
    <col min="13827" max="13827" width="12" style="435" customWidth="1"/>
    <col min="13828" max="13828" width="12.7109375" style="435" customWidth="1"/>
    <col min="13829" max="13829" width="11.7109375" style="435" customWidth="1"/>
    <col min="13830" max="13830" width="10.85546875" style="435" customWidth="1"/>
    <col min="13831" max="13831" width="12.7109375" style="435" customWidth="1"/>
    <col min="13832" max="13832" width="10.5703125" style="435" customWidth="1"/>
    <col min="13833" max="13833" width="7.5703125" style="435" customWidth="1"/>
    <col min="13834" max="13834" width="9.140625" style="435"/>
    <col min="13835" max="13835" width="13" style="435" customWidth="1"/>
    <col min="13836" max="13836" width="11.42578125" style="435" customWidth="1"/>
    <col min="13837" max="14071" width="9.140625" style="435"/>
    <col min="14072" max="14072" width="6.85546875" style="435" customWidth="1"/>
    <col min="14073" max="14073" width="22.140625" style="435" customWidth="1"/>
    <col min="14074" max="14075" width="13.42578125" style="435" customWidth="1"/>
    <col min="14076" max="14076" width="10.85546875" style="435" customWidth="1"/>
    <col min="14077" max="14078" width="13" style="435" customWidth="1"/>
    <col min="14079" max="14080" width="11.7109375" style="435" customWidth="1"/>
    <col min="14081" max="14081" width="11.42578125" style="435" customWidth="1"/>
    <col min="14082" max="14082" width="12.5703125" style="435" customWidth="1"/>
    <col min="14083" max="14083" width="12" style="435" customWidth="1"/>
    <col min="14084" max="14084" width="12.7109375" style="435" customWidth="1"/>
    <col min="14085" max="14085" width="11.7109375" style="435" customWidth="1"/>
    <col min="14086" max="14086" width="10.85546875" style="435" customWidth="1"/>
    <col min="14087" max="14087" width="12.7109375" style="435" customWidth="1"/>
    <col min="14088" max="14088" width="10.5703125" style="435" customWidth="1"/>
    <col min="14089" max="14089" width="7.5703125" style="435" customWidth="1"/>
    <col min="14090" max="14090" width="9.140625" style="435"/>
    <col min="14091" max="14091" width="13" style="435" customWidth="1"/>
    <col min="14092" max="14092" width="11.42578125" style="435" customWidth="1"/>
    <col min="14093" max="14327" width="9.140625" style="435"/>
    <col min="14328" max="14328" width="6.85546875" style="435" customWidth="1"/>
    <col min="14329" max="14329" width="22.140625" style="435" customWidth="1"/>
    <col min="14330" max="14331" width="13.42578125" style="435" customWidth="1"/>
    <col min="14332" max="14332" width="10.85546875" style="435" customWidth="1"/>
    <col min="14333" max="14334" width="13" style="435" customWidth="1"/>
    <col min="14335" max="14336" width="11.7109375" style="435" customWidth="1"/>
    <col min="14337" max="14337" width="11.42578125" style="435" customWidth="1"/>
    <col min="14338" max="14338" width="12.5703125" style="435" customWidth="1"/>
    <col min="14339" max="14339" width="12" style="435" customWidth="1"/>
    <col min="14340" max="14340" width="12.7109375" style="435" customWidth="1"/>
    <col min="14341" max="14341" width="11.7109375" style="435" customWidth="1"/>
    <col min="14342" max="14342" width="10.85546875" style="435" customWidth="1"/>
    <col min="14343" max="14343" width="12.7109375" style="435" customWidth="1"/>
    <col min="14344" max="14344" width="10.5703125" style="435" customWidth="1"/>
    <col min="14345" max="14345" width="7.5703125" style="435" customWidth="1"/>
    <col min="14346" max="14346" width="9.140625" style="435"/>
    <col min="14347" max="14347" width="13" style="435" customWidth="1"/>
    <col min="14348" max="14348" width="11.42578125" style="435" customWidth="1"/>
    <col min="14349" max="14583" width="9.140625" style="435"/>
    <col min="14584" max="14584" width="6.85546875" style="435" customWidth="1"/>
    <col min="14585" max="14585" width="22.140625" style="435" customWidth="1"/>
    <col min="14586" max="14587" width="13.42578125" style="435" customWidth="1"/>
    <col min="14588" max="14588" width="10.85546875" style="435" customWidth="1"/>
    <col min="14589" max="14590" width="13" style="435" customWidth="1"/>
    <col min="14591" max="14592" width="11.7109375" style="435" customWidth="1"/>
    <col min="14593" max="14593" width="11.42578125" style="435" customWidth="1"/>
    <col min="14594" max="14594" width="12.5703125" style="435" customWidth="1"/>
    <col min="14595" max="14595" width="12" style="435" customWidth="1"/>
    <col min="14596" max="14596" width="12.7109375" style="435" customWidth="1"/>
    <col min="14597" max="14597" width="11.7109375" style="435" customWidth="1"/>
    <col min="14598" max="14598" width="10.85546875" style="435" customWidth="1"/>
    <col min="14599" max="14599" width="12.7109375" style="435" customWidth="1"/>
    <col min="14600" max="14600" width="10.5703125" style="435" customWidth="1"/>
    <col min="14601" max="14601" width="7.5703125" style="435" customWidth="1"/>
    <col min="14602" max="14602" width="9.140625" style="435"/>
    <col min="14603" max="14603" width="13" style="435" customWidth="1"/>
    <col min="14604" max="14604" width="11.42578125" style="435" customWidth="1"/>
    <col min="14605" max="14839" width="9.140625" style="435"/>
    <col min="14840" max="14840" width="6.85546875" style="435" customWidth="1"/>
    <col min="14841" max="14841" width="22.140625" style="435" customWidth="1"/>
    <col min="14842" max="14843" width="13.42578125" style="435" customWidth="1"/>
    <col min="14844" max="14844" width="10.85546875" style="435" customWidth="1"/>
    <col min="14845" max="14846" width="13" style="435" customWidth="1"/>
    <col min="14847" max="14848" width="11.7109375" style="435" customWidth="1"/>
    <col min="14849" max="14849" width="11.42578125" style="435" customWidth="1"/>
    <col min="14850" max="14850" width="12.5703125" style="435" customWidth="1"/>
    <col min="14851" max="14851" width="12" style="435" customWidth="1"/>
    <col min="14852" max="14852" width="12.7109375" style="435" customWidth="1"/>
    <col min="14853" max="14853" width="11.7109375" style="435" customWidth="1"/>
    <col min="14854" max="14854" width="10.85546875" style="435" customWidth="1"/>
    <col min="14855" max="14855" width="12.7109375" style="435" customWidth="1"/>
    <col min="14856" max="14856" width="10.5703125" style="435" customWidth="1"/>
    <col min="14857" max="14857" width="7.5703125" style="435" customWidth="1"/>
    <col min="14858" max="14858" width="9.140625" style="435"/>
    <col min="14859" max="14859" width="13" style="435" customWidth="1"/>
    <col min="14860" max="14860" width="11.42578125" style="435" customWidth="1"/>
    <col min="14861" max="15095" width="9.140625" style="435"/>
    <col min="15096" max="15096" width="6.85546875" style="435" customWidth="1"/>
    <col min="15097" max="15097" width="22.140625" style="435" customWidth="1"/>
    <col min="15098" max="15099" width="13.42578125" style="435" customWidth="1"/>
    <col min="15100" max="15100" width="10.85546875" style="435" customWidth="1"/>
    <col min="15101" max="15102" width="13" style="435" customWidth="1"/>
    <col min="15103" max="15104" width="11.7109375" style="435" customWidth="1"/>
    <col min="15105" max="15105" width="11.42578125" style="435" customWidth="1"/>
    <col min="15106" max="15106" width="12.5703125" style="435" customWidth="1"/>
    <col min="15107" max="15107" width="12" style="435" customWidth="1"/>
    <col min="15108" max="15108" width="12.7109375" style="435" customWidth="1"/>
    <col min="15109" max="15109" width="11.7109375" style="435" customWidth="1"/>
    <col min="15110" max="15110" width="10.85546875" style="435" customWidth="1"/>
    <col min="15111" max="15111" width="12.7109375" style="435" customWidth="1"/>
    <col min="15112" max="15112" width="10.5703125" style="435" customWidth="1"/>
    <col min="15113" max="15113" width="7.5703125" style="435" customWidth="1"/>
    <col min="15114" max="15114" width="9.140625" style="435"/>
    <col min="15115" max="15115" width="13" style="435" customWidth="1"/>
    <col min="15116" max="15116" width="11.42578125" style="435" customWidth="1"/>
    <col min="15117" max="15351" width="9.140625" style="435"/>
    <col min="15352" max="15352" width="6.85546875" style="435" customWidth="1"/>
    <col min="15353" max="15353" width="22.140625" style="435" customWidth="1"/>
    <col min="15354" max="15355" width="13.42578125" style="435" customWidth="1"/>
    <col min="15356" max="15356" width="10.85546875" style="435" customWidth="1"/>
    <col min="15357" max="15358" width="13" style="435" customWidth="1"/>
    <col min="15359" max="15360" width="11.7109375" style="435" customWidth="1"/>
    <col min="15361" max="15361" width="11.42578125" style="435" customWidth="1"/>
    <col min="15362" max="15362" width="12.5703125" style="435" customWidth="1"/>
    <col min="15363" max="15363" width="12" style="435" customWidth="1"/>
    <col min="15364" max="15364" width="12.7109375" style="435" customWidth="1"/>
    <col min="15365" max="15365" width="11.7109375" style="435" customWidth="1"/>
    <col min="15366" max="15366" width="10.85546875" style="435" customWidth="1"/>
    <col min="15367" max="15367" width="12.7109375" style="435" customWidth="1"/>
    <col min="15368" max="15368" width="10.5703125" style="435" customWidth="1"/>
    <col min="15369" max="15369" width="7.5703125" style="435" customWidth="1"/>
    <col min="15370" max="15370" width="9.140625" style="435"/>
    <col min="15371" max="15371" width="13" style="435" customWidth="1"/>
    <col min="15372" max="15372" width="11.42578125" style="435" customWidth="1"/>
    <col min="15373" max="15607" width="9.140625" style="435"/>
    <col min="15608" max="15608" width="6.85546875" style="435" customWidth="1"/>
    <col min="15609" max="15609" width="22.140625" style="435" customWidth="1"/>
    <col min="15610" max="15611" width="13.42578125" style="435" customWidth="1"/>
    <col min="15612" max="15612" width="10.85546875" style="435" customWidth="1"/>
    <col min="15613" max="15614" width="13" style="435" customWidth="1"/>
    <col min="15615" max="15616" width="11.7109375" style="435" customWidth="1"/>
    <col min="15617" max="15617" width="11.42578125" style="435" customWidth="1"/>
    <col min="15618" max="15618" width="12.5703125" style="435" customWidth="1"/>
    <col min="15619" max="15619" width="12" style="435" customWidth="1"/>
    <col min="15620" max="15620" width="12.7109375" style="435" customWidth="1"/>
    <col min="15621" max="15621" width="11.7109375" style="435" customWidth="1"/>
    <col min="15622" max="15622" width="10.85546875" style="435" customWidth="1"/>
    <col min="15623" max="15623" width="12.7109375" style="435" customWidth="1"/>
    <col min="15624" max="15624" width="10.5703125" style="435" customWidth="1"/>
    <col min="15625" max="15625" width="7.5703125" style="435" customWidth="1"/>
    <col min="15626" max="15626" width="9.140625" style="435"/>
    <col min="15627" max="15627" width="13" style="435" customWidth="1"/>
    <col min="15628" max="15628" width="11.42578125" style="435" customWidth="1"/>
    <col min="15629" max="15863" width="9.140625" style="435"/>
    <col min="15864" max="15864" width="6.85546875" style="435" customWidth="1"/>
    <col min="15865" max="15865" width="22.140625" style="435" customWidth="1"/>
    <col min="15866" max="15867" width="13.42578125" style="435" customWidth="1"/>
    <col min="15868" max="15868" width="10.85546875" style="435" customWidth="1"/>
    <col min="15869" max="15870" width="13" style="435" customWidth="1"/>
    <col min="15871" max="15872" width="11.7109375" style="435" customWidth="1"/>
    <col min="15873" max="15873" width="11.42578125" style="435" customWidth="1"/>
    <col min="15874" max="15874" width="12.5703125" style="435" customWidth="1"/>
    <col min="15875" max="15875" width="12" style="435" customWidth="1"/>
    <col min="15876" max="15876" width="12.7109375" style="435" customWidth="1"/>
    <col min="15877" max="15877" width="11.7109375" style="435" customWidth="1"/>
    <col min="15878" max="15878" width="10.85546875" style="435" customWidth="1"/>
    <col min="15879" max="15879" width="12.7109375" style="435" customWidth="1"/>
    <col min="15880" max="15880" width="10.5703125" style="435" customWidth="1"/>
    <col min="15881" max="15881" width="7.5703125" style="435" customWidth="1"/>
    <col min="15882" max="15882" width="9.140625" style="435"/>
    <col min="15883" max="15883" width="13" style="435" customWidth="1"/>
    <col min="15884" max="15884" width="11.42578125" style="435" customWidth="1"/>
    <col min="15885" max="16119" width="9.140625" style="435"/>
    <col min="16120" max="16120" width="6.85546875" style="435" customWidth="1"/>
    <col min="16121" max="16121" width="22.140625" style="435" customWidth="1"/>
    <col min="16122" max="16123" width="13.42578125" style="435" customWidth="1"/>
    <col min="16124" max="16124" width="10.85546875" style="435" customWidth="1"/>
    <col min="16125" max="16126" width="13" style="435" customWidth="1"/>
    <col min="16127" max="16128" width="11.7109375" style="435" customWidth="1"/>
    <col min="16129" max="16129" width="11.42578125" style="435" customWidth="1"/>
    <col min="16130" max="16130" width="12.5703125" style="435" customWidth="1"/>
    <col min="16131" max="16131" width="12" style="435" customWidth="1"/>
    <col min="16132" max="16132" width="12.7109375" style="435" customWidth="1"/>
    <col min="16133" max="16133" width="11.7109375" style="435" customWidth="1"/>
    <col min="16134" max="16134" width="10.85546875" style="435" customWidth="1"/>
    <col min="16135" max="16135" width="12.7109375" style="435" customWidth="1"/>
    <col min="16136" max="16136" width="10.5703125" style="435" customWidth="1"/>
    <col min="16137" max="16137" width="7.5703125" style="435" customWidth="1"/>
    <col min="16138" max="16138" width="9.140625" style="435"/>
    <col min="16139" max="16139" width="13" style="435" customWidth="1"/>
    <col min="16140" max="16140" width="11.42578125" style="435" customWidth="1"/>
    <col min="16141" max="16384" width="9.140625" style="435"/>
  </cols>
  <sheetData>
    <row r="1" spans="2:30" ht="13.5" customHeight="1" x14ac:dyDescent="0.25">
      <c r="B1" s="437"/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0"/>
      <c r="N1" s="410"/>
      <c r="O1" s="410"/>
      <c r="P1" s="410"/>
      <c r="Q1" s="410"/>
      <c r="R1" s="410"/>
      <c r="S1" s="410"/>
      <c r="T1" s="410"/>
    </row>
    <row r="2" spans="2:30" ht="12.75" customHeight="1" x14ac:dyDescent="0.25">
      <c r="B2" s="438" t="s">
        <v>158</v>
      </c>
      <c r="C2" s="439" t="s">
        <v>190</v>
      </c>
      <c r="D2" s="440" t="s">
        <v>194</v>
      </c>
      <c r="E2" s="440" t="s">
        <v>197</v>
      </c>
      <c r="F2" s="440" t="s">
        <v>306</v>
      </c>
      <c r="G2" s="440" t="s">
        <v>307</v>
      </c>
      <c r="H2" s="440" t="s">
        <v>308</v>
      </c>
      <c r="I2" s="440" t="s">
        <v>309</v>
      </c>
      <c r="J2" s="440" t="s">
        <v>310</v>
      </c>
      <c r="K2" s="440" t="s">
        <v>311</v>
      </c>
      <c r="L2" s="441" t="s">
        <v>199</v>
      </c>
      <c r="M2" s="442" t="s">
        <v>168</v>
      </c>
      <c r="N2" s="443" t="s">
        <v>200</v>
      </c>
      <c r="O2" s="443" t="s">
        <v>201</v>
      </c>
      <c r="P2" s="444" t="s">
        <v>36</v>
      </c>
      <c r="Q2" s="445" t="s">
        <v>202</v>
      </c>
      <c r="R2" s="446" t="s">
        <v>40</v>
      </c>
      <c r="S2" s="447" t="s">
        <v>169</v>
      </c>
      <c r="T2" s="447" t="s">
        <v>203</v>
      </c>
      <c r="U2" s="447" t="s">
        <v>204</v>
      </c>
      <c r="V2" s="447" t="s">
        <v>205</v>
      </c>
      <c r="W2" s="447" t="s">
        <v>206</v>
      </c>
      <c r="X2" s="447" t="s">
        <v>207</v>
      </c>
      <c r="Y2" s="447" t="s">
        <v>208</v>
      </c>
      <c r="Z2" s="447" t="s">
        <v>209</v>
      </c>
      <c r="AA2" s="448" t="s">
        <v>210</v>
      </c>
      <c r="AB2" s="583" t="s">
        <v>13</v>
      </c>
      <c r="AC2" s="450" t="s">
        <v>189</v>
      </c>
      <c r="AD2" s="451">
        <v>46023</v>
      </c>
    </row>
    <row r="3" spans="2:30" ht="13.5" customHeight="1" x14ac:dyDescent="0.25">
      <c r="B3" s="489" t="s">
        <v>312</v>
      </c>
      <c r="C3" s="490">
        <v>2100</v>
      </c>
      <c r="D3" s="454"/>
      <c r="E3" s="454"/>
      <c r="F3" s="584">
        <v>0</v>
      </c>
      <c r="G3" s="454"/>
      <c r="H3" s="584">
        <v>600</v>
      </c>
      <c r="I3" s="584">
        <v>103</v>
      </c>
      <c r="J3" s="584">
        <v>8.5</v>
      </c>
      <c r="K3" s="584">
        <v>13</v>
      </c>
      <c r="L3" s="456">
        <f t="shared" ref="L3:L39" si="0">SUM(C3:K3)</f>
        <v>2824.5</v>
      </c>
      <c r="M3" s="457">
        <f t="shared" ref="M3:M37" si="1">(C3+F3+G3)*20%</f>
        <v>420</v>
      </c>
      <c r="N3" s="458">
        <f t="shared" ref="N3:N37" si="2">(C3+F3+G3)*1.5%</f>
        <v>31.5</v>
      </c>
      <c r="O3" s="458">
        <f t="shared" ref="O3:O37" si="3">(C3+F3+G3)*5.8%</f>
        <v>121.8</v>
      </c>
      <c r="P3" s="458">
        <f t="shared" ref="P3:P37" si="4">(C3+F3+G3)*8%</f>
        <v>168</v>
      </c>
      <c r="Q3" s="459">
        <f t="shared" ref="Q3:Q39" si="5">SUM(M3:P3)</f>
        <v>741.3</v>
      </c>
      <c r="R3" s="460">
        <f t="shared" ref="R3:R37" si="6">(C3+F3+G3)/12</f>
        <v>175</v>
      </c>
      <c r="S3" s="461">
        <f t="shared" ref="S3:S37" si="7">R3/3</f>
        <v>58.333333333333336</v>
      </c>
      <c r="T3" s="461">
        <f t="shared" ref="T3:T37" si="8">(R3+S3)*8%</f>
        <v>18.666666666666668</v>
      </c>
      <c r="U3" s="454">
        <f t="shared" ref="U3:U37" si="9">(C3+F3+G3)/12</f>
        <v>175</v>
      </c>
      <c r="V3" s="454">
        <f t="shared" ref="V3:V37" si="10">U3*8%</f>
        <v>14</v>
      </c>
      <c r="W3" s="454">
        <f t="shared" ref="W3:W37" si="11">(C3+F3+G3)/12</f>
        <v>175</v>
      </c>
      <c r="X3" s="454">
        <f t="shared" ref="X3:X37" si="12">W3*8%</f>
        <v>14</v>
      </c>
      <c r="Y3" s="454">
        <f t="shared" ref="Y3:Y37" si="13">(P3+T3+V3+X3)*50%</f>
        <v>107.33333333333333</v>
      </c>
      <c r="Z3" s="454">
        <f t="shared" ref="Z3:Z37" si="14">(R3+S3+U3+W3)*27.3%</f>
        <v>159.25000000000003</v>
      </c>
      <c r="AA3" s="456">
        <f t="shared" ref="AA3:AA37" si="15">SUM(R3:Z3)</f>
        <v>896.58333333333337</v>
      </c>
      <c r="AB3" s="585">
        <f t="shared" ref="AB3:AB39" si="16">L3+Q3+AA3</f>
        <v>4462.3833333333332</v>
      </c>
      <c r="AC3" s="465" t="s">
        <v>89</v>
      </c>
      <c r="AD3" s="466">
        <f>C40</f>
        <v>78662</v>
      </c>
    </row>
    <row r="4" spans="2:30" ht="13.5" customHeight="1" x14ac:dyDescent="0.25">
      <c r="B4" s="467" t="s">
        <v>313</v>
      </c>
      <c r="C4" s="468">
        <v>2100</v>
      </c>
      <c r="D4" s="454"/>
      <c r="E4" s="454"/>
      <c r="F4" s="584">
        <v>250</v>
      </c>
      <c r="G4" s="454"/>
      <c r="H4" s="584">
        <v>600</v>
      </c>
      <c r="I4" s="584">
        <v>103</v>
      </c>
      <c r="J4" s="584">
        <v>8.5</v>
      </c>
      <c r="K4" s="584">
        <v>13</v>
      </c>
      <c r="L4" s="456">
        <f t="shared" si="0"/>
        <v>3074.5</v>
      </c>
      <c r="M4" s="457">
        <f t="shared" si="1"/>
        <v>470</v>
      </c>
      <c r="N4" s="458">
        <f t="shared" si="2"/>
        <v>35.25</v>
      </c>
      <c r="O4" s="458">
        <f t="shared" si="3"/>
        <v>136.29999999999998</v>
      </c>
      <c r="P4" s="458">
        <f t="shared" si="4"/>
        <v>188</v>
      </c>
      <c r="Q4" s="459">
        <f t="shared" si="5"/>
        <v>829.55</v>
      </c>
      <c r="R4" s="460">
        <f t="shared" si="6"/>
        <v>195.83333333333334</v>
      </c>
      <c r="S4" s="461">
        <f t="shared" si="7"/>
        <v>65.277777777777786</v>
      </c>
      <c r="T4" s="461">
        <f t="shared" si="8"/>
        <v>20.888888888888893</v>
      </c>
      <c r="U4" s="454">
        <f t="shared" si="9"/>
        <v>195.83333333333334</v>
      </c>
      <c r="V4" s="454">
        <f t="shared" si="10"/>
        <v>15.666666666666668</v>
      </c>
      <c r="W4" s="454">
        <f t="shared" si="11"/>
        <v>195.83333333333334</v>
      </c>
      <c r="X4" s="454">
        <f t="shared" si="12"/>
        <v>15.666666666666668</v>
      </c>
      <c r="Y4" s="454">
        <f t="shared" si="13"/>
        <v>120.1111111111111</v>
      </c>
      <c r="Z4" s="454">
        <f t="shared" si="14"/>
        <v>178.20833333333337</v>
      </c>
      <c r="AA4" s="456">
        <f t="shared" si="15"/>
        <v>1003.3194444444445</v>
      </c>
      <c r="AB4" s="585">
        <f t="shared" si="16"/>
        <v>4907.3694444444445</v>
      </c>
      <c r="AC4" s="465" t="s">
        <v>306</v>
      </c>
      <c r="AD4" s="466">
        <f>F40</f>
        <v>6750</v>
      </c>
    </row>
    <row r="5" spans="2:30" ht="13.5" customHeight="1" x14ac:dyDescent="0.25">
      <c r="B5" s="467" t="s">
        <v>314</v>
      </c>
      <c r="C5" s="468">
        <v>2100</v>
      </c>
      <c r="D5" s="454"/>
      <c r="E5" s="454"/>
      <c r="F5" s="584">
        <v>250</v>
      </c>
      <c r="G5" s="454"/>
      <c r="H5" s="584">
        <v>600</v>
      </c>
      <c r="I5" s="584">
        <v>103</v>
      </c>
      <c r="J5" s="584">
        <v>8.5</v>
      </c>
      <c r="K5" s="584">
        <v>13</v>
      </c>
      <c r="L5" s="456">
        <f t="shared" si="0"/>
        <v>3074.5</v>
      </c>
      <c r="M5" s="457">
        <f t="shared" si="1"/>
        <v>470</v>
      </c>
      <c r="N5" s="458">
        <f t="shared" si="2"/>
        <v>35.25</v>
      </c>
      <c r="O5" s="458">
        <f t="shared" si="3"/>
        <v>136.29999999999998</v>
      </c>
      <c r="P5" s="458">
        <f t="shared" si="4"/>
        <v>188</v>
      </c>
      <c r="Q5" s="459">
        <f t="shared" si="5"/>
        <v>829.55</v>
      </c>
      <c r="R5" s="460">
        <f t="shared" si="6"/>
        <v>195.83333333333334</v>
      </c>
      <c r="S5" s="461">
        <f t="shared" si="7"/>
        <v>65.277777777777786</v>
      </c>
      <c r="T5" s="461">
        <f t="shared" si="8"/>
        <v>20.888888888888893</v>
      </c>
      <c r="U5" s="454">
        <f t="shared" si="9"/>
        <v>195.83333333333334</v>
      </c>
      <c r="V5" s="454">
        <f t="shared" si="10"/>
        <v>15.666666666666668</v>
      </c>
      <c r="W5" s="454">
        <f t="shared" si="11"/>
        <v>195.83333333333334</v>
      </c>
      <c r="X5" s="454">
        <f t="shared" si="12"/>
        <v>15.666666666666668</v>
      </c>
      <c r="Y5" s="454">
        <f t="shared" si="13"/>
        <v>120.1111111111111</v>
      </c>
      <c r="Z5" s="454">
        <f t="shared" si="14"/>
        <v>178.20833333333337</v>
      </c>
      <c r="AA5" s="456">
        <f t="shared" si="15"/>
        <v>1003.3194444444445</v>
      </c>
      <c r="AB5" s="585">
        <f t="shared" si="16"/>
        <v>4907.3694444444445</v>
      </c>
      <c r="AC5" s="465" t="s">
        <v>315</v>
      </c>
      <c r="AD5" s="466">
        <v>0</v>
      </c>
    </row>
    <row r="6" spans="2:30" ht="13.5" customHeight="1" x14ac:dyDescent="0.25">
      <c r="B6" s="467" t="s">
        <v>316</v>
      </c>
      <c r="C6" s="468">
        <v>2100</v>
      </c>
      <c r="D6" s="454"/>
      <c r="E6" s="454"/>
      <c r="F6" s="584"/>
      <c r="G6" s="454"/>
      <c r="H6" s="584">
        <v>0</v>
      </c>
      <c r="I6" s="584">
        <v>103</v>
      </c>
      <c r="J6" s="584">
        <v>8.5</v>
      </c>
      <c r="K6" s="584"/>
      <c r="L6" s="456">
        <f t="shared" si="0"/>
        <v>2211.5</v>
      </c>
      <c r="M6" s="457">
        <f t="shared" si="1"/>
        <v>420</v>
      </c>
      <c r="N6" s="458">
        <f t="shared" si="2"/>
        <v>31.5</v>
      </c>
      <c r="O6" s="458">
        <f t="shared" si="3"/>
        <v>121.8</v>
      </c>
      <c r="P6" s="458">
        <f t="shared" si="4"/>
        <v>168</v>
      </c>
      <c r="Q6" s="459">
        <f t="shared" si="5"/>
        <v>741.3</v>
      </c>
      <c r="R6" s="460">
        <f t="shared" si="6"/>
        <v>175</v>
      </c>
      <c r="S6" s="461">
        <f t="shared" si="7"/>
        <v>58.333333333333336</v>
      </c>
      <c r="T6" s="461">
        <f t="shared" si="8"/>
        <v>18.666666666666668</v>
      </c>
      <c r="U6" s="454">
        <f t="shared" si="9"/>
        <v>175</v>
      </c>
      <c r="V6" s="454">
        <f t="shared" si="10"/>
        <v>14</v>
      </c>
      <c r="W6" s="454">
        <f t="shared" si="11"/>
        <v>175</v>
      </c>
      <c r="X6" s="454">
        <f t="shared" si="12"/>
        <v>14</v>
      </c>
      <c r="Y6" s="454">
        <f t="shared" si="13"/>
        <v>107.33333333333333</v>
      </c>
      <c r="Z6" s="454">
        <f t="shared" si="14"/>
        <v>159.25000000000003</v>
      </c>
      <c r="AA6" s="456">
        <f t="shared" si="15"/>
        <v>896.58333333333337</v>
      </c>
      <c r="AB6" s="585">
        <f t="shared" si="16"/>
        <v>3849.3833333333337</v>
      </c>
      <c r="AC6" s="469" t="s">
        <v>194</v>
      </c>
      <c r="AD6" s="466">
        <f>D40</f>
        <v>3242</v>
      </c>
    </row>
    <row r="7" spans="2:30" ht="13.5" customHeight="1" x14ac:dyDescent="0.25">
      <c r="B7" s="467" t="s">
        <v>317</v>
      </c>
      <c r="C7" s="468">
        <v>2100</v>
      </c>
      <c r="D7" s="454"/>
      <c r="E7" s="454"/>
      <c r="F7" s="584">
        <v>250</v>
      </c>
      <c r="G7" s="454"/>
      <c r="H7" s="584">
        <v>600</v>
      </c>
      <c r="I7" s="584">
        <v>103</v>
      </c>
      <c r="J7" s="584">
        <v>8.5</v>
      </c>
      <c r="K7" s="584">
        <v>13</v>
      </c>
      <c r="L7" s="456">
        <f t="shared" si="0"/>
        <v>3074.5</v>
      </c>
      <c r="M7" s="457">
        <f t="shared" si="1"/>
        <v>470</v>
      </c>
      <c r="N7" s="458">
        <f t="shared" si="2"/>
        <v>35.25</v>
      </c>
      <c r="O7" s="458">
        <f t="shared" si="3"/>
        <v>136.29999999999998</v>
      </c>
      <c r="P7" s="458">
        <f t="shared" si="4"/>
        <v>188</v>
      </c>
      <c r="Q7" s="459">
        <f t="shared" si="5"/>
        <v>829.55</v>
      </c>
      <c r="R7" s="460">
        <f t="shared" si="6"/>
        <v>195.83333333333334</v>
      </c>
      <c r="S7" s="461">
        <f t="shared" si="7"/>
        <v>65.277777777777786</v>
      </c>
      <c r="T7" s="461">
        <f t="shared" si="8"/>
        <v>20.888888888888893</v>
      </c>
      <c r="U7" s="454">
        <f t="shared" si="9"/>
        <v>195.83333333333334</v>
      </c>
      <c r="V7" s="454">
        <f t="shared" si="10"/>
        <v>15.666666666666668</v>
      </c>
      <c r="W7" s="454">
        <f t="shared" si="11"/>
        <v>195.83333333333334</v>
      </c>
      <c r="X7" s="454">
        <f t="shared" si="12"/>
        <v>15.666666666666668</v>
      </c>
      <c r="Y7" s="454">
        <f t="shared" si="13"/>
        <v>120.1111111111111</v>
      </c>
      <c r="Z7" s="454">
        <f t="shared" si="14"/>
        <v>178.20833333333337</v>
      </c>
      <c r="AA7" s="456">
        <f t="shared" si="15"/>
        <v>1003.3194444444445</v>
      </c>
      <c r="AB7" s="585">
        <f t="shared" si="16"/>
        <v>4907.3694444444445</v>
      </c>
      <c r="AC7" s="469" t="s">
        <v>197</v>
      </c>
      <c r="AD7" s="466">
        <f>E40</f>
        <v>10844</v>
      </c>
    </row>
    <row r="8" spans="2:30" ht="13.5" customHeight="1" x14ac:dyDescent="0.25">
      <c r="B8" s="467" t="s">
        <v>318</v>
      </c>
      <c r="C8" s="468">
        <v>2100</v>
      </c>
      <c r="D8" s="454"/>
      <c r="E8" s="454"/>
      <c r="F8" s="584">
        <v>250</v>
      </c>
      <c r="G8" s="454"/>
      <c r="H8" s="584">
        <v>600</v>
      </c>
      <c r="I8" s="584">
        <v>103</v>
      </c>
      <c r="J8" s="584">
        <v>8.5</v>
      </c>
      <c r="K8" s="584">
        <v>13</v>
      </c>
      <c r="L8" s="456">
        <f t="shared" si="0"/>
        <v>3074.5</v>
      </c>
      <c r="M8" s="457">
        <f t="shared" si="1"/>
        <v>470</v>
      </c>
      <c r="N8" s="458">
        <f t="shared" si="2"/>
        <v>35.25</v>
      </c>
      <c r="O8" s="458">
        <f t="shared" si="3"/>
        <v>136.29999999999998</v>
      </c>
      <c r="P8" s="458">
        <f t="shared" si="4"/>
        <v>188</v>
      </c>
      <c r="Q8" s="459">
        <f t="shared" si="5"/>
        <v>829.55</v>
      </c>
      <c r="R8" s="460">
        <f t="shared" si="6"/>
        <v>195.83333333333334</v>
      </c>
      <c r="S8" s="461">
        <f t="shared" si="7"/>
        <v>65.277777777777786</v>
      </c>
      <c r="T8" s="461">
        <f t="shared" si="8"/>
        <v>20.888888888888893</v>
      </c>
      <c r="U8" s="454">
        <f t="shared" si="9"/>
        <v>195.83333333333334</v>
      </c>
      <c r="V8" s="454">
        <f t="shared" si="10"/>
        <v>15.666666666666668</v>
      </c>
      <c r="W8" s="454">
        <f t="shared" si="11"/>
        <v>195.83333333333334</v>
      </c>
      <c r="X8" s="454">
        <f t="shared" si="12"/>
        <v>15.666666666666668</v>
      </c>
      <c r="Y8" s="454">
        <f t="shared" si="13"/>
        <v>120.1111111111111</v>
      </c>
      <c r="Z8" s="454">
        <f t="shared" si="14"/>
        <v>178.20833333333337</v>
      </c>
      <c r="AA8" s="456">
        <f t="shared" si="15"/>
        <v>1003.3194444444445</v>
      </c>
      <c r="AB8" s="585">
        <f t="shared" si="16"/>
        <v>4907.3694444444445</v>
      </c>
      <c r="AC8" s="469" t="s">
        <v>211</v>
      </c>
      <c r="AD8" s="466">
        <f>SUM(H40:K40)</f>
        <v>20119.5</v>
      </c>
    </row>
    <row r="9" spans="2:30" ht="13.5" customHeight="1" x14ac:dyDescent="0.25">
      <c r="B9" s="467" t="s">
        <v>319</v>
      </c>
      <c r="C9" s="468">
        <v>2100</v>
      </c>
      <c r="D9" s="431"/>
      <c r="E9" s="454"/>
      <c r="F9" s="584">
        <v>250</v>
      </c>
      <c r="G9" s="454"/>
      <c r="H9" s="584">
        <v>600</v>
      </c>
      <c r="I9" s="584">
        <v>103</v>
      </c>
      <c r="J9" s="584">
        <v>8.5</v>
      </c>
      <c r="K9" s="584">
        <v>13</v>
      </c>
      <c r="L9" s="456">
        <f t="shared" si="0"/>
        <v>3074.5</v>
      </c>
      <c r="M9" s="457">
        <f t="shared" si="1"/>
        <v>470</v>
      </c>
      <c r="N9" s="458">
        <f t="shared" si="2"/>
        <v>35.25</v>
      </c>
      <c r="O9" s="458">
        <f t="shared" si="3"/>
        <v>136.29999999999998</v>
      </c>
      <c r="P9" s="458">
        <f t="shared" si="4"/>
        <v>188</v>
      </c>
      <c r="Q9" s="459">
        <f t="shared" si="5"/>
        <v>829.55</v>
      </c>
      <c r="R9" s="460">
        <f t="shared" si="6"/>
        <v>195.83333333333334</v>
      </c>
      <c r="S9" s="461">
        <f t="shared" si="7"/>
        <v>65.277777777777786</v>
      </c>
      <c r="T9" s="461">
        <f t="shared" si="8"/>
        <v>20.888888888888893</v>
      </c>
      <c r="U9" s="454">
        <f t="shared" si="9"/>
        <v>195.83333333333334</v>
      </c>
      <c r="V9" s="454">
        <f t="shared" si="10"/>
        <v>15.666666666666668</v>
      </c>
      <c r="W9" s="454">
        <f t="shared" si="11"/>
        <v>195.83333333333334</v>
      </c>
      <c r="X9" s="454">
        <f t="shared" si="12"/>
        <v>15.666666666666668</v>
      </c>
      <c r="Y9" s="454">
        <f t="shared" si="13"/>
        <v>120.1111111111111</v>
      </c>
      <c r="Z9" s="454">
        <f t="shared" si="14"/>
        <v>178.20833333333337</v>
      </c>
      <c r="AA9" s="456">
        <f t="shared" si="15"/>
        <v>1003.3194444444445</v>
      </c>
      <c r="AB9" s="585">
        <f t="shared" si="16"/>
        <v>4907.3694444444445</v>
      </c>
      <c r="AC9" s="465" t="s">
        <v>209</v>
      </c>
      <c r="AD9" s="466">
        <f>SUM(M40:O40)</f>
        <v>22445.596000000005</v>
      </c>
    </row>
    <row r="10" spans="2:30" ht="13.5" customHeight="1" x14ac:dyDescent="0.25">
      <c r="B10" s="467" t="s">
        <v>320</v>
      </c>
      <c r="C10" s="468">
        <v>2100</v>
      </c>
      <c r="D10" s="431"/>
      <c r="E10" s="454"/>
      <c r="F10" s="584">
        <v>0</v>
      </c>
      <c r="G10" s="454"/>
      <c r="H10" s="584">
        <v>600</v>
      </c>
      <c r="I10" s="584">
        <v>103</v>
      </c>
      <c r="J10" s="584">
        <v>8.5</v>
      </c>
      <c r="K10" s="584">
        <v>13</v>
      </c>
      <c r="L10" s="456">
        <f t="shared" si="0"/>
        <v>2824.5</v>
      </c>
      <c r="M10" s="457">
        <f t="shared" si="1"/>
        <v>420</v>
      </c>
      <c r="N10" s="458">
        <f t="shared" si="2"/>
        <v>31.5</v>
      </c>
      <c r="O10" s="458">
        <f t="shared" si="3"/>
        <v>121.8</v>
      </c>
      <c r="P10" s="458">
        <f t="shared" si="4"/>
        <v>168</v>
      </c>
      <c r="Q10" s="459">
        <f t="shared" si="5"/>
        <v>741.3</v>
      </c>
      <c r="R10" s="460">
        <f t="shared" si="6"/>
        <v>175</v>
      </c>
      <c r="S10" s="461">
        <f t="shared" si="7"/>
        <v>58.333333333333336</v>
      </c>
      <c r="T10" s="461">
        <f t="shared" si="8"/>
        <v>18.666666666666668</v>
      </c>
      <c r="U10" s="454">
        <f t="shared" si="9"/>
        <v>175</v>
      </c>
      <c r="V10" s="454">
        <f t="shared" si="10"/>
        <v>14</v>
      </c>
      <c r="W10" s="454">
        <f t="shared" si="11"/>
        <v>175</v>
      </c>
      <c r="X10" s="454">
        <f t="shared" si="12"/>
        <v>14</v>
      </c>
      <c r="Y10" s="454">
        <f t="shared" si="13"/>
        <v>107.33333333333333</v>
      </c>
      <c r="Z10" s="454">
        <f t="shared" si="14"/>
        <v>159.25000000000003</v>
      </c>
      <c r="AA10" s="456">
        <f t="shared" si="15"/>
        <v>896.58333333333337</v>
      </c>
      <c r="AB10" s="585">
        <f t="shared" si="16"/>
        <v>4462.3833333333332</v>
      </c>
      <c r="AC10" s="465" t="s">
        <v>36</v>
      </c>
      <c r="AD10" s="466">
        <f>P40</f>
        <v>6472.9600000000009</v>
      </c>
    </row>
    <row r="11" spans="2:30" ht="13.5" customHeight="1" x14ac:dyDescent="0.25">
      <c r="B11" s="586" t="s">
        <v>321</v>
      </c>
      <c r="C11" s="468">
        <v>2100</v>
      </c>
      <c r="D11" s="454"/>
      <c r="E11" s="454"/>
      <c r="F11" s="584">
        <v>250</v>
      </c>
      <c r="G11" s="454"/>
      <c r="H11" s="584">
        <v>600</v>
      </c>
      <c r="I11" s="584">
        <v>103</v>
      </c>
      <c r="J11" s="584">
        <v>8.5</v>
      </c>
      <c r="K11" s="584">
        <v>13</v>
      </c>
      <c r="L11" s="456">
        <f t="shared" si="0"/>
        <v>3074.5</v>
      </c>
      <c r="M11" s="457">
        <f t="shared" si="1"/>
        <v>470</v>
      </c>
      <c r="N11" s="458">
        <f t="shared" si="2"/>
        <v>35.25</v>
      </c>
      <c r="O11" s="458">
        <f t="shared" si="3"/>
        <v>136.29999999999998</v>
      </c>
      <c r="P11" s="458">
        <f t="shared" si="4"/>
        <v>188</v>
      </c>
      <c r="Q11" s="459">
        <f t="shared" si="5"/>
        <v>829.55</v>
      </c>
      <c r="R11" s="460">
        <f t="shared" si="6"/>
        <v>195.83333333333334</v>
      </c>
      <c r="S11" s="461">
        <f t="shared" si="7"/>
        <v>65.277777777777786</v>
      </c>
      <c r="T11" s="461">
        <f t="shared" si="8"/>
        <v>20.888888888888893</v>
      </c>
      <c r="U11" s="454">
        <f t="shared" si="9"/>
        <v>195.83333333333334</v>
      </c>
      <c r="V11" s="454">
        <f t="shared" si="10"/>
        <v>15.666666666666668</v>
      </c>
      <c r="W11" s="454">
        <f t="shared" si="11"/>
        <v>195.83333333333334</v>
      </c>
      <c r="X11" s="454">
        <f t="shared" si="12"/>
        <v>15.666666666666668</v>
      </c>
      <c r="Y11" s="454">
        <f t="shared" si="13"/>
        <v>120.1111111111111</v>
      </c>
      <c r="Z11" s="454">
        <f t="shared" si="14"/>
        <v>178.20833333333337</v>
      </c>
      <c r="AA11" s="456">
        <f t="shared" si="15"/>
        <v>1003.3194444444445</v>
      </c>
      <c r="AB11" s="585">
        <f t="shared" si="16"/>
        <v>4907.3694444444445</v>
      </c>
      <c r="AC11" s="469" t="s">
        <v>212</v>
      </c>
      <c r="AD11" s="466">
        <f>SUM(R40:Z40)</f>
        <v>34544.928888888891</v>
      </c>
    </row>
    <row r="12" spans="2:30" ht="14.25" customHeight="1" x14ac:dyDescent="0.25">
      <c r="B12" s="586" t="s">
        <v>322</v>
      </c>
      <c r="C12" s="468">
        <v>2100</v>
      </c>
      <c r="D12" s="454"/>
      <c r="E12" s="454"/>
      <c r="F12" s="584"/>
      <c r="G12" s="454"/>
      <c r="H12" s="584">
        <v>600</v>
      </c>
      <c r="I12" s="584">
        <v>103</v>
      </c>
      <c r="J12" s="584">
        <v>8.5</v>
      </c>
      <c r="K12" s="584"/>
      <c r="L12" s="456">
        <f t="shared" si="0"/>
        <v>2811.5</v>
      </c>
      <c r="M12" s="457">
        <f t="shared" si="1"/>
        <v>420</v>
      </c>
      <c r="N12" s="458">
        <f t="shared" si="2"/>
        <v>31.5</v>
      </c>
      <c r="O12" s="458">
        <f t="shared" si="3"/>
        <v>121.8</v>
      </c>
      <c r="P12" s="458">
        <f t="shared" si="4"/>
        <v>168</v>
      </c>
      <c r="Q12" s="459">
        <f t="shared" si="5"/>
        <v>741.3</v>
      </c>
      <c r="R12" s="460">
        <f t="shared" si="6"/>
        <v>175</v>
      </c>
      <c r="S12" s="461">
        <f t="shared" si="7"/>
        <v>58.333333333333336</v>
      </c>
      <c r="T12" s="461">
        <f t="shared" si="8"/>
        <v>18.666666666666668</v>
      </c>
      <c r="U12" s="454">
        <f t="shared" si="9"/>
        <v>175</v>
      </c>
      <c r="V12" s="454">
        <f t="shared" si="10"/>
        <v>14</v>
      </c>
      <c r="W12" s="454">
        <f t="shared" si="11"/>
        <v>175</v>
      </c>
      <c r="X12" s="454">
        <f t="shared" si="12"/>
        <v>14</v>
      </c>
      <c r="Y12" s="454">
        <f t="shared" si="13"/>
        <v>107.33333333333333</v>
      </c>
      <c r="Z12" s="454">
        <f t="shared" si="14"/>
        <v>159.25000000000003</v>
      </c>
      <c r="AA12" s="456">
        <f t="shared" si="15"/>
        <v>896.58333333333337</v>
      </c>
      <c r="AB12" s="585">
        <f t="shared" si="16"/>
        <v>4449.3833333333332</v>
      </c>
      <c r="AC12" s="483" t="s">
        <v>13</v>
      </c>
      <c r="AD12" s="484">
        <f>SUM(AD3:AD11)</f>
        <v>183080.9848888889</v>
      </c>
    </row>
    <row r="13" spans="2:30" ht="13.5" customHeight="1" x14ac:dyDescent="0.25">
      <c r="B13" s="586" t="s">
        <v>323</v>
      </c>
      <c r="C13" s="468">
        <v>2100</v>
      </c>
      <c r="D13" s="454"/>
      <c r="E13" s="454"/>
      <c r="F13" s="584">
        <v>250</v>
      </c>
      <c r="G13" s="454"/>
      <c r="H13" s="584">
        <v>600</v>
      </c>
      <c r="I13" s="584">
        <v>103</v>
      </c>
      <c r="J13" s="584">
        <v>8.5</v>
      </c>
      <c r="K13" s="584">
        <v>13</v>
      </c>
      <c r="L13" s="456">
        <f t="shared" si="0"/>
        <v>3074.5</v>
      </c>
      <c r="M13" s="457">
        <f t="shared" si="1"/>
        <v>470</v>
      </c>
      <c r="N13" s="458">
        <f t="shared" si="2"/>
        <v>35.25</v>
      </c>
      <c r="O13" s="458">
        <f t="shared" si="3"/>
        <v>136.29999999999998</v>
      </c>
      <c r="P13" s="458">
        <f t="shared" si="4"/>
        <v>188</v>
      </c>
      <c r="Q13" s="459">
        <f t="shared" si="5"/>
        <v>829.55</v>
      </c>
      <c r="R13" s="460">
        <f t="shared" si="6"/>
        <v>195.83333333333334</v>
      </c>
      <c r="S13" s="461">
        <f t="shared" si="7"/>
        <v>65.277777777777786</v>
      </c>
      <c r="T13" s="461">
        <f t="shared" si="8"/>
        <v>20.888888888888893</v>
      </c>
      <c r="U13" s="454">
        <f t="shared" si="9"/>
        <v>195.83333333333334</v>
      </c>
      <c r="V13" s="454">
        <f t="shared" si="10"/>
        <v>15.666666666666668</v>
      </c>
      <c r="W13" s="454">
        <f t="shared" si="11"/>
        <v>195.83333333333334</v>
      </c>
      <c r="X13" s="454">
        <f t="shared" si="12"/>
        <v>15.666666666666668</v>
      </c>
      <c r="Y13" s="454">
        <f t="shared" si="13"/>
        <v>120.1111111111111</v>
      </c>
      <c r="Z13" s="454">
        <f t="shared" si="14"/>
        <v>178.20833333333337</v>
      </c>
      <c r="AA13" s="456">
        <f t="shared" si="15"/>
        <v>1003.3194444444445</v>
      </c>
      <c r="AB13" s="587">
        <f t="shared" si="16"/>
        <v>4907.3694444444445</v>
      </c>
    </row>
    <row r="14" spans="2:30" ht="13.5" customHeight="1" x14ac:dyDescent="0.25">
      <c r="B14" s="586" t="s">
        <v>324</v>
      </c>
      <c r="C14" s="468">
        <v>2100</v>
      </c>
      <c r="D14" s="454"/>
      <c r="E14" s="454"/>
      <c r="F14" s="584">
        <v>250</v>
      </c>
      <c r="G14" s="454"/>
      <c r="H14" s="584">
        <v>0</v>
      </c>
      <c r="I14" s="584">
        <v>103</v>
      </c>
      <c r="J14" s="584">
        <v>8.5</v>
      </c>
      <c r="K14" s="584">
        <v>13</v>
      </c>
      <c r="L14" s="456">
        <f t="shared" si="0"/>
        <v>2474.5</v>
      </c>
      <c r="M14" s="457">
        <f t="shared" si="1"/>
        <v>470</v>
      </c>
      <c r="N14" s="458">
        <f t="shared" si="2"/>
        <v>35.25</v>
      </c>
      <c r="O14" s="458">
        <f t="shared" si="3"/>
        <v>136.29999999999998</v>
      </c>
      <c r="P14" s="458">
        <f t="shared" si="4"/>
        <v>188</v>
      </c>
      <c r="Q14" s="459">
        <f t="shared" si="5"/>
        <v>829.55</v>
      </c>
      <c r="R14" s="460">
        <f t="shared" si="6"/>
        <v>195.83333333333334</v>
      </c>
      <c r="S14" s="461">
        <f t="shared" si="7"/>
        <v>65.277777777777786</v>
      </c>
      <c r="T14" s="461">
        <f t="shared" si="8"/>
        <v>20.888888888888893</v>
      </c>
      <c r="U14" s="454">
        <f t="shared" si="9"/>
        <v>195.83333333333334</v>
      </c>
      <c r="V14" s="454">
        <f t="shared" si="10"/>
        <v>15.666666666666668</v>
      </c>
      <c r="W14" s="454">
        <f t="shared" si="11"/>
        <v>195.83333333333334</v>
      </c>
      <c r="X14" s="454">
        <f t="shared" si="12"/>
        <v>15.666666666666668</v>
      </c>
      <c r="Y14" s="454">
        <f t="shared" si="13"/>
        <v>120.1111111111111</v>
      </c>
      <c r="Z14" s="454">
        <f t="shared" si="14"/>
        <v>178.20833333333337</v>
      </c>
      <c r="AA14" s="456">
        <f t="shared" si="15"/>
        <v>1003.3194444444445</v>
      </c>
      <c r="AB14" s="587">
        <f t="shared" si="16"/>
        <v>4307.3694444444445</v>
      </c>
    </row>
    <row r="15" spans="2:30" ht="13.5" customHeight="1" x14ac:dyDescent="0.25">
      <c r="B15" s="586" t="s">
        <v>325</v>
      </c>
      <c r="C15" s="468">
        <v>2100</v>
      </c>
      <c r="D15" s="454"/>
      <c r="E15" s="454"/>
      <c r="F15" s="584"/>
      <c r="G15" s="454"/>
      <c r="H15" s="584">
        <v>0</v>
      </c>
      <c r="I15" s="584">
        <v>103</v>
      </c>
      <c r="J15" s="584">
        <v>8.5</v>
      </c>
      <c r="K15" s="584">
        <v>13</v>
      </c>
      <c r="L15" s="456">
        <f t="shared" si="0"/>
        <v>2224.5</v>
      </c>
      <c r="M15" s="457">
        <f t="shared" si="1"/>
        <v>420</v>
      </c>
      <c r="N15" s="458">
        <f t="shared" si="2"/>
        <v>31.5</v>
      </c>
      <c r="O15" s="458">
        <f t="shared" si="3"/>
        <v>121.8</v>
      </c>
      <c r="P15" s="458">
        <f t="shared" si="4"/>
        <v>168</v>
      </c>
      <c r="Q15" s="459">
        <f t="shared" si="5"/>
        <v>741.3</v>
      </c>
      <c r="R15" s="460">
        <f t="shared" si="6"/>
        <v>175</v>
      </c>
      <c r="S15" s="461">
        <f t="shared" si="7"/>
        <v>58.333333333333336</v>
      </c>
      <c r="T15" s="461">
        <f t="shared" si="8"/>
        <v>18.666666666666668</v>
      </c>
      <c r="U15" s="454">
        <f t="shared" si="9"/>
        <v>175</v>
      </c>
      <c r="V15" s="454">
        <f t="shared" si="10"/>
        <v>14</v>
      </c>
      <c r="W15" s="454">
        <f t="shared" si="11"/>
        <v>175</v>
      </c>
      <c r="X15" s="454">
        <f t="shared" si="12"/>
        <v>14</v>
      </c>
      <c r="Y15" s="454">
        <f t="shared" si="13"/>
        <v>107.33333333333333</v>
      </c>
      <c r="Z15" s="454">
        <f t="shared" si="14"/>
        <v>159.25000000000003</v>
      </c>
      <c r="AA15" s="456">
        <f t="shared" si="15"/>
        <v>896.58333333333337</v>
      </c>
      <c r="AB15" s="587">
        <f t="shared" si="16"/>
        <v>3862.3833333333337</v>
      </c>
    </row>
    <row r="16" spans="2:30" ht="13.5" customHeight="1" x14ac:dyDescent="0.25">
      <c r="B16" s="586" t="s">
        <v>326</v>
      </c>
      <c r="C16" s="468">
        <v>2100</v>
      </c>
      <c r="D16" s="454"/>
      <c r="E16" s="454"/>
      <c r="F16" s="584">
        <v>250</v>
      </c>
      <c r="G16" s="454"/>
      <c r="H16" s="584">
        <v>600</v>
      </c>
      <c r="I16" s="584">
        <v>103</v>
      </c>
      <c r="J16" s="584">
        <v>8.5</v>
      </c>
      <c r="K16" s="584">
        <v>13</v>
      </c>
      <c r="L16" s="456">
        <f t="shared" si="0"/>
        <v>3074.5</v>
      </c>
      <c r="M16" s="457">
        <f t="shared" si="1"/>
        <v>470</v>
      </c>
      <c r="N16" s="458">
        <f t="shared" si="2"/>
        <v>35.25</v>
      </c>
      <c r="O16" s="458">
        <f t="shared" si="3"/>
        <v>136.29999999999998</v>
      </c>
      <c r="P16" s="458">
        <f t="shared" si="4"/>
        <v>188</v>
      </c>
      <c r="Q16" s="459">
        <f t="shared" si="5"/>
        <v>829.55</v>
      </c>
      <c r="R16" s="460">
        <f t="shared" si="6"/>
        <v>195.83333333333334</v>
      </c>
      <c r="S16" s="461">
        <f t="shared" si="7"/>
        <v>65.277777777777786</v>
      </c>
      <c r="T16" s="461">
        <f t="shared" si="8"/>
        <v>20.888888888888893</v>
      </c>
      <c r="U16" s="454">
        <f t="shared" si="9"/>
        <v>195.83333333333334</v>
      </c>
      <c r="V16" s="454">
        <f t="shared" si="10"/>
        <v>15.666666666666668</v>
      </c>
      <c r="W16" s="454">
        <f t="shared" si="11"/>
        <v>195.83333333333334</v>
      </c>
      <c r="X16" s="454">
        <f t="shared" si="12"/>
        <v>15.666666666666668</v>
      </c>
      <c r="Y16" s="454">
        <f t="shared" si="13"/>
        <v>120.1111111111111</v>
      </c>
      <c r="Z16" s="454">
        <f t="shared" si="14"/>
        <v>178.20833333333337</v>
      </c>
      <c r="AA16" s="456">
        <f t="shared" si="15"/>
        <v>1003.3194444444445</v>
      </c>
      <c r="AB16" s="587">
        <f t="shared" si="16"/>
        <v>4907.3694444444445</v>
      </c>
    </row>
    <row r="17" spans="2:28" ht="13.5" customHeight="1" x14ac:dyDescent="0.25">
      <c r="B17" s="586" t="s">
        <v>327</v>
      </c>
      <c r="C17" s="468">
        <v>2100</v>
      </c>
      <c r="D17" s="454"/>
      <c r="E17" s="454"/>
      <c r="F17" s="584"/>
      <c r="G17" s="454"/>
      <c r="H17" s="584">
        <v>0</v>
      </c>
      <c r="I17" s="584">
        <v>103</v>
      </c>
      <c r="J17" s="584">
        <v>8.5</v>
      </c>
      <c r="K17" s="584"/>
      <c r="L17" s="456">
        <f t="shared" si="0"/>
        <v>2211.5</v>
      </c>
      <c r="M17" s="457">
        <f t="shared" si="1"/>
        <v>420</v>
      </c>
      <c r="N17" s="458">
        <f t="shared" si="2"/>
        <v>31.5</v>
      </c>
      <c r="O17" s="458">
        <f t="shared" si="3"/>
        <v>121.8</v>
      </c>
      <c r="P17" s="458">
        <f t="shared" si="4"/>
        <v>168</v>
      </c>
      <c r="Q17" s="459">
        <f t="shared" si="5"/>
        <v>741.3</v>
      </c>
      <c r="R17" s="460">
        <f t="shared" si="6"/>
        <v>175</v>
      </c>
      <c r="S17" s="461">
        <f t="shared" si="7"/>
        <v>58.333333333333336</v>
      </c>
      <c r="T17" s="461">
        <f t="shared" si="8"/>
        <v>18.666666666666668</v>
      </c>
      <c r="U17" s="454">
        <f t="shared" si="9"/>
        <v>175</v>
      </c>
      <c r="V17" s="454">
        <f t="shared" si="10"/>
        <v>14</v>
      </c>
      <c r="W17" s="454">
        <f t="shared" si="11"/>
        <v>175</v>
      </c>
      <c r="X17" s="454">
        <f t="shared" si="12"/>
        <v>14</v>
      </c>
      <c r="Y17" s="454">
        <f t="shared" si="13"/>
        <v>107.33333333333333</v>
      </c>
      <c r="Z17" s="454">
        <f t="shared" si="14"/>
        <v>159.25000000000003</v>
      </c>
      <c r="AA17" s="456">
        <f t="shared" si="15"/>
        <v>896.58333333333337</v>
      </c>
      <c r="AB17" s="587">
        <f t="shared" si="16"/>
        <v>3849.3833333333337</v>
      </c>
    </row>
    <row r="18" spans="2:28" ht="13.5" customHeight="1" x14ac:dyDescent="0.25">
      <c r="B18" s="586" t="s">
        <v>328</v>
      </c>
      <c r="C18" s="468">
        <v>2100</v>
      </c>
      <c r="D18" s="454"/>
      <c r="E18" s="454"/>
      <c r="F18" s="584">
        <v>250</v>
      </c>
      <c r="G18" s="454"/>
      <c r="H18" s="584">
        <v>600</v>
      </c>
      <c r="I18" s="584">
        <v>103</v>
      </c>
      <c r="J18" s="584">
        <v>8.5</v>
      </c>
      <c r="K18" s="584">
        <v>13</v>
      </c>
      <c r="L18" s="456">
        <f t="shared" si="0"/>
        <v>3074.5</v>
      </c>
      <c r="M18" s="457">
        <f t="shared" si="1"/>
        <v>470</v>
      </c>
      <c r="N18" s="458">
        <f t="shared" si="2"/>
        <v>35.25</v>
      </c>
      <c r="O18" s="458">
        <f t="shared" si="3"/>
        <v>136.29999999999998</v>
      </c>
      <c r="P18" s="458">
        <f t="shared" si="4"/>
        <v>188</v>
      </c>
      <c r="Q18" s="459">
        <f t="shared" si="5"/>
        <v>829.55</v>
      </c>
      <c r="R18" s="460">
        <f t="shared" si="6"/>
        <v>195.83333333333334</v>
      </c>
      <c r="S18" s="461">
        <f t="shared" si="7"/>
        <v>65.277777777777786</v>
      </c>
      <c r="T18" s="461">
        <f t="shared" si="8"/>
        <v>20.888888888888893</v>
      </c>
      <c r="U18" s="454">
        <f t="shared" si="9"/>
        <v>195.83333333333334</v>
      </c>
      <c r="V18" s="454">
        <f t="shared" si="10"/>
        <v>15.666666666666668</v>
      </c>
      <c r="W18" s="454">
        <f t="shared" si="11"/>
        <v>195.83333333333334</v>
      </c>
      <c r="X18" s="454">
        <f t="shared" si="12"/>
        <v>15.666666666666668</v>
      </c>
      <c r="Y18" s="454">
        <f t="shared" si="13"/>
        <v>120.1111111111111</v>
      </c>
      <c r="Z18" s="454">
        <f t="shared" si="14"/>
        <v>178.20833333333337</v>
      </c>
      <c r="AA18" s="456">
        <f t="shared" si="15"/>
        <v>1003.3194444444445</v>
      </c>
      <c r="AB18" s="587">
        <f t="shared" si="16"/>
        <v>4907.3694444444445</v>
      </c>
    </row>
    <row r="19" spans="2:28" ht="13.5" customHeight="1" x14ac:dyDescent="0.25">
      <c r="B19" s="586" t="s">
        <v>329</v>
      </c>
      <c r="C19" s="468">
        <v>2100</v>
      </c>
      <c r="D19" s="454"/>
      <c r="E19" s="454"/>
      <c r="F19" s="584">
        <v>250</v>
      </c>
      <c r="G19" s="454"/>
      <c r="H19" s="584">
        <v>600</v>
      </c>
      <c r="I19" s="584">
        <v>103</v>
      </c>
      <c r="J19" s="584">
        <v>8.5</v>
      </c>
      <c r="K19" s="584">
        <v>13</v>
      </c>
      <c r="L19" s="456">
        <f t="shared" si="0"/>
        <v>3074.5</v>
      </c>
      <c r="M19" s="457">
        <f t="shared" si="1"/>
        <v>470</v>
      </c>
      <c r="N19" s="458">
        <f t="shared" si="2"/>
        <v>35.25</v>
      </c>
      <c r="O19" s="458">
        <f t="shared" si="3"/>
        <v>136.29999999999998</v>
      </c>
      <c r="P19" s="458">
        <f t="shared" si="4"/>
        <v>188</v>
      </c>
      <c r="Q19" s="459">
        <f t="shared" si="5"/>
        <v>829.55</v>
      </c>
      <c r="R19" s="460">
        <f t="shared" si="6"/>
        <v>195.83333333333334</v>
      </c>
      <c r="S19" s="461">
        <f t="shared" si="7"/>
        <v>65.277777777777786</v>
      </c>
      <c r="T19" s="461">
        <f t="shared" si="8"/>
        <v>20.888888888888893</v>
      </c>
      <c r="U19" s="454">
        <f t="shared" si="9"/>
        <v>195.83333333333334</v>
      </c>
      <c r="V19" s="454">
        <f t="shared" si="10"/>
        <v>15.666666666666668</v>
      </c>
      <c r="W19" s="454">
        <f t="shared" si="11"/>
        <v>195.83333333333334</v>
      </c>
      <c r="X19" s="454">
        <f t="shared" si="12"/>
        <v>15.666666666666668</v>
      </c>
      <c r="Y19" s="454">
        <f t="shared" si="13"/>
        <v>120.1111111111111</v>
      </c>
      <c r="Z19" s="454">
        <f t="shared" si="14"/>
        <v>178.20833333333337</v>
      </c>
      <c r="AA19" s="456">
        <f t="shared" si="15"/>
        <v>1003.3194444444445</v>
      </c>
      <c r="AB19" s="587">
        <f t="shared" si="16"/>
        <v>4907.3694444444445</v>
      </c>
    </row>
    <row r="20" spans="2:28" ht="13.5" customHeight="1" x14ac:dyDescent="0.25">
      <c r="B20" s="586" t="s">
        <v>330</v>
      </c>
      <c r="C20" s="468">
        <v>2100</v>
      </c>
      <c r="D20" s="454"/>
      <c r="E20" s="454"/>
      <c r="F20" s="584">
        <v>0</v>
      </c>
      <c r="G20" s="454"/>
      <c r="H20" s="584">
        <v>600</v>
      </c>
      <c r="I20" s="584">
        <v>103</v>
      </c>
      <c r="J20" s="584">
        <v>8.5</v>
      </c>
      <c r="K20" s="584">
        <v>13</v>
      </c>
      <c r="L20" s="456">
        <f t="shared" si="0"/>
        <v>2824.5</v>
      </c>
      <c r="M20" s="457">
        <f t="shared" si="1"/>
        <v>420</v>
      </c>
      <c r="N20" s="458">
        <f t="shared" si="2"/>
        <v>31.5</v>
      </c>
      <c r="O20" s="458">
        <f t="shared" si="3"/>
        <v>121.8</v>
      </c>
      <c r="P20" s="458">
        <f t="shared" si="4"/>
        <v>168</v>
      </c>
      <c r="Q20" s="459">
        <f t="shared" si="5"/>
        <v>741.3</v>
      </c>
      <c r="R20" s="460">
        <f t="shared" si="6"/>
        <v>175</v>
      </c>
      <c r="S20" s="461">
        <f t="shared" si="7"/>
        <v>58.333333333333336</v>
      </c>
      <c r="T20" s="461">
        <f t="shared" si="8"/>
        <v>18.666666666666668</v>
      </c>
      <c r="U20" s="454">
        <f t="shared" si="9"/>
        <v>175</v>
      </c>
      <c r="V20" s="454">
        <f t="shared" si="10"/>
        <v>14</v>
      </c>
      <c r="W20" s="454">
        <f t="shared" si="11"/>
        <v>175</v>
      </c>
      <c r="X20" s="454">
        <f t="shared" si="12"/>
        <v>14</v>
      </c>
      <c r="Y20" s="454">
        <f t="shared" si="13"/>
        <v>107.33333333333333</v>
      </c>
      <c r="Z20" s="454">
        <f t="shared" si="14"/>
        <v>159.25000000000003</v>
      </c>
      <c r="AA20" s="456">
        <f t="shared" si="15"/>
        <v>896.58333333333337</v>
      </c>
      <c r="AB20" s="587">
        <f t="shared" si="16"/>
        <v>4462.3833333333332</v>
      </c>
    </row>
    <row r="21" spans="2:28" ht="13.5" customHeight="1" x14ac:dyDescent="0.25">
      <c r="B21" s="586" t="s">
        <v>331</v>
      </c>
      <c r="C21" s="468">
        <v>1120</v>
      </c>
      <c r="D21" s="454"/>
      <c r="E21" s="454"/>
      <c r="F21" s="588"/>
      <c r="G21" s="454"/>
      <c r="H21" s="588">
        <v>0</v>
      </c>
      <c r="I21" s="588">
        <v>103</v>
      </c>
      <c r="J21" s="588">
        <v>8.5</v>
      </c>
      <c r="K21" s="588">
        <v>13</v>
      </c>
      <c r="L21" s="456">
        <f t="shared" si="0"/>
        <v>1244.5</v>
      </c>
      <c r="M21" s="457">
        <f t="shared" si="1"/>
        <v>224</v>
      </c>
      <c r="N21" s="458">
        <f t="shared" si="2"/>
        <v>16.8</v>
      </c>
      <c r="O21" s="458">
        <f t="shared" si="3"/>
        <v>64.959999999999994</v>
      </c>
      <c r="P21" s="458">
        <f t="shared" si="4"/>
        <v>89.600000000000009</v>
      </c>
      <c r="Q21" s="459">
        <f t="shared" si="5"/>
        <v>395.36</v>
      </c>
      <c r="R21" s="460">
        <f t="shared" si="6"/>
        <v>93.333333333333329</v>
      </c>
      <c r="S21" s="461">
        <f t="shared" si="7"/>
        <v>31.111111111111111</v>
      </c>
      <c r="T21" s="461">
        <f t="shared" si="8"/>
        <v>9.9555555555555557</v>
      </c>
      <c r="U21" s="454">
        <f t="shared" si="9"/>
        <v>93.333333333333329</v>
      </c>
      <c r="V21" s="454">
        <f t="shared" si="10"/>
        <v>7.4666666666666668</v>
      </c>
      <c r="W21" s="454">
        <f t="shared" si="11"/>
        <v>93.333333333333329</v>
      </c>
      <c r="X21" s="454">
        <f t="shared" si="12"/>
        <v>7.4666666666666668</v>
      </c>
      <c r="Y21" s="454">
        <f t="shared" si="13"/>
        <v>57.244444444444454</v>
      </c>
      <c r="Z21" s="454">
        <f t="shared" si="14"/>
        <v>84.933333333333337</v>
      </c>
      <c r="AA21" s="456">
        <f t="shared" si="15"/>
        <v>478.17777777777781</v>
      </c>
      <c r="AB21" s="587">
        <f t="shared" si="16"/>
        <v>2118.037777777778</v>
      </c>
    </row>
    <row r="22" spans="2:28" ht="13.5" customHeight="1" x14ac:dyDescent="0.25">
      <c r="B22" s="586" t="s">
        <v>332</v>
      </c>
      <c r="C22" s="468">
        <v>2100</v>
      </c>
      <c r="D22" s="454"/>
      <c r="E22" s="454"/>
      <c r="F22" s="584">
        <v>250</v>
      </c>
      <c r="G22" s="454"/>
      <c r="H22" s="584">
        <v>600</v>
      </c>
      <c r="I22" s="584">
        <v>103</v>
      </c>
      <c r="J22" s="584">
        <v>8.5</v>
      </c>
      <c r="K22" s="584">
        <v>13</v>
      </c>
      <c r="L22" s="456">
        <f t="shared" si="0"/>
        <v>3074.5</v>
      </c>
      <c r="M22" s="457">
        <f t="shared" si="1"/>
        <v>470</v>
      </c>
      <c r="N22" s="458">
        <f t="shared" si="2"/>
        <v>35.25</v>
      </c>
      <c r="O22" s="458">
        <f t="shared" si="3"/>
        <v>136.29999999999998</v>
      </c>
      <c r="P22" s="458">
        <f t="shared" si="4"/>
        <v>188</v>
      </c>
      <c r="Q22" s="459">
        <f t="shared" si="5"/>
        <v>829.55</v>
      </c>
      <c r="R22" s="460">
        <f t="shared" si="6"/>
        <v>195.83333333333334</v>
      </c>
      <c r="S22" s="461">
        <f t="shared" si="7"/>
        <v>65.277777777777786</v>
      </c>
      <c r="T22" s="461">
        <f t="shared" si="8"/>
        <v>20.888888888888893</v>
      </c>
      <c r="U22" s="454">
        <f t="shared" si="9"/>
        <v>195.83333333333334</v>
      </c>
      <c r="V22" s="454">
        <f t="shared" si="10"/>
        <v>15.666666666666668</v>
      </c>
      <c r="W22" s="454">
        <f t="shared" si="11"/>
        <v>195.83333333333334</v>
      </c>
      <c r="X22" s="454">
        <f t="shared" si="12"/>
        <v>15.666666666666668</v>
      </c>
      <c r="Y22" s="454">
        <f t="shared" si="13"/>
        <v>120.1111111111111</v>
      </c>
      <c r="Z22" s="454">
        <f t="shared" si="14"/>
        <v>178.20833333333337</v>
      </c>
      <c r="AA22" s="456">
        <f t="shared" si="15"/>
        <v>1003.3194444444445</v>
      </c>
      <c r="AB22" s="587">
        <f t="shared" si="16"/>
        <v>4907.3694444444445</v>
      </c>
    </row>
    <row r="23" spans="2:28" ht="13.5" customHeight="1" x14ac:dyDescent="0.25">
      <c r="B23" s="586" t="s">
        <v>333</v>
      </c>
      <c r="C23" s="468">
        <v>2100</v>
      </c>
      <c r="D23" s="454"/>
      <c r="E23" s="454"/>
      <c r="F23" s="584">
        <v>250</v>
      </c>
      <c r="G23" s="454"/>
      <c r="H23" s="584">
        <v>600</v>
      </c>
      <c r="I23" s="584">
        <v>103</v>
      </c>
      <c r="J23" s="584">
        <v>8.5</v>
      </c>
      <c r="K23" s="584">
        <v>13</v>
      </c>
      <c r="L23" s="456">
        <f t="shared" si="0"/>
        <v>3074.5</v>
      </c>
      <c r="M23" s="457">
        <f t="shared" si="1"/>
        <v>470</v>
      </c>
      <c r="N23" s="458">
        <f t="shared" si="2"/>
        <v>35.25</v>
      </c>
      <c r="O23" s="458">
        <f t="shared" si="3"/>
        <v>136.29999999999998</v>
      </c>
      <c r="P23" s="458">
        <f t="shared" si="4"/>
        <v>188</v>
      </c>
      <c r="Q23" s="459">
        <f t="shared" si="5"/>
        <v>829.55</v>
      </c>
      <c r="R23" s="460">
        <f t="shared" si="6"/>
        <v>195.83333333333334</v>
      </c>
      <c r="S23" s="461">
        <f t="shared" si="7"/>
        <v>65.277777777777786</v>
      </c>
      <c r="T23" s="461">
        <f t="shared" si="8"/>
        <v>20.888888888888893</v>
      </c>
      <c r="U23" s="454">
        <f t="shared" si="9"/>
        <v>195.83333333333334</v>
      </c>
      <c r="V23" s="454">
        <f t="shared" si="10"/>
        <v>15.666666666666668</v>
      </c>
      <c r="W23" s="454">
        <f t="shared" si="11"/>
        <v>195.83333333333334</v>
      </c>
      <c r="X23" s="454">
        <f t="shared" si="12"/>
        <v>15.666666666666668</v>
      </c>
      <c r="Y23" s="454">
        <f t="shared" si="13"/>
        <v>120.1111111111111</v>
      </c>
      <c r="Z23" s="454">
        <f t="shared" si="14"/>
        <v>178.20833333333337</v>
      </c>
      <c r="AA23" s="456">
        <f t="shared" si="15"/>
        <v>1003.3194444444445</v>
      </c>
      <c r="AB23" s="587">
        <f t="shared" si="16"/>
        <v>4907.3694444444445</v>
      </c>
    </row>
    <row r="24" spans="2:28" ht="13.5" customHeight="1" x14ac:dyDescent="0.25">
      <c r="B24" s="586" t="s">
        <v>334</v>
      </c>
      <c r="C24" s="468">
        <v>4200</v>
      </c>
      <c r="D24" s="454"/>
      <c r="E24" s="454"/>
      <c r="F24" s="584">
        <v>250</v>
      </c>
      <c r="G24" s="454"/>
      <c r="H24" s="584">
        <v>600</v>
      </c>
      <c r="I24" s="584">
        <v>103</v>
      </c>
      <c r="J24" s="584">
        <v>8.5</v>
      </c>
      <c r="K24" s="584">
        <v>13</v>
      </c>
      <c r="L24" s="456">
        <f t="shared" si="0"/>
        <v>5174.5</v>
      </c>
      <c r="M24" s="457">
        <f t="shared" si="1"/>
        <v>890</v>
      </c>
      <c r="N24" s="458">
        <f t="shared" si="2"/>
        <v>66.75</v>
      </c>
      <c r="O24" s="458">
        <f t="shared" si="3"/>
        <v>258.09999999999997</v>
      </c>
      <c r="P24" s="458">
        <f t="shared" si="4"/>
        <v>356</v>
      </c>
      <c r="Q24" s="459">
        <f t="shared" si="5"/>
        <v>1570.85</v>
      </c>
      <c r="R24" s="460">
        <f t="shared" si="6"/>
        <v>370.83333333333331</v>
      </c>
      <c r="S24" s="461">
        <f t="shared" si="7"/>
        <v>123.6111111111111</v>
      </c>
      <c r="T24" s="461">
        <f t="shared" si="8"/>
        <v>39.55555555555555</v>
      </c>
      <c r="U24" s="454">
        <f t="shared" si="9"/>
        <v>370.83333333333331</v>
      </c>
      <c r="V24" s="454">
        <f t="shared" si="10"/>
        <v>29.666666666666664</v>
      </c>
      <c r="W24" s="454">
        <f t="shared" si="11"/>
        <v>370.83333333333331</v>
      </c>
      <c r="X24" s="454">
        <f t="shared" si="12"/>
        <v>29.666666666666664</v>
      </c>
      <c r="Y24" s="454">
        <f t="shared" si="13"/>
        <v>227.44444444444446</v>
      </c>
      <c r="Z24" s="454">
        <f t="shared" si="14"/>
        <v>337.45833333333337</v>
      </c>
      <c r="AA24" s="456">
        <f t="shared" si="15"/>
        <v>1899.9027777777778</v>
      </c>
      <c r="AB24" s="587">
        <f t="shared" si="16"/>
        <v>8645.2527777777777</v>
      </c>
    </row>
    <row r="25" spans="2:28" ht="13.5" customHeight="1" x14ac:dyDescent="0.25">
      <c r="B25" s="586" t="s">
        <v>335</v>
      </c>
      <c r="C25" s="468">
        <v>2100</v>
      </c>
      <c r="D25" s="454"/>
      <c r="E25" s="454"/>
      <c r="F25" s="584">
        <v>250</v>
      </c>
      <c r="G25" s="454"/>
      <c r="H25" s="584">
        <v>600</v>
      </c>
      <c r="I25" s="584">
        <v>103</v>
      </c>
      <c r="J25" s="584">
        <v>8.5</v>
      </c>
      <c r="K25" s="584">
        <v>13</v>
      </c>
      <c r="L25" s="456">
        <f t="shared" si="0"/>
        <v>3074.5</v>
      </c>
      <c r="M25" s="457">
        <f t="shared" si="1"/>
        <v>470</v>
      </c>
      <c r="N25" s="458">
        <f t="shared" si="2"/>
        <v>35.25</v>
      </c>
      <c r="O25" s="458">
        <f t="shared" si="3"/>
        <v>136.29999999999998</v>
      </c>
      <c r="P25" s="458">
        <f t="shared" si="4"/>
        <v>188</v>
      </c>
      <c r="Q25" s="459">
        <f t="shared" si="5"/>
        <v>829.55</v>
      </c>
      <c r="R25" s="460">
        <f t="shared" si="6"/>
        <v>195.83333333333334</v>
      </c>
      <c r="S25" s="461">
        <f t="shared" si="7"/>
        <v>65.277777777777786</v>
      </c>
      <c r="T25" s="461">
        <f t="shared" si="8"/>
        <v>20.888888888888893</v>
      </c>
      <c r="U25" s="454">
        <f t="shared" si="9"/>
        <v>195.83333333333334</v>
      </c>
      <c r="V25" s="454">
        <f t="shared" si="10"/>
        <v>15.666666666666668</v>
      </c>
      <c r="W25" s="454">
        <f t="shared" si="11"/>
        <v>195.83333333333334</v>
      </c>
      <c r="X25" s="454">
        <f t="shared" si="12"/>
        <v>15.666666666666668</v>
      </c>
      <c r="Y25" s="454">
        <f t="shared" si="13"/>
        <v>120.1111111111111</v>
      </c>
      <c r="Z25" s="454">
        <f t="shared" si="14"/>
        <v>178.20833333333337</v>
      </c>
      <c r="AA25" s="456">
        <f t="shared" si="15"/>
        <v>1003.3194444444445</v>
      </c>
      <c r="AB25" s="587">
        <f t="shared" si="16"/>
        <v>4907.3694444444445</v>
      </c>
    </row>
    <row r="26" spans="2:28" ht="13.5" customHeight="1" x14ac:dyDescent="0.25">
      <c r="B26" s="586" t="s">
        <v>336</v>
      </c>
      <c r="C26" s="468">
        <v>2100</v>
      </c>
      <c r="D26" s="454"/>
      <c r="E26" s="454"/>
      <c r="F26" s="584">
        <v>0</v>
      </c>
      <c r="G26" s="454"/>
      <c r="H26" s="584">
        <v>600</v>
      </c>
      <c r="I26" s="584">
        <v>103</v>
      </c>
      <c r="J26" s="584">
        <v>8.5</v>
      </c>
      <c r="K26" s="584">
        <v>13</v>
      </c>
      <c r="L26" s="456">
        <f t="shared" si="0"/>
        <v>2824.5</v>
      </c>
      <c r="M26" s="457">
        <f t="shared" si="1"/>
        <v>420</v>
      </c>
      <c r="N26" s="458">
        <f t="shared" si="2"/>
        <v>31.5</v>
      </c>
      <c r="O26" s="458">
        <f t="shared" si="3"/>
        <v>121.8</v>
      </c>
      <c r="P26" s="458">
        <f t="shared" si="4"/>
        <v>168</v>
      </c>
      <c r="Q26" s="459">
        <f t="shared" si="5"/>
        <v>741.3</v>
      </c>
      <c r="R26" s="460">
        <f t="shared" si="6"/>
        <v>175</v>
      </c>
      <c r="S26" s="461">
        <f t="shared" si="7"/>
        <v>58.333333333333336</v>
      </c>
      <c r="T26" s="461">
        <f t="shared" si="8"/>
        <v>18.666666666666668</v>
      </c>
      <c r="U26" s="454">
        <f t="shared" si="9"/>
        <v>175</v>
      </c>
      <c r="V26" s="454">
        <f t="shared" si="10"/>
        <v>14</v>
      </c>
      <c r="W26" s="454">
        <f t="shared" si="11"/>
        <v>175</v>
      </c>
      <c r="X26" s="454">
        <f t="shared" si="12"/>
        <v>14</v>
      </c>
      <c r="Y26" s="454">
        <f t="shared" si="13"/>
        <v>107.33333333333333</v>
      </c>
      <c r="Z26" s="454">
        <f t="shared" si="14"/>
        <v>159.25000000000003</v>
      </c>
      <c r="AA26" s="456">
        <f t="shared" si="15"/>
        <v>896.58333333333337</v>
      </c>
      <c r="AB26" s="587">
        <f t="shared" si="16"/>
        <v>4462.3833333333332</v>
      </c>
    </row>
    <row r="27" spans="2:28" ht="13.5" customHeight="1" x14ac:dyDescent="0.25">
      <c r="B27" s="586" t="s">
        <v>337</v>
      </c>
      <c r="C27" s="468">
        <v>2100</v>
      </c>
      <c r="D27" s="454"/>
      <c r="E27" s="454"/>
      <c r="F27" s="584"/>
      <c r="G27" s="454"/>
      <c r="H27" s="584">
        <v>600</v>
      </c>
      <c r="I27" s="584">
        <v>103</v>
      </c>
      <c r="J27" s="584">
        <v>8.5</v>
      </c>
      <c r="K27" s="584"/>
      <c r="L27" s="456">
        <f t="shared" si="0"/>
        <v>2811.5</v>
      </c>
      <c r="M27" s="457">
        <f t="shared" si="1"/>
        <v>420</v>
      </c>
      <c r="N27" s="458">
        <f t="shared" si="2"/>
        <v>31.5</v>
      </c>
      <c r="O27" s="458">
        <f t="shared" si="3"/>
        <v>121.8</v>
      </c>
      <c r="P27" s="458">
        <f t="shared" si="4"/>
        <v>168</v>
      </c>
      <c r="Q27" s="459">
        <f t="shared" si="5"/>
        <v>741.3</v>
      </c>
      <c r="R27" s="460">
        <f t="shared" si="6"/>
        <v>175</v>
      </c>
      <c r="S27" s="461">
        <f t="shared" si="7"/>
        <v>58.333333333333336</v>
      </c>
      <c r="T27" s="461">
        <f t="shared" si="8"/>
        <v>18.666666666666668</v>
      </c>
      <c r="U27" s="454">
        <f t="shared" si="9"/>
        <v>175</v>
      </c>
      <c r="V27" s="454">
        <f t="shared" si="10"/>
        <v>14</v>
      </c>
      <c r="W27" s="454">
        <f t="shared" si="11"/>
        <v>175</v>
      </c>
      <c r="X27" s="454">
        <f t="shared" si="12"/>
        <v>14</v>
      </c>
      <c r="Y27" s="454">
        <f t="shared" si="13"/>
        <v>107.33333333333333</v>
      </c>
      <c r="Z27" s="454">
        <f t="shared" si="14"/>
        <v>159.25000000000003</v>
      </c>
      <c r="AA27" s="456">
        <f t="shared" si="15"/>
        <v>896.58333333333337</v>
      </c>
      <c r="AB27" s="587">
        <f t="shared" si="16"/>
        <v>4449.3833333333332</v>
      </c>
    </row>
    <row r="28" spans="2:28" ht="13.5" customHeight="1" x14ac:dyDescent="0.25">
      <c r="B28" s="586" t="s">
        <v>338</v>
      </c>
      <c r="C28" s="468">
        <v>2100</v>
      </c>
      <c r="D28" s="454"/>
      <c r="E28" s="454"/>
      <c r="F28" s="584">
        <v>250</v>
      </c>
      <c r="G28" s="454"/>
      <c r="H28" s="584">
        <v>600</v>
      </c>
      <c r="I28" s="584">
        <v>103</v>
      </c>
      <c r="J28" s="584">
        <v>8.5</v>
      </c>
      <c r="K28" s="584">
        <v>13</v>
      </c>
      <c r="L28" s="456">
        <f t="shared" si="0"/>
        <v>3074.5</v>
      </c>
      <c r="M28" s="457">
        <f t="shared" si="1"/>
        <v>470</v>
      </c>
      <c r="N28" s="458">
        <f t="shared" si="2"/>
        <v>35.25</v>
      </c>
      <c r="O28" s="458">
        <f t="shared" si="3"/>
        <v>136.29999999999998</v>
      </c>
      <c r="P28" s="458">
        <f t="shared" si="4"/>
        <v>188</v>
      </c>
      <c r="Q28" s="459">
        <f t="shared" si="5"/>
        <v>829.55</v>
      </c>
      <c r="R28" s="460">
        <f t="shared" si="6"/>
        <v>195.83333333333334</v>
      </c>
      <c r="S28" s="461">
        <f t="shared" si="7"/>
        <v>65.277777777777786</v>
      </c>
      <c r="T28" s="461">
        <f t="shared" si="8"/>
        <v>20.888888888888893</v>
      </c>
      <c r="U28" s="454">
        <f t="shared" si="9"/>
        <v>195.83333333333334</v>
      </c>
      <c r="V28" s="454">
        <f t="shared" si="10"/>
        <v>15.666666666666668</v>
      </c>
      <c r="W28" s="454">
        <f t="shared" si="11"/>
        <v>195.83333333333334</v>
      </c>
      <c r="X28" s="454">
        <f t="shared" si="12"/>
        <v>15.666666666666668</v>
      </c>
      <c r="Y28" s="454">
        <f t="shared" si="13"/>
        <v>120.1111111111111</v>
      </c>
      <c r="Z28" s="454">
        <f t="shared" si="14"/>
        <v>178.20833333333337</v>
      </c>
      <c r="AA28" s="456">
        <f t="shared" si="15"/>
        <v>1003.3194444444445</v>
      </c>
      <c r="AB28" s="587">
        <f t="shared" si="16"/>
        <v>4907.3694444444445</v>
      </c>
    </row>
    <row r="29" spans="2:28" ht="13.5" customHeight="1" x14ac:dyDescent="0.25">
      <c r="B29" s="586" t="s">
        <v>339</v>
      </c>
      <c r="C29" s="468">
        <v>1120</v>
      </c>
      <c r="D29" s="454"/>
      <c r="E29" s="454"/>
      <c r="F29" s="584"/>
      <c r="G29" s="454"/>
      <c r="H29" s="584">
        <v>0</v>
      </c>
      <c r="I29" s="584">
        <v>103</v>
      </c>
      <c r="J29" s="584">
        <v>8.5</v>
      </c>
      <c r="K29" s="584"/>
      <c r="L29" s="456">
        <f t="shared" si="0"/>
        <v>1231.5</v>
      </c>
      <c r="M29" s="457">
        <f t="shared" si="1"/>
        <v>224</v>
      </c>
      <c r="N29" s="458">
        <f t="shared" si="2"/>
        <v>16.8</v>
      </c>
      <c r="O29" s="458">
        <f t="shared" si="3"/>
        <v>64.959999999999994</v>
      </c>
      <c r="P29" s="458">
        <f t="shared" si="4"/>
        <v>89.600000000000009</v>
      </c>
      <c r="Q29" s="459">
        <f t="shared" si="5"/>
        <v>395.36</v>
      </c>
      <c r="R29" s="460">
        <f t="shared" si="6"/>
        <v>93.333333333333329</v>
      </c>
      <c r="S29" s="461">
        <f t="shared" si="7"/>
        <v>31.111111111111111</v>
      </c>
      <c r="T29" s="461">
        <f t="shared" si="8"/>
        <v>9.9555555555555557</v>
      </c>
      <c r="U29" s="454">
        <f t="shared" si="9"/>
        <v>93.333333333333329</v>
      </c>
      <c r="V29" s="454">
        <f t="shared" si="10"/>
        <v>7.4666666666666668</v>
      </c>
      <c r="W29" s="454">
        <f t="shared" si="11"/>
        <v>93.333333333333329</v>
      </c>
      <c r="X29" s="454">
        <f t="shared" si="12"/>
        <v>7.4666666666666668</v>
      </c>
      <c r="Y29" s="454">
        <f t="shared" si="13"/>
        <v>57.244444444444454</v>
      </c>
      <c r="Z29" s="454">
        <f t="shared" si="14"/>
        <v>84.933333333333337</v>
      </c>
      <c r="AA29" s="456">
        <f t="shared" si="15"/>
        <v>478.17777777777781</v>
      </c>
      <c r="AB29" s="587">
        <f t="shared" si="16"/>
        <v>2105.037777777778</v>
      </c>
    </row>
    <row r="30" spans="2:28" ht="13.5" customHeight="1" x14ac:dyDescent="0.25">
      <c r="B30" s="586" t="s">
        <v>340</v>
      </c>
      <c r="C30" s="468">
        <v>2100</v>
      </c>
      <c r="D30" s="454"/>
      <c r="E30" s="454"/>
      <c r="F30" s="584">
        <v>0</v>
      </c>
      <c r="G30" s="454"/>
      <c r="H30" s="584">
        <v>600</v>
      </c>
      <c r="I30" s="584">
        <v>103</v>
      </c>
      <c r="J30" s="584">
        <v>8.5</v>
      </c>
      <c r="K30" s="584">
        <v>13</v>
      </c>
      <c r="L30" s="456">
        <f t="shared" si="0"/>
        <v>2824.5</v>
      </c>
      <c r="M30" s="457">
        <f t="shared" si="1"/>
        <v>420</v>
      </c>
      <c r="N30" s="458">
        <f t="shared" si="2"/>
        <v>31.5</v>
      </c>
      <c r="O30" s="458">
        <f t="shared" si="3"/>
        <v>121.8</v>
      </c>
      <c r="P30" s="458">
        <f t="shared" si="4"/>
        <v>168</v>
      </c>
      <c r="Q30" s="459">
        <f t="shared" si="5"/>
        <v>741.3</v>
      </c>
      <c r="R30" s="460">
        <f t="shared" si="6"/>
        <v>175</v>
      </c>
      <c r="S30" s="461">
        <f t="shared" si="7"/>
        <v>58.333333333333336</v>
      </c>
      <c r="T30" s="461">
        <f t="shared" si="8"/>
        <v>18.666666666666668</v>
      </c>
      <c r="U30" s="454">
        <f t="shared" si="9"/>
        <v>175</v>
      </c>
      <c r="V30" s="454">
        <f t="shared" si="10"/>
        <v>14</v>
      </c>
      <c r="W30" s="454">
        <f t="shared" si="11"/>
        <v>175</v>
      </c>
      <c r="X30" s="454">
        <f t="shared" si="12"/>
        <v>14</v>
      </c>
      <c r="Y30" s="454">
        <f t="shared" si="13"/>
        <v>107.33333333333333</v>
      </c>
      <c r="Z30" s="454">
        <f t="shared" si="14"/>
        <v>159.25000000000003</v>
      </c>
      <c r="AA30" s="456">
        <f t="shared" si="15"/>
        <v>896.58333333333337</v>
      </c>
      <c r="AB30" s="587">
        <f t="shared" si="16"/>
        <v>4462.3833333333332</v>
      </c>
    </row>
    <row r="31" spans="2:28" ht="13.5" customHeight="1" x14ac:dyDescent="0.25">
      <c r="B31" s="586" t="s">
        <v>341</v>
      </c>
      <c r="C31" s="468">
        <v>2100</v>
      </c>
      <c r="D31" s="454"/>
      <c r="E31" s="454"/>
      <c r="F31" s="584">
        <v>250</v>
      </c>
      <c r="G31" s="454"/>
      <c r="H31" s="584">
        <v>600</v>
      </c>
      <c r="I31" s="584">
        <v>103</v>
      </c>
      <c r="J31" s="584">
        <v>8.5</v>
      </c>
      <c r="K31" s="584">
        <v>13</v>
      </c>
      <c r="L31" s="456">
        <f t="shared" si="0"/>
        <v>3074.5</v>
      </c>
      <c r="M31" s="457">
        <f t="shared" si="1"/>
        <v>470</v>
      </c>
      <c r="N31" s="458">
        <f t="shared" si="2"/>
        <v>35.25</v>
      </c>
      <c r="O31" s="458">
        <f t="shared" si="3"/>
        <v>136.29999999999998</v>
      </c>
      <c r="P31" s="458">
        <f t="shared" si="4"/>
        <v>188</v>
      </c>
      <c r="Q31" s="459">
        <f t="shared" si="5"/>
        <v>829.55</v>
      </c>
      <c r="R31" s="460">
        <f t="shared" si="6"/>
        <v>195.83333333333334</v>
      </c>
      <c r="S31" s="461">
        <f t="shared" si="7"/>
        <v>65.277777777777786</v>
      </c>
      <c r="T31" s="461">
        <f t="shared" si="8"/>
        <v>20.888888888888893</v>
      </c>
      <c r="U31" s="454">
        <f t="shared" si="9"/>
        <v>195.83333333333334</v>
      </c>
      <c r="V31" s="454">
        <f t="shared" si="10"/>
        <v>15.666666666666668</v>
      </c>
      <c r="W31" s="454">
        <f t="shared" si="11"/>
        <v>195.83333333333334</v>
      </c>
      <c r="X31" s="454">
        <f t="shared" si="12"/>
        <v>15.666666666666668</v>
      </c>
      <c r="Y31" s="454">
        <f t="shared" si="13"/>
        <v>120.1111111111111</v>
      </c>
      <c r="Z31" s="454">
        <f t="shared" si="14"/>
        <v>178.20833333333337</v>
      </c>
      <c r="AA31" s="456">
        <f t="shared" si="15"/>
        <v>1003.3194444444445</v>
      </c>
      <c r="AB31" s="587">
        <f t="shared" si="16"/>
        <v>4907.3694444444445</v>
      </c>
    </row>
    <row r="32" spans="2:28" ht="13.5" customHeight="1" x14ac:dyDescent="0.25">
      <c r="B32" s="586" t="s">
        <v>342</v>
      </c>
      <c r="C32" s="468">
        <v>2100</v>
      </c>
      <c r="D32" s="454"/>
      <c r="E32" s="454"/>
      <c r="F32" s="584">
        <v>250</v>
      </c>
      <c r="G32" s="454"/>
      <c r="H32" s="584">
        <v>600</v>
      </c>
      <c r="I32" s="584">
        <v>103</v>
      </c>
      <c r="J32" s="584">
        <v>8.5</v>
      </c>
      <c r="K32" s="584">
        <v>13</v>
      </c>
      <c r="L32" s="456">
        <f t="shared" si="0"/>
        <v>3074.5</v>
      </c>
      <c r="M32" s="457">
        <f t="shared" si="1"/>
        <v>470</v>
      </c>
      <c r="N32" s="458">
        <f t="shared" si="2"/>
        <v>35.25</v>
      </c>
      <c r="O32" s="458">
        <f t="shared" si="3"/>
        <v>136.29999999999998</v>
      </c>
      <c r="P32" s="458">
        <f t="shared" si="4"/>
        <v>188</v>
      </c>
      <c r="Q32" s="459">
        <f t="shared" si="5"/>
        <v>829.55</v>
      </c>
      <c r="R32" s="460">
        <f t="shared" si="6"/>
        <v>195.83333333333334</v>
      </c>
      <c r="S32" s="461">
        <f t="shared" si="7"/>
        <v>65.277777777777786</v>
      </c>
      <c r="T32" s="461">
        <f t="shared" si="8"/>
        <v>20.888888888888893</v>
      </c>
      <c r="U32" s="454">
        <f t="shared" si="9"/>
        <v>195.83333333333334</v>
      </c>
      <c r="V32" s="454">
        <f t="shared" si="10"/>
        <v>15.666666666666668</v>
      </c>
      <c r="W32" s="454">
        <f t="shared" si="11"/>
        <v>195.83333333333334</v>
      </c>
      <c r="X32" s="454">
        <f t="shared" si="12"/>
        <v>15.666666666666668</v>
      </c>
      <c r="Y32" s="454">
        <f t="shared" si="13"/>
        <v>120.1111111111111</v>
      </c>
      <c r="Z32" s="454">
        <f t="shared" si="14"/>
        <v>178.20833333333337</v>
      </c>
      <c r="AA32" s="456">
        <f t="shared" si="15"/>
        <v>1003.3194444444445</v>
      </c>
      <c r="AB32" s="587">
        <f t="shared" si="16"/>
        <v>4907.3694444444445</v>
      </c>
    </row>
    <row r="33" spans="2:30" ht="13.5" customHeight="1" x14ac:dyDescent="0.25">
      <c r="B33" s="586" t="s">
        <v>343</v>
      </c>
      <c r="C33" s="468">
        <v>2100</v>
      </c>
      <c r="D33" s="454"/>
      <c r="E33" s="454"/>
      <c r="F33" s="584">
        <v>250</v>
      </c>
      <c r="G33" s="454"/>
      <c r="H33" s="584">
        <v>600</v>
      </c>
      <c r="I33" s="584">
        <v>103</v>
      </c>
      <c r="J33" s="584">
        <v>8.5</v>
      </c>
      <c r="K33" s="584">
        <v>13</v>
      </c>
      <c r="L33" s="456">
        <f t="shared" si="0"/>
        <v>3074.5</v>
      </c>
      <c r="M33" s="457">
        <f t="shared" si="1"/>
        <v>470</v>
      </c>
      <c r="N33" s="458">
        <f t="shared" si="2"/>
        <v>35.25</v>
      </c>
      <c r="O33" s="458">
        <f t="shared" si="3"/>
        <v>136.29999999999998</v>
      </c>
      <c r="P33" s="458">
        <f t="shared" si="4"/>
        <v>188</v>
      </c>
      <c r="Q33" s="459">
        <f t="shared" si="5"/>
        <v>829.55</v>
      </c>
      <c r="R33" s="460">
        <f t="shared" si="6"/>
        <v>195.83333333333334</v>
      </c>
      <c r="S33" s="461">
        <f t="shared" si="7"/>
        <v>65.277777777777786</v>
      </c>
      <c r="T33" s="461">
        <f t="shared" si="8"/>
        <v>20.888888888888893</v>
      </c>
      <c r="U33" s="454">
        <f t="shared" si="9"/>
        <v>195.83333333333334</v>
      </c>
      <c r="V33" s="454">
        <f t="shared" si="10"/>
        <v>15.666666666666668</v>
      </c>
      <c r="W33" s="454">
        <f t="shared" si="11"/>
        <v>195.83333333333334</v>
      </c>
      <c r="X33" s="454">
        <f t="shared" si="12"/>
        <v>15.666666666666668</v>
      </c>
      <c r="Y33" s="454">
        <f t="shared" si="13"/>
        <v>120.1111111111111</v>
      </c>
      <c r="Z33" s="454">
        <f t="shared" si="14"/>
        <v>178.20833333333337</v>
      </c>
      <c r="AA33" s="456">
        <f t="shared" si="15"/>
        <v>1003.3194444444445</v>
      </c>
      <c r="AB33" s="587">
        <f t="shared" si="16"/>
        <v>4907.3694444444445</v>
      </c>
    </row>
    <row r="34" spans="2:30" ht="13.5" customHeight="1" x14ac:dyDescent="0.25">
      <c r="B34" s="586" t="s">
        <v>344</v>
      </c>
      <c r="C34" s="468">
        <v>3000</v>
      </c>
      <c r="D34" s="454"/>
      <c r="E34" s="454"/>
      <c r="F34" s="584"/>
      <c r="G34" s="454"/>
      <c r="H34" s="584">
        <v>0</v>
      </c>
      <c r="I34" s="584">
        <v>103</v>
      </c>
      <c r="J34" s="584">
        <v>8.5</v>
      </c>
      <c r="K34" s="584">
        <v>13</v>
      </c>
      <c r="L34" s="456">
        <f t="shared" si="0"/>
        <v>3124.5</v>
      </c>
      <c r="M34" s="457">
        <f t="shared" si="1"/>
        <v>600</v>
      </c>
      <c r="N34" s="458">
        <f t="shared" si="2"/>
        <v>45</v>
      </c>
      <c r="O34" s="458">
        <f t="shared" si="3"/>
        <v>174</v>
      </c>
      <c r="P34" s="458">
        <f t="shared" si="4"/>
        <v>240</v>
      </c>
      <c r="Q34" s="459">
        <f t="shared" si="5"/>
        <v>1059</v>
      </c>
      <c r="R34" s="460">
        <f t="shared" si="6"/>
        <v>250</v>
      </c>
      <c r="S34" s="461">
        <f t="shared" si="7"/>
        <v>83.333333333333329</v>
      </c>
      <c r="T34" s="461">
        <f t="shared" si="8"/>
        <v>26.666666666666664</v>
      </c>
      <c r="U34" s="454">
        <f t="shared" si="9"/>
        <v>250</v>
      </c>
      <c r="V34" s="454">
        <f t="shared" si="10"/>
        <v>20</v>
      </c>
      <c r="W34" s="454">
        <f t="shared" si="11"/>
        <v>250</v>
      </c>
      <c r="X34" s="454">
        <f t="shared" si="12"/>
        <v>20</v>
      </c>
      <c r="Y34" s="454">
        <f t="shared" si="13"/>
        <v>153.33333333333334</v>
      </c>
      <c r="Z34" s="454">
        <f t="shared" si="14"/>
        <v>227.5</v>
      </c>
      <c r="AA34" s="456">
        <f t="shared" si="15"/>
        <v>1280.8333333333333</v>
      </c>
      <c r="AB34" s="587">
        <f t="shared" si="16"/>
        <v>5464.333333333333</v>
      </c>
    </row>
    <row r="35" spans="2:30" ht="13.5" customHeight="1" x14ac:dyDescent="0.25">
      <c r="B35" s="586" t="s">
        <v>345</v>
      </c>
      <c r="C35" s="468">
        <v>4200</v>
      </c>
      <c r="D35" s="454"/>
      <c r="E35" s="454"/>
      <c r="F35" s="584"/>
      <c r="G35" s="454"/>
      <c r="H35" s="584">
        <v>240</v>
      </c>
      <c r="I35" s="584">
        <v>103</v>
      </c>
      <c r="J35" s="584">
        <v>8.5</v>
      </c>
      <c r="K35" s="584"/>
      <c r="L35" s="456">
        <f t="shared" si="0"/>
        <v>4551.5</v>
      </c>
      <c r="M35" s="457">
        <f t="shared" si="1"/>
        <v>840</v>
      </c>
      <c r="N35" s="458">
        <f t="shared" si="2"/>
        <v>63</v>
      </c>
      <c r="O35" s="458">
        <f t="shared" si="3"/>
        <v>243.6</v>
      </c>
      <c r="P35" s="458">
        <f t="shared" si="4"/>
        <v>336</v>
      </c>
      <c r="Q35" s="459">
        <f t="shared" si="5"/>
        <v>1482.6</v>
      </c>
      <c r="R35" s="460">
        <f t="shared" si="6"/>
        <v>350</v>
      </c>
      <c r="S35" s="461">
        <f t="shared" si="7"/>
        <v>116.66666666666667</v>
      </c>
      <c r="T35" s="461">
        <f t="shared" si="8"/>
        <v>37.333333333333336</v>
      </c>
      <c r="U35" s="454">
        <f t="shared" si="9"/>
        <v>350</v>
      </c>
      <c r="V35" s="454">
        <f t="shared" si="10"/>
        <v>28</v>
      </c>
      <c r="W35" s="454">
        <f t="shared" si="11"/>
        <v>350</v>
      </c>
      <c r="X35" s="454">
        <f t="shared" si="12"/>
        <v>28</v>
      </c>
      <c r="Y35" s="454">
        <f t="shared" si="13"/>
        <v>214.66666666666666</v>
      </c>
      <c r="Z35" s="454">
        <f t="shared" si="14"/>
        <v>318.50000000000006</v>
      </c>
      <c r="AA35" s="456">
        <f t="shared" si="15"/>
        <v>1793.1666666666667</v>
      </c>
      <c r="AB35" s="587">
        <f t="shared" si="16"/>
        <v>7827.2666666666673</v>
      </c>
    </row>
    <row r="36" spans="2:30" ht="13.5" customHeight="1" x14ac:dyDescent="0.25">
      <c r="B36" s="586" t="s">
        <v>346</v>
      </c>
      <c r="C36" s="468">
        <v>1622</v>
      </c>
      <c r="D36" s="454"/>
      <c r="E36" s="454"/>
      <c r="F36" s="584"/>
      <c r="G36" s="454"/>
      <c r="H36" s="584">
        <v>0</v>
      </c>
      <c r="I36" s="584">
        <v>103</v>
      </c>
      <c r="J36" s="584">
        <v>8.5</v>
      </c>
      <c r="K36" s="584">
        <v>13</v>
      </c>
      <c r="L36" s="456">
        <f t="shared" si="0"/>
        <v>1746.5</v>
      </c>
      <c r="M36" s="457">
        <f t="shared" si="1"/>
        <v>324.40000000000003</v>
      </c>
      <c r="N36" s="458">
        <f t="shared" si="2"/>
        <v>24.33</v>
      </c>
      <c r="O36" s="458">
        <f t="shared" si="3"/>
        <v>94.075999999999993</v>
      </c>
      <c r="P36" s="458">
        <f t="shared" si="4"/>
        <v>129.76</v>
      </c>
      <c r="Q36" s="459">
        <f t="shared" si="5"/>
        <v>572.56600000000003</v>
      </c>
      <c r="R36" s="460">
        <f t="shared" si="6"/>
        <v>135.16666666666666</v>
      </c>
      <c r="S36" s="461">
        <f t="shared" si="7"/>
        <v>45.05555555555555</v>
      </c>
      <c r="T36" s="461">
        <f t="shared" si="8"/>
        <v>14.417777777777776</v>
      </c>
      <c r="U36" s="454">
        <f t="shared" si="9"/>
        <v>135.16666666666666</v>
      </c>
      <c r="V36" s="454">
        <f t="shared" si="10"/>
        <v>10.813333333333333</v>
      </c>
      <c r="W36" s="454">
        <f t="shared" si="11"/>
        <v>135.16666666666666</v>
      </c>
      <c r="X36" s="454">
        <f t="shared" si="12"/>
        <v>10.813333333333333</v>
      </c>
      <c r="Y36" s="454">
        <f t="shared" si="13"/>
        <v>82.902222222222221</v>
      </c>
      <c r="Z36" s="454">
        <f t="shared" si="14"/>
        <v>123.00166666666668</v>
      </c>
      <c r="AA36" s="456">
        <f t="shared" si="15"/>
        <v>692.50388888888881</v>
      </c>
      <c r="AB36" s="587">
        <f t="shared" si="16"/>
        <v>3011.5698888888887</v>
      </c>
    </row>
    <row r="37" spans="2:30" ht="13.5" customHeight="1" x14ac:dyDescent="0.25">
      <c r="B37" s="586" t="s">
        <v>347</v>
      </c>
      <c r="C37" s="468">
        <v>2100</v>
      </c>
      <c r="D37" s="454"/>
      <c r="E37" s="454"/>
      <c r="F37" s="584"/>
      <c r="G37" s="454"/>
      <c r="H37" s="584">
        <v>600</v>
      </c>
      <c r="I37" s="584">
        <v>103</v>
      </c>
      <c r="J37" s="584">
        <v>8.5</v>
      </c>
      <c r="K37" s="584">
        <v>13</v>
      </c>
      <c r="L37" s="456">
        <f t="shared" si="0"/>
        <v>2824.5</v>
      </c>
      <c r="M37" s="457">
        <f t="shared" si="1"/>
        <v>420</v>
      </c>
      <c r="N37" s="458">
        <f t="shared" si="2"/>
        <v>31.5</v>
      </c>
      <c r="O37" s="458">
        <f t="shared" si="3"/>
        <v>121.8</v>
      </c>
      <c r="P37" s="458">
        <f t="shared" si="4"/>
        <v>168</v>
      </c>
      <c r="Q37" s="459">
        <f t="shared" si="5"/>
        <v>741.3</v>
      </c>
      <c r="R37" s="460">
        <f t="shared" si="6"/>
        <v>175</v>
      </c>
      <c r="S37" s="461">
        <f t="shared" si="7"/>
        <v>58.333333333333336</v>
      </c>
      <c r="T37" s="461">
        <f t="shared" si="8"/>
        <v>18.666666666666668</v>
      </c>
      <c r="U37" s="454">
        <f t="shared" si="9"/>
        <v>175</v>
      </c>
      <c r="V37" s="454">
        <f t="shared" si="10"/>
        <v>14</v>
      </c>
      <c r="W37" s="454">
        <f t="shared" si="11"/>
        <v>175</v>
      </c>
      <c r="X37" s="454">
        <f t="shared" si="12"/>
        <v>14</v>
      </c>
      <c r="Y37" s="454">
        <f t="shared" si="13"/>
        <v>107.33333333333333</v>
      </c>
      <c r="Z37" s="454">
        <f t="shared" si="14"/>
        <v>159.25000000000003</v>
      </c>
      <c r="AA37" s="456">
        <f t="shared" si="15"/>
        <v>896.58333333333337</v>
      </c>
      <c r="AB37" s="587">
        <f t="shared" si="16"/>
        <v>4462.3833333333332</v>
      </c>
    </row>
    <row r="38" spans="2:30" ht="13.5" customHeight="1" x14ac:dyDescent="0.25">
      <c r="B38" s="586" t="s">
        <v>348</v>
      </c>
      <c r="C38" s="468">
        <v>2500</v>
      </c>
      <c r="D38" s="454"/>
      <c r="E38" s="454"/>
      <c r="F38" s="584"/>
      <c r="G38" s="454"/>
      <c r="H38" s="584"/>
      <c r="I38" s="584"/>
      <c r="J38" s="584"/>
      <c r="K38" s="584"/>
      <c r="L38" s="456">
        <f t="shared" si="0"/>
        <v>2500</v>
      </c>
      <c r="M38" s="457"/>
      <c r="N38" s="458"/>
      <c r="O38" s="458"/>
      <c r="P38" s="458"/>
      <c r="Q38" s="459">
        <f t="shared" si="5"/>
        <v>0</v>
      </c>
      <c r="R38" s="460"/>
      <c r="S38" s="461"/>
      <c r="T38" s="461"/>
      <c r="U38" s="454"/>
      <c r="V38" s="454"/>
      <c r="W38" s="454"/>
      <c r="X38" s="454"/>
      <c r="Y38" s="454"/>
      <c r="Z38" s="454"/>
      <c r="AA38" s="456"/>
      <c r="AB38" s="587">
        <f t="shared" si="16"/>
        <v>2500</v>
      </c>
    </row>
    <row r="39" spans="2:30" ht="13.5" customHeight="1" x14ac:dyDescent="0.25">
      <c r="B39" s="586" t="s">
        <v>349</v>
      </c>
      <c r="C39" s="468"/>
      <c r="D39" s="589">
        <f>1621*2</f>
        <v>3242</v>
      </c>
      <c r="E39" s="454">
        <v>10844</v>
      </c>
      <c r="F39" s="584">
        <v>2000</v>
      </c>
      <c r="G39" s="454"/>
      <c r="H39" s="584"/>
      <c r="I39" s="584"/>
      <c r="J39" s="584"/>
      <c r="K39" s="584"/>
      <c r="L39" s="456">
        <f t="shared" si="0"/>
        <v>16086</v>
      </c>
      <c r="M39" s="490">
        <f>3242*11%</f>
        <v>356.62</v>
      </c>
      <c r="N39" s="458"/>
      <c r="O39" s="458"/>
      <c r="P39" s="458"/>
      <c r="Q39" s="459">
        <f t="shared" si="5"/>
        <v>356.62</v>
      </c>
      <c r="R39" s="460"/>
      <c r="S39" s="461"/>
      <c r="T39" s="461"/>
      <c r="U39" s="454"/>
      <c r="V39" s="454"/>
      <c r="W39" s="454"/>
      <c r="X39" s="454"/>
      <c r="Y39" s="454"/>
      <c r="Z39" s="454"/>
      <c r="AA39" s="456">
        <f>SUM(R39:Z39)</f>
        <v>0</v>
      </c>
      <c r="AB39" s="587">
        <f t="shared" si="16"/>
        <v>16442.62</v>
      </c>
    </row>
    <row r="40" spans="2:30" ht="14.25" customHeight="1" x14ac:dyDescent="0.25">
      <c r="B40" s="590"/>
      <c r="C40" s="591">
        <f t="shared" ref="C40:AB40" si="17">SUM(C3:C39)</f>
        <v>78662</v>
      </c>
      <c r="D40" s="592">
        <f t="shared" si="17"/>
        <v>3242</v>
      </c>
      <c r="E40" s="592">
        <f t="shared" si="17"/>
        <v>10844</v>
      </c>
      <c r="F40" s="592">
        <f t="shared" si="17"/>
        <v>6750</v>
      </c>
      <c r="G40" s="592">
        <f t="shared" si="17"/>
        <v>0</v>
      </c>
      <c r="H40" s="592">
        <f t="shared" si="17"/>
        <v>15840</v>
      </c>
      <c r="I40" s="592">
        <f t="shared" si="17"/>
        <v>3605</v>
      </c>
      <c r="J40" s="592">
        <f t="shared" si="17"/>
        <v>297.5</v>
      </c>
      <c r="K40" s="592">
        <f t="shared" si="17"/>
        <v>377</v>
      </c>
      <c r="L40" s="593">
        <f t="shared" si="17"/>
        <v>119617.5</v>
      </c>
      <c r="M40" s="591">
        <f t="shared" si="17"/>
        <v>16539.02</v>
      </c>
      <c r="N40" s="592">
        <f t="shared" si="17"/>
        <v>1213.6799999999998</v>
      </c>
      <c r="O40" s="592">
        <f t="shared" si="17"/>
        <v>4692.8960000000025</v>
      </c>
      <c r="P40" s="592">
        <f t="shared" si="17"/>
        <v>6472.9600000000009</v>
      </c>
      <c r="Q40" s="593">
        <f t="shared" si="17"/>
        <v>28918.555999999986</v>
      </c>
      <c r="R40" s="591">
        <f t="shared" si="17"/>
        <v>6742.6666666666661</v>
      </c>
      <c r="S40" s="592">
        <f t="shared" si="17"/>
        <v>2247.5555555555561</v>
      </c>
      <c r="T40" s="592">
        <f t="shared" si="17"/>
        <v>719.217777777778</v>
      </c>
      <c r="U40" s="592">
        <f t="shared" si="17"/>
        <v>6742.6666666666661</v>
      </c>
      <c r="V40" s="592">
        <f t="shared" si="17"/>
        <v>539.41333333333341</v>
      </c>
      <c r="W40" s="592">
        <f t="shared" si="17"/>
        <v>6742.6666666666661</v>
      </c>
      <c r="X40" s="592">
        <f t="shared" si="17"/>
        <v>539.41333333333341</v>
      </c>
      <c r="Y40" s="592">
        <f t="shared" si="17"/>
        <v>4135.5022222222233</v>
      </c>
      <c r="Z40" s="592">
        <f t="shared" si="17"/>
        <v>6135.8266666666677</v>
      </c>
      <c r="AA40" s="593">
        <f t="shared" si="17"/>
        <v>34544.928888888899</v>
      </c>
      <c r="AB40" s="594">
        <f t="shared" si="17"/>
        <v>183080.98488888887</v>
      </c>
    </row>
    <row r="41" spans="2:30" ht="13.5" customHeight="1" x14ac:dyDescent="0.25"/>
    <row r="42" spans="2:30" ht="12.75" customHeight="1" x14ac:dyDescent="0.25">
      <c r="B42" s="438" t="s">
        <v>158</v>
      </c>
      <c r="C42" s="439" t="s">
        <v>190</v>
      </c>
      <c r="D42" s="440" t="s">
        <v>194</v>
      </c>
      <c r="E42" s="440" t="s">
        <v>197</v>
      </c>
      <c r="F42" s="440" t="s">
        <v>306</v>
      </c>
      <c r="G42" s="440" t="s">
        <v>307</v>
      </c>
      <c r="H42" s="440" t="s">
        <v>308</v>
      </c>
      <c r="I42" s="440" t="s">
        <v>309</v>
      </c>
      <c r="J42" s="440" t="s">
        <v>310</v>
      </c>
      <c r="K42" s="440" t="s">
        <v>311</v>
      </c>
      <c r="L42" s="441" t="s">
        <v>199</v>
      </c>
      <c r="M42" s="442" t="s">
        <v>168</v>
      </c>
      <c r="N42" s="443" t="s">
        <v>200</v>
      </c>
      <c r="O42" s="443" t="s">
        <v>201</v>
      </c>
      <c r="P42" s="444" t="s">
        <v>36</v>
      </c>
      <c r="Q42" s="445" t="s">
        <v>202</v>
      </c>
      <c r="R42" s="446" t="s">
        <v>40</v>
      </c>
      <c r="S42" s="447" t="s">
        <v>169</v>
      </c>
      <c r="T42" s="447" t="s">
        <v>203</v>
      </c>
      <c r="U42" s="447" t="s">
        <v>204</v>
      </c>
      <c r="V42" s="447" t="s">
        <v>205</v>
      </c>
      <c r="W42" s="447" t="s">
        <v>206</v>
      </c>
      <c r="X42" s="447" t="s">
        <v>207</v>
      </c>
      <c r="Y42" s="447" t="s">
        <v>208</v>
      </c>
      <c r="Z42" s="447" t="s">
        <v>209</v>
      </c>
      <c r="AA42" s="448" t="s">
        <v>210</v>
      </c>
      <c r="AB42" s="583" t="s">
        <v>13</v>
      </c>
      <c r="AC42" s="450" t="s">
        <v>189</v>
      </c>
      <c r="AD42" s="451">
        <v>46054</v>
      </c>
    </row>
    <row r="43" spans="2:30" ht="13.5" customHeight="1" x14ac:dyDescent="0.25">
      <c r="B43" s="489" t="s">
        <v>313</v>
      </c>
      <c r="C43" s="490">
        <v>2100</v>
      </c>
      <c r="D43" s="454"/>
      <c r="E43" s="454"/>
      <c r="F43" s="584">
        <v>250</v>
      </c>
      <c r="G43" s="454"/>
      <c r="H43" s="584">
        <v>600</v>
      </c>
      <c r="I43" s="584">
        <v>82.4</v>
      </c>
      <c r="J43" s="584">
        <v>8.5</v>
      </c>
      <c r="K43" s="584">
        <v>13</v>
      </c>
      <c r="L43" s="456">
        <f t="shared" ref="L43:L79" si="18">SUM(C43:K43)</f>
        <v>3053.9</v>
      </c>
      <c r="M43" s="457">
        <f t="shared" ref="M43:M77" si="19">(C43+F43+G43)*20%</f>
        <v>470</v>
      </c>
      <c r="N43" s="458">
        <f t="shared" ref="N43:N77" si="20">(C43+F43+G43)*1.5%</f>
        <v>35.25</v>
      </c>
      <c r="O43" s="458">
        <f t="shared" ref="O43:O77" si="21">(C43+F43+G43)*5.8%</f>
        <v>136.29999999999998</v>
      </c>
      <c r="P43" s="458">
        <f t="shared" ref="P43:P77" si="22">(C43+F43+G43)*8%</f>
        <v>188</v>
      </c>
      <c r="Q43" s="459">
        <f t="shared" ref="Q43:Q79" si="23">SUM(M43:P43)</f>
        <v>829.55</v>
      </c>
      <c r="R43" s="460">
        <f t="shared" ref="R43:R77" si="24">(C43+F43+G43)/12</f>
        <v>195.83333333333334</v>
      </c>
      <c r="S43" s="461">
        <f t="shared" ref="S43:S77" si="25">R43/3</f>
        <v>65.277777777777786</v>
      </c>
      <c r="T43" s="461">
        <f t="shared" ref="T43:T77" si="26">(R43+S43)*8%</f>
        <v>20.888888888888893</v>
      </c>
      <c r="U43" s="454">
        <f t="shared" ref="U43:U77" si="27">(C43+F43+G43)/12</f>
        <v>195.83333333333334</v>
      </c>
      <c r="V43" s="454">
        <f t="shared" ref="V43:V77" si="28">U43*8%</f>
        <v>15.666666666666668</v>
      </c>
      <c r="W43" s="454">
        <f t="shared" ref="W43:W77" si="29">(C43+F43+G43)/12</f>
        <v>195.83333333333334</v>
      </c>
      <c r="X43" s="454">
        <f t="shared" ref="X43:X77" si="30">W43*8%</f>
        <v>15.666666666666668</v>
      </c>
      <c r="Y43" s="454">
        <f t="shared" ref="Y43:Y77" si="31">(P43+T43+V43+X43)*50%</f>
        <v>120.1111111111111</v>
      </c>
      <c r="Z43" s="454">
        <f t="shared" ref="Z43:Z77" si="32">(R43+S43+U43+W43)*27.3%</f>
        <v>178.20833333333337</v>
      </c>
      <c r="AA43" s="456">
        <f t="shared" ref="AA43:AA77" si="33">SUM(R43:Z43)</f>
        <v>1003.3194444444445</v>
      </c>
      <c r="AB43" s="585">
        <f t="shared" ref="AB43:AB79" si="34">L43+Q43+AA43</f>
        <v>4886.7694444444442</v>
      </c>
      <c r="AC43" s="465" t="s">
        <v>89</v>
      </c>
      <c r="AD43" s="466">
        <f>C80</f>
        <v>73062</v>
      </c>
    </row>
    <row r="44" spans="2:30" ht="13.5" customHeight="1" x14ac:dyDescent="0.25">
      <c r="B44" s="467" t="s">
        <v>350</v>
      </c>
      <c r="C44" s="468">
        <v>1750</v>
      </c>
      <c r="D44" s="454"/>
      <c r="E44" s="454"/>
      <c r="F44" s="584"/>
      <c r="G44" s="454"/>
      <c r="H44" s="584"/>
      <c r="I44" s="584">
        <v>82.4</v>
      </c>
      <c r="J44" s="584">
        <v>8.5</v>
      </c>
      <c r="K44" s="584">
        <v>13</v>
      </c>
      <c r="L44" s="456">
        <f t="shared" si="18"/>
        <v>1853.9</v>
      </c>
      <c r="M44" s="457">
        <f t="shared" si="19"/>
        <v>350</v>
      </c>
      <c r="N44" s="458">
        <f t="shared" si="20"/>
        <v>26.25</v>
      </c>
      <c r="O44" s="458">
        <f t="shared" si="21"/>
        <v>101.5</v>
      </c>
      <c r="P44" s="458">
        <f t="shared" si="22"/>
        <v>140</v>
      </c>
      <c r="Q44" s="459">
        <f t="shared" si="23"/>
        <v>617.75</v>
      </c>
      <c r="R44" s="460">
        <f t="shared" si="24"/>
        <v>145.83333333333334</v>
      </c>
      <c r="S44" s="461">
        <f t="shared" si="25"/>
        <v>48.611111111111114</v>
      </c>
      <c r="T44" s="461">
        <f t="shared" si="26"/>
        <v>15.555555555555557</v>
      </c>
      <c r="U44" s="454">
        <f t="shared" si="27"/>
        <v>145.83333333333334</v>
      </c>
      <c r="V44" s="454">
        <f t="shared" si="28"/>
        <v>11.666666666666668</v>
      </c>
      <c r="W44" s="454">
        <f t="shared" si="29"/>
        <v>145.83333333333334</v>
      </c>
      <c r="X44" s="454">
        <f t="shared" si="30"/>
        <v>11.666666666666668</v>
      </c>
      <c r="Y44" s="454">
        <f t="shared" si="31"/>
        <v>89.444444444444429</v>
      </c>
      <c r="Z44" s="454">
        <f t="shared" si="32"/>
        <v>132.70833333333337</v>
      </c>
      <c r="AA44" s="456">
        <f t="shared" si="33"/>
        <v>747.15277777777783</v>
      </c>
      <c r="AB44" s="585">
        <f t="shared" si="34"/>
        <v>3218.8027777777779</v>
      </c>
      <c r="AC44" s="465" t="s">
        <v>306</v>
      </c>
      <c r="AD44" s="466">
        <f>F80</f>
        <v>7000</v>
      </c>
    </row>
    <row r="45" spans="2:30" ht="13.5" customHeight="1" x14ac:dyDescent="0.25">
      <c r="B45" s="467" t="s">
        <v>314</v>
      </c>
      <c r="C45" s="468">
        <v>2100</v>
      </c>
      <c r="D45" s="454"/>
      <c r="E45" s="454"/>
      <c r="F45" s="584">
        <v>250</v>
      </c>
      <c r="G45" s="454"/>
      <c r="H45" s="584">
        <v>600</v>
      </c>
      <c r="I45" s="584">
        <v>82.4</v>
      </c>
      <c r="J45" s="584">
        <v>8.5</v>
      </c>
      <c r="K45" s="584">
        <v>13</v>
      </c>
      <c r="L45" s="456">
        <f t="shared" si="18"/>
        <v>3053.9</v>
      </c>
      <c r="M45" s="457">
        <f t="shared" si="19"/>
        <v>470</v>
      </c>
      <c r="N45" s="458">
        <f t="shared" si="20"/>
        <v>35.25</v>
      </c>
      <c r="O45" s="458">
        <f t="shared" si="21"/>
        <v>136.29999999999998</v>
      </c>
      <c r="P45" s="458">
        <f t="shared" si="22"/>
        <v>188</v>
      </c>
      <c r="Q45" s="459">
        <f t="shared" si="23"/>
        <v>829.55</v>
      </c>
      <c r="R45" s="460">
        <f t="shared" si="24"/>
        <v>195.83333333333334</v>
      </c>
      <c r="S45" s="461">
        <f t="shared" si="25"/>
        <v>65.277777777777786</v>
      </c>
      <c r="T45" s="461">
        <f t="shared" si="26"/>
        <v>20.888888888888893</v>
      </c>
      <c r="U45" s="454">
        <f t="shared" si="27"/>
        <v>195.83333333333334</v>
      </c>
      <c r="V45" s="454">
        <f t="shared" si="28"/>
        <v>15.666666666666668</v>
      </c>
      <c r="W45" s="454">
        <f t="shared" si="29"/>
        <v>195.83333333333334</v>
      </c>
      <c r="X45" s="454">
        <f t="shared" si="30"/>
        <v>15.666666666666668</v>
      </c>
      <c r="Y45" s="454">
        <f t="shared" si="31"/>
        <v>120.1111111111111</v>
      </c>
      <c r="Z45" s="454">
        <f t="shared" si="32"/>
        <v>178.20833333333337</v>
      </c>
      <c r="AA45" s="456">
        <f t="shared" si="33"/>
        <v>1003.3194444444445</v>
      </c>
      <c r="AB45" s="585">
        <f t="shared" si="34"/>
        <v>4886.7694444444442</v>
      </c>
      <c r="AC45" s="465" t="s">
        <v>315</v>
      </c>
      <c r="AD45" s="466">
        <v>0</v>
      </c>
    </row>
    <row r="46" spans="2:30" ht="13.5" customHeight="1" x14ac:dyDescent="0.25">
      <c r="B46" s="467" t="s">
        <v>316</v>
      </c>
      <c r="C46" s="468">
        <v>2100</v>
      </c>
      <c r="D46" s="454"/>
      <c r="E46" s="454"/>
      <c r="F46" s="584"/>
      <c r="G46" s="454"/>
      <c r="H46" s="584">
        <v>600</v>
      </c>
      <c r="I46" s="584">
        <v>82.4</v>
      </c>
      <c r="J46" s="584">
        <v>8.5</v>
      </c>
      <c r="K46" s="584">
        <v>0</v>
      </c>
      <c r="L46" s="456">
        <f t="shared" si="18"/>
        <v>2790.9</v>
      </c>
      <c r="M46" s="457">
        <f t="shared" si="19"/>
        <v>420</v>
      </c>
      <c r="N46" s="458">
        <f t="shared" si="20"/>
        <v>31.5</v>
      </c>
      <c r="O46" s="458">
        <f t="shared" si="21"/>
        <v>121.8</v>
      </c>
      <c r="P46" s="458">
        <f t="shared" si="22"/>
        <v>168</v>
      </c>
      <c r="Q46" s="459">
        <f t="shared" si="23"/>
        <v>741.3</v>
      </c>
      <c r="R46" s="460">
        <f t="shared" si="24"/>
        <v>175</v>
      </c>
      <c r="S46" s="461">
        <f t="shared" si="25"/>
        <v>58.333333333333336</v>
      </c>
      <c r="T46" s="461">
        <f t="shared" si="26"/>
        <v>18.666666666666668</v>
      </c>
      <c r="U46" s="454">
        <f t="shared" si="27"/>
        <v>175</v>
      </c>
      <c r="V46" s="454">
        <f t="shared" si="28"/>
        <v>14</v>
      </c>
      <c r="W46" s="454">
        <f t="shared" si="29"/>
        <v>175</v>
      </c>
      <c r="X46" s="454">
        <f t="shared" si="30"/>
        <v>14</v>
      </c>
      <c r="Y46" s="454">
        <f t="shared" si="31"/>
        <v>107.33333333333333</v>
      </c>
      <c r="Z46" s="454">
        <f t="shared" si="32"/>
        <v>159.25000000000003</v>
      </c>
      <c r="AA46" s="456">
        <f t="shared" si="33"/>
        <v>896.58333333333337</v>
      </c>
      <c r="AB46" s="585">
        <f t="shared" si="34"/>
        <v>4428.7833333333328</v>
      </c>
      <c r="AC46" s="469" t="s">
        <v>194</v>
      </c>
      <c r="AD46" s="466">
        <f>D80</f>
        <v>3242</v>
      </c>
    </row>
    <row r="47" spans="2:30" ht="13.5" customHeight="1" x14ac:dyDescent="0.25">
      <c r="B47" s="467" t="s">
        <v>351</v>
      </c>
      <c r="C47" s="468">
        <v>1750</v>
      </c>
      <c r="D47" s="454"/>
      <c r="E47" s="454"/>
      <c r="F47" s="584"/>
      <c r="G47" s="454"/>
      <c r="H47" s="584"/>
      <c r="I47" s="584">
        <v>82.4</v>
      </c>
      <c r="J47" s="584">
        <v>8.5</v>
      </c>
      <c r="K47" s="584">
        <v>13</v>
      </c>
      <c r="L47" s="456">
        <f t="shared" si="18"/>
        <v>1853.9</v>
      </c>
      <c r="M47" s="457">
        <f t="shared" si="19"/>
        <v>350</v>
      </c>
      <c r="N47" s="458">
        <f t="shared" si="20"/>
        <v>26.25</v>
      </c>
      <c r="O47" s="458">
        <f t="shared" si="21"/>
        <v>101.5</v>
      </c>
      <c r="P47" s="458">
        <f t="shared" si="22"/>
        <v>140</v>
      </c>
      <c r="Q47" s="459">
        <f t="shared" si="23"/>
        <v>617.75</v>
      </c>
      <c r="R47" s="460">
        <f t="shared" si="24"/>
        <v>145.83333333333334</v>
      </c>
      <c r="S47" s="461">
        <f t="shared" si="25"/>
        <v>48.611111111111114</v>
      </c>
      <c r="T47" s="461">
        <f t="shared" si="26"/>
        <v>15.555555555555557</v>
      </c>
      <c r="U47" s="454">
        <f t="shared" si="27"/>
        <v>145.83333333333334</v>
      </c>
      <c r="V47" s="454">
        <f t="shared" si="28"/>
        <v>11.666666666666668</v>
      </c>
      <c r="W47" s="454">
        <f t="shared" si="29"/>
        <v>145.83333333333334</v>
      </c>
      <c r="X47" s="454">
        <f t="shared" si="30"/>
        <v>11.666666666666668</v>
      </c>
      <c r="Y47" s="454">
        <f t="shared" si="31"/>
        <v>89.444444444444429</v>
      </c>
      <c r="Z47" s="454">
        <f t="shared" si="32"/>
        <v>132.70833333333337</v>
      </c>
      <c r="AA47" s="456">
        <f t="shared" si="33"/>
        <v>747.15277777777783</v>
      </c>
      <c r="AB47" s="585">
        <f t="shared" si="34"/>
        <v>3218.8027777777779</v>
      </c>
      <c r="AC47" s="469" t="s">
        <v>197</v>
      </c>
      <c r="AD47" s="466">
        <f>E80</f>
        <v>10844</v>
      </c>
    </row>
    <row r="48" spans="2:30" ht="13.5" customHeight="1" x14ac:dyDescent="0.25">
      <c r="B48" s="467" t="s">
        <v>318</v>
      </c>
      <c r="C48" s="468">
        <v>2100</v>
      </c>
      <c r="D48" s="454"/>
      <c r="E48" s="454"/>
      <c r="F48" s="584">
        <v>250</v>
      </c>
      <c r="G48" s="454"/>
      <c r="H48" s="584">
        <v>600</v>
      </c>
      <c r="I48" s="584">
        <v>82.4</v>
      </c>
      <c r="J48" s="584">
        <v>8.5</v>
      </c>
      <c r="K48" s="584">
        <v>13</v>
      </c>
      <c r="L48" s="456">
        <f t="shared" si="18"/>
        <v>3053.9</v>
      </c>
      <c r="M48" s="457">
        <f t="shared" si="19"/>
        <v>470</v>
      </c>
      <c r="N48" s="458">
        <f t="shared" si="20"/>
        <v>35.25</v>
      </c>
      <c r="O48" s="458">
        <f t="shared" si="21"/>
        <v>136.29999999999998</v>
      </c>
      <c r="P48" s="458">
        <f t="shared" si="22"/>
        <v>188</v>
      </c>
      <c r="Q48" s="459">
        <f t="shared" si="23"/>
        <v>829.55</v>
      </c>
      <c r="R48" s="460">
        <f t="shared" si="24"/>
        <v>195.83333333333334</v>
      </c>
      <c r="S48" s="461">
        <f t="shared" si="25"/>
        <v>65.277777777777786</v>
      </c>
      <c r="T48" s="461">
        <f t="shared" si="26"/>
        <v>20.888888888888893</v>
      </c>
      <c r="U48" s="454">
        <f t="shared" si="27"/>
        <v>195.83333333333334</v>
      </c>
      <c r="V48" s="454">
        <f t="shared" si="28"/>
        <v>15.666666666666668</v>
      </c>
      <c r="W48" s="454">
        <f t="shared" si="29"/>
        <v>195.83333333333334</v>
      </c>
      <c r="X48" s="454">
        <f t="shared" si="30"/>
        <v>15.666666666666668</v>
      </c>
      <c r="Y48" s="454">
        <f t="shared" si="31"/>
        <v>120.1111111111111</v>
      </c>
      <c r="Z48" s="454">
        <f t="shared" si="32"/>
        <v>178.20833333333337</v>
      </c>
      <c r="AA48" s="456">
        <f t="shared" si="33"/>
        <v>1003.3194444444445</v>
      </c>
      <c r="AB48" s="585">
        <f t="shared" si="34"/>
        <v>4886.7694444444442</v>
      </c>
      <c r="AC48" s="469" t="s">
        <v>211</v>
      </c>
      <c r="AD48" s="466">
        <f>SUM(H80:K80)</f>
        <v>18811.5</v>
      </c>
    </row>
    <row r="49" spans="2:30" ht="13.5" customHeight="1" x14ac:dyDescent="0.25">
      <c r="B49" s="467" t="s">
        <v>319</v>
      </c>
      <c r="C49" s="468">
        <v>2100</v>
      </c>
      <c r="D49" s="431"/>
      <c r="E49" s="454"/>
      <c r="F49" s="584">
        <v>250</v>
      </c>
      <c r="G49" s="454"/>
      <c r="H49" s="584">
        <v>600</v>
      </c>
      <c r="I49" s="584">
        <v>82.4</v>
      </c>
      <c r="J49" s="584">
        <v>8.5</v>
      </c>
      <c r="K49" s="584">
        <v>13</v>
      </c>
      <c r="L49" s="456">
        <f t="shared" si="18"/>
        <v>3053.9</v>
      </c>
      <c r="M49" s="457">
        <f t="shared" si="19"/>
        <v>470</v>
      </c>
      <c r="N49" s="458">
        <f t="shared" si="20"/>
        <v>35.25</v>
      </c>
      <c r="O49" s="458">
        <f t="shared" si="21"/>
        <v>136.29999999999998</v>
      </c>
      <c r="P49" s="458">
        <f t="shared" si="22"/>
        <v>188</v>
      </c>
      <c r="Q49" s="459">
        <f t="shared" si="23"/>
        <v>829.55</v>
      </c>
      <c r="R49" s="460">
        <f t="shared" si="24"/>
        <v>195.83333333333334</v>
      </c>
      <c r="S49" s="461">
        <f t="shared" si="25"/>
        <v>65.277777777777786</v>
      </c>
      <c r="T49" s="461">
        <f t="shared" si="26"/>
        <v>20.888888888888893</v>
      </c>
      <c r="U49" s="454">
        <f t="shared" si="27"/>
        <v>195.83333333333334</v>
      </c>
      <c r="V49" s="454">
        <f t="shared" si="28"/>
        <v>15.666666666666668</v>
      </c>
      <c r="W49" s="454">
        <f t="shared" si="29"/>
        <v>195.83333333333334</v>
      </c>
      <c r="X49" s="454">
        <f t="shared" si="30"/>
        <v>15.666666666666668</v>
      </c>
      <c r="Y49" s="454">
        <f t="shared" si="31"/>
        <v>120.1111111111111</v>
      </c>
      <c r="Z49" s="454">
        <f t="shared" si="32"/>
        <v>178.20833333333337</v>
      </c>
      <c r="AA49" s="456">
        <f t="shared" si="33"/>
        <v>1003.3194444444445</v>
      </c>
      <c r="AB49" s="585">
        <f t="shared" si="34"/>
        <v>4886.7694444444442</v>
      </c>
      <c r="AC49" s="465" t="s">
        <v>209</v>
      </c>
      <c r="AD49" s="466">
        <f>SUM(M80:O80)</f>
        <v>20712.046000000002</v>
      </c>
    </row>
    <row r="50" spans="2:30" ht="13.5" customHeight="1" x14ac:dyDescent="0.25">
      <c r="B50" s="467" t="s">
        <v>352</v>
      </c>
      <c r="C50" s="468">
        <v>1260</v>
      </c>
      <c r="D50" s="431"/>
      <c r="E50" s="454"/>
      <c r="F50" s="584"/>
      <c r="G50" s="454"/>
      <c r="H50" s="584"/>
      <c r="I50" s="584">
        <v>82.4</v>
      </c>
      <c r="J50" s="584">
        <v>8.5</v>
      </c>
      <c r="K50" s="584">
        <v>13</v>
      </c>
      <c r="L50" s="456">
        <f t="shared" si="18"/>
        <v>1363.9</v>
      </c>
      <c r="M50" s="457">
        <f t="shared" si="19"/>
        <v>252</v>
      </c>
      <c r="N50" s="458">
        <f t="shared" si="20"/>
        <v>18.899999999999999</v>
      </c>
      <c r="O50" s="458">
        <f t="shared" si="21"/>
        <v>73.08</v>
      </c>
      <c r="P50" s="458">
        <f t="shared" si="22"/>
        <v>100.8</v>
      </c>
      <c r="Q50" s="459">
        <f t="shared" si="23"/>
        <v>444.78</v>
      </c>
      <c r="R50" s="460">
        <f t="shared" si="24"/>
        <v>105</v>
      </c>
      <c r="S50" s="461">
        <f t="shared" si="25"/>
        <v>35</v>
      </c>
      <c r="T50" s="461">
        <f t="shared" si="26"/>
        <v>11.200000000000001</v>
      </c>
      <c r="U50" s="454">
        <f t="shared" si="27"/>
        <v>105</v>
      </c>
      <c r="V50" s="454">
        <f t="shared" si="28"/>
        <v>8.4</v>
      </c>
      <c r="W50" s="454">
        <f t="shared" si="29"/>
        <v>105</v>
      </c>
      <c r="X50" s="454">
        <f t="shared" si="30"/>
        <v>8.4</v>
      </c>
      <c r="Y50" s="454">
        <f t="shared" si="31"/>
        <v>64.400000000000006</v>
      </c>
      <c r="Z50" s="454">
        <f t="shared" si="32"/>
        <v>95.550000000000011</v>
      </c>
      <c r="AA50" s="456">
        <f t="shared" si="33"/>
        <v>537.95000000000005</v>
      </c>
      <c r="AB50" s="585">
        <f t="shared" si="34"/>
        <v>2346.63</v>
      </c>
      <c r="AC50" s="465" t="s">
        <v>36</v>
      </c>
      <c r="AD50" s="466">
        <f>P80</f>
        <v>5964.96</v>
      </c>
    </row>
    <row r="51" spans="2:30" ht="13.5" customHeight="1" x14ac:dyDescent="0.25">
      <c r="B51" s="586" t="s">
        <v>321</v>
      </c>
      <c r="C51" s="468">
        <v>2100</v>
      </c>
      <c r="D51" s="454"/>
      <c r="E51" s="454"/>
      <c r="F51" s="584">
        <v>250</v>
      </c>
      <c r="G51" s="454"/>
      <c r="H51" s="584">
        <v>240</v>
      </c>
      <c r="I51" s="584">
        <v>82.4</v>
      </c>
      <c r="J51" s="584">
        <v>8.5</v>
      </c>
      <c r="K51" s="584">
        <v>13</v>
      </c>
      <c r="L51" s="456">
        <f t="shared" si="18"/>
        <v>2693.9</v>
      </c>
      <c r="M51" s="457">
        <f t="shared" si="19"/>
        <v>470</v>
      </c>
      <c r="N51" s="458">
        <f t="shared" si="20"/>
        <v>35.25</v>
      </c>
      <c r="O51" s="458">
        <f t="shared" si="21"/>
        <v>136.29999999999998</v>
      </c>
      <c r="P51" s="458">
        <f t="shared" si="22"/>
        <v>188</v>
      </c>
      <c r="Q51" s="459">
        <f t="shared" si="23"/>
        <v>829.55</v>
      </c>
      <c r="R51" s="460">
        <f t="shared" si="24"/>
        <v>195.83333333333334</v>
      </c>
      <c r="S51" s="461">
        <f t="shared" si="25"/>
        <v>65.277777777777786</v>
      </c>
      <c r="T51" s="461">
        <f t="shared" si="26"/>
        <v>20.888888888888893</v>
      </c>
      <c r="U51" s="454">
        <f t="shared" si="27"/>
        <v>195.83333333333334</v>
      </c>
      <c r="V51" s="454">
        <f t="shared" si="28"/>
        <v>15.666666666666668</v>
      </c>
      <c r="W51" s="454">
        <f t="shared" si="29"/>
        <v>195.83333333333334</v>
      </c>
      <c r="X51" s="454">
        <f t="shared" si="30"/>
        <v>15.666666666666668</v>
      </c>
      <c r="Y51" s="454">
        <f t="shared" si="31"/>
        <v>120.1111111111111</v>
      </c>
      <c r="Z51" s="454">
        <f t="shared" si="32"/>
        <v>178.20833333333337</v>
      </c>
      <c r="AA51" s="456">
        <f t="shared" si="33"/>
        <v>1003.3194444444445</v>
      </c>
      <c r="AB51" s="585">
        <f t="shared" si="34"/>
        <v>4526.7694444444442</v>
      </c>
      <c r="AC51" s="469" t="s">
        <v>212</v>
      </c>
      <c r="AD51" s="466">
        <f>SUM(R80:Z80)</f>
        <v>31833.831666666672</v>
      </c>
    </row>
    <row r="52" spans="2:30" ht="14.25" customHeight="1" x14ac:dyDescent="0.25">
      <c r="B52" s="586" t="s">
        <v>353</v>
      </c>
      <c r="C52" s="468">
        <v>630</v>
      </c>
      <c r="D52" s="454"/>
      <c r="E52" s="454"/>
      <c r="F52" s="584"/>
      <c r="G52" s="454"/>
      <c r="H52" s="584"/>
      <c r="I52" s="584">
        <v>82.4</v>
      </c>
      <c r="J52" s="584">
        <v>8.5</v>
      </c>
      <c r="K52" s="584">
        <v>0</v>
      </c>
      <c r="L52" s="456">
        <f t="shared" si="18"/>
        <v>720.9</v>
      </c>
      <c r="M52" s="457">
        <f t="shared" si="19"/>
        <v>126</v>
      </c>
      <c r="N52" s="458">
        <f t="shared" si="20"/>
        <v>9.4499999999999993</v>
      </c>
      <c r="O52" s="458">
        <f t="shared" si="21"/>
        <v>36.54</v>
      </c>
      <c r="P52" s="458">
        <f t="shared" si="22"/>
        <v>50.4</v>
      </c>
      <c r="Q52" s="459">
        <f t="shared" si="23"/>
        <v>222.39</v>
      </c>
      <c r="R52" s="460">
        <f t="shared" si="24"/>
        <v>52.5</v>
      </c>
      <c r="S52" s="461">
        <f t="shared" si="25"/>
        <v>17.5</v>
      </c>
      <c r="T52" s="461">
        <f t="shared" si="26"/>
        <v>5.6000000000000005</v>
      </c>
      <c r="U52" s="454">
        <f t="shared" si="27"/>
        <v>52.5</v>
      </c>
      <c r="V52" s="454">
        <f t="shared" si="28"/>
        <v>4.2</v>
      </c>
      <c r="W52" s="454">
        <f t="shared" si="29"/>
        <v>52.5</v>
      </c>
      <c r="X52" s="454">
        <f t="shared" si="30"/>
        <v>4.2</v>
      </c>
      <c r="Y52" s="454">
        <f t="shared" si="31"/>
        <v>32.200000000000003</v>
      </c>
      <c r="Z52" s="454">
        <f t="shared" si="32"/>
        <v>47.775000000000006</v>
      </c>
      <c r="AA52" s="456">
        <f t="shared" si="33"/>
        <v>268.97500000000002</v>
      </c>
      <c r="AB52" s="585">
        <f t="shared" si="34"/>
        <v>1212.2649999999999</v>
      </c>
      <c r="AC52" s="483" t="s">
        <v>13</v>
      </c>
      <c r="AD52" s="484">
        <f>SUM(AD43:AD51)</f>
        <v>171470.33766666666</v>
      </c>
    </row>
    <row r="53" spans="2:30" ht="13.5" customHeight="1" x14ac:dyDescent="0.25">
      <c r="B53" s="586" t="s">
        <v>323</v>
      </c>
      <c r="C53" s="468">
        <v>2100</v>
      </c>
      <c r="D53" s="454"/>
      <c r="E53" s="454"/>
      <c r="F53" s="584">
        <v>250</v>
      </c>
      <c r="G53" s="454"/>
      <c r="H53" s="584">
        <v>600</v>
      </c>
      <c r="I53" s="584">
        <v>82.4</v>
      </c>
      <c r="J53" s="584">
        <v>8.5</v>
      </c>
      <c r="K53" s="584">
        <v>13</v>
      </c>
      <c r="L53" s="456">
        <f t="shared" si="18"/>
        <v>3053.9</v>
      </c>
      <c r="M53" s="457">
        <f t="shared" si="19"/>
        <v>470</v>
      </c>
      <c r="N53" s="458">
        <f t="shared" si="20"/>
        <v>35.25</v>
      </c>
      <c r="O53" s="458">
        <f t="shared" si="21"/>
        <v>136.29999999999998</v>
      </c>
      <c r="P53" s="458">
        <f t="shared" si="22"/>
        <v>188</v>
      </c>
      <c r="Q53" s="459">
        <f t="shared" si="23"/>
        <v>829.55</v>
      </c>
      <c r="R53" s="460">
        <f t="shared" si="24"/>
        <v>195.83333333333334</v>
      </c>
      <c r="S53" s="461">
        <f t="shared" si="25"/>
        <v>65.277777777777786</v>
      </c>
      <c r="T53" s="461">
        <f t="shared" si="26"/>
        <v>20.888888888888893</v>
      </c>
      <c r="U53" s="454">
        <f t="shared" si="27"/>
        <v>195.83333333333334</v>
      </c>
      <c r="V53" s="454">
        <f t="shared" si="28"/>
        <v>15.666666666666668</v>
      </c>
      <c r="W53" s="454">
        <f t="shared" si="29"/>
        <v>195.83333333333334</v>
      </c>
      <c r="X53" s="454">
        <f t="shared" si="30"/>
        <v>15.666666666666668</v>
      </c>
      <c r="Y53" s="454">
        <f t="shared" si="31"/>
        <v>120.1111111111111</v>
      </c>
      <c r="Z53" s="454">
        <f t="shared" si="32"/>
        <v>178.20833333333337</v>
      </c>
      <c r="AA53" s="456">
        <f t="shared" si="33"/>
        <v>1003.3194444444445</v>
      </c>
      <c r="AB53" s="587">
        <f t="shared" si="34"/>
        <v>4886.7694444444442</v>
      </c>
    </row>
    <row r="54" spans="2:30" ht="13.5" customHeight="1" x14ac:dyDescent="0.25">
      <c r="B54" s="586" t="s">
        <v>325</v>
      </c>
      <c r="C54" s="468">
        <v>2100</v>
      </c>
      <c r="D54" s="454"/>
      <c r="E54" s="454"/>
      <c r="F54" s="584"/>
      <c r="G54" s="454"/>
      <c r="H54" s="584">
        <v>600</v>
      </c>
      <c r="I54" s="584">
        <v>82.4</v>
      </c>
      <c r="J54" s="584">
        <v>8.5</v>
      </c>
      <c r="K54" s="584">
        <v>13</v>
      </c>
      <c r="L54" s="456">
        <f t="shared" si="18"/>
        <v>2803.9</v>
      </c>
      <c r="M54" s="457">
        <f t="shared" si="19"/>
        <v>420</v>
      </c>
      <c r="N54" s="458">
        <f t="shared" si="20"/>
        <v>31.5</v>
      </c>
      <c r="O54" s="458">
        <f t="shared" si="21"/>
        <v>121.8</v>
      </c>
      <c r="P54" s="458">
        <f t="shared" si="22"/>
        <v>168</v>
      </c>
      <c r="Q54" s="459">
        <f t="shared" si="23"/>
        <v>741.3</v>
      </c>
      <c r="R54" s="460">
        <f t="shared" si="24"/>
        <v>175</v>
      </c>
      <c r="S54" s="461">
        <f t="shared" si="25"/>
        <v>58.333333333333336</v>
      </c>
      <c r="T54" s="461">
        <f t="shared" si="26"/>
        <v>18.666666666666668</v>
      </c>
      <c r="U54" s="454">
        <f t="shared" si="27"/>
        <v>175</v>
      </c>
      <c r="V54" s="454">
        <f t="shared" si="28"/>
        <v>14</v>
      </c>
      <c r="W54" s="454">
        <f t="shared" si="29"/>
        <v>175</v>
      </c>
      <c r="X54" s="454">
        <f t="shared" si="30"/>
        <v>14</v>
      </c>
      <c r="Y54" s="454">
        <f t="shared" si="31"/>
        <v>107.33333333333333</v>
      </c>
      <c r="Z54" s="454">
        <f t="shared" si="32"/>
        <v>159.25000000000003</v>
      </c>
      <c r="AA54" s="456">
        <f t="shared" si="33"/>
        <v>896.58333333333337</v>
      </c>
      <c r="AB54" s="587">
        <f t="shared" si="34"/>
        <v>4441.7833333333328</v>
      </c>
    </row>
    <row r="55" spans="2:30" ht="13.5" customHeight="1" x14ac:dyDescent="0.25">
      <c r="B55" s="586" t="s">
        <v>326</v>
      </c>
      <c r="C55" s="468">
        <v>2100</v>
      </c>
      <c r="D55" s="454"/>
      <c r="E55" s="454"/>
      <c r="F55" s="584">
        <v>250</v>
      </c>
      <c r="G55" s="454"/>
      <c r="H55" s="584">
        <v>600</v>
      </c>
      <c r="I55" s="584">
        <v>82.4</v>
      </c>
      <c r="J55" s="584">
        <v>8.5</v>
      </c>
      <c r="K55" s="584">
        <v>13</v>
      </c>
      <c r="L55" s="456">
        <f t="shared" si="18"/>
        <v>3053.9</v>
      </c>
      <c r="M55" s="457">
        <f t="shared" si="19"/>
        <v>470</v>
      </c>
      <c r="N55" s="458">
        <f t="shared" si="20"/>
        <v>35.25</v>
      </c>
      <c r="O55" s="458">
        <f t="shared" si="21"/>
        <v>136.29999999999998</v>
      </c>
      <c r="P55" s="458">
        <f t="shared" si="22"/>
        <v>188</v>
      </c>
      <c r="Q55" s="459">
        <f t="shared" si="23"/>
        <v>829.55</v>
      </c>
      <c r="R55" s="460">
        <f t="shared" si="24"/>
        <v>195.83333333333334</v>
      </c>
      <c r="S55" s="461">
        <f t="shared" si="25"/>
        <v>65.277777777777786</v>
      </c>
      <c r="T55" s="461">
        <f t="shared" si="26"/>
        <v>20.888888888888893</v>
      </c>
      <c r="U55" s="454">
        <f t="shared" si="27"/>
        <v>195.83333333333334</v>
      </c>
      <c r="V55" s="454">
        <f t="shared" si="28"/>
        <v>15.666666666666668</v>
      </c>
      <c r="W55" s="454">
        <f t="shared" si="29"/>
        <v>195.83333333333334</v>
      </c>
      <c r="X55" s="454">
        <f t="shared" si="30"/>
        <v>15.666666666666668</v>
      </c>
      <c r="Y55" s="454">
        <f t="shared" si="31"/>
        <v>120.1111111111111</v>
      </c>
      <c r="Z55" s="454">
        <f t="shared" si="32"/>
        <v>178.20833333333337</v>
      </c>
      <c r="AA55" s="456">
        <f t="shared" si="33"/>
        <v>1003.3194444444445</v>
      </c>
      <c r="AB55" s="587">
        <f t="shared" si="34"/>
        <v>4886.7694444444442</v>
      </c>
    </row>
    <row r="56" spans="2:30" ht="13.5" customHeight="1" x14ac:dyDescent="0.25">
      <c r="B56" s="586" t="s">
        <v>354</v>
      </c>
      <c r="C56" s="468">
        <v>840</v>
      </c>
      <c r="D56" s="454"/>
      <c r="E56" s="454"/>
      <c r="F56" s="584"/>
      <c r="G56" s="454"/>
      <c r="H56" s="584"/>
      <c r="I56" s="584">
        <v>82.4</v>
      </c>
      <c r="J56" s="584">
        <v>8.5</v>
      </c>
      <c r="K56" s="584">
        <v>13</v>
      </c>
      <c r="L56" s="456">
        <f t="shared" si="18"/>
        <v>943.9</v>
      </c>
      <c r="M56" s="457">
        <f t="shared" si="19"/>
        <v>168</v>
      </c>
      <c r="N56" s="458">
        <f t="shared" si="20"/>
        <v>12.6</v>
      </c>
      <c r="O56" s="458">
        <f t="shared" si="21"/>
        <v>48.72</v>
      </c>
      <c r="P56" s="458">
        <f t="shared" si="22"/>
        <v>67.2</v>
      </c>
      <c r="Q56" s="459">
        <f t="shared" si="23"/>
        <v>296.52</v>
      </c>
      <c r="R56" s="460">
        <f t="shared" si="24"/>
        <v>70</v>
      </c>
      <c r="S56" s="461">
        <f t="shared" si="25"/>
        <v>23.333333333333332</v>
      </c>
      <c r="T56" s="461">
        <f t="shared" si="26"/>
        <v>7.4666666666666668</v>
      </c>
      <c r="U56" s="454">
        <f t="shared" si="27"/>
        <v>70</v>
      </c>
      <c r="V56" s="454">
        <f t="shared" si="28"/>
        <v>5.6000000000000005</v>
      </c>
      <c r="W56" s="454">
        <f t="shared" si="29"/>
        <v>70</v>
      </c>
      <c r="X56" s="454">
        <f t="shared" si="30"/>
        <v>5.6000000000000005</v>
      </c>
      <c r="Y56" s="454">
        <f t="shared" si="31"/>
        <v>42.93333333333333</v>
      </c>
      <c r="Z56" s="454">
        <f t="shared" si="32"/>
        <v>63.7</v>
      </c>
      <c r="AA56" s="456">
        <f t="shared" si="33"/>
        <v>358.63333333333333</v>
      </c>
      <c r="AB56" s="587">
        <f t="shared" si="34"/>
        <v>1599.0533333333333</v>
      </c>
    </row>
    <row r="57" spans="2:30" ht="13.5" customHeight="1" x14ac:dyDescent="0.25">
      <c r="B57" s="586" t="s">
        <v>328</v>
      </c>
      <c r="C57" s="468">
        <v>2100</v>
      </c>
      <c r="D57" s="454"/>
      <c r="E57" s="454"/>
      <c r="F57" s="584">
        <v>250</v>
      </c>
      <c r="G57" s="454"/>
      <c r="H57" s="584">
        <v>600</v>
      </c>
      <c r="I57" s="584">
        <v>82.4</v>
      </c>
      <c r="J57" s="584">
        <v>8.5</v>
      </c>
      <c r="K57" s="584">
        <v>13</v>
      </c>
      <c r="L57" s="456">
        <f t="shared" si="18"/>
        <v>3053.9</v>
      </c>
      <c r="M57" s="457">
        <f t="shared" si="19"/>
        <v>470</v>
      </c>
      <c r="N57" s="458">
        <f t="shared" si="20"/>
        <v>35.25</v>
      </c>
      <c r="O57" s="458">
        <f t="shared" si="21"/>
        <v>136.29999999999998</v>
      </c>
      <c r="P57" s="458">
        <f t="shared" si="22"/>
        <v>188</v>
      </c>
      <c r="Q57" s="459">
        <f t="shared" si="23"/>
        <v>829.55</v>
      </c>
      <c r="R57" s="460">
        <f t="shared" si="24"/>
        <v>195.83333333333334</v>
      </c>
      <c r="S57" s="461">
        <f t="shared" si="25"/>
        <v>65.277777777777786</v>
      </c>
      <c r="T57" s="461">
        <f t="shared" si="26"/>
        <v>20.888888888888893</v>
      </c>
      <c r="U57" s="454">
        <f t="shared" si="27"/>
        <v>195.83333333333334</v>
      </c>
      <c r="V57" s="454">
        <f t="shared" si="28"/>
        <v>15.666666666666668</v>
      </c>
      <c r="W57" s="454">
        <f t="shared" si="29"/>
        <v>195.83333333333334</v>
      </c>
      <c r="X57" s="454">
        <f t="shared" si="30"/>
        <v>15.666666666666668</v>
      </c>
      <c r="Y57" s="454">
        <f t="shared" si="31"/>
        <v>120.1111111111111</v>
      </c>
      <c r="Z57" s="454">
        <f t="shared" si="32"/>
        <v>178.20833333333337</v>
      </c>
      <c r="AA57" s="456">
        <f t="shared" si="33"/>
        <v>1003.3194444444445</v>
      </c>
      <c r="AB57" s="587">
        <f t="shared" si="34"/>
        <v>4886.7694444444442</v>
      </c>
    </row>
    <row r="58" spans="2:30" ht="13.5" customHeight="1" x14ac:dyDescent="0.25">
      <c r="B58" s="586" t="s">
        <v>355</v>
      </c>
      <c r="C58" s="468">
        <v>1260</v>
      </c>
      <c r="D58" s="454"/>
      <c r="E58" s="454"/>
      <c r="F58" s="584"/>
      <c r="G58" s="454"/>
      <c r="H58" s="584"/>
      <c r="I58" s="584">
        <v>82.4</v>
      </c>
      <c r="J58" s="584">
        <v>8.5</v>
      </c>
      <c r="K58" s="584">
        <v>13</v>
      </c>
      <c r="L58" s="456">
        <f t="shared" si="18"/>
        <v>1363.9</v>
      </c>
      <c r="M58" s="457">
        <f t="shared" si="19"/>
        <v>252</v>
      </c>
      <c r="N58" s="458">
        <f t="shared" si="20"/>
        <v>18.899999999999999</v>
      </c>
      <c r="O58" s="458">
        <f t="shared" si="21"/>
        <v>73.08</v>
      </c>
      <c r="P58" s="458">
        <f t="shared" si="22"/>
        <v>100.8</v>
      </c>
      <c r="Q58" s="459">
        <f t="shared" si="23"/>
        <v>444.78</v>
      </c>
      <c r="R58" s="460">
        <f t="shared" si="24"/>
        <v>105</v>
      </c>
      <c r="S58" s="461">
        <f t="shared" si="25"/>
        <v>35</v>
      </c>
      <c r="T58" s="461">
        <f t="shared" si="26"/>
        <v>11.200000000000001</v>
      </c>
      <c r="U58" s="454">
        <f t="shared" si="27"/>
        <v>105</v>
      </c>
      <c r="V58" s="454">
        <f t="shared" si="28"/>
        <v>8.4</v>
      </c>
      <c r="W58" s="454">
        <f t="shared" si="29"/>
        <v>105</v>
      </c>
      <c r="X58" s="454">
        <f t="shared" si="30"/>
        <v>8.4</v>
      </c>
      <c r="Y58" s="454">
        <f t="shared" si="31"/>
        <v>64.400000000000006</v>
      </c>
      <c r="Z58" s="454">
        <f t="shared" si="32"/>
        <v>95.550000000000011</v>
      </c>
      <c r="AA58" s="456">
        <f t="shared" si="33"/>
        <v>537.95000000000005</v>
      </c>
      <c r="AB58" s="587">
        <f t="shared" si="34"/>
        <v>2346.63</v>
      </c>
    </row>
    <row r="59" spans="2:30" ht="13.5" customHeight="1" x14ac:dyDescent="0.25">
      <c r="B59" s="586" t="s">
        <v>329</v>
      </c>
      <c r="C59" s="468">
        <v>2100</v>
      </c>
      <c r="D59" s="454"/>
      <c r="E59" s="454"/>
      <c r="F59" s="584">
        <v>250</v>
      </c>
      <c r="G59" s="454"/>
      <c r="H59" s="584">
        <v>600</v>
      </c>
      <c r="I59" s="584">
        <v>82.4</v>
      </c>
      <c r="J59" s="584">
        <v>8.5</v>
      </c>
      <c r="K59" s="584">
        <v>13</v>
      </c>
      <c r="L59" s="456">
        <f t="shared" si="18"/>
        <v>3053.9</v>
      </c>
      <c r="M59" s="457">
        <f t="shared" si="19"/>
        <v>470</v>
      </c>
      <c r="N59" s="458">
        <f t="shared" si="20"/>
        <v>35.25</v>
      </c>
      <c r="O59" s="458">
        <f t="shared" si="21"/>
        <v>136.29999999999998</v>
      </c>
      <c r="P59" s="458">
        <f t="shared" si="22"/>
        <v>188</v>
      </c>
      <c r="Q59" s="459">
        <f t="shared" si="23"/>
        <v>829.55</v>
      </c>
      <c r="R59" s="460">
        <f t="shared" si="24"/>
        <v>195.83333333333334</v>
      </c>
      <c r="S59" s="461">
        <f t="shared" si="25"/>
        <v>65.277777777777786</v>
      </c>
      <c r="T59" s="461">
        <f t="shared" si="26"/>
        <v>20.888888888888893</v>
      </c>
      <c r="U59" s="454">
        <f t="shared" si="27"/>
        <v>195.83333333333334</v>
      </c>
      <c r="V59" s="454">
        <f t="shared" si="28"/>
        <v>15.666666666666668</v>
      </c>
      <c r="W59" s="454">
        <f t="shared" si="29"/>
        <v>195.83333333333334</v>
      </c>
      <c r="X59" s="454">
        <f t="shared" si="30"/>
        <v>15.666666666666668</v>
      </c>
      <c r="Y59" s="454">
        <f t="shared" si="31"/>
        <v>120.1111111111111</v>
      </c>
      <c r="Z59" s="454">
        <f t="shared" si="32"/>
        <v>178.20833333333337</v>
      </c>
      <c r="AA59" s="456">
        <f t="shared" si="33"/>
        <v>1003.3194444444445</v>
      </c>
      <c r="AB59" s="587">
        <f t="shared" si="34"/>
        <v>4886.7694444444442</v>
      </c>
    </row>
    <row r="60" spans="2:30" ht="13.5" customHeight="1" x14ac:dyDescent="0.25">
      <c r="B60" s="586" t="s">
        <v>330</v>
      </c>
      <c r="C60" s="468">
        <v>2100</v>
      </c>
      <c r="D60" s="454"/>
      <c r="E60" s="454"/>
      <c r="F60" s="584">
        <v>0</v>
      </c>
      <c r="G60" s="454"/>
      <c r="H60" s="584">
        <v>600</v>
      </c>
      <c r="I60" s="584">
        <v>82.4</v>
      </c>
      <c r="J60" s="584">
        <v>8.5</v>
      </c>
      <c r="K60" s="584">
        <v>13</v>
      </c>
      <c r="L60" s="456">
        <f t="shared" si="18"/>
        <v>2803.9</v>
      </c>
      <c r="M60" s="457">
        <f t="shared" si="19"/>
        <v>420</v>
      </c>
      <c r="N60" s="458">
        <f t="shared" si="20"/>
        <v>31.5</v>
      </c>
      <c r="O60" s="458">
        <f t="shared" si="21"/>
        <v>121.8</v>
      </c>
      <c r="P60" s="458">
        <f t="shared" si="22"/>
        <v>168</v>
      </c>
      <c r="Q60" s="459">
        <f t="shared" si="23"/>
        <v>741.3</v>
      </c>
      <c r="R60" s="460">
        <f t="shared" si="24"/>
        <v>175</v>
      </c>
      <c r="S60" s="461">
        <f t="shared" si="25"/>
        <v>58.333333333333336</v>
      </c>
      <c r="T60" s="461">
        <f t="shared" si="26"/>
        <v>18.666666666666668</v>
      </c>
      <c r="U60" s="454">
        <f t="shared" si="27"/>
        <v>175</v>
      </c>
      <c r="V60" s="454">
        <f t="shared" si="28"/>
        <v>14</v>
      </c>
      <c r="W60" s="454">
        <f t="shared" si="29"/>
        <v>175</v>
      </c>
      <c r="X60" s="454">
        <f t="shared" si="30"/>
        <v>14</v>
      </c>
      <c r="Y60" s="454">
        <f t="shared" si="31"/>
        <v>107.33333333333333</v>
      </c>
      <c r="Z60" s="454">
        <f t="shared" si="32"/>
        <v>159.25000000000003</v>
      </c>
      <c r="AA60" s="456">
        <f t="shared" si="33"/>
        <v>896.58333333333337</v>
      </c>
      <c r="AB60" s="587">
        <f t="shared" si="34"/>
        <v>4441.7833333333328</v>
      </c>
    </row>
    <row r="61" spans="2:30" ht="13.5" customHeight="1" x14ac:dyDescent="0.25">
      <c r="B61" s="586" t="s">
        <v>331</v>
      </c>
      <c r="C61" s="468">
        <v>1120</v>
      </c>
      <c r="D61" s="454"/>
      <c r="E61" s="454"/>
      <c r="F61" s="588"/>
      <c r="G61" s="454"/>
      <c r="H61" s="584">
        <v>0</v>
      </c>
      <c r="I61" s="584">
        <v>82.4</v>
      </c>
      <c r="J61" s="584">
        <v>8.5</v>
      </c>
      <c r="K61" s="584">
        <v>13</v>
      </c>
      <c r="L61" s="456">
        <f t="shared" si="18"/>
        <v>1223.9000000000001</v>
      </c>
      <c r="M61" s="457">
        <f t="shared" si="19"/>
        <v>224</v>
      </c>
      <c r="N61" s="458">
        <f t="shared" si="20"/>
        <v>16.8</v>
      </c>
      <c r="O61" s="458">
        <f t="shared" si="21"/>
        <v>64.959999999999994</v>
      </c>
      <c r="P61" s="458">
        <f t="shared" si="22"/>
        <v>89.600000000000009</v>
      </c>
      <c r="Q61" s="459">
        <f t="shared" si="23"/>
        <v>395.36</v>
      </c>
      <c r="R61" s="460">
        <f t="shared" si="24"/>
        <v>93.333333333333329</v>
      </c>
      <c r="S61" s="461">
        <f t="shared" si="25"/>
        <v>31.111111111111111</v>
      </c>
      <c r="T61" s="461">
        <f t="shared" si="26"/>
        <v>9.9555555555555557</v>
      </c>
      <c r="U61" s="454">
        <f t="shared" si="27"/>
        <v>93.333333333333329</v>
      </c>
      <c r="V61" s="454">
        <f t="shared" si="28"/>
        <v>7.4666666666666668</v>
      </c>
      <c r="W61" s="454">
        <f t="shared" si="29"/>
        <v>93.333333333333329</v>
      </c>
      <c r="X61" s="454">
        <f t="shared" si="30"/>
        <v>7.4666666666666668</v>
      </c>
      <c r="Y61" s="454">
        <f t="shared" si="31"/>
        <v>57.244444444444454</v>
      </c>
      <c r="Z61" s="454">
        <f t="shared" si="32"/>
        <v>84.933333333333337</v>
      </c>
      <c r="AA61" s="456">
        <f t="shared" si="33"/>
        <v>478.17777777777781</v>
      </c>
      <c r="AB61" s="587">
        <f t="shared" si="34"/>
        <v>2097.4377777777781</v>
      </c>
    </row>
    <row r="62" spans="2:30" ht="13.5" customHeight="1" x14ac:dyDescent="0.25">
      <c r="B62" s="586" t="s">
        <v>332</v>
      </c>
      <c r="C62" s="468">
        <v>2100</v>
      </c>
      <c r="D62" s="454"/>
      <c r="E62" s="454"/>
      <c r="F62" s="584">
        <v>250</v>
      </c>
      <c r="G62" s="454"/>
      <c r="H62" s="584">
        <v>600</v>
      </c>
      <c r="I62" s="584">
        <v>82.4</v>
      </c>
      <c r="J62" s="584">
        <v>8.5</v>
      </c>
      <c r="K62" s="584">
        <v>13</v>
      </c>
      <c r="L62" s="456">
        <f t="shared" si="18"/>
        <v>3053.9</v>
      </c>
      <c r="M62" s="457">
        <f t="shared" si="19"/>
        <v>470</v>
      </c>
      <c r="N62" s="458">
        <f t="shared" si="20"/>
        <v>35.25</v>
      </c>
      <c r="O62" s="458">
        <f t="shared" si="21"/>
        <v>136.29999999999998</v>
      </c>
      <c r="P62" s="458">
        <f t="shared" si="22"/>
        <v>188</v>
      </c>
      <c r="Q62" s="459">
        <f t="shared" si="23"/>
        <v>829.55</v>
      </c>
      <c r="R62" s="460">
        <f t="shared" si="24"/>
        <v>195.83333333333334</v>
      </c>
      <c r="S62" s="461">
        <f t="shared" si="25"/>
        <v>65.277777777777786</v>
      </c>
      <c r="T62" s="461">
        <f t="shared" si="26"/>
        <v>20.888888888888893</v>
      </c>
      <c r="U62" s="454">
        <f t="shared" si="27"/>
        <v>195.83333333333334</v>
      </c>
      <c r="V62" s="454">
        <f t="shared" si="28"/>
        <v>15.666666666666668</v>
      </c>
      <c r="W62" s="454">
        <f t="shared" si="29"/>
        <v>195.83333333333334</v>
      </c>
      <c r="X62" s="454">
        <f t="shared" si="30"/>
        <v>15.666666666666668</v>
      </c>
      <c r="Y62" s="454">
        <f t="shared" si="31"/>
        <v>120.1111111111111</v>
      </c>
      <c r="Z62" s="454">
        <f t="shared" si="32"/>
        <v>178.20833333333337</v>
      </c>
      <c r="AA62" s="456">
        <f t="shared" si="33"/>
        <v>1003.3194444444445</v>
      </c>
      <c r="AB62" s="587">
        <f t="shared" si="34"/>
        <v>4886.7694444444442</v>
      </c>
    </row>
    <row r="63" spans="2:30" ht="13.5" customHeight="1" x14ac:dyDescent="0.25">
      <c r="B63" s="586" t="s">
        <v>356</v>
      </c>
      <c r="C63" s="468">
        <v>630</v>
      </c>
      <c r="D63" s="454"/>
      <c r="E63" s="454"/>
      <c r="F63" s="584"/>
      <c r="G63" s="454"/>
      <c r="H63" s="584"/>
      <c r="I63" s="584">
        <v>82.4</v>
      </c>
      <c r="J63" s="584">
        <v>8.5</v>
      </c>
      <c r="K63" s="584"/>
      <c r="L63" s="456">
        <f t="shared" si="18"/>
        <v>720.9</v>
      </c>
      <c r="M63" s="457">
        <f t="shared" si="19"/>
        <v>126</v>
      </c>
      <c r="N63" s="458">
        <f t="shared" si="20"/>
        <v>9.4499999999999993</v>
      </c>
      <c r="O63" s="458">
        <f t="shared" si="21"/>
        <v>36.54</v>
      </c>
      <c r="P63" s="458">
        <f t="shared" si="22"/>
        <v>50.4</v>
      </c>
      <c r="Q63" s="459">
        <f t="shared" si="23"/>
        <v>222.39</v>
      </c>
      <c r="R63" s="460">
        <f t="shared" si="24"/>
        <v>52.5</v>
      </c>
      <c r="S63" s="461">
        <f t="shared" si="25"/>
        <v>17.5</v>
      </c>
      <c r="T63" s="461">
        <f t="shared" si="26"/>
        <v>5.6000000000000005</v>
      </c>
      <c r="U63" s="454">
        <f t="shared" si="27"/>
        <v>52.5</v>
      </c>
      <c r="V63" s="454">
        <f t="shared" si="28"/>
        <v>4.2</v>
      </c>
      <c r="W63" s="454">
        <f t="shared" si="29"/>
        <v>52.5</v>
      </c>
      <c r="X63" s="454">
        <f t="shared" si="30"/>
        <v>4.2</v>
      </c>
      <c r="Y63" s="454">
        <f t="shared" si="31"/>
        <v>32.200000000000003</v>
      </c>
      <c r="Z63" s="454">
        <f t="shared" si="32"/>
        <v>47.775000000000006</v>
      </c>
      <c r="AA63" s="456">
        <f t="shared" si="33"/>
        <v>268.97500000000002</v>
      </c>
      <c r="AB63" s="587">
        <f t="shared" si="34"/>
        <v>1212.2649999999999</v>
      </c>
    </row>
    <row r="64" spans="2:30" ht="13.5" customHeight="1" x14ac:dyDescent="0.25">
      <c r="B64" s="586" t="s">
        <v>333</v>
      </c>
      <c r="C64" s="468">
        <v>2100</v>
      </c>
      <c r="D64" s="454"/>
      <c r="E64" s="454"/>
      <c r="F64" s="584">
        <v>250</v>
      </c>
      <c r="G64" s="454"/>
      <c r="H64" s="584">
        <v>600</v>
      </c>
      <c r="I64" s="584">
        <v>82.4</v>
      </c>
      <c r="J64" s="584">
        <v>8.5</v>
      </c>
      <c r="K64" s="584">
        <v>13</v>
      </c>
      <c r="L64" s="456">
        <f t="shared" si="18"/>
        <v>3053.9</v>
      </c>
      <c r="M64" s="457">
        <f t="shared" si="19"/>
        <v>470</v>
      </c>
      <c r="N64" s="458">
        <f t="shared" si="20"/>
        <v>35.25</v>
      </c>
      <c r="O64" s="458">
        <f t="shared" si="21"/>
        <v>136.29999999999998</v>
      </c>
      <c r="P64" s="458">
        <f t="shared" si="22"/>
        <v>188</v>
      </c>
      <c r="Q64" s="459">
        <f t="shared" si="23"/>
        <v>829.55</v>
      </c>
      <c r="R64" s="460">
        <f t="shared" si="24"/>
        <v>195.83333333333334</v>
      </c>
      <c r="S64" s="461">
        <f t="shared" si="25"/>
        <v>65.277777777777786</v>
      </c>
      <c r="T64" s="461">
        <f t="shared" si="26"/>
        <v>20.888888888888893</v>
      </c>
      <c r="U64" s="454">
        <f t="shared" si="27"/>
        <v>195.83333333333334</v>
      </c>
      <c r="V64" s="454">
        <f t="shared" si="28"/>
        <v>15.666666666666668</v>
      </c>
      <c r="W64" s="454">
        <f t="shared" si="29"/>
        <v>195.83333333333334</v>
      </c>
      <c r="X64" s="454">
        <f t="shared" si="30"/>
        <v>15.666666666666668</v>
      </c>
      <c r="Y64" s="454">
        <f t="shared" si="31"/>
        <v>120.1111111111111</v>
      </c>
      <c r="Z64" s="454">
        <f t="shared" si="32"/>
        <v>178.20833333333337</v>
      </c>
      <c r="AA64" s="456">
        <f t="shared" si="33"/>
        <v>1003.3194444444445</v>
      </c>
      <c r="AB64" s="587">
        <f t="shared" si="34"/>
        <v>4886.7694444444442</v>
      </c>
    </row>
    <row r="65" spans="2:28" ht="13.5" customHeight="1" x14ac:dyDescent="0.25">
      <c r="B65" s="586" t="s">
        <v>334</v>
      </c>
      <c r="C65" s="468">
        <v>4200</v>
      </c>
      <c r="D65" s="454"/>
      <c r="E65" s="454"/>
      <c r="F65" s="584">
        <v>250</v>
      </c>
      <c r="G65" s="454"/>
      <c r="H65" s="584">
        <v>600</v>
      </c>
      <c r="I65" s="584">
        <v>82.4</v>
      </c>
      <c r="J65" s="584">
        <v>8.5</v>
      </c>
      <c r="K65" s="584">
        <v>13</v>
      </c>
      <c r="L65" s="456">
        <f t="shared" si="18"/>
        <v>5153.8999999999996</v>
      </c>
      <c r="M65" s="457">
        <f t="shared" si="19"/>
        <v>890</v>
      </c>
      <c r="N65" s="458">
        <f t="shared" si="20"/>
        <v>66.75</v>
      </c>
      <c r="O65" s="458">
        <f t="shared" si="21"/>
        <v>258.09999999999997</v>
      </c>
      <c r="P65" s="458">
        <f t="shared" si="22"/>
        <v>356</v>
      </c>
      <c r="Q65" s="459">
        <f t="shared" si="23"/>
        <v>1570.85</v>
      </c>
      <c r="R65" s="460">
        <f t="shared" si="24"/>
        <v>370.83333333333331</v>
      </c>
      <c r="S65" s="461">
        <f t="shared" si="25"/>
        <v>123.6111111111111</v>
      </c>
      <c r="T65" s="461">
        <f t="shared" si="26"/>
        <v>39.55555555555555</v>
      </c>
      <c r="U65" s="454">
        <f t="shared" si="27"/>
        <v>370.83333333333331</v>
      </c>
      <c r="V65" s="454">
        <f t="shared" si="28"/>
        <v>29.666666666666664</v>
      </c>
      <c r="W65" s="454">
        <f t="shared" si="29"/>
        <v>370.83333333333331</v>
      </c>
      <c r="X65" s="454">
        <f t="shared" si="30"/>
        <v>29.666666666666664</v>
      </c>
      <c r="Y65" s="454">
        <f t="shared" si="31"/>
        <v>227.44444444444446</v>
      </c>
      <c r="Z65" s="454">
        <f t="shared" si="32"/>
        <v>337.45833333333337</v>
      </c>
      <c r="AA65" s="456">
        <f t="shared" si="33"/>
        <v>1899.9027777777778</v>
      </c>
      <c r="AB65" s="587">
        <f t="shared" si="34"/>
        <v>8624.6527777777774</v>
      </c>
    </row>
    <row r="66" spans="2:28" ht="13.5" customHeight="1" x14ac:dyDescent="0.25">
      <c r="B66" s="586" t="s">
        <v>336</v>
      </c>
      <c r="C66" s="468">
        <v>2100</v>
      </c>
      <c r="D66" s="454"/>
      <c r="E66" s="454"/>
      <c r="F66" s="584">
        <v>0</v>
      </c>
      <c r="G66" s="454"/>
      <c r="H66" s="584">
        <v>600</v>
      </c>
      <c r="I66" s="584">
        <v>82.4</v>
      </c>
      <c r="J66" s="584">
        <v>8.5</v>
      </c>
      <c r="K66" s="584">
        <v>13</v>
      </c>
      <c r="L66" s="456">
        <f t="shared" si="18"/>
        <v>2803.9</v>
      </c>
      <c r="M66" s="457">
        <f t="shared" si="19"/>
        <v>420</v>
      </c>
      <c r="N66" s="458">
        <f t="shared" si="20"/>
        <v>31.5</v>
      </c>
      <c r="O66" s="458">
        <f t="shared" si="21"/>
        <v>121.8</v>
      </c>
      <c r="P66" s="458">
        <f t="shared" si="22"/>
        <v>168</v>
      </c>
      <c r="Q66" s="459">
        <f t="shared" si="23"/>
        <v>741.3</v>
      </c>
      <c r="R66" s="460">
        <f t="shared" si="24"/>
        <v>175</v>
      </c>
      <c r="S66" s="461">
        <f t="shared" si="25"/>
        <v>58.333333333333336</v>
      </c>
      <c r="T66" s="461">
        <f t="shared" si="26"/>
        <v>18.666666666666668</v>
      </c>
      <c r="U66" s="454">
        <f t="shared" si="27"/>
        <v>175</v>
      </c>
      <c r="V66" s="454">
        <f t="shared" si="28"/>
        <v>14</v>
      </c>
      <c r="W66" s="454">
        <f t="shared" si="29"/>
        <v>175</v>
      </c>
      <c r="X66" s="454">
        <f t="shared" si="30"/>
        <v>14</v>
      </c>
      <c r="Y66" s="454">
        <f t="shared" si="31"/>
        <v>107.33333333333333</v>
      </c>
      <c r="Z66" s="454">
        <f t="shared" si="32"/>
        <v>159.25000000000003</v>
      </c>
      <c r="AA66" s="456">
        <f t="shared" si="33"/>
        <v>896.58333333333337</v>
      </c>
      <c r="AB66" s="587">
        <f t="shared" si="34"/>
        <v>4441.7833333333328</v>
      </c>
    </row>
    <row r="67" spans="2:28" ht="13.5" customHeight="1" x14ac:dyDescent="0.25">
      <c r="B67" s="586" t="s">
        <v>337</v>
      </c>
      <c r="C67" s="468">
        <v>2100</v>
      </c>
      <c r="D67" s="454"/>
      <c r="E67" s="454"/>
      <c r="F67" s="584"/>
      <c r="G67" s="454"/>
      <c r="H67" s="584">
        <v>600</v>
      </c>
      <c r="I67" s="584">
        <v>82.4</v>
      </c>
      <c r="J67" s="584">
        <v>8.5</v>
      </c>
      <c r="K67" s="584">
        <v>0</v>
      </c>
      <c r="L67" s="456">
        <f t="shared" si="18"/>
        <v>2790.9</v>
      </c>
      <c r="M67" s="457">
        <f t="shared" si="19"/>
        <v>420</v>
      </c>
      <c r="N67" s="458">
        <f t="shared" si="20"/>
        <v>31.5</v>
      </c>
      <c r="O67" s="458">
        <f t="shared" si="21"/>
        <v>121.8</v>
      </c>
      <c r="P67" s="458">
        <f t="shared" si="22"/>
        <v>168</v>
      </c>
      <c r="Q67" s="459">
        <f t="shared" si="23"/>
        <v>741.3</v>
      </c>
      <c r="R67" s="460">
        <f t="shared" si="24"/>
        <v>175</v>
      </c>
      <c r="S67" s="461">
        <f t="shared" si="25"/>
        <v>58.333333333333336</v>
      </c>
      <c r="T67" s="461">
        <f t="shared" si="26"/>
        <v>18.666666666666668</v>
      </c>
      <c r="U67" s="454">
        <f t="shared" si="27"/>
        <v>175</v>
      </c>
      <c r="V67" s="454">
        <f t="shared" si="28"/>
        <v>14</v>
      </c>
      <c r="W67" s="454">
        <f t="shared" si="29"/>
        <v>175</v>
      </c>
      <c r="X67" s="454">
        <f t="shared" si="30"/>
        <v>14</v>
      </c>
      <c r="Y67" s="454">
        <f t="shared" si="31"/>
        <v>107.33333333333333</v>
      </c>
      <c r="Z67" s="454">
        <f t="shared" si="32"/>
        <v>159.25000000000003</v>
      </c>
      <c r="AA67" s="456">
        <f t="shared" si="33"/>
        <v>896.58333333333337</v>
      </c>
      <c r="AB67" s="587">
        <f t="shared" si="34"/>
        <v>4428.7833333333328</v>
      </c>
    </row>
    <row r="68" spans="2:28" ht="13.5" customHeight="1" x14ac:dyDescent="0.25">
      <c r="B68" s="586" t="s">
        <v>338</v>
      </c>
      <c r="C68" s="468">
        <v>2100</v>
      </c>
      <c r="D68" s="454"/>
      <c r="E68" s="454"/>
      <c r="F68" s="584">
        <v>250</v>
      </c>
      <c r="G68" s="454"/>
      <c r="H68" s="584">
        <v>600</v>
      </c>
      <c r="I68" s="584">
        <v>82.4</v>
      </c>
      <c r="J68" s="584">
        <v>8.5</v>
      </c>
      <c r="K68" s="584">
        <v>13</v>
      </c>
      <c r="L68" s="456">
        <f t="shared" si="18"/>
        <v>3053.9</v>
      </c>
      <c r="M68" s="457">
        <f t="shared" si="19"/>
        <v>470</v>
      </c>
      <c r="N68" s="458">
        <f t="shared" si="20"/>
        <v>35.25</v>
      </c>
      <c r="O68" s="458">
        <f t="shared" si="21"/>
        <v>136.29999999999998</v>
      </c>
      <c r="P68" s="458">
        <f t="shared" si="22"/>
        <v>188</v>
      </c>
      <c r="Q68" s="459">
        <f t="shared" si="23"/>
        <v>829.55</v>
      </c>
      <c r="R68" s="460">
        <f t="shared" si="24"/>
        <v>195.83333333333334</v>
      </c>
      <c r="S68" s="461">
        <f t="shared" si="25"/>
        <v>65.277777777777786</v>
      </c>
      <c r="T68" s="461">
        <f t="shared" si="26"/>
        <v>20.888888888888893</v>
      </c>
      <c r="U68" s="454">
        <f t="shared" si="27"/>
        <v>195.83333333333334</v>
      </c>
      <c r="V68" s="454">
        <f t="shared" si="28"/>
        <v>15.666666666666668</v>
      </c>
      <c r="W68" s="454">
        <f t="shared" si="29"/>
        <v>195.83333333333334</v>
      </c>
      <c r="X68" s="454">
        <f t="shared" si="30"/>
        <v>15.666666666666668</v>
      </c>
      <c r="Y68" s="454">
        <f t="shared" si="31"/>
        <v>120.1111111111111</v>
      </c>
      <c r="Z68" s="454">
        <f t="shared" si="32"/>
        <v>178.20833333333337</v>
      </c>
      <c r="AA68" s="456">
        <f t="shared" si="33"/>
        <v>1003.3194444444445</v>
      </c>
      <c r="AB68" s="587">
        <f t="shared" si="34"/>
        <v>4886.7694444444442</v>
      </c>
    </row>
    <row r="69" spans="2:28" ht="13.5" customHeight="1" x14ac:dyDescent="0.25">
      <c r="B69" s="586" t="s">
        <v>357</v>
      </c>
      <c r="C69" s="468">
        <v>2100</v>
      </c>
      <c r="D69" s="454"/>
      <c r="E69" s="454"/>
      <c r="F69" s="584"/>
      <c r="G69" s="454"/>
      <c r="H69" s="584">
        <v>0</v>
      </c>
      <c r="I69" s="584">
        <v>82.4</v>
      </c>
      <c r="J69" s="584">
        <v>8.5</v>
      </c>
      <c r="K69" s="584">
        <v>0</v>
      </c>
      <c r="L69" s="456">
        <f t="shared" si="18"/>
        <v>2190.9</v>
      </c>
      <c r="M69" s="457">
        <f t="shared" si="19"/>
        <v>420</v>
      </c>
      <c r="N69" s="458">
        <f t="shared" si="20"/>
        <v>31.5</v>
      </c>
      <c r="O69" s="458">
        <f t="shared" si="21"/>
        <v>121.8</v>
      </c>
      <c r="P69" s="458">
        <f t="shared" si="22"/>
        <v>168</v>
      </c>
      <c r="Q69" s="459">
        <f t="shared" si="23"/>
        <v>741.3</v>
      </c>
      <c r="R69" s="460">
        <f t="shared" si="24"/>
        <v>175</v>
      </c>
      <c r="S69" s="461">
        <f t="shared" si="25"/>
        <v>58.333333333333336</v>
      </c>
      <c r="T69" s="461">
        <f t="shared" si="26"/>
        <v>18.666666666666668</v>
      </c>
      <c r="U69" s="454">
        <f t="shared" si="27"/>
        <v>175</v>
      </c>
      <c r="V69" s="454">
        <f t="shared" si="28"/>
        <v>14</v>
      </c>
      <c r="W69" s="454">
        <f t="shared" si="29"/>
        <v>175</v>
      </c>
      <c r="X69" s="454">
        <f t="shared" si="30"/>
        <v>14</v>
      </c>
      <c r="Y69" s="454">
        <f t="shared" si="31"/>
        <v>107.33333333333333</v>
      </c>
      <c r="Z69" s="454">
        <f t="shared" si="32"/>
        <v>159.25000000000003</v>
      </c>
      <c r="AA69" s="456">
        <f t="shared" si="33"/>
        <v>896.58333333333337</v>
      </c>
      <c r="AB69" s="587">
        <f t="shared" si="34"/>
        <v>3828.7833333333333</v>
      </c>
    </row>
    <row r="70" spans="2:28" ht="13.5" customHeight="1" x14ac:dyDescent="0.25">
      <c r="B70" s="586" t="s">
        <v>340</v>
      </c>
      <c r="C70" s="468">
        <v>2100</v>
      </c>
      <c r="D70" s="454"/>
      <c r="E70" s="454"/>
      <c r="F70" s="584">
        <v>0</v>
      </c>
      <c r="G70" s="454"/>
      <c r="H70" s="584">
        <v>600</v>
      </c>
      <c r="I70" s="584">
        <v>82.4</v>
      </c>
      <c r="J70" s="584">
        <v>8.5</v>
      </c>
      <c r="K70" s="584">
        <v>13</v>
      </c>
      <c r="L70" s="456">
        <f t="shared" si="18"/>
        <v>2803.9</v>
      </c>
      <c r="M70" s="457">
        <f t="shared" si="19"/>
        <v>420</v>
      </c>
      <c r="N70" s="458">
        <f t="shared" si="20"/>
        <v>31.5</v>
      </c>
      <c r="O70" s="458">
        <f t="shared" si="21"/>
        <v>121.8</v>
      </c>
      <c r="P70" s="458">
        <f t="shared" si="22"/>
        <v>168</v>
      </c>
      <c r="Q70" s="459">
        <f t="shared" si="23"/>
        <v>741.3</v>
      </c>
      <c r="R70" s="460">
        <f t="shared" si="24"/>
        <v>175</v>
      </c>
      <c r="S70" s="461">
        <f t="shared" si="25"/>
        <v>58.333333333333336</v>
      </c>
      <c r="T70" s="461">
        <f t="shared" si="26"/>
        <v>18.666666666666668</v>
      </c>
      <c r="U70" s="454">
        <f t="shared" si="27"/>
        <v>175</v>
      </c>
      <c r="V70" s="454">
        <f t="shared" si="28"/>
        <v>14</v>
      </c>
      <c r="W70" s="454">
        <f t="shared" si="29"/>
        <v>175</v>
      </c>
      <c r="X70" s="454">
        <f t="shared" si="30"/>
        <v>14</v>
      </c>
      <c r="Y70" s="454">
        <f t="shared" si="31"/>
        <v>107.33333333333333</v>
      </c>
      <c r="Z70" s="454">
        <f t="shared" si="32"/>
        <v>159.25000000000003</v>
      </c>
      <c r="AA70" s="456">
        <f t="shared" si="33"/>
        <v>896.58333333333337</v>
      </c>
      <c r="AB70" s="587">
        <f t="shared" si="34"/>
        <v>4441.7833333333328</v>
      </c>
    </row>
    <row r="71" spans="2:28" ht="13.5" customHeight="1" x14ac:dyDescent="0.25">
      <c r="B71" s="586" t="s">
        <v>341</v>
      </c>
      <c r="C71" s="468">
        <v>2100</v>
      </c>
      <c r="D71" s="454"/>
      <c r="E71" s="454"/>
      <c r="F71" s="584">
        <v>250</v>
      </c>
      <c r="G71" s="454"/>
      <c r="H71" s="584">
        <v>600</v>
      </c>
      <c r="I71" s="584">
        <v>82.4</v>
      </c>
      <c r="J71" s="584">
        <v>8.5</v>
      </c>
      <c r="K71" s="584">
        <v>13</v>
      </c>
      <c r="L71" s="456">
        <f t="shared" si="18"/>
        <v>3053.9</v>
      </c>
      <c r="M71" s="457">
        <f t="shared" si="19"/>
        <v>470</v>
      </c>
      <c r="N71" s="458">
        <f t="shared" si="20"/>
        <v>35.25</v>
      </c>
      <c r="O71" s="458">
        <f t="shared" si="21"/>
        <v>136.29999999999998</v>
      </c>
      <c r="P71" s="458">
        <f t="shared" si="22"/>
        <v>188</v>
      </c>
      <c r="Q71" s="459">
        <f t="shared" si="23"/>
        <v>829.55</v>
      </c>
      <c r="R71" s="460">
        <f t="shared" si="24"/>
        <v>195.83333333333334</v>
      </c>
      <c r="S71" s="461">
        <f t="shared" si="25"/>
        <v>65.277777777777786</v>
      </c>
      <c r="T71" s="461">
        <f t="shared" si="26"/>
        <v>20.888888888888893</v>
      </c>
      <c r="U71" s="454">
        <f t="shared" si="27"/>
        <v>195.83333333333334</v>
      </c>
      <c r="V71" s="454">
        <f t="shared" si="28"/>
        <v>15.666666666666668</v>
      </c>
      <c r="W71" s="454">
        <f t="shared" si="29"/>
        <v>195.83333333333334</v>
      </c>
      <c r="X71" s="454">
        <f t="shared" si="30"/>
        <v>15.666666666666668</v>
      </c>
      <c r="Y71" s="454">
        <f t="shared" si="31"/>
        <v>120.1111111111111</v>
      </c>
      <c r="Z71" s="454">
        <f t="shared" si="32"/>
        <v>178.20833333333337</v>
      </c>
      <c r="AA71" s="456">
        <f t="shared" si="33"/>
        <v>1003.3194444444445</v>
      </c>
      <c r="AB71" s="587">
        <f t="shared" si="34"/>
        <v>4886.7694444444442</v>
      </c>
    </row>
    <row r="72" spans="2:28" ht="13.5" customHeight="1" x14ac:dyDescent="0.25">
      <c r="B72" s="586" t="s">
        <v>342</v>
      </c>
      <c r="C72" s="468">
        <v>2100</v>
      </c>
      <c r="D72" s="454"/>
      <c r="E72" s="454"/>
      <c r="F72" s="584">
        <v>250</v>
      </c>
      <c r="G72" s="454"/>
      <c r="H72" s="584">
        <v>600</v>
      </c>
      <c r="I72" s="584">
        <v>82.4</v>
      </c>
      <c r="J72" s="584">
        <v>8.5</v>
      </c>
      <c r="K72" s="584">
        <v>13</v>
      </c>
      <c r="L72" s="456">
        <f t="shared" si="18"/>
        <v>3053.9</v>
      </c>
      <c r="M72" s="457">
        <f t="shared" si="19"/>
        <v>470</v>
      </c>
      <c r="N72" s="458">
        <f t="shared" si="20"/>
        <v>35.25</v>
      </c>
      <c r="O72" s="458">
        <f t="shared" si="21"/>
        <v>136.29999999999998</v>
      </c>
      <c r="P72" s="458">
        <f t="shared" si="22"/>
        <v>188</v>
      </c>
      <c r="Q72" s="459">
        <f t="shared" si="23"/>
        <v>829.55</v>
      </c>
      <c r="R72" s="460">
        <f t="shared" si="24"/>
        <v>195.83333333333334</v>
      </c>
      <c r="S72" s="461">
        <f t="shared" si="25"/>
        <v>65.277777777777786</v>
      </c>
      <c r="T72" s="461">
        <f t="shared" si="26"/>
        <v>20.888888888888893</v>
      </c>
      <c r="U72" s="454">
        <f t="shared" si="27"/>
        <v>195.83333333333334</v>
      </c>
      <c r="V72" s="454">
        <f t="shared" si="28"/>
        <v>15.666666666666668</v>
      </c>
      <c r="W72" s="454">
        <f t="shared" si="29"/>
        <v>195.83333333333334</v>
      </c>
      <c r="X72" s="454">
        <f t="shared" si="30"/>
        <v>15.666666666666668</v>
      </c>
      <c r="Y72" s="454">
        <f t="shared" si="31"/>
        <v>120.1111111111111</v>
      </c>
      <c r="Z72" s="454">
        <f t="shared" si="32"/>
        <v>178.20833333333337</v>
      </c>
      <c r="AA72" s="456">
        <f t="shared" si="33"/>
        <v>1003.3194444444445</v>
      </c>
      <c r="AB72" s="587">
        <f t="shared" si="34"/>
        <v>4886.7694444444442</v>
      </c>
    </row>
    <row r="73" spans="2:28" ht="13.5" customHeight="1" x14ac:dyDescent="0.25">
      <c r="B73" s="586" t="s">
        <v>343</v>
      </c>
      <c r="C73" s="468">
        <v>2100</v>
      </c>
      <c r="D73" s="454"/>
      <c r="E73" s="454"/>
      <c r="F73" s="584">
        <v>250</v>
      </c>
      <c r="G73" s="454"/>
      <c r="H73" s="584">
        <v>600</v>
      </c>
      <c r="I73" s="584">
        <v>82.4</v>
      </c>
      <c r="J73" s="584">
        <v>8.5</v>
      </c>
      <c r="K73" s="584">
        <v>13</v>
      </c>
      <c r="L73" s="456">
        <f t="shared" si="18"/>
        <v>3053.9</v>
      </c>
      <c r="M73" s="457">
        <f t="shared" si="19"/>
        <v>470</v>
      </c>
      <c r="N73" s="458">
        <f t="shared" si="20"/>
        <v>35.25</v>
      </c>
      <c r="O73" s="458">
        <f t="shared" si="21"/>
        <v>136.29999999999998</v>
      </c>
      <c r="P73" s="458">
        <f t="shared" si="22"/>
        <v>188</v>
      </c>
      <c r="Q73" s="459">
        <f t="shared" si="23"/>
        <v>829.55</v>
      </c>
      <c r="R73" s="460">
        <f t="shared" si="24"/>
        <v>195.83333333333334</v>
      </c>
      <c r="S73" s="461">
        <f t="shared" si="25"/>
        <v>65.277777777777786</v>
      </c>
      <c r="T73" s="461">
        <f t="shared" si="26"/>
        <v>20.888888888888893</v>
      </c>
      <c r="U73" s="454">
        <f t="shared" si="27"/>
        <v>195.83333333333334</v>
      </c>
      <c r="V73" s="454">
        <f t="shared" si="28"/>
        <v>15.666666666666668</v>
      </c>
      <c r="W73" s="454">
        <f t="shared" si="29"/>
        <v>195.83333333333334</v>
      </c>
      <c r="X73" s="454">
        <f t="shared" si="30"/>
        <v>15.666666666666668</v>
      </c>
      <c r="Y73" s="454">
        <f t="shared" si="31"/>
        <v>120.1111111111111</v>
      </c>
      <c r="Z73" s="454">
        <f t="shared" si="32"/>
        <v>178.20833333333337</v>
      </c>
      <c r="AA73" s="456">
        <f t="shared" si="33"/>
        <v>1003.3194444444445</v>
      </c>
      <c r="AB73" s="587">
        <f t="shared" si="34"/>
        <v>4886.7694444444442</v>
      </c>
    </row>
    <row r="74" spans="2:28" ht="13.5" customHeight="1" x14ac:dyDescent="0.25">
      <c r="B74" s="586" t="s">
        <v>344</v>
      </c>
      <c r="C74" s="468">
        <v>3000</v>
      </c>
      <c r="D74" s="454"/>
      <c r="E74" s="454"/>
      <c r="F74" s="584"/>
      <c r="G74" s="454"/>
      <c r="H74" s="584">
        <v>600</v>
      </c>
      <c r="I74" s="584">
        <v>82.4</v>
      </c>
      <c r="J74" s="584">
        <v>8.5</v>
      </c>
      <c r="K74" s="584">
        <v>13</v>
      </c>
      <c r="L74" s="456">
        <f t="shared" si="18"/>
        <v>3703.9</v>
      </c>
      <c r="M74" s="457">
        <f t="shared" si="19"/>
        <v>600</v>
      </c>
      <c r="N74" s="458">
        <f t="shared" si="20"/>
        <v>45</v>
      </c>
      <c r="O74" s="458">
        <f t="shared" si="21"/>
        <v>174</v>
      </c>
      <c r="P74" s="458">
        <f t="shared" si="22"/>
        <v>240</v>
      </c>
      <c r="Q74" s="459">
        <f t="shared" si="23"/>
        <v>1059</v>
      </c>
      <c r="R74" s="460">
        <f t="shared" si="24"/>
        <v>250</v>
      </c>
      <c r="S74" s="461">
        <f t="shared" si="25"/>
        <v>83.333333333333329</v>
      </c>
      <c r="T74" s="461">
        <f t="shared" si="26"/>
        <v>26.666666666666664</v>
      </c>
      <c r="U74" s="454">
        <f t="shared" si="27"/>
        <v>250</v>
      </c>
      <c r="V74" s="454">
        <f t="shared" si="28"/>
        <v>20</v>
      </c>
      <c r="W74" s="454">
        <f t="shared" si="29"/>
        <v>250</v>
      </c>
      <c r="X74" s="454">
        <f t="shared" si="30"/>
        <v>20</v>
      </c>
      <c r="Y74" s="454">
        <f t="shared" si="31"/>
        <v>153.33333333333334</v>
      </c>
      <c r="Z74" s="454">
        <f t="shared" si="32"/>
        <v>227.5</v>
      </c>
      <c r="AA74" s="456">
        <f t="shared" si="33"/>
        <v>1280.8333333333333</v>
      </c>
      <c r="AB74" s="587">
        <f t="shared" si="34"/>
        <v>6043.7333333333327</v>
      </c>
    </row>
    <row r="75" spans="2:28" ht="13.5" customHeight="1" x14ac:dyDescent="0.25">
      <c r="B75" s="586" t="s">
        <v>345</v>
      </c>
      <c r="C75" s="468">
        <v>4200</v>
      </c>
      <c r="D75" s="454"/>
      <c r="E75" s="454"/>
      <c r="F75" s="584"/>
      <c r="G75" s="454"/>
      <c r="H75" s="584">
        <v>600</v>
      </c>
      <c r="I75" s="584">
        <v>82.4</v>
      </c>
      <c r="J75" s="584">
        <v>8.5</v>
      </c>
      <c r="K75" s="584">
        <v>13</v>
      </c>
      <c r="L75" s="456">
        <f t="shared" si="18"/>
        <v>4903.8999999999996</v>
      </c>
      <c r="M75" s="457">
        <f t="shared" si="19"/>
        <v>840</v>
      </c>
      <c r="N75" s="458">
        <f t="shared" si="20"/>
        <v>63</v>
      </c>
      <c r="O75" s="458">
        <f t="shared" si="21"/>
        <v>243.6</v>
      </c>
      <c r="P75" s="458">
        <f t="shared" si="22"/>
        <v>336</v>
      </c>
      <c r="Q75" s="459">
        <f t="shared" si="23"/>
        <v>1482.6</v>
      </c>
      <c r="R75" s="460">
        <f t="shared" si="24"/>
        <v>350</v>
      </c>
      <c r="S75" s="461">
        <f t="shared" si="25"/>
        <v>116.66666666666667</v>
      </c>
      <c r="T75" s="461">
        <f t="shared" si="26"/>
        <v>37.333333333333336</v>
      </c>
      <c r="U75" s="454">
        <f t="shared" si="27"/>
        <v>350</v>
      </c>
      <c r="V75" s="454">
        <f t="shared" si="28"/>
        <v>28</v>
      </c>
      <c r="W75" s="454">
        <f t="shared" si="29"/>
        <v>350</v>
      </c>
      <c r="X75" s="454">
        <f t="shared" si="30"/>
        <v>28</v>
      </c>
      <c r="Y75" s="454">
        <f t="shared" si="31"/>
        <v>214.66666666666666</v>
      </c>
      <c r="Z75" s="454">
        <f t="shared" si="32"/>
        <v>318.50000000000006</v>
      </c>
      <c r="AA75" s="456">
        <f t="shared" si="33"/>
        <v>1793.1666666666667</v>
      </c>
      <c r="AB75" s="587">
        <f t="shared" si="34"/>
        <v>8179.666666666667</v>
      </c>
    </row>
    <row r="76" spans="2:28" ht="13.5" customHeight="1" x14ac:dyDescent="0.25">
      <c r="B76" s="586" t="s">
        <v>346</v>
      </c>
      <c r="C76" s="468">
        <v>1622</v>
      </c>
      <c r="D76" s="454"/>
      <c r="E76" s="454"/>
      <c r="F76" s="584"/>
      <c r="G76" s="454"/>
      <c r="H76" s="584">
        <v>600</v>
      </c>
      <c r="I76" s="584">
        <v>82.4</v>
      </c>
      <c r="J76" s="584">
        <v>8.5</v>
      </c>
      <c r="K76" s="584">
        <v>13</v>
      </c>
      <c r="L76" s="456">
        <f t="shared" si="18"/>
        <v>2325.9</v>
      </c>
      <c r="M76" s="457">
        <f t="shared" si="19"/>
        <v>324.40000000000003</v>
      </c>
      <c r="N76" s="458">
        <f t="shared" si="20"/>
        <v>24.33</v>
      </c>
      <c r="O76" s="458">
        <f t="shared" si="21"/>
        <v>94.075999999999993</v>
      </c>
      <c r="P76" s="458">
        <f t="shared" si="22"/>
        <v>129.76</v>
      </c>
      <c r="Q76" s="459">
        <f t="shared" si="23"/>
        <v>572.56600000000003</v>
      </c>
      <c r="R76" s="460">
        <f t="shared" si="24"/>
        <v>135.16666666666666</v>
      </c>
      <c r="S76" s="461">
        <f t="shared" si="25"/>
        <v>45.05555555555555</v>
      </c>
      <c r="T76" s="461">
        <f t="shared" si="26"/>
        <v>14.417777777777776</v>
      </c>
      <c r="U76" s="454">
        <f t="shared" si="27"/>
        <v>135.16666666666666</v>
      </c>
      <c r="V76" s="454">
        <f t="shared" si="28"/>
        <v>10.813333333333333</v>
      </c>
      <c r="W76" s="454">
        <f t="shared" si="29"/>
        <v>135.16666666666666</v>
      </c>
      <c r="X76" s="454">
        <f t="shared" si="30"/>
        <v>10.813333333333333</v>
      </c>
      <c r="Y76" s="454">
        <f t="shared" si="31"/>
        <v>82.902222222222221</v>
      </c>
      <c r="Z76" s="454">
        <f t="shared" si="32"/>
        <v>123.00166666666668</v>
      </c>
      <c r="AA76" s="456">
        <f t="shared" si="33"/>
        <v>692.50388888888881</v>
      </c>
      <c r="AB76" s="587">
        <f t="shared" si="34"/>
        <v>3590.9698888888893</v>
      </c>
    </row>
    <row r="77" spans="2:28" ht="13.5" customHeight="1" x14ac:dyDescent="0.25">
      <c r="B77" s="586" t="s">
        <v>347</v>
      </c>
      <c r="C77" s="468">
        <v>2100</v>
      </c>
      <c r="D77" s="454"/>
      <c r="E77" s="454"/>
      <c r="F77" s="584"/>
      <c r="G77" s="454"/>
      <c r="H77" s="584">
        <v>600</v>
      </c>
      <c r="I77" s="584">
        <v>82.4</v>
      </c>
      <c r="J77" s="584">
        <v>8.5</v>
      </c>
      <c r="K77" s="584">
        <v>13</v>
      </c>
      <c r="L77" s="456">
        <f t="shared" si="18"/>
        <v>2803.9</v>
      </c>
      <c r="M77" s="457">
        <f t="shared" si="19"/>
        <v>420</v>
      </c>
      <c r="N77" s="458">
        <f t="shared" si="20"/>
        <v>31.5</v>
      </c>
      <c r="O77" s="458">
        <f t="shared" si="21"/>
        <v>121.8</v>
      </c>
      <c r="P77" s="458">
        <f t="shared" si="22"/>
        <v>168</v>
      </c>
      <c r="Q77" s="459">
        <f t="shared" si="23"/>
        <v>741.3</v>
      </c>
      <c r="R77" s="460">
        <f t="shared" si="24"/>
        <v>175</v>
      </c>
      <c r="S77" s="461">
        <f t="shared" si="25"/>
        <v>58.333333333333336</v>
      </c>
      <c r="T77" s="461">
        <f t="shared" si="26"/>
        <v>18.666666666666668</v>
      </c>
      <c r="U77" s="454">
        <f t="shared" si="27"/>
        <v>175</v>
      </c>
      <c r="V77" s="454">
        <f t="shared" si="28"/>
        <v>14</v>
      </c>
      <c r="W77" s="454">
        <f t="shared" si="29"/>
        <v>175</v>
      </c>
      <c r="X77" s="454">
        <f t="shared" si="30"/>
        <v>14</v>
      </c>
      <c r="Y77" s="454">
        <f t="shared" si="31"/>
        <v>107.33333333333333</v>
      </c>
      <c r="Z77" s="454">
        <f t="shared" si="32"/>
        <v>159.25000000000003</v>
      </c>
      <c r="AA77" s="456">
        <f t="shared" si="33"/>
        <v>896.58333333333337</v>
      </c>
      <c r="AB77" s="587">
        <f t="shared" si="34"/>
        <v>4441.7833333333328</v>
      </c>
    </row>
    <row r="78" spans="2:28" ht="13.5" customHeight="1" x14ac:dyDescent="0.25">
      <c r="B78" s="586" t="s">
        <v>348</v>
      </c>
      <c r="C78" s="468">
        <v>2500</v>
      </c>
      <c r="D78" s="454"/>
      <c r="E78" s="454"/>
      <c r="F78" s="584"/>
      <c r="G78" s="454"/>
      <c r="H78" s="584"/>
      <c r="I78" s="584"/>
      <c r="J78" s="584"/>
      <c r="K78" s="584"/>
      <c r="L78" s="456">
        <f t="shared" si="18"/>
        <v>2500</v>
      </c>
      <c r="M78" s="457"/>
      <c r="N78" s="458"/>
      <c r="O78" s="458"/>
      <c r="P78" s="458"/>
      <c r="Q78" s="459">
        <f t="shared" si="23"/>
        <v>0</v>
      </c>
      <c r="R78" s="460"/>
      <c r="S78" s="461"/>
      <c r="T78" s="461"/>
      <c r="U78" s="454"/>
      <c r="V78" s="454"/>
      <c r="W78" s="454"/>
      <c r="X78" s="454"/>
      <c r="Y78" s="454"/>
      <c r="Z78" s="454"/>
      <c r="AA78" s="456"/>
      <c r="AB78" s="587">
        <f t="shared" si="34"/>
        <v>2500</v>
      </c>
    </row>
    <row r="79" spans="2:28" ht="13.5" customHeight="1" x14ac:dyDescent="0.25">
      <c r="B79" s="586" t="s">
        <v>349</v>
      </c>
      <c r="C79" s="468"/>
      <c r="D79" s="589">
        <f>1621*2</f>
        <v>3242</v>
      </c>
      <c r="E79" s="454">
        <v>10844</v>
      </c>
      <c r="F79" s="584">
        <v>3000</v>
      </c>
      <c r="G79" s="454"/>
      <c r="H79" s="584"/>
      <c r="I79" s="584"/>
      <c r="J79" s="584"/>
      <c r="K79" s="584"/>
      <c r="L79" s="456">
        <f t="shared" si="18"/>
        <v>17086</v>
      </c>
      <c r="M79" s="490">
        <f>3242*11%</f>
        <v>356.62</v>
      </c>
      <c r="N79" s="458"/>
      <c r="O79" s="458"/>
      <c r="P79" s="458"/>
      <c r="Q79" s="459">
        <f t="shared" si="23"/>
        <v>356.62</v>
      </c>
      <c r="R79" s="460"/>
      <c r="S79" s="461"/>
      <c r="T79" s="461"/>
      <c r="U79" s="454"/>
      <c r="V79" s="454"/>
      <c r="W79" s="454"/>
      <c r="X79" s="454"/>
      <c r="Y79" s="454"/>
      <c r="Z79" s="454"/>
      <c r="AA79" s="456">
        <f>SUM(R79:Z79)</f>
        <v>0</v>
      </c>
      <c r="AB79" s="587">
        <f t="shared" si="34"/>
        <v>17442.62</v>
      </c>
    </row>
    <row r="80" spans="2:28" ht="14.25" customHeight="1" x14ac:dyDescent="0.25">
      <c r="B80" s="590"/>
      <c r="C80" s="591">
        <f t="shared" ref="C80:AB80" si="35">SUM(C43:C79)</f>
        <v>73062</v>
      </c>
      <c r="D80" s="592">
        <f t="shared" si="35"/>
        <v>3242</v>
      </c>
      <c r="E80" s="592">
        <f t="shared" si="35"/>
        <v>10844</v>
      </c>
      <c r="F80" s="592">
        <f t="shared" si="35"/>
        <v>7000</v>
      </c>
      <c r="G80" s="592">
        <f t="shared" si="35"/>
        <v>0</v>
      </c>
      <c r="H80" s="592">
        <f t="shared" si="35"/>
        <v>15240</v>
      </c>
      <c r="I80" s="592">
        <f t="shared" si="35"/>
        <v>2884.0000000000018</v>
      </c>
      <c r="J80" s="592">
        <f t="shared" si="35"/>
        <v>297.5</v>
      </c>
      <c r="K80" s="592">
        <f t="shared" si="35"/>
        <v>390</v>
      </c>
      <c r="L80" s="593">
        <f t="shared" si="35"/>
        <v>112959.49999999997</v>
      </c>
      <c r="M80" s="591">
        <f t="shared" si="35"/>
        <v>15269.02</v>
      </c>
      <c r="N80" s="592">
        <f t="shared" si="35"/>
        <v>1118.4299999999998</v>
      </c>
      <c r="O80" s="592">
        <f t="shared" si="35"/>
        <v>4324.5960000000014</v>
      </c>
      <c r="P80" s="592">
        <f t="shared" si="35"/>
        <v>5964.96</v>
      </c>
      <c r="Q80" s="593">
        <f t="shared" si="35"/>
        <v>26677.005999999987</v>
      </c>
      <c r="R80" s="591">
        <f t="shared" si="35"/>
        <v>6213.5</v>
      </c>
      <c r="S80" s="592">
        <f t="shared" si="35"/>
        <v>2071.166666666667</v>
      </c>
      <c r="T80" s="592">
        <f t="shared" si="35"/>
        <v>662.77333333333354</v>
      </c>
      <c r="U80" s="592">
        <f t="shared" si="35"/>
        <v>6213.5</v>
      </c>
      <c r="V80" s="592">
        <f t="shared" si="35"/>
        <v>497.0800000000001</v>
      </c>
      <c r="W80" s="592">
        <f t="shared" si="35"/>
        <v>6213.5</v>
      </c>
      <c r="X80" s="592">
        <f t="shared" si="35"/>
        <v>497.0800000000001</v>
      </c>
      <c r="Y80" s="592">
        <f t="shared" si="35"/>
        <v>3810.9466666666681</v>
      </c>
      <c r="Z80" s="592">
        <f t="shared" si="35"/>
        <v>5654.2850000000017</v>
      </c>
      <c r="AA80" s="593">
        <f t="shared" si="35"/>
        <v>31833.831666666665</v>
      </c>
      <c r="AB80" s="594">
        <f t="shared" si="35"/>
        <v>171470.33766666669</v>
      </c>
    </row>
    <row r="81" spans="2:30" ht="13.5" customHeight="1" x14ac:dyDescent="0.25"/>
    <row r="82" spans="2:30" ht="12.75" customHeight="1" x14ac:dyDescent="0.25">
      <c r="B82" s="438" t="s">
        <v>158</v>
      </c>
      <c r="C82" s="439" t="s">
        <v>190</v>
      </c>
      <c r="D82" s="440" t="s">
        <v>194</v>
      </c>
      <c r="E82" s="440" t="s">
        <v>197</v>
      </c>
      <c r="F82" s="440" t="s">
        <v>306</v>
      </c>
      <c r="G82" s="440" t="s">
        <v>307</v>
      </c>
      <c r="H82" s="440" t="s">
        <v>308</v>
      </c>
      <c r="I82" s="440" t="s">
        <v>309</v>
      </c>
      <c r="J82" s="440" t="s">
        <v>310</v>
      </c>
      <c r="K82" s="440" t="s">
        <v>311</v>
      </c>
      <c r="L82" s="441" t="s">
        <v>199</v>
      </c>
      <c r="M82" s="442" t="s">
        <v>168</v>
      </c>
      <c r="N82" s="443" t="s">
        <v>200</v>
      </c>
      <c r="O82" s="443" t="s">
        <v>201</v>
      </c>
      <c r="P82" s="444" t="s">
        <v>36</v>
      </c>
      <c r="Q82" s="445" t="s">
        <v>202</v>
      </c>
      <c r="R82" s="446" t="s">
        <v>40</v>
      </c>
      <c r="S82" s="447" t="s">
        <v>169</v>
      </c>
      <c r="T82" s="447" t="s">
        <v>203</v>
      </c>
      <c r="U82" s="447" t="s">
        <v>204</v>
      </c>
      <c r="V82" s="447" t="s">
        <v>205</v>
      </c>
      <c r="W82" s="447" t="s">
        <v>206</v>
      </c>
      <c r="X82" s="447" t="s">
        <v>207</v>
      </c>
      <c r="Y82" s="447" t="s">
        <v>208</v>
      </c>
      <c r="Z82" s="447" t="s">
        <v>209</v>
      </c>
      <c r="AA82" s="448" t="s">
        <v>210</v>
      </c>
      <c r="AB82" s="583" t="s">
        <v>13</v>
      </c>
      <c r="AC82" s="450" t="s">
        <v>189</v>
      </c>
      <c r="AD82" s="451">
        <v>46082</v>
      </c>
    </row>
    <row r="83" spans="2:30" ht="13.5" customHeight="1" x14ac:dyDescent="0.25">
      <c r="B83" s="489" t="s">
        <v>313</v>
      </c>
      <c r="C83" s="490">
        <v>2100</v>
      </c>
      <c r="D83" s="454"/>
      <c r="E83" s="454"/>
      <c r="F83" s="584">
        <v>250</v>
      </c>
      <c r="G83" s="454"/>
      <c r="H83" s="584">
        <v>600</v>
      </c>
      <c r="I83" s="584">
        <v>99.18</v>
      </c>
      <c r="J83" s="584">
        <v>8.5</v>
      </c>
      <c r="K83" s="584">
        <v>13</v>
      </c>
      <c r="L83" s="456">
        <f t="shared" ref="L83:L113" si="36">SUM(C83:K83)</f>
        <v>3070.68</v>
      </c>
      <c r="M83" s="457">
        <f t="shared" ref="M83:M111" si="37">(C83+F83+G83)*20%</f>
        <v>470</v>
      </c>
      <c r="N83" s="458">
        <f t="shared" ref="N83:N111" si="38">(C83+F83+G83)*1.5%</f>
        <v>35.25</v>
      </c>
      <c r="O83" s="458">
        <f t="shared" ref="O83:O111" si="39">(C83+F83+G83)*5.8%</f>
        <v>136.29999999999998</v>
      </c>
      <c r="P83" s="458">
        <f t="shared" ref="P83:P111" si="40">(C83+F83+G83)*8%</f>
        <v>188</v>
      </c>
      <c r="Q83" s="459">
        <f t="shared" ref="Q83:Q113" si="41">SUM(M83:P83)</f>
        <v>829.55</v>
      </c>
      <c r="R83" s="460">
        <f t="shared" ref="R83:R111" si="42">(C83+F83+G83)/12</f>
        <v>195.83333333333334</v>
      </c>
      <c r="S83" s="461">
        <f t="shared" ref="S83:S111" si="43">R83/3</f>
        <v>65.277777777777786</v>
      </c>
      <c r="T83" s="461">
        <f t="shared" ref="T83:T111" si="44">(R83+S83)*8%</f>
        <v>20.888888888888893</v>
      </c>
      <c r="U83" s="454">
        <f t="shared" ref="U83:U111" si="45">(C83+F83+G83)/12</f>
        <v>195.83333333333334</v>
      </c>
      <c r="V83" s="454">
        <f t="shared" ref="V83:V111" si="46">U83*8%</f>
        <v>15.666666666666668</v>
      </c>
      <c r="W83" s="454">
        <f t="shared" ref="W83:W111" si="47">(C83+F83+G83)/12</f>
        <v>195.83333333333334</v>
      </c>
      <c r="X83" s="454">
        <f t="shared" ref="X83:X111" si="48">W83*8%</f>
        <v>15.666666666666668</v>
      </c>
      <c r="Y83" s="454">
        <f t="shared" ref="Y83:Y111" si="49">(P83+T83+V83+X83)*50%</f>
        <v>120.1111111111111</v>
      </c>
      <c r="Z83" s="454">
        <f t="shared" ref="Z83:Z111" si="50">(R83+S83+U83+W83)*27.3%</f>
        <v>178.20833333333337</v>
      </c>
      <c r="AA83" s="456">
        <f t="shared" ref="AA83:AA111" si="51">SUM(R83:Z83)</f>
        <v>1003.3194444444445</v>
      </c>
      <c r="AB83" s="585">
        <f t="shared" ref="AB83:AB113" si="52">L83+Q83+AA83</f>
        <v>4903.5494444444439</v>
      </c>
      <c r="AC83" s="465" t="s">
        <v>89</v>
      </c>
      <c r="AD83" s="466">
        <f>C114</f>
        <v>65922</v>
      </c>
    </row>
    <row r="84" spans="2:30" ht="13.5" customHeight="1" x14ac:dyDescent="0.25">
      <c r="B84" s="467" t="s">
        <v>358</v>
      </c>
      <c r="C84" s="468">
        <v>2100</v>
      </c>
      <c r="D84" s="454"/>
      <c r="E84" s="454"/>
      <c r="F84" s="584"/>
      <c r="G84" s="454"/>
      <c r="H84" s="584">
        <v>380</v>
      </c>
      <c r="I84" s="584">
        <v>99.18</v>
      </c>
      <c r="J84" s="584">
        <v>8.5</v>
      </c>
      <c r="K84" s="584"/>
      <c r="L84" s="456">
        <f t="shared" si="36"/>
        <v>2587.6799999999998</v>
      </c>
      <c r="M84" s="457">
        <f t="shared" si="37"/>
        <v>420</v>
      </c>
      <c r="N84" s="458">
        <f t="shared" si="38"/>
        <v>31.5</v>
      </c>
      <c r="O84" s="458">
        <f t="shared" si="39"/>
        <v>121.8</v>
      </c>
      <c r="P84" s="458">
        <f t="shared" si="40"/>
        <v>168</v>
      </c>
      <c r="Q84" s="459">
        <f t="shared" si="41"/>
        <v>741.3</v>
      </c>
      <c r="R84" s="460">
        <f t="shared" si="42"/>
        <v>175</v>
      </c>
      <c r="S84" s="461">
        <f t="shared" si="43"/>
        <v>58.333333333333336</v>
      </c>
      <c r="T84" s="461">
        <f t="shared" si="44"/>
        <v>18.666666666666668</v>
      </c>
      <c r="U84" s="454">
        <f t="shared" si="45"/>
        <v>175</v>
      </c>
      <c r="V84" s="454">
        <f t="shared" si="46"/>
        <v>14</v>
      </c>
      <c r="W84" s="454">
        <f t="shared" si="47"/>
        <v>175</v>
      </c>
      <c r="X84" s="454">
        <f t="shared" si="48"/>
        <v>14</v>
      </c>
      <c r="Y84" s="454">
        <f t="shared" si="49"/>
        <v>107.33333333333333</v>
      </c>
      <c r="Z84" s="454">
        <f t="shared" si="50"/>
        <v>159.25000000000003</v>
      </c>
      <c r="AA84" s="456">
        <f t="shared" si="51"/>
        <v>896.58333333333337</v>
      </c>
      <c r="AB84" s="585">
        <f t="shared" si="52"/>
        <v>4225.5633333333326</v>
      </c>
      <c r="AC84" s="465" t="s">
        <v>306</v>
      </c>
      <c r="AD84" s="466">
        <f>F114</f>
        <v>6750</v>
      </c>
    </row>
    <row r="85" spans="2:30" ht="13.5" customHeight="1" x14ac:dyDescent="0.25">
      <c r="B85" s="467" t="s">
        <v>314</v>
      </c>
      <c r="C85" s="468">
        <v>2100</v>
      </c>
      <c r="D85" s="454"/>
      <c r="E85" s="454"/>
      <c r="F85" s="584">
        <v>250</v>
      </c>
      <c r="G85" s="454"/>
      <c r="H85" s="584">
        <v>600</v>
      </c>
      <c r="I85" s="584">
        <v>99.18</v>
      </c>
      <c r="J85" s="584">
        <v>8.5</v>
      </c>
      <c r="K85" s="584">
        <v>13</v>
      </c>
      <c r="L85" s="456">
        <f t="shared" si="36"/>
        <v>3070.68</v>
      </c>
      <c r="M85" s="457">
        <f t="shared" si="37"/>
        <v>470</v>
      </c>
      <c r="N85" s="458">
        <f t="shared" si="38"/>
        <v>35.25</v>
      </c>
      <c r="O85" s="458">
        <f t="shared" si="39"/>
        <v>136.29999999999998</v>
      </c>
      <c r="P85" s="458">
        <f t="shared" si="40"/>
        <v>188</v>
      </c>
      <c r="Q85" s="459">
        <f t="shared" si="41"/>
        <v>829.55</v>
      </c>
      <c r="R85" s="460">
        <f t="shared" si="42"/>
        <v>195.83333333333334</v>
      </c>
      <c r="S85" s="461">
        <f t="shared" si="43"/>
        <v>65.277777777777786</v>
      </c>
      <c r="T85" s="461">
        <f t="shared" si="44"/>
        <v>20.888888888888893</v>
      </c>
      <c r="U85" s="454">
        <f t="shared" si="45"/>
        <v>195.83333333333334</v>
      </c>
      <c r="V85" s="454">
        <f t="shared" si="46"/>
        <v>15.666666666666668</v>
      </c>
      <c r="W85" s="454">
        <f t="shared" si="47"/>
        <v>195.83333333333334</v>
      </c>
      <c r="X85" s="454">
        <f t="shared" si="48"/>
        <v>15.666666666666668</v>
      </c>
      <c r="Y85" s="454">
        <f t="shared" si="49"/>
        <v>120.1111111111111</v>
      </c>
      <c r="Z85" s="454">
        <f t="shared" si="50"/>
        <v>178.20833333333337</v>
      </c>
      <c r="AA85" s="456">
        <f t="shared" si="51"/>
        <v>1003.3194444444445</v>
      </c>
      <c r="AB85" s="585">
        <f t="shared" si="52"/>
        <v>4903.5494444444439</v>
      </c>
      <c r="AC85" s="465" t="s">
        <v>315</v>
      </c>
      <c r="AD85" s="466">
        <v>0</v>
      </c>
    </row>
    <row r="86" spans="2:30" ht="13.5" customHeight="1" x14ac:dyDescent="0.25">
      <c r="B86" s="467" t="s">
        <v>316</v>
      </c>
      <c r="C86" s="468">
        <v>2100</v>
      </c>
      <c r="D86" s="454"/>
      <c r="E86" s="454"/>
      <c r="F86" s="584"/>
      <c r="G86" s="454"/>
      <c r="H86" s="584">
        <v>0</v>
      </c>
      <c r="I86" s="584"/>
      <c r="J86" s="584">
        <v>8.5</v>
      </c>
      <c r="K86" s="584">
        <v>0</v>
      </c>
      <c r="L86" s="456">
        <f t="shared" si="36"/>
        <v>2108.5</v>
      </c>
      <c r="M86" s="457">
        <f t="shared" si="37"/>
        <v>420</v>
      </c>
      <c r="N86" s="458">
        <f t="shared" si="38"/>
        <v>31.5</v>
      </c>
      <c r="O86" s="458">
        <f t="shared" si="39"/>
        <v>121.8</v>
      </c>
      <c r="P86" s="458">
        <f t="shared" si="40"/>
        <v>168</v>
      </c>
      <c r="Q86" s="459">
        <f t="shared" si="41"/>
        <v>741.3</v>
      </c>
      <c r="R86" s="460">
        <f t="shared" si="42"/>
        <v>175</v>
      </c>
      <c r="S86" s="461">
        <f t="shared" si="43"/>
        <v>58.333333333333336</v>
      </c>
      <c r="T86" s="461">
        <f t="shared" si="44"/>
        <v>18.666666666666668</v>
      </c>
      <c r="U86" s="454">
        <f t="shared" si="45"/>
        <v>175</v>
      </c>
      <c r="V86" s="454">
        <f t="shared" si="46"/>
        <v>14</v>
      </c>
      <c r="W86" s="454">
        <f t="shared" si="47"/>
        <v>175</v>
      </c>
      <c r="X86" s="454">
        <f t="shared" si="48"/>
        <v>14</v>
      </c>
      <c r="Y86" s="454">
        <f t="shared" si="49"/>
        <v>107.33333333333333</v>
      </c>
      <c r="Z86" s="454">
        <f t="shared" si="50"/>
        <v>159.25000000000003</v>
      </c>
      <c r="AA86" s="456">
        <f t="shared" si="51"/>
        <v>896.58333333333337</v>
      </c>
      <c r="AB86" s="585">
        <f t="shared" si="52"/>
        <v>3746.3833333333337</v>
      </c>
      <c r="AC86" s="469" t="s">
        <v>194</v>
      </c>
      <c r="AD86" s="466">
        <f>D114</f>
        <v>3242</v>
      </c>
    </row>
    <row r="87" spans="2:30" ht="13.5" customHeight="1" x14ac:dyDescent="0.25">
      <c r="B87" s="467" t="s">
        <v>318</v>
      </c>
      <c r="C87" s="468">
        <v>2100</v>
      </c>
      <c r="D87" s="454"/>
      <c r="E87" s="454"/>
      <c r="F87" s="584">
        <v>250</v>
      </c>
      <c r="G87" s="454"/>
      <c r="H87" s="584">
        <v>600</v>
      </c>
      <c r="I87" s="584">
        <v>99.18</v>
      </c>
      <c r="J87" s="584">
        <v>8.5</v>
      </c>
      <c r="K87" s="584">
        <v>13</v>
      </c>
      <c r="L87" s="456">
        <f t="shared" si="36"/>
        <v>3070.68</v>
      </c>
      <c r="M87" s="457">
        <f t="shared" si="37"/>
        <v>470</v>
      </c>
      <c r="N87" s="458">
        <f t="shared" si="38"/>
        <v>35.25</v>
      </c>
      <c r="O87" s="458">
        <f t="shared" si="39"/>
        <v>136.29999999999998</v>
      </c>
      <c r="P87" s="458">
        <f t="shared" si="40"/>
        <v>188</v>
      </c>
      <c r="Q87" s="459">
        <f t="shared" si="41"/>
        <v>829.55</v>
      </c>
      <c r="R87" s="460">
        <f t="shared" si="42"/>
        <v>195.83333333333334</v>
      </c>
      <c r="S87" s="461">
        <f t="shared" si="43"/>
        <v>65.277777777777786</v>
      </c>
      <c r="T87" s="461">
        <f t="shared" si="44"/>
        <v>20.888888888888893</v>
      </c>
      <c r="U87" s="454">
        <f t="shared" si="45"/>
        <v>195.83333333333334</v>
      </c>
      <c r="V87" s="454">
        <f t="shared" si="46"/>
        <v>15.666666666666668</v>
      </c>
      <c r="W87" s="454">
        <f t="shared" si="47"/>
        <v>195.83333333333334</v>
      </c>
      <c r="X87" s="454">
        <f t="shared" si="48"/>
        <v>15.666666666666668</v>
      </c>
      <c r="Y87" s="454">
        <f t="shared" si="49"/>
        <v>120.1111111111111</v>
      </c>
      <c r="Z87" s="454">
        <f t="shared" si="50"/>
        <v>178.20833333333337</v>
      </c>
      <c r="AA87" s="456">
        <f t="shared" si="51"/>
        <v>1003.3194444444445</v>
      </c>
      <c r="AB87" s="585">
        <f t="shared" si="52"/>
        <v>4903.5494444444439</v>
      </c>
      <c r="AC87" s="469" t="s">
        <v>197</v>
      </c>
      <c r="AD87" s="466">
        <f>E114</f>
        <v>10844</v>
      </c>
    </row>
    <row r="88" spans="2:30" ht="13.5" customHeight="1" x14ac:dyDescent="0.25">
      <c r="B88" s="467" t="s">
        <v>319</v>
      </c>
      <c r="C88" s="468">
        <v>2100</v>
      </c>
      <c r="D88" s="454"/>
      <c r="E88" s="454"/>
      <c r="F88" s="584">
        <v>250</v>
      </c>
      <c r="G88" s="454"/>
      <c r="H88" s="584">
        <v>600</v>
      </c>
      <c r="I88" s="584">
        <v>99.18</v>
      </c>
      <c r="J88" s="584">
        <v>8.5</v>
      </c>
      <c r="K88" s="584">
        <v>13</v>
      </c>
      <c r="L88" s="456">
        <f t="shared" si="36"/>
        <v>3070.68</v>
      </c>
      <c r="M88" s="457">
        <f t="shared" si="37"/>
        <v>470</v>
      </c>
      <c r="N88" s="458">
        <f t="shared" si="38"/>
        <v>35.25</v>
      </c>
      <c r="O88" s="458">
        <f t="shared" si="39"/>
        <v>136.29999999999998</v>
      </c>
      <c r="P88" s="458">
        <f t="shared" si="40"/>
        <v>188</v>
      </c>
      <c r="Q88" s="459">
        <f t="shared" si="41"/>
        <v>829.55</v>
      </c>
      <c r="R88" s="460">
        <f t="shared" si="42"/>
        <v>195.83333333333334</v>
      </c>
      <c r="S88" s="461">
        <f t="shared" si="43"/>
        <v>65.277777777777786</v>
      </c>
      <c r="T88" s="461">
        <f t="shared" si="44"/>
        <v>20.888888888888893</v>
      </c>
      <c r="U88" s="454">
        <f t="shared" si="45"/>
        <v>195.83333333333334</v>
      </c>
      <c r="V88" s="454">
        <f t="shared" si="46"/>
        <v>15.666666666666668</v>
      </c>
      <c r="W88" s="454">
        <f t="shared" si="47"/>
        <v>195.83333333333334</v>
      </c>
      <c r="X88" s="454">
        <f t="shared" si="48"/>
        <v>15.666666666666668</v>
      </c>
      <c r="Y88" s="454">
        <f t="shared" si="49"/>
        <v>120.1111111111111</v>
      </c>
      <c r="Z88" s="454">
        <f t="shared" si="50"/>
        <v>178.20833333333337</v>
      </c>
      <c r="AA88" s="456">
        <f t="shared" si="51"/>
        <v>1003.3194444444445</v>
      </c>
      <c r="AB88" s="585">
        <f t="shared" si="52"/>
        <v>4903.5494444444439</v>
      </c>
      <c r="AC88" s="469" t="s">
        <v>211</v>
      </c>
      <c r="AD88" s="466">
        <f>SUM(H114:K114)</f>
        <v>17822.46</v>
      </c>
    </row>
    <row r="89" spans="2:30" ht="13.5" customHeight="1" x14ac:dyDescent="0.25">
      <c r="B89" s="467" t="s">
        <v>321</v>
      </c>
      <c r="C89" s="468">
        <v>2100</v>
      </c>
      <c r="D89" s="431"/>
      <c r="E89" s="454"/>
      <c r="F89" s="584">
        <v>250</v>
      </c>
      <c r="G89" s="454"/>
      <c r="H89" s="584">
        <v>600</v>
      </c>
      <c r="I89" s="584">
        <v>99.18</v>
      </c>
      <c r="J89" s="584">
        <v>8.5</v>
      </c>
      <c r="K89" s="584">
        <v>13</v>
      </c>
      <c r="L89" s="456">
        <f t="shared" si="36"/>
        <v>3070.68</v>
      </c>
      <c r="M89" s="457">
        <f t="shared" si="37"/>
        <v>470</v>
      </c>
      <c r="N89" s="458">
        <f t="shared" si="38"/>
        <v>35.25</v>
      </c>
      <c r="O89" s="458">
        <f t="shared" si="39"/>
        <v>136.29999999999998</v>
      </c>
      <c r="P89" s="458">
        <f t="shared" si="40"/>
        <v>188</v>
      </c>
      <c r="Q89" s="459">
        <f t="shared" si="41"/>
        <v>829.55</v>
      </c>
      <c r="R89" s="460">
        <f t="shared" si="42"/>
        <v>195.83333333333334</v>
      </c>
      <c r="S89" s="461">
        <f t="shared" si="43"/>
        <v>65.277777777777786</v>
      </c>
      <c r="T89" s="461">
        <f t="shared" si="44"/>
        <v>20.888888888888893</v>
      </c>
      <c r="U89" s="454">
        <f t="shared" si="45"/>
        <v>195.83333333333334</v>
      </c>
      <c r="V89" s="454">
        <f t="shared" si="46"/>
        <v>15.666666666666668</v>
      </c>
      <c r="W89" s="454">
        <f t="shared" si="47"/>
        <v>195.83333333333334</v>
      </c>
      <c r="X89" s="454">
        <f t="shared" si="48"/>
        <v>15.666666666666668</v>
      </c>
      <c r="Y89" s="454">
        <f t="shared" si="49"/>
        <v>120.1111111111111</v>
      </c>
      <c r="Z89" s="454">
        <f t="shared" si="50"/>
        <v>178.20833333333337</v>
      </c>
      <c r="AA89" s="456">
        <f t="shared" si="51"/>
        <v>1003.3194444444445</v>
      </c>
      <c r="AB89" s="585">
        <f t="shared" si="52"/>
        <v>4903.5494444444439</v>
      </c>
      <c r="AC89" s="465" t="s">
        <v>209</v>
      </c>
      <c r="AD89" s="466">
        <f>SUM(M114:O114)</f>
        <v>18694.576000000001</v>
      </c>
    </row>
    <row r="90" spans="2:30" ht="13.5" customHeight="1" x14ac:dyDescent="0.25">
      <c r="B90" s="467" t="s">
        <v>323</v>
      </c>
      <c r="C90" s="468">
        <v>2100</v>
      </c>
      <c r="D90" s="431"/>
      <c r="E90" s="454"/>
      <c r="F90" s="584">
        <v>250</v>
      </c>
      <c r="G90" s="454"/>
      <c r="H90" s="584">
        <v>600</v>
      </c>
      <c r="I90" s="584">
        <v>99.18</v>
      </c>
      <c r="J90" s="584">
        <v>8.5</v>
      </c>
      <c r="K90" s="584">
        <v>13</v>
      </c>
      <c r="L90" s="456">
        <f t="shared" si="36"/>
        <v>3070.68</v>
      </c>
      <c r="M90" s="457">
        <f t="shared" si="37"/>
        <v>470</v>
      </c>
      <c r="N90" s="458">
        <f t="shared" si="38"/>
        <v>35.25</v>
      </c>
      <c r="O90" s="458">
        <f t="shared" si="39"/>
        <v>136.29999999999998</v>
      </c>
      <c r="P90" s="458">
        <f t="shared" si="40"/>
        <v>188</v>
      </c>
      <c r="Q90" s="459">
        <f t="shared" si="41"/>
        <v>829.55</v>
      </c>
      <c r="R90" s="460">
        <f t="shared" si="42"/>
        <v>195.83333333333334</v>
      </c>
      <c r="S90" s="461">
        <f t="shared" si="43"/>
        <v>65.277777777777786</v>
      </c>
      <c r="T90" s="461">
        <f t="shared" si="44"/>
        <v>20.888888888888893</v>
      </c>
      <c r="U90" s="454">
        <f t="shared" si="45"/>
        <v>195.83333333333334</v>
      </c>
      <c r="V90" s="454">
        <f t="shared" si="46"/>
        <v>15.666666666666668</v>
      </c>
      <c r="W90" s="454">
        <f t="shared" si="47"/>
        <v>195.83333333333334</v>
      </c>
      <c r="X90" s="454">
        <f t="shared" si="48"/>
        <v>15.666666666666668</v>
      </c>
      <c r="Y90" s="454">
        <f t="shared" si="49"/>
        <v>120.1111111111111</v>
      </c>
      <c r="Z90" s="454">
        <f t="shared" si="50"/>
        <v>178.20833333333337</v>
      </c>
      <c r="AA90" s="456">
        <f t="shared" si="51"/>
        <v>1003.3194444444445</v>
      </c>
      <c r="AB90" s="585">
        <f t="shared" si="52"/>
        <v>4903.5494444444439</v>
      </c>
      <c r="AC90" s="465" t="s">
        <v>36</v>
      </c>
      <c r="AD90" s="466">
        <f>P114</f>
        <v>5373.76</v>
      </c>
    </row>
    <row r="91" spans="2:30" ht="13.5" customHeight="1" x14ac:dyDescent="0.25">
      <c r="B91" s="586" t="s">
        <v>325</v>
      </c>
      <c r="C91" s="468">
        <v>2100</v>
      </c>
      <c r="D91" s="454"/>
      <c r="E91" s="454"/>
      <c r="F91" s="584"/>
      <c r="G91" s="454"/>
      <c r="H91" s="584">
        <v>600</v>
      </c>
      <c r="I91" s="584">
        <v>99.18</v>
      </c>
      <c r="J91" s="584">
        <v>8.5</v>
      </c>
      <c r="K91" s="584">
        <v>13</v>
      </c>
      <c r="L91" s="456">
        <f t="shared" si="36"/>
        <v>2820.68</v>
      </c>
      <c r="M91" s="457">
        <f t="shared" si="37"/>
        <v>420</v>
      </c>
      <c r="N91" s="458">
        <f t="shared" si="38"/>
        <v>31.5</v>
      </c>
      <c r="O91" s="458">
        <f t="shared" si="39"/>
        <v>121.8</v>
      </c>
      <c r="P91" s="458">
        <f t="shared" si="40"/>
        <v>168</v>
      </c>
      <c r="Q91" s="459">
        <f t="shared" si="41"/>
        <v>741.3</v>
      </c>
      <c r="R91" s="460">
        <f t="shared" si="42"/>
        <v>175</v>
      </c>
      <c r="S91" s="461">
        <f t="shared" si="43"/>
        <v>58.333333333333336</v>
      </c>
      <c r="T91" s="461">
        <f t="shared" si="44"/>
        <v>18.666666666666668</v>
      </c>
      <c r="U91" s="454">
        <f t="shared" si="45"/>
        <v>175</v>
      </c>
      <c r="V91" s="454">
        <f t="shared" si="46"/>
        <v>14</v>
      </c>
      <c r="W91" s="454">
        <f t="shared" si="47"/>
        <v>175</v>
      </c>
      <c r="X91" s="454">
        <f t="shared" si="48"/>
        <v>14</v>
      </c>
      <c r="Y91" s="454">
        <f t="shared" si="49"/>
        <v>107.33333333333333</v>
      </c>
      <c r="Z91" s="454">
        <f t="shared" si="50"/>
        <v>159.25000000000003</v>
      </c>
      <c r="AA91" s="456">
        <f t="shared" si="51"/>
        <v>896.58333333333337</v>
      </c>
      <c r="AB91" s="585">
        <f t="shared" si="52"/>
        <v>4458.5633333333326</v>
      </c>
      <c r="AC91" s="469" t="s">
        <v>212</v>
      </c>
      <c r="AD91" s="466">
        <f>SUM(R114:Z114)</f>
        <v>28678.712222222224</v>
      </c>
    </row>
    <row r="92" spans="2:30" ht="14.25" customHeight="1" x14ac:dyDescent="0.25">
      <c r="B92" s="586" t="s">
        <v>326</v>
      </c>
      <c r="C92" s="468">
        <v>2100</v>
      </c>
      <c r="D92" s="454"/>
      <c r="E92" s="454"/>
      <c r="F92" s="584">
        <v>0</v>
      </c>
      <c r="G92" s="454"/>
      <c r="H92" s="584">
        <v>0</v>
      </c>
      <c r="I92" s="584"/>
      <c r="J92" s="584">
        <v>8.5</v>
      </c>
      <c r="K92" s="584">
        <v>13</v>
      </c>
      <c r="L92" s="456">
        <f t="shared" si="36"/>
        <v>2121.5</v>
      </c>
      <c r="M92" s="457">
        <f t="shared" si="37"/>
        <v>420</v>
      </c>
      <c r="N92" s="458">
        <f t="shared" si="38"/>
        <v>31.5</v>
      </c>
      <c r="O92" s="458">
        <f t="shared" si="39"/>
        <v>121.8</v>
      </c>
      <c r="P92" s="458">
        <f t="shared" si="40"/>
        <v>168</v>
      </c>
      <c r="Q92" s="459">
        <f t="shared" si="41"/>
        <v>741.3</v>
      </c>
      <c r="R92" s="460">
        <f t="shared" si="42"/>
        <v>175</v>
      </c>
      <c r="S92" s="461">
        <f t="shared" si="43"/>
        <v>58.333333333333336</v>
      </c>
      <c r="T92" s="461">
        <f t="shared" si="44"/>
        <v>18.666666666666668</v>
      </c>
      <c r="U92" s="454">
        <f t="shared" si="45"/>
        <v>175</v>
      </c>
      <c r="V92" s="454">
        <f t="shared" si="46"/>
        <v>14</v>
      </c>
      <c r="W92" s="454">
        <f t="shared" si="47"/>
        <v>175</v>
      </c>
      <c r="X92" s="454">
        <f t="shared" si="48"/>
        <v>14</v>
      </c>
      <c r="Y92" s="454">
        <f t="shared" si="49"/>
        <v>107.33333333333333</v>
      </c>
      <c r="Z92" s="454">
        <f t="shared" si="50"/>
        <v>159.25000000000003</v>
      </c>
      <c r="AA92" s="456">
        <f t="shared" si="51"/>
        <v>896.58333333333337</v>
      </c>
      <c r="AB92" s="585">
        <f t="shared" si="52"/>
        <v>3759.3833333333337</v>
      </c>
      <c r="AC92" s="483" t="s">
        <v>13</v>
      </c>
      <c r="AD92" s="484">
        <f>SUM(AD83:AD91)</f>
        <v>157327.50822222221</v>
      </c>
    </row>
    <row r="93" spans="2:30" ht="13.5" customHeight="1" x14ac:dyDescent="0.25">
      <c r="B93" s="586" t="s">
        <v>328</v>
      </c>
      <c r="C93" s="468">
        <v>2100</v>
      </c>
      <c r="D93" s="454"/>
      <c r="E93" s="454"/>
      <c r="F93" s="584">
        <v>250</v>
      </c>
      <c r="G93" s="454"/>
      <c r="H93" s="584">
        <v>600</v>
      </c>
      <c r="I93" s="584">
        <v>99.18</v>
      </c>
      <c r="J93" s="584">
        <v>8.5</v>
      </c>
      <c r="K93" s="584">
        <v>13</v>
      </c>
      <c r="L93" s="456">
        <f t="shared" si="36"/>
        <v>3070.68</v>
      </c>
      <c r="M93" s="457">
        <f t="shared" si="37"/>
        <v>470</v>
      </c>
      <c r="N93" s="458">
        <f t="shared" si="38"/>
        <v>35.25</v>
      </c>
      <c r="O93" s="458">
        <f t="shared" si="39"/>
        <v>136.29999999999998</v>
      </c>
      <c r="P93" s="458">
        <f t="shared" si="40"/>
        <v>188</v>
      </c>
      <c r="Q93" s="459">
        <f t="shared" si="41"/>
        <v>829.55</v>
      </c>
      <c r="R93" s="460">
        <f t="shared" si="42"/>
        <v>195.83333333333334</v>
      </c>
      <c r="S93" s="461">
        <f t="shared" si="43"/>
        <v>65.277777777777786</v>
      </c>
      <c r="T93" s="461">
        <f t="shared" si="44"/>
        <v>20.888888888888893</v>
      </c>
      <c r="U93" s="454">
        <f t="shared" si="45"/>
        <v>195.83333333333334</v>
      </c>
      <c r="V93" s="454">
        <f t="shared" si="46"/>
        <v>15.666666666666668</v>
      </c>
      <c r="W93" s="454">
        <f t="shared" si="47"/>
        <v>195.83333333333334</v>
      </c>
      <c r="X93" s="454">
        <f t="shared" si="48"/>
        <v>15.666666666666668</v>
      </c>
      <c r="Y93" s="454">
        <f t="shared" si="49"/>
        <v>120.1111111111111</v>
      </c>
      <c r="Z93" s="454">
        <f t="shared" si="50"/>
        <v>178.20833333333337</v>
      </c>
      <c r="AA93" s="456">
        <f t="shared" si="51"/>
        <v>1003.3194444444445</v>
      </c>
      <c r="AB93" s="587">
        <f t="shared" si="52"/>
        <v>4903.5494444444439</v>
      </c>
    </row>
    <row r="94" spans="2:30" ht="13.5" customHeight="1" x14ac:dyDescent="0.25">
      <c r="B94" s="586" t="s">
        <v>329</v>
      </c>
      <c r="C94" s="468">
        <v>2100</v>
      </c>
      <c r="D94" s="454"/>
      <c r="E94" s="454"/>
      <c r="F94" s="584">
        <v>250</v>
      </c>
      <c r="G94" s="454"/>
      <c r="H94" s="584">
        <v>600</v>
      </c>
      <c r="I94" s="584">
        <v>99.18</v>
      </c>
      <c r="J94" s="584">
        <v>8.5</v>
      </c>
      <c r="K94" s="584">
        <v>13</v>
      </c>
      <c r="L94" s="456">
        <f t="shared" si="36"/>
        <v>3070.68</v>
      </c>
      <c r="M94" s="457">
        <f t="shared" si="37"/>
        <v>470</v>
      </c>
      <c r="N94" s="458">
        <f t="shared" si="38"/>
        <v>35.25</v>
      </c>
      <c r="O94" s="458">
        <f t="shared" si="39"/>
        <v>136.29999999999998</v>
      </c>
      <c r="P94" s="458">
        <f t="shared" si="40"/>
        <v>188</v>
      </c>
      <c r="Q94" s="459">
        <f t="shared" si="41"/>
        <v>829.55</v>
      </c>
      <c r="R94" s="460">
        <f t="shared" si="42"/>
        <v>195.83333333333334</v>
      </c>
      <c r="S94" s="461">
        <f t="shared" si="43"/>
        <v>65.277777777777786</v>
      </c>
      <c r="T94" s="461">
        <f t="shared" si="44"/>
        <v>20.888888888888893</v>
      </c>
      <c r="U94" s="454">
        <f t="shared" si="45"/>
        <v>195.83333333333334</v>
      </c>
      <c r="V94" s="454">
        <f t="shared" si="46"/>
        <v>15.666666666666668</v>
      </c>
      <c r="W94" s="454">
        <f t="shared" si="47"/>
        <v>195.83333333333334</v>
      </c>
      <c r="X94" s="454">
        <f t="shared" si="48"/>
        <v>15.666666666666668</v>
      </c>
      <c r="Y94" s="454">
        <f t="shared" si="49"/>
        <v>120.1111111111111</v>
      </c>
      <c r="Z94" s="454">
        <f t="shared" si="50"/>
        <v>178.20833333333337</v>
      </c>
      <c r="AA94" s="456">
        <f t="shared" si="51"/>
        <v>1003.3194444444445</v>
      </c>
      <c r="AB94" s="587">
        <f t="shared" si="52"/>
        <v>4903.5494444444439</v>
      </c>
    </row>
    <row r="95" spans="2:30" ht="13.5" customHeight="1" x14ac:dyDescent="0.25">
      <c r="B95" s="586" t="s">
        <v>330</v>
      </c>
      <c r="C95" s="468">
        <v>2100</v>
      </c>
      <c r="D95" s="454"/>
      <c r="E95" s="454"/>
      <c r="F95" s="584">
        <v>0</v>
      </c>
      <c r="G95" s="454"/>
      <c r="H95" s="584">
        <v>600</v>
      </c>
      <c r="I95" s="584">
        <v>99.18</v>
      </c>
      <c r="J95" s="584">
        <v>8.5</v>
      </c>
      <c r="K95" s="584">
        <v>13</v>
      </c>
      <c r="L95" s="456">
        <f t="shared" si="36"/>
        <v>2820.68</v>
      </c>
      <c r="M95" s="457">
        <f t="shared" si="37"/>
        <v>420</v>
      </c>
      <c r="N95" s="458">
        <f t="shared" si="38"/>
        <v>31.5</v>
      </c>
      <c r="O95" s="458">
        <f t="shared" si="39"/>
        <v>121.8</v>
      </c>
      <c r="P95" s="458">
        <f t="shared" si="40"/>
        <v>168</v>
      </c>
      <c r="Q95" s="459">
        <f t="shared" si="41"/>
        <v>741.3</v>
      </c>
      <c r="R95" s="460">
        <f t="shared" si="42"/>
        <v>175</v>
      </c>
      <c r="S95" s="461">
        <f t="shared" si="43"/>
        <v>58.333333333333336</v>
      </c>
      <c r="T95" s="461">
        <f t="shared" si="44"/>
        <v>18.666666666666668</v>
      </c>
      <c r="U95" s="454">
        <f t="shared" si="45"/>
        <v>175</v>
      </c>
      <c r="V95" s="454">
        <f t="shared" si="46"/>
        <v>14</v>
      </c>
      <c r="W95" s="454">
        <f t="shared" si="47"/>
        <v>175</v>
      </c>
      <c r="X95" s="454">
        <f t="shared" si="48"/>
        <v>14</v>
      </c>
      <c r="Y95" s="454">
        <f t="shared" si="49"/>
        <v>107.33333333333333</v>
      </c>
      <c r="Z95" s="454">
        <f t="shared" si="50"/>
        <v>159.25000000000003</v>
      </c>
      <c r="AA95" s="456">
        <f t="shared" si="51"/>
        <v>896.58333333333337</v>
      </c>
      <c r="AB95" s="587">
        <f t="shared" si="52"/>
        <v>4458.5633333333326</v>
      </c>
    </row>
    <row r="96" spans="2:30" ht="13.5" customHeight="1" x14ac:dyDescent="0.25">
      <c r="B96" s="586" t="s">
        <v>359</v>
      </c>
      <c r="C96" s="468">
        <v>0</v>
      </c>
      <c r="D96" s="454"/>
      <c r="E96" s="454"/>
      <c r="F96" s="584"/>
      <c r="G96" s="454"/>
      <c r="H96" s="584">
        <v>0</v>
      </c>
      <c r="I96" s="584">
        <v>99.18</v>
      </c>
      <c r="J96" s="584">
        <v>8.5</v>
      </c>
      <c r="K96" s="584">
        <v>13</v>
      </c>
      <c r="L96" s="456">
        <f t="shared" si="36"/>
        <v>120.68</v>
      </c>
      <c r="M96" s="457">
        <f t="shared" si="37"/>
        <v>0</v>
      </c>
      <c r="N96" s="458">
        <f t="shared" si="38"/>
        <v>0</v>
      </c>
      <c r="O96" s="458">
        <f t="shared" si="39"/>
        <v>0</v>
      </c>
      <c r="P96" s="458">
        <f t="shared" si="40"/>
        <v>0</v>
      </c>
      <c r="Q96" s="459">
        <f t="shared" si="41"/>
        <v>0</v>
      </c>
      <c r="R96" s="460">
        <f t="shared" si="42"/>
        <v>0</v>
      </c>
      <c r="S96" s="461">
        <f t="shared" si="43"/>
        <v>0</v>
      </c>
      <c r="T96" s="461">
        <f t="shared" si="44"/>
        <v>0</v>
      </c>
      <c r="U96" s="454">
        <f t="shared" si="45"/>
        <v>0</v>
      </c>
      <c r="V96" s="454">
        <f t="shared" si="46"/>
        <v>0</v>
      </c>
      <c r="W96" s="454">
        <f t="shared" si="47"/>
        <v>0</v>
      </c>
      <c r="X96" s="454">
        <f t="shared" si="48"/>
        <v>0</v>
      </c>
      <c r="Y96" s="454">
        <f t="shared" si="49"/>
        <v>0</v>
      </c>
      <c r="Z96" s="454">
        <f t="shared" si="50"/>
        <v>0</v>
      </c>
      <c r="AA96" s="456">
        <f t="shared" si="51"/>
        <v>0</v>
      </c>
      <c r="AB96" s="587">
        <f t="shared" si="52"/>
        <v>120.68</v>
      </c>
    </row>
    <row r="97" spans="2:28" ht="13.5" customHeight="1" x14ac:dyDescent="0.25">
      <c r="B97" s="586" t="s">
        <v>332</v>
      </c>
      <c r="C97" s="468">
        <v>2100</v>
      </c>
      <c r="D97" s="454"/>
      <c r="E97" s="454"/>
      <c r="F97" s="584">
        <v>250</v>
      </c>
      <c r="G97" s="454"/>
      <c r="H97" s="584">
        <v>600</v>
      </c>
      <c r="I97" s="584">
        <v>99.18</v>
      </c>
      <c r="J97" s="584">
        <v>8.5</v>
      </c>
      <c r="K97" s="584">
        <v>13</v>
      </c>
      <c r="L97" s="456">
        <f t="shared" si="36"/>
        <v>3070.68</v>
      </c>
      <c r="M97" s="457">
        <f t="shared" si="37"/>
        <v>470</v>
      </c>
      <c r="N97" s="458">
        <f t="shared" si="38"/>
        <v>35.25</v>
      </c>
      <c r="O97" s="458">
        <f t="shared" si="39"/>
        <v>136.29999999999998</v>
      </c>
      <c r="P97" s="458">
        <f t="shared" si="40"/>
        <v>188</v>
      </c>
      <c r="Q97" s="459">
        <f t="shared" si="41"/>
        <v>829.55</v>
      </c>
      <c r="R97" s="460">
        <f t="shared" si="42"/>
        <v>195.83333333333334</v>
      </c>
      <c r="S97" s="461">
        <f t="shared" si="43"/>
        <v>65.277777777777786</v>
      </c>
      <c r="T97" s="461">
        <f t="shared" si="44"/>
        <v>20.888888888888893</v>
      </c>
      <c r="U97" s="454">
        <f t="shared" si="45"/>
        <v>195.83333333333334</v>
      </c>
      <c r="V97" s="454">
        <f t="shared" si="46"/>
        <v>15.666666666666668</v>
      </c>
      <c r="W97" s="454">
        <f t="shared" si="47"/>
        <v>195.83333333333334</v>
      </c>
      <c r="X97" s="454">
        <f t="shared" si="48"/>
        <v>15.666666666666668</v>
      </c>
      <c r="Y97" s="454">
        <f t="shared" si="49"/>
        <v>120.1111111111111</v>
      </c>
      <c r="Z97" s="454">
        <f t="shared" si="50"/>
        <v>178.20833333333337</v>
      </c>
      <c r="AA97" s="456">
        <f t="shared" si="51"/>
        <v>1003.3194444444445</v>
      </c>
      <c r="AB97" s="587">
        <f t="shared" si="52"/>
        <v>4903.5494444444439</v>
      </c>
    </row>
    <row r="98" spans="2:28" ht="13.5" customHeight="1" x14ac:dyDescent="0.25">
      <c r="B98" s="586" t="s">
        <v>333</v>
      </c>
      <c r="C98" s="468">
        <v>2100</v>
      </c>
      <c r="D98" s="454"/>
      <c r="E98" s="454"/>
      <c r="F98" s="584">
        <v>250</v>
      </c>
      <c r="G98" s="454"/>
      <c r="H98" s="584">
        <v>600</v>
      </c>
      <c r="I98" s="584">
        <v>99.18</v>
      </c>
      <c r="J98" s="584">
        <v>8.5</v>
      </c>
      <c r="K98" s="584">
        <v>13</v>
      </c>
      <c r="L98" s="456">
        <f t="shared" si="36"/>
        <v>3070.68</v>
      </c>
      <c r="M98" s="457">
        <f t="shared" si="37"/>
        <v>470</v>
      </c>
      <c r="N98" s="458">
        <f t="shared" si="38"/>
        <v>35.25</v>
      </c>
      <c r="O98" s="458">
        <f t="shared" si="39"/>
        <v>136.29999999999998</v>
      </c>
      <c r="P98" s="458">
        <f t="shared" si="40"/>
        <v>188</v>
      </c>
      <c r="Q98" s="459">
        <f t="shared" si="41"/>
        <v>829.55</v>
      </c>
      <c r="R98" s="460">
        <f t="shared" si="42"/>
        <v>195.83333333333334</v>
      </c>
      <c r="S98" s="461">
        <f t="shared" si="43"/>
        <v>65.277777777777786</v>
      </c>
      <c r="T98" s="461">
        <f t="shared" si="44"/>
        <v>20.888888888888893</v>
      </c>
      <c r="U98" s="454">
        <f t="shared" si="45"/>
        <v>195.83333333333334</v>
      </c>
      <c r="V98" s="454">
        <f t="shared" si="46"/>
        <v>15.666666666666668</v>
      </c>
      <c r="W98" s="454">
        <f t="shared" si="47"/>
        <v>195.83333333333334</v>
      </c>
      <c r="X98" s="454">
        <f t="shared" si="48"/>
        <v>15.666666666666668</v>
      </c>
      <c r="Y98" s="454">
        <f t="shared" si="49"/>
        <v>120.1111111111111</v>
      </c>
      <c r="Z98" s="454">
        <f t="shared" si="50"/>
        <v>178.20833333333337</v>
      </c>
      <c r="AA98" s="456">
        <f t="shared" si="51"/>
        <v>1003.3194444444445</v>
      </c>
      <c r="AB98" s="587">
        <f t="shared" si="52"/>
        <v>4903.5494444444439</v>
      </c>
    </row>
    <row r="99" spans="2:28" ht="13.5" customHeight="1" x14ac:dyDescent="0.25">
      <c r="B99" s="586" t="s">
        <v>334</v>
      </c>
      <c r="C99" s="468">
        <v>4200</v>
      </c>
      <c r="D99" s="454"/>
      <c r="E99" s="454"/>
      <c r="F99" s="584">
        <v>250</v>
      </c>
      <c r="G99" s="454"/>
      <c r="H99" s="584">
        <v>600</v>
      </c>
      <c r="I99" s="584">
        <v>99.18</v>
      </c>
      <c r="J99" s="584">
        <v>8.5</v>
      </c>
      <c r="K99" s="584">
        <v>13</v>
      </c>
      <c r="L99" s="456">
        <f t="shared" si="36"/>
        <v>5170.68</v>
      </c>
      <c r="M99" s="457">
        <f t="shared" si="37"/>
        <v>890</v>
      </c>
      <c r="N99" s="458">
        <f t="shared" si="38"/>
        <v>66.75</v>
      </c>
      <c r="O99" s="458">
        <f t="shared" si="39"/>
        <v>258.09999999999997</v>
      </c>
      <c r="P99" s="458">
        <f t="shared" si="40"/>
        <v>356</v>
      </c>
      <c r="Q99" s="459">
        <f t="shared" si="41"/>
        <v>1570.85</v>
      </c>
      <c r="R99" s="460">
        <f t="shared" si="42"/>
        <v>370.83333333333331</v>
      </c>
      <c r="S99" s="461">
        <f t="shared" si="43"/>
        <v>123.6111111111111</v>
      </c>
      <c r="T99" s="461">
        <f t="shared" si="44"/>
        <v>39.55555555555555</v>
      </c>
      <c r="U99" s="454">
        <f t="shared" si="45"/>
        <v>370.83333333333331</v>
      </c>
      <c r="V99" s="454">
        <f t="shared" si="46"/>
        <v>29.666666666666664</v>
      </c>
      <c r="W99" s="454">
        <f t="shared" si="47"/>
        <v>370.83333333333331</v>
      </c>
      <c r="X99" s="454">
        <f t="shared" si="48"/>
        <v>29.666666666666664</v>
      </c>
      <c r="Y99" s="454">
        <f t="shared" si="49"/>
        <v>227.44444444444446</v>
      </c>
      <c r="Z99" s="454">
        <f t="shared" si="50"/>
        <v>337.45833333333337</v>
      </c>
      <c r="AA99" s="456">
        <f t="shared" si="51"/>
        <v>1899.9027777777778</v>
      </c>
      <c r="AB99" s="587">
        <f t="shared" si="52"/>
        <v>8641.432777777778</v>
      </c>
    </row>
    <row r="100" spans="2:28" ht="13.5" customHeight="1" x14ac:dyDescent="0.25">
      <c r="B100" s="586" t="s">
        <v>336</v>
      </c>
      <c r="C100" s="468">
        <v>2100</v>
      </c>
      <c r="D100" s="454"/>
      <c r="E100" s="454"/>
      <c r="F100" s="584">
        <v>0</v>
      </c>
      <c r="G100" s="454"/>
      <c r="H100" s="584">
        <v>600</v>
      </c>
      <c r="I100" s="584">
        <v>99.18</v>
      </c>
      <c r="J100" s="584">
        <v>8.5</v>
      </c>
      <c r="K100" s="584">
        <v>13</v>
      </c>
      <c r="L100" s="456">
        <f t="shared" si="36"/>
        <v>2820.68</v>
      </c>
      <c r="M100" s="457">
        <f t="shared" si="37"/>
        <v>420</v>
      </c>
      <c r="N100" s="458">
        <f t="shared" si="38"/>
        <v>31.5</v>
      </c>
      <c r="O100" s="458">
        <f t="shared" si="39"/>
        <v>121.8</v>
      </c>
      <c r="P100" s="458">
        <f t="shared" si="40"/>
        <v>168</v>
      </c>
      <c r="Q100" s="459">
        <f t="shared" si="41"/>
        <v>741.3</v>
      </c>
      <c r="R100" s="460">
        <f t="shared" si="42"/>
        <v>175</v>
      </c>
      <c r="S100" s="461">
        <f t="shared" si="43"/>
        <v>58.333333333333336</v>
      </c>
      <c r="T100" s="461">
        <f t="shared" si="44"/>
        <v>18.666666666666668</v>
      </c>
      <c r="U100" s="454">
        <f t="shared" si="45"/>
        <v>175</v>
      </c>
      <c r="V100" s="454">
        <f t="shared" si="46"/>
        <v>14</v>
      </c>
      <c r="W100" s="454">
        <f t="shared" si="47"/>
        <v>175</v>
      </c>
      <c r="X100" s="454">
        <f t="shared" si="48"/>
        <v>14</v>
      </c>
      <c r="Y100" s="454">
        <f t="shared" si="49"/>
        <v>107.33333333333333</v>
      </c>
      <c r="Z100" s="454">
        <f t="shared" si="50"/>
        <v>159.25000000000003</v>
      </c>
      <c r="AA100" s="456">
        <f t="shared" si="51"/>
        <v>896.58333333333337</v>
      </c>
      <c r="AB100" s="587">
        <f t="shared" si="52"/>
        <v>4458.5633333333326</v>
      </c>
    </row>
    <row r="101" spans="2:28" ht="13.5" customHeight="1" x14ac:dyDescent="0.25">
      <c r="B101" s="586" t="s">
        <v>337</v>
      </c>
      <c r="C101" s="468">
        <v>2100</v>
      </c>
      <c r="D101" s="454"/>
      <c r="E101" s="454"/>
      <c r="F101" s="588"/>
      <c r="G101" s="454"/>
      <c r="H101" s="584">
        <v>600</v>
      </c>
      <c r="I101" s="584">
        <v>99.18</v>
      </c>
      <c r="J101" s="584">
        <v>8.5</v>
      </c>
      <c r="K101" s="584">
        <v>13</v>
      </c>
      <c r="L101" s="456">
        <f t="shared" si="36"/>
        <v>2820.68</v>
      </c>
      <c r="M101" s="457">
        <f t="shared" si="37"/>
        <v>420</v>
      </c>
      <c r="N101" s="458">
        <f t="shared" si="38"/>
        <v>31.5</v>
      </c>
      <c r="O101" s="458">
        <f t="shared" si="39"/>
        <v>121.8</v>
      </c>
      <c r="P101" s="458">
        <f t="shared" si="40"/>
        <v>168</v>
      </c>
      <c r="Q101" s="459">
        <f t="shared" si="41"/>
        <v>741.3</v>
      </c>
      <c r="R101" s="460">
        <f t="shared" si="42"/>
        <v>175</v>
      </c>
      <c r="S101" s="461">
        <f t="shared" si="43"/>
        <v>58.333333333333336</v>
      </c>
      <c r="T101" s="461">
        <f t="shared" si="44"/>
        <v>18.666666666666668</v>
      </c>
      <c r="U101" s="454">
        <f t="shared" si="45"/>
        <v>175</v>
      </c>
      <c r="V101" s="454">
        <f t="shared" si="46"/>
        <v>14</v>
      </c>
      <c r="W101" s="454">
        <f t="shared" si="47"/>
        <v>175</v>
      </c>
      <c r="X101" s="454">
        <f t="shared" si="48"/>
        <v>14</v>
      </c>
      <c r="Y101" s="454">
        <f t="shared" si="49"/>
        <v>107.33333333333333</v>
      </c>
      <c r="Z101" s="454">
        <f t="shared" si="50"/>
        <v>159.25000000000003</v>
      </c>
      <c r="AA101" s="456">
        <f t="shared" si="51"/>
        <v>896.58333333333337</v>
      </c>
      <c r="AB101" s="587">
        <f t="shared" si="52"/>
        <v>4458.5633333333326</v>
      </c>
    </row>
    <row r="102" spans="2:28" ht="13.5" customHeight="1" x14ac:dyDescent="0.25">
      <c r="B102" s="586" t="s">
        <v>338</v>
      </c>
      <c r="C102" s="468">
        <v>2100</v>
      </c>
      <c r="D102" s="454"/>
      <c r="E102" s="454"/>
      <c r="F102" s="584">
        <v>250</v>
      </c>
      <c r="G102" s="454"/>
      <c r="H102" s="584">
        <v>600</v>
      </c>
      <c r="I102" s="584">
        <v>99.18</v>
      </c>
      <c r="J102" s="584">
        <v>8.5</v>
      </c>
      <c r="K102" s="584">
        <v>13</v>
      </c>
      <c r="L102" s="456">
        <f t="shared" si="36"/>
        <v>3070.68</v>
      </c>
      <c r="M102" s="457">
        <f t="shared" si="37"/>
        <v>470</v>
      </c>
      <c r="N102" s="458">
        <f t="shared" si="38"/>
        <v>35.25</v>
      </c>
      <c r="O102" s="458">
        <f t="shared" si="39"/>
        <v>136.29999999999998</v>
      </c>
      <c r="P102" s="458">
        <f t="shared" si="40"/>
        <v>188</v>
      </c>
      <c r="Q102" s="459">
        <f t="shared" si="41"/>
        <v>829.55</v>
      </c>
      <c r="R102" s="460">
        <f t="shared" si="42"/>
        <v>195.83333333333334</v>
      </c>
      <c r="S102" s="461">
        <f t="shared" si="43"/>
        <v>65.277777777777786</v>
      </c>
      <c r="T102" s="461">
        <f t="shared" si="44"/>
        <v>20.888888888888893</v>
      </c>
      <c r="U102" s="454">
        <f t="shared" si="45"/>
        <v>195.83333333333334</v>
      </c>
      <c r="V102" s="454">
        <f t="shared" si="46"/>
        <v>15.666666666666668</v>
      </c>
      <c r="W102" s="454">
        <f t="shared" si="47"/>
        <v>195.83333333333334</v>
      </c>
      <c r="X102" s="454">
        <f t="shared" si="48"/>
        <v>15.666666666666668</v>
      </c>
      <c r="Y102" s="454">
        <f t="shared" si="49"/>
        <v>120.1111111111111</v>
      </c>
      <c r="Z102" s="454">
        <f t="shared" si="50"/>
        <v>178.20833333333337</v>
      </c>
      <c r="AA102" s="456">
        <f t="shared" si="51"/>
        <v>1003.3194444444445</v>
      </c>
      <c r="AB102" s="587">
        <f t="shared" si="52"/>
        <v>4903.5494444444439</v>
      </c>
    </row>
    <row r="103" spans="2:28" ht="13.5" customHeight="1" x14ac:dyDescent="0.25">
      <c r="B103" s="586" t="s">
        <v>357</v>
      </c>
      <c r="C103" s="468">
        <v>2100</v>
      </c>
      <c r="D103" s="454"/>
      <c r="E103" s="454"/>
      <c r="F103" s="584"/>
      <c r="G103" s="454"/>
      <c r="H103" s="584">
        <v>600</v>
      </c>
      <c r="I103" s="584">
        <v>99.18</v>
      </c>
      <c r="J103" s="584">
        <v>8.5</v>
      </c>
      <c r="K103" s="584">
        <v>0</v>
      </c>
      <c r="L103" s="456">
        <f t="shared" si="36"/>
        <v>2807.68</v>
      </c>
      <c r="M103" s="457">
        <f t="shared" si="37"/>
        <v>420</v>
      </c>
      <c r="N103" s="458">
        <f t="shared" si="38"/>
        <v>31.5</v>
      </c>
      <c r="O103" s="458">
        <f t="shared" si="39"/>
        <v>121.8</v>
      </c>
      <c r="P103" s="458">
        <f t="shared" si="40"/>
        <v>168</v>
      </c>
      <c r="Q103" s="459">
        <f t="shared" si="41"/>
        <v>741.3</v>
      </c>
      <c r="R103" s="460">
        <f t="shared" si="42"/>
        <v>175</v>
      </c>
      <c r="S103" s="461">
        <f t="shared" si="43"/>
        <v>58.333333333333336</v>
      </c>
      <c r="T103" s="461">
        <f t="shared" si="44"/>
        <v>18.666666666666668</v>
      </c>
      <c r="U103" s="454">
        <f t="shared" si="45"/>
        <v>175</v>
      </c>
      <c r="V103" s="454">
        <f t="shared" si="46"/>
        <v>14</v>
      </c>
      <c r="W103" s="454">
        <f t="shared" si="47"/>
        <v>175</v>
      </c>
      <c r="X103" s="454">
        <f t="shared" si="48"/>
        <v>14</v>
      </c>
      <c r="Y103" s="454">
        <f t="shared" si="49"/>
        <v>107.33333333333333</v>
      </c>
      <c r="Z103" s="454">
        <f t="shared" si="50"/>
        <v>159.25000000000003</v>
      </c>
      <c r="AA103" s="456">
        <f t="shared" si="51"/>
        <v>896.58333333333337</v>
      </c>
      <c r="AB103" s="587">
        <f t="shared" si="52"/>
        <v>4445.5633333333326</v>
      </c>
    </row>
    <row r="104" spans="2:28" ht="13.5" customHeight="1" x14ac:dyDescent="0.25">
      <c r="B104" s="586" t="s">
        <v>340</v>
      </c>
      <c r="C104" s="468">
        <v>2100</v>
      </c>
      <c r="D104" s="454"/>
      <c r="E104" s="454"/>
      <c r="F104" s="584">
        <v>0</v>
      </c>
      <c r="G104" s="454"/>
      <c r="H104" s="584">
        <v>600</v>
      </c>
      <c r="I104" s="584">
        <v>99.18</v>
      </c>
      <c r="J104" s="584">
        <v>8.5</v>
      </c>
      <c r="K104" s="584">
        <v>13</v>
      </c>
      <c r="L104" s="456">
        <f t="shared" si="36"/>
        <v>2820.68</v>
      </c>
      <c r="M104" s="457">
        <f t="shared" si="37"/>
        <v>420</v>
      </c>
      <c r="N104" s="458">
        <f t="shared" si="38"/>
        <v>31.5</v>
      </c>
      <c r="O104" s="458">
        <f t="shared" si="39"/>
        <v>121.8</v>
      </c>
      <c r="P104" s="458">
        <f t="shared" si="40"/>
        <v>168</v>
      </c>
      <c r="Q104" s="459">
        <f t="shared" si="41"/>
        <v>741.3</v>
      </c>
      <c r="R104" s="460">
        <f t="shared" si="42"/>
        <v>175</v>
      </c>
      <c r="S104" s="461">
        <f t="shared" si="43"/>
        <v>58.333333333333336</v>
      </c>
      <c r="T104" s="461">
        <f t="shared" si="44"/>
        <v>18.666666666666668</v>
      </c>
      <c r="U104" s="454">
        <f t="shared" si="45"/>
        <v>175</v>
      </c>
      <c r="V104" s="454">
        <f t="shared" si="46"/>
        <v>14</v>
      </c>
      <c r="W104" s="454">
        <f t="shared" si="47"/>
        <v>175</v>
      </c>
      <c r="X104" s="454">
        <f t="shared" si="48"/>
        <v>14</v>
      </c>
      <c r="Y104" s="454">
        <f t="shared" si="49"/>
        <v>107.33333333333333</v>
      </c>
      <c r="Z104" s="454">
        <f t="shared" si="50"/>
        <v>159.25000000000003</v>
      </c>
      <c r="AA104" s="456">
        <f t="shared" si="51"/>
        <v>896.58333333333337</v>
      </c>
      <c r="AB104" s="587">
        <f t="shared" si="52"/>
        <v>4458.5633333333326</v>
      </c>
    </row>
    <row r="105" spans="2:28" ht="13.5" customHeight="1" x14ac:dyDescent="0.25">
      <c r="B105" s="586" t="s">
        <v>341</v>
      </c>
      <c r="C105" s="468">
        <v>2100</v>
      </c>
      <c r="D105" s="454"/>
      <c r="E105" s="454"/>
      <c r="F105" s="584">
        <v>250</v>
      </c>
      <c r="G105" s="454"/>
      <c r="H105" s="584">
        <v>600</v>
      </c>
      <c r="I105" s="584">
        <v>99.18</v>
      </c>
      <c r="J105" s="584">
        <v>8.5</v>
      </c>
      <c r="K105" s="584">
        <v>13</v>
      </c>
      <c r="L105" s="456">
        <f t="shared" si="36"/>
        <v>3070.68</v>
      </c>
      <c r="M105" s="457">
        <f t="shared" si="37"/>
        <v>470</v>
      </c>
      <c r="N105" s="458">
        <f t="shared" si="38"/>
        <v>35.25</v>
      </c>
      <c r="O105" s="458">
        <f t="shared" si="39"/>
        <v>136.29999999999998</v>
      </c>
      <c r="P105" s="458">
        <f t="shared" si="40"/>
        <v>188</v>
      </c>
      <c r="Q105" s="459">
        <f t="shared" si="41"/>
        <v>829.55</v>
      </c>
      <c r="R105" s="460">
        <f t="shared" si="42"/>
        <v>195.83333333333334</v>
      </c>
      <c r="S105" s="461">
        <f t="shared" si="43"/>
        <v>65.277777777777786</v>
      </c>
      <c r="T105" s="461">
        <f t="shared" si="44"/>
        <v>20.888888888888893</v>
      </c>
      <c r="U105" s="454">
        <f t="shared" si="45"/>
        <v>195.83333333333334</v>
      </c>
      <c r="V105" s="454">
        <f t="shared" si="46"/>
        <v>15.666666666666668</v>
      </c>
      <c r="W105" s="454">
        <f t="shared" si="47"/>
        <v>195.83333333333334</v>
      </c>
      <c r="X105" s="454">
        <f t="shared" si="48"/>
        <v>15.666666666666668</v>
      </c>
      <c r="Y105" s="454">
        <f t="shared" si="49"/>
        <v>120.1111111111111</v>
      </c>
      <c r="Z105" s="454">
        <f t="shared" si="50"/>
        <v>178.20833333333337</v>
      </c>
      <c r="AA105" s="456">
        <f t="shared" si="51"/>
        <v>1003.3194444444445</v>
      </c>
      <c r="AB105" s="587">
        <f t="shared" si="52"/>
        <v>4903.5494444444439</v>
      </c>
    </row>
    <row r="106" spans="2:28" ht="13.5" customHeight="1" x14ac:dyDescent="0.25">
      <c r="B106" s="586" t="s">
        <v>342</v>
      </c>
      <c r="C106" s="468">
        <v>2100</v>
      </c>
      <c r="D106" s="454"/>
      <c r="E106" s="454"/>
      <c r="F106" s="584">
        <v>250</v>
      </c>
      <c r="G106" s="454"/>
      <c r="H106" s="584">
        <v>380</v>
      </c>
      <c r="I106" s="584">
        <v>99.18</v>
      </c>
      <c r="J106" s="584">
        <v>8.5</v>
      </c>
      <c r="K106" s="584">
        <v>13</v>
      </c>
      <c r="L106" s="456">
        <f t="shared" si="36"/>
        <v>2850.68</v>
      </c>
      <c r="M106" s="457">
        <f t="shared" si="37"/>
        <v>470</v>
      </c>
      <c r="N106" s="458">
        <f t="shared" si="38"/>
        <v>35.25</v>
      </c>
      <c r="O106" s="458">
        <f t="shared" si="39"/>
        <v>136.29999999999998</v>
      </c>
      <c r="P106" s="458">
        <f t="shared" si="40"/>
        <v>188</v>
      </c>
      <c r="Q106" s="459">
        <f t="shared" si="41"/>
        <v>829.55</v>
      </c>
      <c r="R106" s="460">
        <f t="shared" si="42"/>
        <v>195.83333333333334</v>
      </c>
      <c r="S106" s="461">
        <f t="shared" si="43"/>
        <v>65.277777777777786</v>
      </c>
      <c r="T106" s="461">
        <f t="shared" si="44"/>
        <v>20.888888888888893</v>
      </c>
      <c r="U106" s="454">
        <f t="shared" si="45"/>
        <v>195.83333333333334</v>
      </c>
      <c r="V106" s="454">
        <f t="shared" si="46"/>
        <v>15.666666666666668</v>
      </c>
      <c r="W106" s="454">
        <f t="shared" si="47"/>
        <v>195.83333333333334</v>
      </c>
      <c r="X106" s="454">
        <f t="shared" si="48"/>
        <v>15.666666666666668</v>
      </c>
      <c r="Y106" s="454">
        <f t="shared" si="49"/>
        <v>120.1111111111111</v>
      </c>
      <c r="Z106" s="454">
        <f t="shared" si="50"/>
        <v>178.20833333333337</v>
      </c>
      <c r="AA106" s="456">
        <f t="shared" si="51"/>
        <v>1003.3194444444445</v>
      </c>
      <c r="AB106" s="587">
        <f t="shared" si="52"/>
        <v>4683.5494444444439</v>
      </c>
    </row>
    <row r="107" spans="2:28" ht="13.5" customHeight="1" x14ac:dyDescent="0.25">
      <c r="B107" s="586" t="s">
        <v>343</v>
      </c>
      <c r="C107" s="468">
        <v>2100</v>
      </c>
      <c r="D107" s="454"/>
      <c r="E107" s="454"/>
      <c r="F107" s="584">
        <v>250</v>
      </c>
      <c r="G107" s="454"/>
      <c r="H107" s="584">
        <v>600</v>
      </c>
      <c r="I107" s="584">
        <v>99.2</v>
      </c>
      <c r="J107" s="584">
        <v>8.5</v>
      </c>
      <c r="K107" s="584">
        <v>13</v>
      </c>
      <c r="L107" s="456">
        <f t="shared" si="36"/>
        <v>3070.7</v>
      </c>
      <c r="M107" s="457">
        <f t="shared" si="37"/>
        <v>470</v>
      </c>
      <c r="N107" s="458">
        <f t="shared" si="38"/>
        <v>35.25</v>
      </c>
      <c r="O107" s="458">
        <f t="shared" si="39"/>
        <v>136.29999999999998</v>
      </c>
      <c r="P107" s="458">
        <f t="shared" si="40"/>
        <v>188</v>
      </c>
      <c r="Q107" s="459">
        <f t="shared" si="41"/>
        <v>829.55</v>
      </c>
      <c r="R107" s="460">
        <f t="shared" si="42"/>
        <v>195.83333333333334</v>
      </c>
      <c r="S107" s="461">
        <f t="shared" si="43"/>
        <v>65.277777777777786</v>
      </c>
      <c r="T107" s="461">
        <f t="shared" si="44"/>
        <v>20.888888888888893</v>
      </c>
      <c r="U107" s="454">
        <f t="shared" si="45"/>
        <v>195.83333333333334</v>
      </c>
      <c r="V107" s="454">
        <f t="shared" si="46"/>
        <v>15.666666666666668</v>
      </c>
      <c r="W107" s="454">
        <f t="shared" si="47"/>
        <v>195.83333333333334</v>
      </c>
      <c r="X107" s="454">
        <f t="shared" si="48"/>
        <v>15.666666666666668</v>
      </c>
      <c r="Y107" s="454">
        <f t="shared" si="49"/>
        <v>120.1111111111111</v>
      </c>
      <c r="Z107" s="454">
        <f t="shared" si="50"/>
        <v>178.20833333333337</v>
      </c>
      <c r="AA107" s="456">
        <f t="shared" si="51"/>
        <v>1003.3194444444445</v>
      </c>
      <c r="AB107" s="587">
        <f t="shared" si="52"/>
        <v>4903.5694444444443</v>
      </c>
    </row>
    <row r="108" spans="2:28" ht="13.5" customHeight="1" x14ac:dyDescent="0.25">
      <c r="B108" s="586" t="s">
        <v>344</v>
      </c>
      <c r="C108" s="468">
        <v>3000</v>
      </c>
      <c r="D108" s="454"/>
      <c r="E108" s="454"/>
      <c r="F108" s="584"/>
      <c r="G108" s="454"/>
      <c r="H108" s="584">
        <v>600</v>
      </c>
      <c r="I108" s="584">
        <v>99.2</v>
      </c>
      <c r="J108" s="584">
        <v>8.5</v>
      </c>
      <c r="K108" s="584">
        <v>13</v>
      </c>
      <c r="L108" s="456">
        <f t="shared" si="36"/>
        <v>3720.7</v>
      </c>
      <c r="M108" s="457">
        <f t="shared" si="37"/>
        <v>600</v>
      </c>
      <c r="N108" s="458">
        <f t="shared" si="38"/>
        <v>45</v>
      </c>
      <c r="O108" s="458">
        <f t="shared" si="39"/>
        <v>174</v>
      </c>
      <c r="P108" s="458">
        <f t="shared" si="40"/>
        <v>240</v>
      </c>
      <c r="Q108" s="459">
        <f t="shared" si="41"/>
        <v>1059</v>
      </c>
      <c r="R108" s="460">
        <f t="shared" si="42"/>
        <v>250</v>
      </c>
      <c r="S108" s="461">
        <f t="shared" si="43"/>
        <v>83.333333333333329</v>
      </c>
      <c r="T108" s="461">
        <f t="shared" si="44"/>
        <v>26.666666666666664</v>
      </c>
      <c r="U108" s="454">
        <f t="shared" si="45"/>
        <v>250</v>
      </c>
      <c r="V108" s="454">
        <f t="shared" si="46"/>
        <v>20</v>
      </c>
      <c r="W108" s="454">
        <f t="shared" si="47"/>
        <v>250</v>
      </c>
      <c r="X108" s="454">
        <f t="shared" si="48"/>
        <v>20</v>
      </c>
      <c r="Y108" s="454">
        <f t="shared" si="49"/>
        <v>153.33333333333334</v>
      </c>
      <c r="Z108" s="454">
        <f t="shared" si="50"/>
        <v>227.5</v>
      </c>
      <c r="AA108" s="456">
        <f t="shared" si="51"/>
        <v>1280.8333333333333</v>
      </c>
      <c r="AB108" s="587">
        <f t="shared" si="52"/>
        <v>6060.5333333333328</v>
      </c>
    </row>
    <row r="109" spans="2:28" ht="13.5" customHeight="1" x14ac:dyDescent="0.25">
      <c r="B109" s="586" t="s">
        <v>345</v>
      </c>
      <c r="C109" s="468">
        <v>4200</v>
      </c>
      <c r="D109" s="454"/>
      <c r="E109" s="454"/>
      <c r="F109" s="584"/>
      <c r="G109" s="454"/>
      <c r="H109" s="584">
        <v>600</v>
      </c>
      <c r="I109" s="584">
        <v>99.2</v>
      </c>
      <c r="J109" s="584">
        <v>8.5</v>
      </c>
      <c r="K109" s="584">
        <v>13</v>
      </c>
      <c r="L109" s="456">
        <f t="shared" si="36"/>
        <v>4920.7</v>
      </c>
      <c r="M109" s="457">
        <f t="shared" si="37"/>
        <v>840</v>
      </c>
      <c r="N109" s="458">
        <f t="shared" si="38"/>
        <v>63</v>
      </c>
      <c r="O109" s="458">
        <f t="shared" si="39"/>
        <v>243.6</v>
      </c>
      <c r="P109" s="458">
        <f t="shared" si="40"/>
        <v>336</v>
      </c>
      <c r="Q109" s="459">
        <f t="shared" si="41"/>
        <v>1482.6</v>
      </c>
      <c r="R109" s="460">
        <f t="shared" si="42"/>
        <v>350</v>
      </c>
      <c r="S109" s="461">
        <f t="shared" si="43"/>
        <v>116.66666666666667</v>
      </c>
      <c r="T109" s="461">
        <f t="shared" si="44"/>
        <v>37.333333333333336</v>
      </c>
      <c r="U109" s="454">
        <f t="shared" si="45"/>
        <v>350</v>
      </c>
      <c r="V109" s="454">
        <f t="shared" si="46"/>
        <v>28</v>
      </c>
      <c r="W109" s="454">
        <f t="shared" si="47"/>
        <v>350</v>
      </c>
      <c r="X109" s="454">
        <f t="shared" si="48"/>
        <v>28</v>
      </c>
      <c r="Y109" s="454">
        <f t="shared" si="49"/>
        <v>214.66666666666666</v>
      </c>
      <c r="Z109" s="454">
        <f t="shared" si="50"/>
        <v>318.50000000000006</v>
      </c>
      <c r="AA109" s="456">
        <f t="shared" si="51"/>
        <v>1793.1666666666667</v>
      </c>
      <c r="AB109" s="587">
        <f t="shared" si="52"/>
        <v>8196.4666666666653</v>
      </c>
    </row>
    <row r="110" spans="2:28" ht="13.5" customHeight="1" x14ac:dyDescent="0.25">
      <c r="B110" s="586" t="s">
        <v>346</v>
      </c>
      <c r="C110" s="468">
        <v>1622</v>
      </c>
      <c r="D110" s="454"/>
      <c r="E110" s="454"/>
      <c r="F110" s="584"/>
      <c r="G110" s="454"/>
      <c r="H110" s="584">
        <v>0</v>
      </c>
      <c r="I110" s="584">
        <v>99.2</v>
      </c>
      <c r="J110" s="584">
        <v>8.5</v>
      </c>
      <c r="K110" s="584">
        <v>13</v>
      </c>
      <c r="L110" s="456">
        <f t="shared" si="36"/>
        <v>1742.7</v>
      </c>
      <c r="M110" s="457">
        <f t="shared" si="37"/>
        <v>324.40000000000003</v>
      </c>
      <c r="N110" s="458">
        <f t="shared" si="38"/>
        <v>24.33</v>
      </c>
      <c r="O110" s="458">
        <f t="shared" si="39"/>
        <v>94.075999999999993</v>
      </c>
      <c r="P110" s="458">
        <f t="shared" si="40"/>
        <v>129.76</v>
      </c>
      <c r="Q110" s="459">
        <f t="shared" si="41"/>
        <v>572.56600000000003</v>
      </c>
      <c r="R110" s="460">
        <f t="shared" si="42"/>
        <v>135.16666666666666</v>
      </c>
      <c r="S110" s="461">
        <f t="shared" si="43"/>
        <v>45.05555555555555</v>
      </c>
      <c r="T110" s="461">
        <f t="shared" si="44"/>
        <v>14.417777777777776</v>
      </c>
      <c r="U110" s="454">
        <f t="shared" si="45"/>
        <v>135.16666666666666</v>
      </c>
      <c r="V110" s="454">
        <f t="shared" si="46"/>
        <v>10.813333333333333</v>
      </c>
      <c r="W110" s="454">
        <f t="shared" si="47"/>
        <v>135.16666666666666</v>
      </c>
      <c r="X110" s="454">
        <f t="shared" si="48"/>
        <v>10.813333333333333</v>
      </c>
      <c r="Y110" s="454">
        <f t="shared" si="49"/>
        <v>82.902222222222221</v>
      </c>
      <c r="Z110" s="454">
        <f t="shared" si="50"/>
        <v>123.00166666666668</v>
      </c>
      <c r="AA110" s="456">
        <f t="shared" si="51"/>
        <v>692.50388888888881</v>
      </c>
      <c r="AB110" s="587">
        <f t="shared" si="52"/>
        <v>3007.769888888889</v>
      </c>
    </row>
    <row r="111" spans="2:28" ht="13.5" customHeight="1" x14ac:dyDescent="0.25">
      <c r="B111" s="586" t="s">
        <v>347</v>
      </c>
      <c r="C111" s="468">
        <v>2100</v>
      </c>
      <c r="D111" s="454"/>
      <c r="E111" s="454"/>
      <c r="F111" s="584"/>
      <c r="G111" s="454"/>
      <c r="H111" s="584">
        <v>600</v>
      </c>
      <c r="I111" s="584">
        <v>99.2</v>
      </c>
      <c r="J111" s="584">
        <v>8.5</v>
      </c>
      <c r="K111" s="584">
        <v>13</v>
      </c>
      <c r="L111" s="456">
        <f t="shared" si="36"/>
        <v>2820.7</v>
      </c>
      <c r="M111" s="457">
        <f t="shared" si="37"/>
        <v>420</v>
      </c>
      <c r="N111" s="458">
        <f t="shared" si="38"/>
        <v>31.5</v>
      </c>
      <c r="O111" s="458">
        <f t="shared" si="39"/>
        <v>121.8</v>
      </c>
      <c r="P111" s="458">
        <f t="shared" si="40"/>
        <v>168</v>
      </c>
      <c r="Q111" s="459">
        <f t="shared" si="41"/>
        <v>741.3</v>
      </c>
      <c r="R111" s="460">
        <f t="shared" si="42"/>
        <v>175</v>
      </c>
      <c r="S111" s="461">
        <f t="shared" si="43"/>
        <v>58.333333333333336</v>
      </c>
      <c r="T111" s="461">
        <f t="shared" si="44"/>
        <v>18.666666666666668</v>
      </c>
      <c r="U111" s="454">
        <f t="shared" si="45"/>
        <v>175</v>
      </c>
      <c r="V111" s="454">
        <f t="shared" si="46"/>
        <v>14</v>
      </c>
      <c r="W111" s="454">
        <f t="shared" si="47"/>
        <v>175</v>
      </c>
      <c r="X111" s="454">
        <f t="shared" si="48"/>
        <v>14</v>
      </c>
      <c r="Y111" s="454">
        <f t="shared" si="49"/>
        <v>107.33333333333333</v>
      </c>
      <c r="Z111" s="454">
        <f t="shared" si="50"/>
        <v>159.25000000000003</v>
      </c>
      <c r="AA111" s="456">
        <f t="shared" si="51"/>
        <v>896.58333333333337</v>
      </c>
      <c r="AB111" s="587">
        <f t="shared" si="52"/>
        <v>4458.583333333333</v>
      </c>
    </row>
    <row r="112" spans="2:28" ht="13.5" customHeight="1" x14ac:dyDescent="0.25">
      <c r="B112" s="586" t="s">
        <v>348</v>
      </c>
      <c r="C112" s="468">
        <v>2500</v>
      </c>
      <c r="D112" s="454"/>
      <c r="E112" s="454"/>
      <c r="F112" s="584"/>
      <c r="G112" s="454"/>
      <c r="H112" s="584"/>
      <c r="I112" s="584"/>
      <c r="J112" s="584"/>
      <c r="K112" s="584"/>
      <c r="L112" s="456">
        <f t="shared" si="36"/>
        <v>2500</v>
      </c>
      <c r="M112" s="457"/>
      <c r="N112" s="458"/>
      <c r="O112" s="458"/>
      <c r="P112" s="458"/>
      <c r="Q112" s="459">
        <f t="shared" si="41"/>
        <v>0</v>
      </c>
      <c r="R112" s="460"/>
      <c r="S112" s="461"/>
      <c r="T112" s="461"/>
      <c r="U112" s="454"/>
      <c r="V112" s="454"/>
      <c r="W112" s="454"/>
      <c r="X112" s="454"/>
      <c r="Y112" s="454"/>
      <c r="Z112" s="454"/>
      <c r="AA112" s="456"/>
      <c r="AB112" s="587">
        <f t="shared" si="52"/>
        <v>2500</v>
      </c>
    </row>
    <row r="113" spans="2:30" ht="13.5" customHeight="1" x14ac:dyDescent="0.25">
      <c r="B113" s="586" t="s">
        <v>349</v>
      </c>
      <c r="C113" s="468"/>
      <c r="D113" s="589">
        <f>1621*2</f>
        <v>3242</v>
      </c>
      <c r="E113" s="454">
        <v>10844</v>
      </c>
      <c r="F113" s="584">
        <v>3000</v>
      </c>
      <c r="G113" s="454"/>
      <c r="H113" s="584"/>
      <c r="I113" s="584"/>
      <c r="J113" s="584"/>
      <c r="K113" s="584"/>
      <c r="L113" s="456">
        <f t="shared" si="36"/>
        <v>17086</v>
      </c>
      <c r="M113" s="490">
        <f>3242*11%</f>
        <v>356.62</v>
      </c>
      <c r="N113" s="458"/>
      <c r="O113" s="458"/>
      <c r="P113" s="458"/>
      <c r="Q113" s="459">
        <f t="shared" si="41"/>
        <v>356.62</v>
      </c>
      <c r="R113" s="460"/>
      <c r="S113" s="461"/>
      <c r="T113" s="461"/>
      <c r="U113" s="454"/>
      <c r="V113" s="454"/>
      <c r="W113" s="454"/>
      <c r="X113" s="454"/>
      <c r="Y113" s="454"/>
      <c r="Z113" s="454"/>
      <c r="AA113" s="456">
        <f>SUM(R113:Z113)</f>
        <v>0</v>
      </c>
      <c r="AB113" s="587">
        <f t="shared" si="52"/>
        <v>17442.62</v>
      </c>
    </row>
    <row r="114" spans="2:30" ht="14.25" customHeight="1" x14ac:dyDescent="0.25">
      <c r="B114" s="590"/>
      <c r="C114" s="591">
        <f t="shared" ref="C114:AB114" si="53">SUM(C83:C113)</f>
        <v>65922</v>
      </c>
      <c r="D114" s="592">
        <f t="shared" si="53"/>
        <v>3242</v>
      </c>
      <c r="E114" s="592">
        <f t="shared" si="53"/>
        <v>10844</v>
      </c>
      <c r="F114" s="592">
        <f t="shared" si="53"/>
        <v>6750</v>
      </c>
      <c r="G114" s="592">
        <f t="shared" si="53"/>
        <v>0</v>
      </c>
      <c r="H114" s="592">
        <f t="shared" si="53"/>
        <v>14560</v>
      </c>
      <c r="I114" s="592">
        <f t="shared" si="53"/>
        <v>2677.9599999999996</v>
      </c>
      <c r="J114" s="592">
        <f t="shared" si="53"/>
        <v>246.5</v>
      </c>
      <c r="K114" s="592">
        <f t="shared" si="53"/>
        <v>338</v>
      </c>
      <c r="L114" s="593">
        <f t="shared" si="53"/>
        <v>104580.45999999998</v>
      </c>
      <c r="M114" s="591">
        <f t="shared" si="53"/>
        <v>13791.02</v>
      </c>
      <c r="N114" s="592">
        <f t="shared" si="53"/>
        <v>1007.58</v>
      </c>
      <c r="O114" s="592">
        <f t="shared" si="53"/>
        <v>3895.976000000001</v>
      </c>
      <c r="P114" s="592">
        <f t="shared" si="53"/>
        <v>5373.76</v>
      </c>
      <c r="Q114" s="593">
        <f t="shared" si="53"/>
        <v>24068.335999999988</v>
      </c>
      <c r="R114" s="591">
        <f t="shared" si="53"/>
        <v>5597.666666666667</v>
      </c>
      <c r="S114" s="592">
        <f t="shared" si="53"/>
        <v>1865.8888888888891</v>
      </c>
      <c r="T114" s="592">
        <f t="shared" si="53"/>
        <v>597.08444444444467</v>
      </c>
      <c r="U114" s="592">
        <f t="shared" si="53"/>
        <v>5597.666666666667</v>
      </c>
      <c r="V114" s="592">
        <f t="shared" si="53"/>
        <v>447.81333333333339</v>
      </c>
      <c r="W114" s="592">
        <f t="shared" si="53"/>
        <v>5597.666666666667</v>
      </c>
      <c r="X114" s="592">
        <f t="shared" si="53"/>
        <v>447.81333333333339</v>
      </c>
      <c r="Y114" s="592">
        <f t="shared" si="53"/>
        <v>3433.2355555555564</v>
      </c>
      <c r="Z114" s="592">
        <f t="shared" si="53"/>
        <v>5093.8766666666688</v>
      </c>
      <c r="AA114" s="593">
        <f t="shared" si="53"/>
        <v>28678.712222222224</v>
      </c>
      <c r="AB114" s="594">
        <f t="shared" si="53"/>
        <v>157327.50822222224</v>
      </c>
    </row>
    <row r="115" spans="2:30" ht="13.5" customHeight="1" x14ac:dyDescent="0.25"/>
    <row r="116" spans="2:30" ht="12.75" customHeight="1" x14ac:dyDescent="0.25">
      <c r="B116" s="438" t="s">
        <v>158</v>
      </c>
      <c r="C116" s="439" t="s">
        <v>190</v>
      </c>
      <c r="D116" s="440" t="s">
        <v>194</v>
      </c>
      <c r="E116" s="440" t="s">
        <v>197</v>
      </c>
      <c r="F116" s="440" t="s">
        <v>306</v>
      </c>
      <c r="G116" s="440" t="s">
        <v>307</v>
      </c>
      <c r="H116" s="440" t="s">
        <v>308</v>
      </c>
      <c r="I116" s="440" t="s">
        <v>309</v>
      </c>
      <c r="J116" s="440" t="s">
        <v>310</v>
      </c>
      <c r="K116" s="440" t="s">
        <v>311</v>
      </c>
      <c r="L116" s="441" t="s">
        <v>199</v>
      </c>
      <c r="M116" s="442" t="s">
        <v>168</v>
      </c>
      <c r="N116" s="443" t="s">
        <v>200</v>
      </c>
      <c r="O116" s="443" t="s">
        <v>201</v>
      </c>
      <c r="P116" s="444" t="s">
        <v>36</v>
      </c>
      <c r="Q116" s="445" t="s">
        <v>202</v>
      </c>
      <c r="R116" s="446" t="s">
        <v>40</v>
      </c>
      <c r="S116" s="447" t="s">
        <v>169</v>
      </c>
      <c r="T116" s="447" t="s">
        <v>203</v>
      </c>
      <c r="U116" s="447" t="s">
        <v>204</v>
      </c>
      <c r="V116" s="447" t="s">
        <v>205</v>
      </c>
      <c r="W116" s="447" t="s">
        <v>206</v>
      </c>
      <c r="X116" s="447" t="s">
        <v>207</v>
      </c>
      <c r="Y116" s="447" t="s">
        <v>208</v>
      </c>
      <c r="Z116" s="447" t="s">
        <v>209</v>
      </c>
      <c r="AA116" s="448" t="s">
        <v>210</v>
      </c>
      <c r="AB116" s="583" t="s">
        <v>13</v>
      </c>
      <c r="AC116" s="450" t="s">
        <v>189</v>
      </c>
      <c r="AD116" s="451">
        <v>46113</v>
      </c>
    </row>
    <row r="117" spans="2:30" ht="13.5" customHeight="1" x14ac:dyDescent="0.25">
      <c r="B117" s="489" t="s">
        <v>313</v>
      </c>
      <c r="C117" s="490">
        <v>2100</v>
      </c>
      <c r="D117" s="454"/>
      <c r="E117" s="454"/>
      <c r="F117" s="584">
        <v>250</v>
      </c>
      <c r="G117" s="454"/>
      <c r="H117" s="584">
        <v>0</v>
      </c>
      <c r="I117" s="584">
        <v>99.18</v>
      </c>
      <c r="J117" s="584">
        <v>8.5</v>
      </c>
      <c r="K117" s="584">
        <v>13</v>
      </c>
      <c r="L117" s="456">
        <f t="shared" ref="L117:L146" si="54">SUM(C117:K117)</f>
        <v>2470.6799999999998</v>
      </c>
      <c r="M117" s="457">
        <f t="shared" ref="M117:M144" si="55">(C117+F117+G117)*20%</f>
        <v>470</v>
      </c>
      <c r="N117" s="458">
        <f t="shared" ref="N117:N144" si="56">(C117+F117+G117)*1.5%</f>
        <v>35.25</v>
      </c>
      <c r="O117" s="458">
        <f t="shared" ref="O117:O144" si="57">(C117+F117+G117)*5.8%</f>
        <v>136.29999999999998</v>
      </c>
      <c r="P117" s="458">
        <f t="shared" ref="P117:P144" si="58">(C117+F117+G117)*8%</f>
        <v>188</v>
      </c>
      <c r="Q117" s="459">
        <f t="shared" ref="Q117:Q146" si="59">SUM(M117:P117)</f>
        <v>829.55</v>
      </c>
      <c r="R117" s="460">
        <f t="shared" ref="R117:R144" si="60">(C117+F117+G117)/12</f>
        <v>195.83333333333334</v>
      </c>
      <c r="S117" s="461">
        <f t="shared" ref="S117:S144" si="61">R117/3</f>
        <v>65.277777777777786</v>
      </c>
      <c r="T117" s="461">
        <f t="shared" ref="T117:T144" si="62">(R117+S117)*8%</f>
        <v>20.888888888888893</v>
      </c>
      <c r="U117" s="454">
        <f t="shared" ref="U117:U144" si="63">(C117+F117+G117)/12</f>
        <v>195.83333333333334</v>
      </c>
      <c r="V117" s="454">
        <f t="shared" ref="V117:V144" si="64">U117*8%</f>
        <v>15.666666666666668</v>
      </c>
      <c r="W117" s="454">
        <f t="shared" ref="W117:W144" si="65">(C117+F117+G117)/12</f>
        <v>195.83333333333334</v>
      </c>
      <c r="X117" s="454">
        <f t="shared" ref="X117:X144" si="66">W117*8%</f>
        <v>15.666666666666668</v>
      </c>
      <c r="Y117" s="454">
        <f t="shared" ref="Y117:Y144" si="67">(P117+T117+V117+X117)*50%</f>
        <v>120.1111111111111</v>
      </c>
      <c r="Z117" s="454">
        <f t="shared" ref="Z117:Z144" si="68">(R117+S117+U117+W117)*27.3%</f>
        <v>178.20833333333337</v>
      </c>
      <c r="AA117" s="456">
        <f t="shared" ref="AA117:AA144" si="69">SUM(R117:Z117)</f>
        <v>1003.3194444444445</v>
      </c>
      <c r="AB117" s="585">
        <f t="shared" ref="AB117:AB146" si="70">L117+Q117+AA117</f>
        <v>4303.5494444444439</v>
      </c>
      <c r="AC117" s="465" t="s">
        <v>89</v>
      </c>
      <c r="AD117" s="466">
        <f>C147</f>
        <v>63822</v>
      </c>
    </row>
    <row r="118" spans="2:30" ht="13.5" customHeight="1" x14ac:dyDescent="0.25">
      <c r="B118" s="467" t="s">
        <v>358</v>
      </c>
      <c r="C118" s="468">
        <v>2100</v>
      </c>
      <c r="D118" s="454"/>
      <c r="E118" s="454"/>
      <c r="F118" s="584"/>
      <c r="G118" s="454"/>
      <c r="H118" s="584">
        <v>600</v>
      </c>
      <c r="I118" s="584">
        <v>99.18</v>
      </c>
      <c r="J118" s="584">
        <v>8.5</v>
      </c>
      <c r="K118" s="584"/>
      <c r="L118" s="456">
        <f t="shared" si="54"/>
        <v>2807.68</v>
      </c>
      <c r="M118" s="457">
        <f t="shared" si="55"/>
        <v>420</v>
      </c>
      <c r="N118" s="458">
        <f t="shared" si="56"/>
        <v>31.5</v>
      </c>
      <c r="O118" s="458">
        <f t="shared" si="57"/>
        <v>121.8</v>
      </c>
      <c r="P118" s="458">
        <f t="shared" si="58"/>
        <v>168</v>
      </c>
      <c r="Q118" s="459">
        <f t="shared" si="59"/>
        <v>741.3</v>
      </c>
      <c r="R118" s="460">
        <f t="shared" si="60"/>
        <v>175</v>
      </c>
      <c r="S118" s="461">
        <f t="shared" si="61"/>
        <v>58.333333333333336</v>
      </c>
      <c r="T118" s="461">
        <f t="shared" si="62"/>
        <v>18.666666666666668</v>
      </c>
      <c r="U118" s="454">
        <f t="shared" si="63"/>
        <v>175</v>
      </c>
      <c r="V118" s="454">
        <f t="shared" si="64"/>
        <v>14</v>
      </c>
      <c r="W118" s="454">
        <f t="shared" si="65"/>
        <v>175</v>
      </c>
      <c r="X118" s="454">
        <f t="shared" si="66"/>
        <v>14</v>
      </c>
      <c r="Y118" s="454">
        <f t="shared" si="67"/>
        <v>107.33333333333333</v>
      </c>
      <c r="Z118" s="454">
        <f t="shared" si="68"/>
        <v>159.25000000000003</v>
      </c>
      <c r="AA118" s="456">
        <f t="shared" si="69"/>
        <v>896.58333333333337</v>
      </c>
      <c r="AB118" s="585">
        <f t="shared" si="70"/>
        <v>4445.5633333333326</v>
      </c>
      <c r="AC118" s="465" t="s">
        <v>306</v>
      </c>
      <c r="AD118" s="466">
        <f>F147</f>
        <v>7750</v>
      </c>
    </row>
    <row r="119" spans="2:30" ht="13.5" customHeight="1" x14ac:dyDescent="0.25">
      <c r="B119" s="467" t="s">
        <v>314</v>
      </c>
      <c r="C119" s="468">
        <v>2100</v>
      </c>
      <c r="D119" s="454"/>
      <c r="E119" s="454"/>
      <c r="F119" s="584">
        <v>250</v>
      </c>
      <c r="G119" s="454"/>
      <c r="H119" s="584">
        <v>280</v>
      </c>
      <c r="I119" s="584">
        <v>99.18</v>
      </c>
      <c r="J119" s="584">
        <v>8.5</v>
      </c>
      <c r="K119" s="584">
        <v>13</v>
      </c>
      <c r="L119" s="456">
        <f t="shared" si="54"/>
        <v>2750.68</v>
      </c>
      <c r="M119" s="457">
        <f t="shared" si="55"/>
        <v>470</v>
      </c>
      <c r="N119" s="458">
        <f t="shared" si="56"/>
        <v>35.25</v>
      </c>
      <c r="O119" s="458">
        <f t="shared" si="57"/>
        <v>136.29999999999998</v>
      </c>
      <c r="P119" s="458">
        <f t="shared" si="58"/>
        <v>188</v>
      </c>
      <c r="Q119" s="459">
        <f t="shared" si="59"/>
        <v>829.55</v>
      </c>
      <c r="R119" s="460">
        <f t="shared" si="60"/>
        <v>195.83333333333334</v>
      </c>
      <c r="S119" s="461">
        <f t="shared" si="61"/>
        <v>65.277777777777786</v>
      </c>
      <c r="T119" s="461">
        <f t="shared" si="62"/>
        <v>20.888888888888893</v>
      </c>
      <c r="U119" s="454">
        <f t="shared" si="63"/>
        <v>195.83333333333334</v>
      </c>
      <c r="V119" s="454">
        <f t="shared" si="64"/>
        <v>15.666666666666668</v>
      </c>
      <c r="W119" s="454">
        <f t="shared" si="65"/>
        <v>195.83333333333334</v>
      </c>
      <c r="X119" s="454">
        <f t="shared" si="66"/>
        <v>15.666666666666668</v>
      </c>
      <c r="Y119" s="454">
        <f t="shared" si="67"/>
        <v>120.1111111111111</v>
      </c>
      <c r="Z119" s="454">
        <f t="shared" si="68"/>
        <v>178.20833333333337</v>
      </c>
      <c r="AA119" s="456">
        <f t="shared" si="69"/>
        <v>1003.3194444444445</v>
      </c>
      <c r="AB119" s="585">
        <f t="shared" si="70"/>
        <v>4583.5494444444439</v>
      </c>
      <c r="AC119" s="465" t="s">
        <v>315</v>
      </c>
      <c r="AD119" s="466">
        <v>0</v>
      </c>
    </row>
    <row r="120" spans="2:30" ht="13.5" customHeight="1" x14ac:dyDescent="0.25">
      <c r="B120" s="467" t="s">
        <v>318</v>
      </c>
      <c r="C120" s="468">
        <v>2100</v>
      </c>
      <c r="D120" s="454"/>
      <c r="E120" s="454"/>
      <c r="F120" s="584">
        <v>250</v>
      </c>
      <c r="G120" s="454"/>
      <c r="H120" s="584">
        <v>600</v>
      </c>
      <c r="I120" s="584">
        <v>99.18</v>
      </c>
      <c r="J120" s="584">
        <v>8.5</v>
      </c>
      <c r="K120" s="584">
        <v>13</v>
      </c>
      <c r="L120" s="456">
        <f t="shared" si="54"/>
        <v>3070.68</v>
      </c>
      <c r="M120" s="457">
        <f t="shared" si="55"/>
        <v>470</v>
      </c>
      <c r="N120" s="458">
        <f t="shared" si="56"/>
        <v>35.25</v>
      </c>
      <c r="O120" s="458">
        <f t="shared" si="57"/>
        <v>136.29999999999998</v>
      </c>
      <c r="P120" s="458">
        <f t="shared" si="58"/>
        <v>188</v>
      </c>
      <c r="Q120" s="459">
        <f t="shared" si="59"/>
        <v>829.55</v>
      </c>
      <c r="R120" s="460">
        <f t="shared" si="60"/>
        <v>195.83333333333334</v>
      </c>
      <c r="S120" s="461">
        <f t="shared" si="61"/>
        <v>65.277777777777786</v>
      </c>
      <c r="T120" s="461">
        <f t="shared" si="62"/>
        <v>20.888888888888893</v>
      </c>
      <c r="U120" s="454">
        <f t="shared" si="63"/>
        <v>195.83333333333334</v>
      </c>
      <c r="V120" s="454">
        <f t="shared" si="64"/>
        <v>15.666666666666668</v>
      </c>
      <c r="W120" s="454">
        <f t="shared" si="65"/>
        <v>195.83333333333334</v>
      </c>
      <c r="X120" s="454">
        <f t="shared" si="66"/>
        <v>15.666666666666668</v>
      </c>
      <c r="Y120" s="454">
        <f t="shared" si="67"/>
        <v>120.1111111111111</v>
      </c>
      <c r="Z120" s="454">
        <f t="shared" si="68"/>
        <v>178.20833333333337</v>
      </c>
      <c r="AA120" s="456">
        <f t="shared" si="69"/>
        <v>1003.3194444444445</v>
      </c>
      <c r="AB120" s="585">
        <f t="shared" si="70"/>
        <v>4903.5494444444439</v>
      </c>
      <c r="AC120" s="469" t="s">
        <v>194</v>
      </c>
      <c r="AD120" s="466">
        <f>D147</f>
        <v>3242</v>
      </c>
    </row>
    <row r="121" spans="2:30" ht="13.5" customHeight="1" x14ac:dyDescent="0.25">
      <c r="B121" s="467" t="s">
        <v>319</v>
      </c>
      <c r="C121" s="468">
        <v>2100</v>
      </c>
      <c r="D121" s="454"/>
      <c r="E121" s="454"/>
      <c r="F121" s="584">
        <v>250</v>
      </c>
      <c r="G121" s="454"/>
      <c r="H121" s="584">
        <v>600</v>
      </c>
      <c r="I121" s="584">
        <v>99.18</v>
      </c>
      <c r="J121" s="584">
        <v>8.5</v>
      </c>
      <c r="K121" s="584">
        <v>13</v>
      </c>
      <c r="L121" s="456">
        <f t="shared" si="54"/>
        <v>3070.68</v>
      </c>
      <c r="M121" s="457">
        <f t="shared" si="55"/>
        <v>470</v>
      </c>
      <c r="N121" s="458">
        <f t="shared" si="56"/>
        <v>35.25</v>
      </c>
      <c r="O121" s="458">
        <f t="shared" si="57"/>
        <v>136.29999999999998</v>
      </c>
      <c r="P121" s="458">
        <f t="shared" si="58"/>
        <v>188</v>
      </c>
      <c r="Q121" s="459">
        <f t="shared" si="59"/>
        <v>829.55</v>
      </c>
      <c r="R121" s="460">
        <f t="shared" si="60"/>
        <v>195.83333333333334</v>
      </c>
      <c r="S121" s="461">
        <f t="shared" si="61"/>
        <v>65.277777777777786</v>
      </c>
      <c r="T121" s="461">
        <f t="shared" si="62"/>
        <v>20.888888888888893</v>
      </c>
      <c r="U121" s="454">
        <f t="shared" si="63"/>
        <v>195.83333333333334</v>
      </c>
      <c r="V121" s="454">
        <f t="shared" si="64"/>
        <v>15.666666666666668</v>
      </c>
      <c r="W121" s="454">
        <f t="shared" si="65"/>
        <v>195.83333333333334</v>
      </c>
      <c r="X121" s="454">
        <f t="shared" si="66"/>
        <v>15.666666666666668</v>
      </c>
      <c r="Y121" s="454">
        <f t="shared" si="67"/>
        <v>120.1111111111111</v>
      </c>
      <c r="Z121" s="454">
        <f t="shared" si="68"/>
        <v>178.20833333333337</v>
      </c>
      <c r="AA121" s="456">
        <f t="shared" si="69"/>
        <v>1003.3194444444445</v>
      </c>
      <c r="AB121" s="585">
        <f t="shared" si="70"/>
        <v>4903.5494444444439</v>
      </c>
      <c r="AC121" s="469" t="s">
        <v>197</v>
      </c>
      <c r="AD121" s="466">
        <f>E147</f>
        <v>10844</v>
      </c>
    </row>
    <row r="122" spans="2:30" ht="13.5" customHeight="1" x14ac:dyDescent="0.25">
      <c r="B122" s="467" t="s">
        <v>321</v>
      </c>
      <c r="C122" s="468">
        <v>2100</v>
      </c>
      <c r="D122" s="454"/>
      <c r="E122" s="454"/>
      <c r="F122" s="584">
        <v>250</v>
      </c>
      <c r="G122" s="454"/>
      <c r="H122" s="584">
        <v>0</v>
      </c>
      <c r="I122" s="584">
        <v>99.18</v>
      </c>
      <c r="J122" s="584">
        <v>8.5</v>
      </c>
      <c r="K122" s="584">
        <v>13</v>
      </c>
      <c r="L122" s="456">
        <f t="shared" si="54"/>
        <v>2470.6799999999998</v>
      </c>
      <c r="M122" s="457">
        <f t="shared" si="55"/>
        <v>470</v>
      </c>
      <c r="N122" s="458">
        <f t="shared" si="56"/>
        <v>35.25</v>
      </c>
      <c r="O122" s="458">
        <f t="shared" si="57"/>
        <v>136.29999999999998</v>
      </c>
      <c r="P122" s="458">
        <f t="shared" si="58"/>
        <v>188</v>
      </c>
      <c r="Q122" s="459">
        <f t="shared" si="59"/>
        <v>829.55</v>
      </c>
      <c r="R122" s="460">
        <f t="shared" si="60"/>
        <v>195.83333333333334</v>
      </c>
      <c r="S122" s="461">
        <f t="shared" si="61"/>
        <v>65.277777777777786</v>
      </c>
      <c r="T122" s="461">
        <f t="shared" si="62"/>
        <v>20.888888888888893</v>
      </c>
      <c r="U122" s="454">
        <f t="shared" si="63"/>
        <v>195.83333333333334</v>
      </c>
      <c r="V122" s="454">
        <f t="shared" si="64"/>
        <v>15.666666666666668</v>
      </c>
      <c r="W122" s="454">
        <f t="shared" si="65"/>
        <v>195.83333333333334</v>
      </c>
      <c r="X122" s="454">
        <f t="shared" si="66"/>
        <v>15.666666666666668</v>
      </c>
      <c r="Y122" s="454">
        <f t="shared" si="67"/>
        <v>120.1111111111111</v>
      </c>
      <c r="Z122" s="454">
        <f t="shared" si="68"/>
        <v>178.20833333333337</v>
      </c>
      <c r="AA122" s="456">
        <f t="shared" si="69"/>
        <v>1003.3194444444445</v>
      </c>
      <c r="AB122" s="585">
        <f t="shared" si="70"/>
        <v>4303.5494444444439</v>
      </c>
      <c r="AC122" s="469" t="s">
        <v>211</v>
      </c>
      <c r="AD122" s="466">
        <f>SUM(H147:K147)</f>
        <v>17253.2</v>
      </c>
    </row>
    <row r="123" spans="2:30" ht="13.5" customHeight="1" x14ac:dyDescent="0.25">
      <c r="B123" s="467" t="s">
        <v>323</v>
      </c>
      <c r="C123" s="468">
        <v>2100</v>
      </c>
      <c r="D123" s="431"/>
      <c r="E123" s="454"/>
      <c r="F123" s="584">
        <v>250</v>
      </c>
      <c r="G123" s="454"/>
      <c r="H123" s="584">
        <v>600</v>
      </c>
      <c r="I123" s="584">
        <v>99.18</v>
      </c>
      <c r="J123" s="584">
        <v>8.5</v>
      </c>
      <c r="K123" s="584">
        <v>13</v>
      </c>
      <c r="L123" s="456">
        <f t="shared" si="54"/>
        <v>3070.68</v>
      </c>
      <c r="M123" s="457">
        <f t="shared" si="55"/>
        <v>470</v>
      </c>
      <c r="N123" s="458">
        <f t="shared" si="56"/>
        <v>35.25</v>
      </c>
      <c r="O123" s="458">
        <f t="shared" si="57"/>
        <v>136.29999999999998</v>
      </c>
      <c r="P123" s="458">
        <f t="shared" si="58"/>
        <v>188</v>
      </c>
      <c r="Q123" s="459">
        <f t="shared" si="59"/>
        <v>829.55</v>
      </c>
      <c r="R123" s="460">
        <f t="shared" si="60"/>
        <v>195.83333333333334</v>
      </c>
      <c r="S123" s="461">
        <f t="shared" si="61"/>
        <v>65.277777777777786</v>
      </c>
      <c r="T123" s="461">
        <f t="shared" si="62"/>
        <v>20.888888888888893</v>
      </c>
      <c r="U123" s="454">
        <f t="shared" si="63"/>
        <v>195.83333333333334</v>
      </c>
      <c r="V123" s="454">
        <f t="shared" si="64"/>
        <v>15.666666666666668</v>
      </c>
      <c r="W123" s="454">
        <f t="shared" si="65"/>
        <v>195.83333333333334</v>
      </c>
      <c r="X123" s="454">
        <f t="shared" si="66"/>
        <v>15.666666666666668</v>
      </c>
      <c r="Y123" s="454">
        <f t="shared" si="67"/>
        <v>120.1111111111111</v>
      </c>
      <c r="Z123" s="454">
        <f t="shared" si="68"/>
        <v>178.20833333333337</v>
      </c>
      <c r="AA123" s="456">
        <f t="shared" si="69"/>
        <v>1003.3194444444445</v>
      </c>
      <c r="AB123" s="585">
        <f t="shared" si="70"/>
        <v>4903.5494444444439</v>
      </c>
      <c r="AC123" s="465" t="s">
        <v>209</v>
      </c>
      <c r="AD123" s="466">
        <f>SUM(M147:O147)</f>
        <v>18394.276000000002</v>
      </c>
    </row>
    <row r="124" spans="2:30" ht="13.5" customHeight="1" x14ac:dyDescent="0.25">
      <c r="B124" s="467" t="s">
        <v>325</v>
      </c>
      <c r="C124" s="468">
        <v>2100</v>
      </c>
      <c r="D124" s="431"/>
      <c r="E124" s="454"/>
      <c r="F124" s="584"/>
      <c r="G124" s="454"/>
      <c r="H124" s="584">
        <v>600</v>
      </c>
      <c r="I124" s="584">
        <v>99.18</v>
      </c>
      <c r="J124" s="584">
        <v>8.5</v>
      </c>
      <c r="K124" s="584">
        <v>13</v>
      </c>
      <c r="L124" s="456">
        <f t="shared" si="54"/>
        <v>2820.68</v>
      </c>
      <c r="M124" s="457">
        <f t="shared" si="55"/>
        <v>420</v>
      </c>
      <c r="N124" s="458">
        <f t="shared" si="56"/>
        <v>31.5</v>
      </c>
      <c r="O124" s="458">
        <f t="shared" si="57"/>
        <v>121.8</v>
      </c>
      <c r="P124" s="458">
        <f t="shared" si="58"/>
        <v>168</v>
      </c>
      <c r="Q124" s="459">
        <f t="shared" si="59"/>
        <v>741.3</v>
      </c>
      <c r="R124" s="460">
        <f t="shared" si="60"/>
        <v>175</v>
      </c>
      <c r="S124" s="461">
        <f t="shared" si="61"/>
        <v>58.333333333333336</v>
      </c>
      <c r="T124" s="461">
        <f t="shared" si="62"/>
        <v>18.666666666666668</v>
      </c>
      <c r="U124" s="454">
        <f t="shared" si="63"/>
        <v>175</v>
      </c>
      <c r="V124" s="454">
        <f t="shared" si="64"/>
        <v>14</v>
      </c>
      <c r="W124" s="454">
        <f t="shared" si="65"/>
        <v>175</v>
      </c>
      <c r="X124" s="454">
        <f t="shared" si="66"/>
        <v>14</v>
      </c>
      <c r="Y124" s="454">
        <f t="shared" si="67"/>
        <v>107.33333333333333</v>
      </c>
      <c r="Z124" s="454">
        <f t="shared" si="68"/>
        <v>159.25000000000003</v>
      </c>
      <c r="AA124" s="456">
        <f t="shared" si="69"/>
        <v>896.58333333333337</v>
      </c>
      <c r="AB124" s="585">
        <f t="shared" si="70"/>
        <v>4458.5633333333326</v>
      </c>
      <c r="AC124" s="465" t="s">
        <v>36</v>
      </c>
      <c r="AD124" s="466">
        <f>P147</f>
        <v>5285.76</v>
      </c>
    </row>
    <row r="125" spans="2:30" ht="13.5" customHeight="1" x14ac:dyDescent="0.25">
      <c r="B125" s="586" t="s">
        <v>328</v>
      </c>
      <c r="C125" s="468">
        <v>2100</v>
      </c>
      <c r="D125" s="454"/>
      <c r="E125" s="454"/>
      <c r="F125" s="584">
        <v>250</v>
      </c>
      <c r="G125" s="454"/>
      <c r="H125" s="584">
        <v>600</v>
      </c>
      <c r="I125" s="584">
        <v>99.18</v>
      </c>
      <c r="J125" s="584">
        <v>8.5</v>
      </c>
      <c r="K125" s="584">
        <v>13</v>
      </c>
      <c r="L125" s="456">
        <f t="shared" si="54"/>
        <v>3070.68</v>
      </c>
      <c r="M125" s="457">
        <f t="shared" si="55"/>
        <v>470</v>
      </c>
      <c r="N125" s="458">
        <f t="shared" si="56"/>
        <v>35.25</v>
      </c>
      <c r="O125" s="458">
        <f t="shared" si="57"/>
        <v>136.29999999999998</v>
      </c>
      <c r="P125" s="458">
        <f t="shared" si="58"/>
        <v>188</v>
      </c>
      <c r="Q125" s="459">
        <f t="shared" si="59"/>
        <v>829.55</v>
      </c>
      <c r="R125" s="460">
        <f t="shared" si="60"/>
        <v>195.83333333333334</v>
      </c>
      <c r="S125" s="461">
        <f t="shared" si="61"/>
        <v>65.277777777777786</v>
      </c>
      <c r="T125" s="461">
        <f t="shared" si="62"/>
        <v>20.888888888888893</v>
      </c>
      <c r="U125" s="454">
        <f t="shared" si="63"/>
        <v>195.83333333333334</v>
      </c>
      <c r="V125" s="454">
        <f t="shared" si="64"/>
        <v>15.666666666666668</v>
      </c>
      <c r="W125" s="454">
        <f t="shared" si="65"/>
        <v>195.83333333333334</v>
      </c>
      <c r="X125" s="454">
        <f t="shared" si="66"/>
        <v>15.666666666666668</v>
      </c>
      <c r="Y125" s="454">
        <f t="shared" si="67"/>
        <v>120.1111111111111</v>
      </c>
      <c r="Z125" s="454">
        <f t="shared" si="68"/>
        <v>178.20833333333337</v>
      </c>
      <c r="AA125" s="456">
        <f t="shared" si="69"/>
        <v>1003.3194444444445</v>
      </c>
      <c r="AB125" s="585">
        <f t="shared" si="70"/>
        <v>4903.5494444444439</v>
      </c>
      <c r="AC125" s="469" t="s">
        <v>212</v>
      </c>
      <c r="AD125" s="466">
        <f>SUM(R147:Z147)</f>
        <v>28209.073333333337</v>
      </c>
    </row>
    <row r="126" spans="2:30" ht="14.25" customHeight="1" x14ac:dyDescent="0.25">
      <c r="B126" s="586" t="s">
        <v>329</v>
      </c>
      <c r="C126" s="468">
        <v>2100</v>
      </c>
      <c r="D126" s="454"/>
      <c r="E126" s="454"/>
      <c r="F126" s="584">
        <v>250</v>
      </c>
      <c r="G126" s="454"/>
      <c r="H126" s="584">
        <v>420</v>
      </c>
      <c r="I126" s="584">
        <v>99.18</v>
      </c>
      <c r="J126" s="584">
        <v>8.5</v>
      </c>
      <c r="K126" s="584">
        <v>13</v>
      </c>
      <c r="L126" s="456">
        <f t="shared" si="54"/>
        <v>2890.68</v>
      </c>
      <c r="M126" s="457">
        <f t="shared" si="55"/>
        <v>470</v>
      </c>
      <c r="N126" s="458">
        <f t="shared" si="56"/>
        <v>35.25</v>
      </c>
      <c r="O126" s="458">
        <f t="shared" si="57"/>
        <v>136.29999999999998</v>
      </c>
      <c r="P126" s="458">
        <f t="shared" si="58"/>
        <v>188</v>
      </c>
      <c r="Q126" s="459">
        <f t="shared" si="59"/>
        <v>829.55</v>
      </c>
      <c r="R126" s="460">
        <f t="shared" si="60"/>
        <v>195.83333333333334</v>
      </c>
      <c r="S126" s="461">
        <f t="shared" si="61"/>
        <v>65.277777777777786</v>
      </c>
      <c r="T126" s="461">
        <f t="shared" si="62"/>
        <v>20.888888888888893</v>
      </c>
      <c r="U126" s="454">
        <f t="shared" si="63"/>
        <v>195.83333333333334</v>
      </c>
      <c r="V126" s="454">
        <f t="shared" si="64"/>
        <v>15.666666666666668</v>
      </c>
      <c r="W126" s="454">
        <f t="shared" si="65"/>
        <v>195.83333333333334</v>
      </c>
      <c r="X126" s="454">
        <f t="shared" si="66"/>
        <v>15.666666666666668</v>
      </c>
      <c r="Y126" s="454">
        <f t="shared" si="67"/>
        <v>120.1111111111111</v>
      </c>
      <c r="Z126" s="454">
        <f t="shared" si="68"/>
        <v>178.20833333333337</v>
      </c>
      <c r="AA126" s="456">
        <f t="shared" si="69"/>
        <v>1003.3194444444445</v>
      </c>
      <c r="AB126" s="585">
        <f t="shared" si="70"/>
        <v>4723.5494444444439</v>
      </c>
      <c r="AC126" s="483" t="s">
        <v>13</v>
      </c>
      <c r="AD126" s="484">
        <f>SUM(AD117:AD125)</f>
        <v>154800.30933333334</v>
      </c>
    </row>
    <row r="127" spans="2:30" ht="13.5" customHeight="1" x14ac:dyDescent="0.25">
      <c r="B127" s="586" t="s">
        <v>330</v>
      </c>
      <c r="C127" s="468">
        <v>2100</v>
      </c>
      <c r="D127" s="454"/>
      <c r="E127" s="454"/>
      <c r="F127" s="584">
        <v>250</v>
      </c>
      <c r="G127" s="454"/>
      <c r="H127" s="584">
        <v>600</v>
      </c>
      <c r="I127" s="584">
        <v>99.18</v>
      </c>
      <c r="J127" s="584">
        <v>8.5</v>
      </c>
      <c r="K127" s="584">
        <v>13</v>
      </c>
      <c r="L127" s="456">
        <f t="shared" si="54"/>
        <v>3070.68</v>
      </c>
      <c r="M127" s="457">
        <f t="shared" si="55"/>
        <v>470</v>
      </c>
      <c r="N127" s="458">
        <f t="shared" si="56"/>
        <v>35.25</v>
      </c>
      <c r="O127" s="458">
        <f t="shared" si="57"/>
        <v>136.29999999999998</v>
      </c>
      <c r="P127" s="458">
        <f t="shared" si="58"/>
        <v>188</v>
      </c>
      <c r="Q127" s="459">
        <f t="shared" si="59"/>
        <v>829.55</v>
      </c>
      <c r="R127" s="460">
        <f t="shared" si="60"/>
        <v>195.83333333333334</v>
      </c>
      <c r="S127" s="461">
        <f t="shared" si="61"/>
        <v>65.277777777777786</v>
      </c>
      <c r="T127" s="461">
        <f t="shared" si="62"/>
        <v>20.888888888888893</v>
      </c>
      <c r="U127" s="454">
        <f t="shared" si="63"/>
        <v>195.83333333333334</v>
      </c>
      <c r="V127" s="454">
        <f t="shared" si="64"/>
        <v>15.666666666666668</v>
      </c>
      <c r="W127" s="454">
        <f t="shared" si="65"/>
        <v>195.83333333333334</v>
      </c>
      <c r="X127" s="454">
        <f t="shared" si="66"/>
        <v>15.666666666666668</v>
      </c>
      <c r="Y127" s="454">
        <f t="shared" si="67"/>
        <v>120.1111111111111</v>
      </c>
      <c r="Z127" s="454">
        <f t="shared" si="68"/>
        <v>178.20833333333337</v>
      </c>
      <c r="AA127" s="456">
        <f t="shared" si="69"/>
        <v>1003.3194444444445</v>
      </c>
      <c r="AB127" s="587">
        <f t="shared" si="70"/>
        <v>4903.5494444444439</v>
      </c>
    </row>
    <row r="128" spans="2:30" ht="13.5" customHeight="1" x14ac:dyDescent="0.25">
      <c r="B128" s="586" t="s">
        <v>359</v>
      </c>
      <c r="C128" s="468">
        <v>0</v>
      </c>
      <c r="D128" s="454"/>
      <c r="E128" s="454"/>
      <c r="F128" s="584"/>
      <c r="G128" s="454"/>
      <c r="H128" s="584">
        <v>0</v>
      </c>
      <c r="I128" s="584">
        <v>99.18</v>
      </c>
      <c r="J128" s="584">
        <v>8.5</v>
      </c>
      <c r="K128" s="584">
        <v>13</v>
      </c>
      <c r="L128" s="456">
        <f t="shared" si="54"/>
        <v>120.68</v>
      </c>
      <c r="M128" s="457">
        <f t="shared" si="55"/>
        <v>0</v>
      </c>
      <c r="N128" s="458">
        <f t="shared" si="56"/>
        <v>0</v>
      </c>
      <c r="O128" s="458">
        <f t="shared" si="57"/>
        <v>0</v>
      </c>
      <c r="P128" s="458">
        <f t="shared" si="58"/>
        <v>0</v>
      </c>
      <c r="Q128" s="459">
        <f t="shared" si="59"/>
        <v>0</v>
      </c>
      <c r="R128" s="460">
        <f t="shared" si="60"/>
        <v>0</v>
      </c>
      <c r="S128" s="461">
        <f t="shared" si="61"/>
        <v>0</v>
      </c>
      <c r="T128" s="461">
        <f t="shared" si="62"/>
        <v>0</v>
      </c>
      <c r="U128" s="454">
        <f t="shared" si="63"/>
        <v>0</v>
      </c>
      <c r="V128" s="454">
        <f t="shared" si="64"/>
        <v>0</v>
      </c>
      <c r="W128" s="454">
        <f t="shared" si="65"/>
        <v>0</v>
      </c>
      <c r="X128" s="454">
        <f t="shared" si="66"/>
        <v>0</v>
      </c>
      <c r="Y128" s="454">
        <f t="shared" si="67"/>
        <v>0</v>
      </c>
      <c r="Z128" s="454">
        <f t="shared" si="68"/>
        <v>0</v>
      </c>
      <c r="AA128" s="456">
        <f t="shared" si="69"/>
        <v>0</v>
      </c>
      <c r="AB128" s="587">
        <f t="shared" si="70"/>
        <v>120.68</v>
      </c>
    </row>
    <row r="129" spans="2:28" ht="13.5" customHeight="1" x14ac:dyDescent="0.25">
      <c r="B129" s="586" t="s">
        <v>332</v>
      </c>
      <c r="C129" s="468">
        <v>2100</v>
      </c>
      <c r="D129" s="454"/>
      <c r="E129" s="454"/>
      <c r="F129" s="584">
        <v>250</v>
      </c>
      <c r="G129" s="454"/>
      <c r="H129" s="584">
        <v>600</v>
      </c>
      <c r="I129" s="584">
        <v>99.18</v>
      </c>
      <c r="J129" s="584">
        <v>8.5</v>
      </c>
      <c r="K129" s="584">
        <v>13</v>
      </c>
      <c r="L129" s="456">
        <f t="shared" si="54"/>
        <v>3070.68</v>
      </c>
      <c r="M129" s="457">
        <f t="shared" si="55"/>
        <v>470</v>
      </c>
      <c r="N129" s="458">
        <f t="shared" si="56"/>
        <v>35.25</v>
      </c>
      <c r="O129" s="458">
        <f t="shared" si="57"/>
        <v>136.29999999999998</v>
      </c>
      <c r="P129" s="458">
        <f t="shared" si="58"/>
        <v>188</v>
      </c>
      <c r="Q129" s="459">
        <f t="shared" si="59"/>
        <v>829.55</v>
      </c>
      <c r="R129" s="460">
        <f t="shared" si="60"/>
        <v>195.83333333333334</v>
      </c>
      <c r="S129" s="461">
        <f t="shared" si="61"/>
        <v>65.277777777777786</v>
      </c>
      <c r="T129" s="461">
        <f t="shared" si="62"/>
        <v>20.888888888888893</v>
      </c>
      <c r="U129" s="454">
        <f t="shared" si="63"/>
        <v>195.83333333333334</v>
      </c>
      <c r="V129" s="454">
        <f t="shared" si="64"/>
        <v>15.666666666666668</v>
      </c>
      <c r="W129" s="454">
        <f t="shared" si="65"/>
        <v>195.83333333333334</v>
      </c>
      <c r="X129" s="454">
        <f t="shared" si="66"/>
        <v>15.666666666666668</v>
      </c>
      <c r="Y129" s="454">
        <f t="shared" si="67"/>
        <v>120.1111111111111</v>
      </c>
      <c r="Z129" s="454">
        <f t="shared" si="68"/>
        <v>178.20833333333337</v>
      </c>
      <c r="AA129" s="456">
        <f t="shared" si="69"/>
        <v>1003.3194444444445</v>
      </c>
      <c r="AB129" s="587">
        <f t="shared" si="70"/>
        <v>4903.5494444444439</v>
      </c>
    </row>
    <row r="130" spans="2:28" ht="13.5" customHeight="1" x14ac:dyDescent="0.25">
      <c r="B130" s="586" t="s">
        <v>333</v>
      </c>
      <c r="C130" s="468">
        <v>2100</v>
      </c>
      <c r="D130" s="454"/>
      <c r="E130" s="454"/>
      <c r="F130" s="584">
        <v>250</v>
      </c>
      <c r="G130" s="454"/>
      <c r="H130" s="584">
        <v>600</v>
      </c>
      <c r="I130" s="584">
        <v>99.18</v>
      </c>
      <c r="J130" s="584">
        <v>8.5</v>
      </c>
      <c r="K130" s="584">
        <v>13</v>
      </c>
      <c r="L130" s="456">
        <f t="shared" si="54"/>
        <v>3070.68</v>
      </c>
      <c r="M130" s="457">
        <f t="shared" si="55"/>
        <v>470</v>
      </c>
      <c r="N130" s="458">
        <f t="shared" si="56"/>
        <v>35.25</v>
      </c>
      <c r="O130" s="458">
        <f t="shared" si="57"/>
        <v>136.29999999999998</v>
      </c>
      <c r="P130" s="458">
        <f t="shared" si="58"/>
        <v>188</v>
      </c>
      <c r="Q130" s="459">
        <f t="shared" si="59"/>
        <v>829.55</v>
      </c>
      <c r="R130" s="460">
        <f t="shared" si="60"/>
        <v>195.83333333333334</v>
      </c>
      <c r="S130" s="461">
        <f t="shared" si="61"/>
        <v>65.277777777777786</v>
      </c>
      <c r="T130" s="461">
        <f t="shared" si="62"/>
        <v>20.888888888888893</v>
      </c>
      <c r="U130" s="454">
        <f t="shared" si="63"/>
        <v>195.83333333333334</v>
      </c>
      <c r="V130" s="454">
        <f t="shared" si="64"/>
        <v>15.666666666666668</v>
      </c>
      <c r="W130" s="454">
        <f t="shared" si="65"/>
        <v>195.83333333333334</v>
      </c>
      <c r="X130" s="454">
        <f t="shared" si="66"/>
        <v>15.666666666666668</v>
      </c>
      <c r="Y130" s="454">
        <f t="shared" si="67"/>
        <v>120.1111111111111</v>
      </c>
      <c r="Z130" s="454">
        <f t="shared" si="68"/>
        <v>178.20833333333337</v>
      </c>
      <c r="AA130" s="456">
        <f t="shared" si="69"/>
        <v>1003.3194444444445</v>
      </c>
      <c r="AB130" s="587">
        <f t="shared" si="70"/>
        <v>4903.5494444444439</v>
      </c>
    </row>
    <row r="131" spans="2:28" ht="13.5" customHeight="1" x14ac:dyDescent="0.25">
      <c r="B131" s="586" t="s">
        <v>334</v>
      </c>
      <c r="C131" s="468">
        <v>4200</v>
      </c>
      <c r="D131" s="454"/>
      <c r="E131" s="454"/>
      <c r="F131" s="584">
        <v>250</v>
      </c>
      <c r="G131" s="454"/>
      <c r="H131" s="584">
        <v>600</v>
      </c>
      <c r="I131" s="584">
        <v>99.18</v>
      </c>
      <c r="J131" s="584">
        <v>8.5</v>
      </c>
      <c r="K131" s="584">
        <v>13</v>
      </c>
      <c r="L131" s="456">
        <f t="shared" si="54"/>
        <v>5170.68</v>
      </c>
      <c r="M131" s="457">
        <f t="shared" si="55"/>
        <v>890</v>
      </c>
      <c r="N131" s="458">
        <f t="shared" si="56"/>
        <v>66.75</v>
      </c>
      <c r="O131" s="458">
        <f t="shared" si="57"/>
        <v>258.09999999999997</v>
      </c>
      <c r="P131" s="458">
        <f t="shared" si="58"/>
        <v>356</v>
      </c>
      <c r="Q131" s="459">
        <f t="shared" si="59"/>
        <v>1570.85</v>
      </c>
      <c r="R131" s="460">
        <f t="shared" si="60"/>
        <v>370.83333333333331</v>
      </c>
      <c r="S131" s="461">
        <f t="shared" si="61"/>
        <v>123.6111111111111</v>
      </c>
      <c r="T131" s="461">
        <f t="shared" si="62"/>
        <v>39.55555555555555</v>
      </c>
      <c r="U131" s="454">
        <f t="shared" si="63"/>
        <v>370.83333333333331</v>
      </c>
      <c r="V131" s="454">
        <f t="shared" si="64"/>
        <v>29.666666666666664</v>
      </c>
      <c r="W131" s="454">
        <f t="shared" si="65"/>
        <v>370.83333333333331</v>
      </c>
      <c r="X131" s="454">
        <f t="shared" si="66"/>
        <v>29.666666666666664</v>
      </c>
      <c r="Y131" s="454">
        <f t="shared" si="67"/>
        <v>227.44444444444446</v>
      </c>
      <c r="Z131" s="454">
        <f t="shared" si="68"/>
        <v>337.45833333333337</v>
      </c>
      <c r="AA131" s="456">
        <f t="shared" si="69"/>
        <v>1899.9027777777778</v>
      </c>
      <c r="AB131" s="587">
        <f t="shared" si="70"/>
        <v>8641.432777777778</v>
      </c>
    </row>
    <row r="132" spans="2:28" ht="13.5" customHeight="1" x14ac:dyDescent="0.25">
      <c r="B132" s="586" t="s">
        <v>336</v>
      </c>
      <c r="C132" s="468">
        <v>2100</v>
      </c>
      <c r="D132" s="454"/>
      <c r="E132" s="454"/>
      <c r="F132" s="584">
        <v>250</v>
      </c>
      <c r="G132" s="454"/>
      <c r="H132" s="584">
        <v>600</v>
      </c>
      <c r="I132" s="584">
        <v>99.18</v>
      </c>
      <c r="J132" s="584">
        <v>8.5</v>
      </c>
      <c r="K132" s="584">
        <v>13</v>
      </c>
      <c r="L132" s="456">
        <f t="shared" si="54"/>
        <v>3070.68</v>
      </c>
      <c r="M132" s="457">
        <f t="shared" si="55"/>
        <v>470</v>
      </c>
      <c r="N132" s="458">
        <f t="shared" si="56"/>
        <v>35.25</v>
      </c>
      <c r="O132" s="458">
        <f t="shared" si="57"/>
        <v>136.29999999999998</v>
      </c>
      <c r="P132" s="458">
        <f t="shared" si="58"/>
        <v>188</v>
      </c>
      <c r="Q132" s="459">
        <f t="shared" si="59"/>
        <v>829.55</v>
      </c>
      <c r="R132" s="460">
        <f t="shared" si="60"/>
        <v>195.83333333333334</v>
      </c>
      <c r="S132" s="461">
        <f t="shared" si="61"/>
        <v>65.277777777777786</v>
      </c>
      <c r="T132" s="461">
        <f t="shared" si="62"/>
        <v>20.888888888888893</v>
      </c>
      <c r="U132" s="454">
        <f t="shared" si="63"/>
        <v>195.83333333333334</v>
      </c>
      <c r="V132" s="454">
        <f t="shared" si="64"/>
        <v>15.666666666666668</v>
      </c>
      <c r="W132" s="454">
        <f t="shared" si="65"/>
        <v>195.83333333333334</v>
      </c>
      <c r="X132" s="454">
        <f t="shared" si="66"/>
        <v>15.666666666666668</v>
      </c>
      <c r="Y132" s="454">
        <f t="shared" si="67"/>
        <v>120.1111111111111</v>
      </c>
      <c r="Z132" s="454">
        <f t="shared" si="68"/>
        <v>178.20833333333337</v>
      </c>
      <c r="AA132" s="456">
        <f t="shared" si="69"/>
        <v>1003.3194444444445</v>
      </c>
      <c r="AB132" s="587">
        <f t="shared" si="70"/>
        <v>4903.5494444444439</v>
      </c>
    </row>
    <row r="133" spans="2:28" ht="13.5" customHeight="1" x14ac:dyDescent="0.25">
      <c r="B133" s="586" t="s">
        <v>337</v>
      </c>
      <c r="C133" s="468">
        <v>2100</v>
      </c>
      <c r="D133" s="454"/>
      <c r="E133" s="454"/>
      <c r="F133" s="584"/>
      <c r="G133" s="454"/>
      <c r="H133" s="584">
        <v>600</v>
      </c>
      <c r="I133" s="584">
        <v>99.18</v>
      </c>
      <c r="J133" s="584">
        <v>8.5</v>
      </c>
      <c r="K133" s="584">
        <v>13</v>
      </c>
      <c r="L133" s="456">
        <f t="shared" si="54"/>
        <v>2820.68</v>
      </c>
      <c r="M133" s="457">
        <f t="shared" si="55"/>
        <v>420</v>
      </c>
      <c r="N133" s="458">
        <f t="shared" si="56"/>
        <v>31.5</v>
      </c>
      <c r="O133" s="458">
        <f t="shared" si="57"/>
        <v>121.8</v>
      </c>
      <c r="P133" s="458">
        <f t="shared" si="58"/>
        <v>168</v>
      </c>
      <c r="Q133" s="459">
        <f t="shared" si="59"/>
        <v>741.3</v>
      </c>
      <c r="R133" s="460">
        <f t="shared" si="60"/>
        <v>175</v>
      </c>
      <c r="S133" s="461">
        <f t="shared" si="61"/>
        <v>58.333333333333336</v>
      </c>
      <c r="T133" s="461">
        <f t="shared" si="62"/>
        <v>18.666666666666668</v>
      </c>
      <c r="U133" s="454">
        <f t="shared" si="63"/>
        <v>175</v>
      </c>
      <c r="V133" s="454">
        <f t="shared" si="64"/>
        <v>14</v>
      </c>
      <c r="W133" s="454">
        <f t="shared" si="65"/>
        <v>175</v>
      </c>
      <c r="X133" s="454">
        <f t="shared" si="66"/>
        <v>14</v>
      </c>
      <c r="Y133" s="454">
        <f t="shared" si="67"/>
        <v>107.33333333333333</v>
      </c>
      <c r="Z133" s="454">
        <f t="shared" si="68"/>
        <v>159.25000000000003</v>
      </c>
      <c r="AA133" s="456">
        <f t="shared" si="69"/>
        <v>896.58333333333337</v>
      </c>
      <c r="AB133" s="587">
        <f t="shared" si="70"/>
        <v>4458.5633333333326</v>
      </c>
    </row>
    <row r="134" spans="2:28" ht="13.5" customHeight="1" x14ac:dyDescent="0.25">
      <c r="B134" s="586" t="s">
        <v>338</v>
      </c>
      <c r="C134" s="468">
        <v>2100</v>
      </c>
      <c r="D134" s="454"/>
      <c r="E134" s="454"/>
      <c r="F134" s="584">
        <v>250</v>
      </c>
      <c r="G134" s="454"/>
      <c r="H134" s="584">
        <v>600</v>
      </c>
      <c r="I134" s="584">
        <v>99.18</v>
      </c>
      <c r="J134" s="584">
        <v>8.5</v>
      </c>
      <c r="K134" s="584">
        <v>13</v>
      </c>
      <c r="L134" s="456">
        <f t="shared" si="54"/>
        <v>3070.68</v>
      </c>
      <c r="M134" s="457">
        <f t="shared" si="55"/>
        <v>470</v>
      </c>
      <c r="N134" s="458">
        <f t="shared" si="56"/>
        <v>35.25</v>
      </c>
      <c r="O134" s="458">
        <f t="shared" si="57"/>
        <v>136.29999999999998</v>
      </c>
      <c r="P134" s="458">
        <f t="shared" si="58"/>
        <v>188</v>
      </c>
      <c r="Q134" s="459">
        <f t="shared" si="59"/>
        <v>829.55</v>
      </c>
      <c r="R134" s="460">
        <f t="shared" si="60"/>
        <v>195.83333333333334</v>
      </c>
      <c r="S134" s="461">
        <f t="shared" si="61"/>
        <v>65.277777777777786</v>
      </c>
      <c r="T134" s="461">
        <f t="shared" si="62"/>
        <v>20.888888888888893</v>
      </c>
      <c r="U134" s="454">
        <f t="shared" si="63"/>
        <v>195.83333333333334</v>
      </c>
      <c r="V134" s="454">
        <f t="shared" si="64"/>
        <v>15.666666666666668</v>
      </c>
      <c r="W134" s="454">
        <f t="shared" si="65"/>
        <v>195.83333333333334</v>
      </c>
      <c r="X134" s="454">
        <f t="shared" si="66"/>
        <v>15.666666666666668</v>
      </c>
      <c r="Y134" s="454">
        <f t="shared" si="67"/>
        <v>120.1111111111111</v>
      </c>
      <c r="Z134" s="454">
        <f t="shared" si="68"/>
        <v>178.20833333333337</v>
      </c>
      <c r="AA134" s="456">
        <f t="shared" si="69"/>
        <v>1003.3194444444445</v>
      </c>
      <c r="AB134" s="587">
        <f t="shared" si="70"/>
        <v>4903.5494444444439</v>
      </c>
    </row>
    <row r="135" spans="2:28" ht="13.5" customHeight="1" x14ac:dyDescent="0.25">
      <c r="B135" s="586" t="s">
        <v>357</v>
      </c>
      <c r="C135" s="468">
        <v>2100</v>
      </c>
      <c r="D135" s="454"/>
      <c r="E135" s="454"/>
      <c r="F135" s="588"/>
      <c r="G135" s="454"/>
      <c r="H135" s="584">
        <v>600</v>
      </c>
      <c r="I135" s="584">
        <v>99.18</v>
      </c>
      <c r="J135" s="584">
        <v>8.5</v>
      </c>
      <c r="K135" s="584">
        <v>0</v>
      </c>
      <c r="L135" s="456">
        <f t="shared" si="54"/>
        <v>2807.68</v>
      </c>
      <c r="M135" s="457">
        <f t="shared" si="55"/>
        <v>420</v>
      </c>
      <c r="N135" s="458">
        <f t="shared" si="56"/>
        <v>31.5</v>
      </c>
      <c r="O135" s="458">
        <f t="shared" si="57"/>
        <v>121.8</v>
      </c>
      <c r="P135" s="458">
        <f t="shared" si="58"/>
        <v>168</v>
      </c>
      <c r="Q135" s="459">
        <f t="shared" si="59"/>
        <v>741.3</v>
      </c>
      <c r="R135" s="460">
        <f t="shared" si="60"/>
        <v>175</v>
      </c>
      <c r="S135" s="461">
        <f t="shared" si="61"/>
        <v>58.333333333333336</v>
      </c>
      <c r="T135" s="461">
        <f t="shared" si="62"/>
        <v>18.666666666666668</v>
      </c>
      <c r="U135" s="454">
        <f t="shared" si="63"/>
        <v>175</v>
      </c>
      <c r="V135" s="454">
        <f t="shared" si="64"/>
        <v>14</v>
      </c>
      <c r="W135" s="454">
        <f t="shared" si="65"/>
        <v>175</v>
      </c>
      <c r="X135" s="454">
        <f t="shared" si="66"/>
        <v>14</v>
      </c>
      <c r="Y135" s="454">
        <f t="shared" si="67"/>
        <v>107.33333333333333</v>
      </c>
      <c r="Z135" s="454">
        <f t="shared" si="68"/>
        <v>159.25000000000003</v>
      </c>
      <c r="AA135" s="456">
        <f t="shared" si="69"/>
        <v>896.58333333333337</v>
      </c>
      <c r="AB135" s="587">
        <f t="shared" si="70"/>
        <v>4445.5633333333326</v>
      </c>
    </row>
    <row r="136" spans="2:28" ht="13.5" customHeight="1" x14ac:dyDescent="0.25">
      <c r="B136" s="586" t="s">
        <v>340</v>
      </c>
      <c r="C136" s="468">
        <v>2100</v>
      </c>
      <c r="D136" s="454"/>
      <c r="E136" s="454"/>
      <c r="F136" s="584">
        <v>0</v>
      </c>
      <c r="G136" s="454"/>
      <c r="H136" s="584">
        <v>600</v>
      </c>
      <c r="I136" s="584">
        <v>99.18</v>
      </c>
      <c r="J136" s="584">
        <v>8.5</v>
      </c>
      <c r="K136" s="584">
        <v>13</v>
      </c>
      <c r="L136" s="456">
        <f t="shared" si="54"/>
        <v>2820.68</v>
      </c>
      <c r="M136" s="457">
        <f t="shared" si="55"/>
        <v>420</v>
      </c>
      <c r="N136" s="458">
        <f t="shared" si="56"/>
        <v>31.5</v>
      </c>
      <c r="O136" s="458">
        <f t="shared" si="57"/>
        <v>121.8</v>
      </c>
      <c r="P136" s="458">
        <f t="shared" si="58"/>
        <v>168</v>
      </c>
      <c r="Q136" s="459">
        <f t="shared" si="59"/>
        <v>741.3</v>
      </c>
      <c r="R136" s="460">
        <f t="shared" si="60"/>
        <v>175</v>
      </c>
      <c r="S136" s="461">
        <f t="shared" si="61"/>
        <v>58.333333333333336</v>
      </c>
      <c r="T136" s="461">
        <f t="shared" si="62"/>
        <v>18.666666666666668</v>
      </c>
      <c r="U136" s="454">
        <f t="shared" si="63"/>
        <v>175</v>
      </c>
      <c r="V136" s="454">
        <f t="shared" si="64"/>
        <v>14</v>
      </c>
      <c r="W136" s="454">
        <f t="shared" si="65"/>
        <v>175</v>
      </c>
      <c r="X136" s="454">
        <f t="shared" si="66"/>
        <v>14</v>
      </c>
      <c r="Y136" s="454">
        <f t="shared" si="67"/>
        <v>107.33333333333333</v>
      </c>
      <c r="Z136" s="454">
        <f t="shared" si="68"/>
        <v>159.25000000000003</v>
      </c>
      <c r="AA136" s="456">
        <f t="shared" si="69"/>
        <v>896.58333333333337</v>
      </c>
      <c r="AB136" s="587">
        <f t="shared" si="70"/>
        <v>4458.5633333333326</v>
      </c>
    </row>
    <row r="137" spans="2:28" ht="13.5" customHeight="1" x14ac:dyDescent="0.25">
      <c r="B137" s="586" t="s">
        <v>341</v>
      </c>
      <c r="C137" s="468">
        <v>2100</v>
      </c>
      <c r="D137" s="454"/>
      <c r="E137" s="454"/>
      <c r="F137" s="584">
        <v>250</v>
      </c>
      <c r="G137" s="454"/>
      <c r="H137" s="584">
        <v>0</v>
      </c>
      <c r="I137" s="584">
        <v>99.2</v>
      </c>
      <c r="J137" s="584">
        <v>8.5</v>
      </c>
      <c r="K137" s="584">
        <v>13</v>
      </c>
      <c r="L137" s="456">
        <f t="shared" si="54"/>
        <v>2470.6999999999998</v>
      </c>
      <c r="M137" s="457">
        <f t="shared" si="55"/>
        <v>470</v>
      </c>
      <c r="N137" s="458">
        <f t="shared" si="56"/>
        <v>35.25</v>
      </c>
      <c r="O137" s="458">
        <f t="shared" si="57"/>
        <v>136.29999999999998</v>
      </c>
      <c r="P137" s="458">
        <f t="shared" si="58"/>
        <v>188</v>
      </c>
      <c r="Q137" s="459">
        <f t="shared" si="59"/>
        <v>829.55</v>
      </c>
      <c r="R137" s="460">
        <f t="shared" si="60"/>
        <v>195.83333333333334</v>
      </c>
      <c r="S137" s="461">
        <f t="shared" si="61"/>
        <v>65.277777777777786</v>
      </c>
      <c r="T137" s="461">
        <f t="shared" si="62"/>
        <v>20.888888888888893</v>
      </c>
      <c r="U137" s="454">
        <f t="shared" si="63"/>
        <v>195.83333333333334</v>
      </c>
      <c r="V137" s="454">
        <f t="shared" si="64"/>
        <v>15.666666666666668</v>
      </c>
      <c r="W137" s="454">
        <f t="shared" si="65"/>
        <v>195.83333333333334</v>
      </c>
      <c r="X137" s="454">
        <f t="shared" si="66"/>
        <v>15.666666666666668</v>
      </c>
      <c r="Y137" s="454">
        <f t="shared" si="67"/>
        <v>120.1111111111111</v>
      </c>
      <c r="Z137" s="454">
        <f t="shared" si="68"/>
        <v>178.20833333333337</v>
      </c>
      <c r="AA137" s="456">
        <f t="shared" si="69"/>
        <v>1003.3194444444445</v>
      </c>
      <c r="AB137" s="587">
        <f t="shared" si="70"/>
        <v>4303.5694444444443</v>
      </c>
    </row>
    <row r="138" spans="2:28" ht="13.5" customHeight="1" x14ac:dyDescent="0.25">
      <c r="B138" s="586" t="s">
        <v>342</v>
      </c>
      <c r="C138" s="468">
        <v>2100</v>
      </c>
      <c r="D138" s="454"/>
      <c r="E138" s="454"/>
      <c r="F138" s="584">
        <v>250</v>
      </c>
      <c r="G138" s="454"/>
      <c r="H138" s="584">
        <v>600</v>
      </c>
      <c r="I138" s="584">
        <v>99.2</v>
      </c>
      <c r="J138" s="584">
        <v>8.5</v>
      </c>
      <c r="K138" s="584">
        <v>13</v>
      </c>
      <c r="L138" s="456">
        <f t="shared" si="54"/>
        <v>3070.7</v>
      </c>
      <c r="M138" s="457">
        <f t="shared" si="55"/>
        <v>470</v>
      </c>
      <c r="N138" s="458">
        <f t="shared" si="56"/>
        <v>35.25</v>
      </c>
      <c r="O138" s="458">
        <f t="shared" si="57"/>
        <v>136.29999999999998</v>
      </c>
      <c r="P138" s="458">
        <f t="shared" si="58"/>
        <v>188</v>
      </c>
      <c r="Q138" s="459">
        <f t="shared" si="59"/>
        <v>829.55</v>
      </c>
      <c r="R138" s="460">
        <f t="shared" si="60"/>
        <v>195.83333333333334</v>
      </c>
      <c r="S138" s="461">
        <f t="shared" si="61"/>
        <v>65.277777777777786</v>
      </c>
      <c r="T138" s="461">
        <f t="shared" si="62"/>
        <v>20.888888888888893</v>
      </c>
      <c r="U138" s="454">
        <f t="shared" si="63"/>
        <v>195.83333333333334</v>
      </c>
      <c r="V138" s="454">
        <f t="shared" si="64"/>
        <v>15.666666666666668</v>
      </c>
      <c r="W138" s="454">
        <f t="shared" si="65"/>
        <v>195.83333333333334</v>
      </c>
      <c r="X138" s="454">
        <f t="shared" si="66"/>
        <v>15.666666666666668</v>
      </c>
      <c r="Y138" s="454">
        <f t="shared" si="67"/>
        <v>120.1111111111111</v>
      </c>
      <c r="Z138" s="454">
        <f t="shared" si="68"/>
        <v>178.20833333333337</v>
      </c>
      <c r="AA138" s="456">
        <f t="shared" si="69"/>
        <v>1003.3194444444445</v>
      </c>
      <c r="AB138" s="587">
        <f t="shared" si="70"/>
        <v>4903.5694444444443</v>
      </c>
    </row>
    <row r="139" spans="2:28" ht="13.5" customHeight="1" x14ac:dyDescent="0.25">
      <c r="B139" s="586" t="s">
        <v>343</v>
      </c>
      <c r="C139" s="468">
        <v>2100</v>
      </c>
      <c r="D139" s="454"/>
      <c r="E139" s="454"/>
      <c r="F139" s="584">
        <v>250</v>
      </c>
      <c r="G139" s="454"/>
      <c r="H139" s="584">
        <v>600</v>
      </c>
      <c r="I139" s="584">
        <v>99.2</v>
      </c>
      <c r="J139" s="584">
        <v>8.5</v>
      </c>
      <c r="K139" s="584">
        <v>13</v>
      </c>
      <c r="L139" s="456">
        <f t="shared" si="54"/>
        <v>3070.7</v>
      </c>
      <c r="M139" s="457">
        <f t="shared" si="55"/>
        <v>470</v>
      </c>
      <c r="N139" s="458">
        <f t="shared" si="56"/>
        <v>35.25</v>
      </c>
      <c r="O139" s="458">
        <f t="shared" si="57"/>
        <v>136.29999999999998</v>
      </c>
      <c r="P139" s="458">
        <f t="shared" si="58"/>
        <v>188</v>
      </c>
      <c r="Q139" s="459">
        <f t="shared" si="59"/>
        <v>829.55</v>
      </c>
      <c r="R139" s="460">
        <f t="shared" si="60"/>
        <v>195.83333333333334</v>
      </c>
      <c r="S139" s="461">
        <f t="shared" si="61"/>
        <v>65.277777777777786</v>
      </c>
      <c r="T139" s="461">
        <f t="shared" si="62"/>
        <v>20.888888888888893</v>
      </c>
      <c r="U139" s="454">
        <f t="shared" si="63"/>
        <v>195.83333333333334</v>
      </c>
      <c r="V139" s="454">
        <f t="shared" si="64"/>
        <v>15.666666666666668</v>
      </c>
      <c r="W139" s="454">
        <f t="shared" si="65"/>
        <v>195.83333333333334</v>
      </c>
      <c r="X139" s="454">
        <f t="shared" si="66"/>
        <v>15.666666666666668</v>
      </c>
      <c r="Y139" s="454">
        <f t="shared" si="67"/>
        <v>120.1111111111111</v>
      </c>
      <c r="Z139" s="454">
        <f t="shared" si="68"/>
        <v>178.20833333333337</v>
      </c>
      <c r="AA139" s="456">
        <f t="shared" si="69"/>
        <v>1003.3194444444445</v>
      </c>
      <c r="AB139" s="587">
        <f t="shared" si="70"/>
        <v>4903.5694444444443</v>
      </c>
    </row>
    <row r="140" spans="2:28" ht="13.5" customHeight="1" x14ac:dyDescent="0.25">
      <c r="B140" s="586" t="s">
        <v>344</v>
      </c>
      <c r="C140" s="468">
        <v>3000</v>
      </c>
      <c r="D140" s="454"/>
      <c r="E140" s="454"/>
      <c r="F140" s="584">
        <v>250</v>
      </c>
      <c r="G140" s="454"/>
      <c r="H140" s="584">
        <v>600</v>
      </c>
      <c r="I140" s="584">
        <v>99.2</v>
      </c>
      <c r="J140" s="584">
        <v>8.5</v>
      </c>
      <c r="K140" s="584">
        <v>13</v>
      </c>
      <c r="L140" s="456">
        <f t="shared" si="54"/>
        <v>3970.7</v>
      </c>
      <c r="M140" s="457">
        <f t="shared" si="55"/>
        <v>650</v>
      </c>
      <c r="N140" s="458">
        <f t="shared" si="56"/>
        <v>48.75</v>
      </c>
      <c r="O140" s="458">
        <f t="shared" si="57"/>
        <v>188.5</v>
      </c>
      <c r="P140" s="458">
        <f t="shared" si="58"/>
        <v>260</v>
      </c>
      <c r="Q140" s="459">
        <f t="shared" si="59"/>
        <v>1147.25</v>
      </c>
      <c r="R140" s="460">
        <f t="shared" si="60"/>
        <v>270.83333333333331</v>
      </c>
      <c r="S140" s="461">
        <f t="shared" si="61"/>
        <v>90.277777777777771</v>
      </c>
      <c r="T140" s="461">
        <f t="shared" si="62"/>
        <v>28.888888888888886</v>
      </c>
      <c r="U140" s="454">
        <f t="shared" si="63"/>
        <v>270.83333333333331</v>
      </c>
      <c r="V140" s="454">
        <f t="shared" si="64"/>
        <v>21.666666666666664</v>
      </c>
      <c r="W140" s="454">
        <f t="shared" si="65"/>
        <v>270.83333333333331</v>
      </c>
      <c r="X140" s="454">
        <f t="shared" si="66"/>
        <v>21.666666666666664</v>
      </c>
      <c r="Y140" s="454">
        <f t="shared" si="67"/>
        <v>166.11111111111114</v>
      </c>
      <c r="Z140" s="454">
        <f t="shared" si="68"/>
        <v>246.45833333333331</v>
      </c>
      <c r="AA140" s="456">
        <f t="shared" si="69"/>
        <v>1387.5694444444443</v>
      </c>
      <c r="AB140" s="587">
        <f t="shared" si="70"/>
        <v>6505.5194444444442</v>
      </c>
    </row>
    <row r="141" spans="2:28" ht="13.5" customHeight="1" x14ac:dyDescent="0.25">
      <c r="B141" s="586" t="s">
        <v>345</v>
      </c>
      <c r="C141" s="468">
        <v>4200</v>
      </c>
      <c r="D141" s="454"/>
      <c r="E141" s="454"/>
      <c r="F141" s="584"/>
      <c r="G141" s="454"/>
      <c r="H141" s="584">
        <v>600</v>
      </c>
      <c r="I141" s="584">
        <v>99.2</v>
      </c>
      <c r="J141" s="584">
        <v>8.5</v>
      </c>
      <c r="K141" s="584">
        <v>13</v>
      </c>
      <c r="L141" s="456">
        <f t="shared" si="54"/>
        <v>4920.7</v>
      </c>
      <c r="M141" s="457">
        <f t="shared" si="55"/>
        <v>840</v>
      </c>
      <c r="N141" s="458">
        <f t="shared" si="56"/>
        <v>63</v>
      </c>
      <c r="O141" s="458">
        <f t="shared" si="57"/>
        <v>243.6</v>
      </c>
      <c r="P141" s="458">
        <f t="shared" si="58"/>
        <v>336</v>
      </c>
      <c r="Q141" s="459">
        <f t="shared" si="59"/>
        <v>1482.6</v>
      </c>
      <c r="R141" s="460">
        <f t="shared" si="60"/>
        <v>350</v>
      </c>
      <c r="S141" s="461">
        <f t="shared" si="61"/>
        <v>116.66666666666667</v>
      </c>
      <c r="T141" s="461">
        <f t="shared" si="62"/>
        <v>37.333333333333336</v>
      </c>
      <c r="U141" s="454">
        <f t="shared" si="63"/>
        <v>350</v>
      </c>
      <c r="V141" s="454">
        <f t="shared" si="64"/>
        <v>28</v>
      </c>
      <c r="W141" s="454">
        <f t="shared" si="65"/>
        <v>350</v>
      </c>
      <c r="X141" s="454">
        <f t="shared" si="66"/>
        <v>28</v>
      </c>
      <c r="Y141" s="454">
        <f t="shared" si="67"/>
        <v>214.66666666666666</v>
      </c>
      <c r="Z141" s="454">
        <f t="shared" si="68"/>
        <v>318.50000000000006</v>
      </c>
      <c r="AA141" s="456">
        <f t="shared" si="69"/>
        <v>1793.1666666666667</v>
      </c>
      <c r="AB141" s="587">
        <f t="shared" si="70"/>
        <v>8196.4666666666653</v>
      </c>
    </row>
    <row r="142" spans="2:28" ht="13.5" customHeight="1" x14ac:dyDescent="0.25">
      <c r="B142" s="586" t="s">
        <v>346</v>
      </c>
      <c r="C142" s="468">
        <v>1622</v>
      </c>
      <c r="D142" s="454"/>
      <c r="E142" s="454"/>
      <c r="F142" s="584">
        <v>0</v>
      </c>
      <c r="G142" s="454"/>
      <c r="H142" s="584">
        <v>600</v>
      </c>
      <c r="I142" s="584">
        <v>99.2</v>
      </c>
      <c r="J142" s="584">
        <v>8.5</v>
      </c>
      <c r="K142" s="584">
        <v>13</v>
      </c>
      <c r="L142" s="456">
        <f t="shared" si="54"/>
        <v>2342.6999999999998</v>
      </c>
      <c r="M142" s="457">
        <f t="shared" si="55"/>
        <v>324.40000000000003</v>
      </c>
      <c r="N142" s="458">
        <f t="shared" si="56"/>
        <v>24.33</v>
      </c>
      <c r="O142" s="458">
        <f t="shared" si="57"/>
        <v>94.075999999999993</v>
      </c>
      <c r="P142" s="458">
        <f t="shared" si="58"/>
        <v>129.76</v>
      </c>
      <c r="Q142" s="459">
        <f t="shared" si="59"/>
        <v>572.56600000000003</v>
      </c>
      <c r="R142" s="460">
        <f t="shared" si="60"/>
        <v>135.16666666666666</v>
      </c>
      <c r="S142" s="461">
        <f t="shared" si="61"/>
        <v>45.05555555555555</v>
      </c>
      <c r="T142" s="461">
        <f t="shared" si="62"/>
        <v>14.417777777777776</v>
      </c>
      <c r="U142" s="454">
        <f t="shared" si="63"/>
        <v>135.16666666666666</v>
      </c>
      <c r="V142" s="454">
        <f t="shared" si="64"/>
        <v>10.813333333333333</v>
      </c>
      <c r="W142" s="454">
        <f t="shared" si="65"/>
        <v>135.16666666666666</v>
      </c>
      <c r="X142" s="454">
        <f t="shared" si="66"/>
        <v>10.813333333333333</v>
      </c>
      <c r="Y142" s="454">
        <f t="shared" si="67"/>
        <v>82.902222222222221</v>
      </c>
      <c r="Z142" s="454">
        <f t="shared" si="68"/>
        <v>123.00166666666668</v>
      </c>
      <c r="AA142" s="456">
        <f t="shared" si="69"/>
        <v>692.50388888888881</v>
      </c>
      <c r="AB142" s="587">
        <f t="shared" si="70"/>
        <v>3607.7698888888885</v>
      </c>
    </row>
    <row r="143" spans="2:28" ht="13.5" customHeight="1" x14ac:dyDescent="0.25">
      <c r="B143" s="586" t="s">
        <v>347</v>
      </c>
      <c r="C143" s="468">
        <v>2100</v>
      </c>
      <c r="D143" s="454"/>
      <c r="E143" s="454"/>
      <c r="F143" s="584">
        <v>250</v>
      </c>
      <c r="G143" s="454"/>
      <c r="H143" s="584">
        <v>600</v>
      </c>
      <c r="I143" s="584">
        <v>99.2</v>
      </c>
      <c r="J143" s="584">
        <v>8.5</v>
      </c>
      <c r="K143" s="584">
        <v>13</v>
      </c>
      <c r="L143" s="456">
        <f t="shared" si="54"/>
        <v>3070.7</v>
      </c>
      <c r="M143" s="457">
        <f t="shared" si="55"/>
        <v>470</v>
      </c>
      <c r="N143" s="458">
        <f t="shared" si="56"/>
        <v>35.25</v>
      </c>
      <c r="O143" s="458">
        <f t="shared" si="57"/>
        <v>136.29999999999998</v>
      </c>
      <c r="P143" s="458">
        <f t="shared" si="58"/>
        <v>188</v>
      </c>
      <c r="Q143" s="459">
        <f t="shared" si="59"/>
        <v>829.55</v>
      </c>
      <c r="R143" s="460">
        <f t="shared" si="60"/>
        <v>195.83333333333334</v>
      </c>
      <c r="S143" s="461">
        <f t="shared" si="61"/>
        <v>65.277777777777786</v>
      </c>
      <c r="T143" s="461">
        <f t="shared" si="62"/>
        <v>20.888888888888893</v>
      </c>
      <c r="U143" s="454">
        <f t="shared" si="63"/>
        <v>195.83333333333334</v>
      </c>
      <c r="V143" s="454">
        <f t="shared" si="64"/>
        <v>15.666666666666668</v>
      </c>
      <c r="W143" s="454">
        <f t="shared" si="65"/>
        <v>195.83333333333334</v>
      </c>
      <c r="X143" s="454">
        <f t="shared" si="66"/>
        <v>15.666666666666668</v>
      </c>
      <c r="Y143" s="454">
        <f t="shared" si="67"/>
        <v>120.1111111111111</v>
      </c>
      <c r="Z143" s="454">
        <f t="shared" si="68"/>
        <v>178.20833333333337</v>
      </c>
      <c r="AA143" s="456">
        <f t="shared" si="69"/>
        <v>1003.3194444444445</v>
      </c>
      <c r="AB143" s="587">
        <f t="shared" si="70"/>
        <v>4903.5694444444443</v>
      </c>
    </row>
    <row r="144" spans="2:28" ht="13.5" customHeight="1" x14ac:dyDescent="0.25">
      <c r="B144" s="586" t="s">
        <v>347</v>
      </c>
      <c r="C144" s="468">
        <v>2100</v>
      </c>
      <c r="D144" s="454"/>
      <c r="E144" s="454"/>
      <c r="F144" s="584"/>
      <c r="G144" s="454"/>
      <c r="H144" s="584">
        <v>600</v>
      </c>
      <c r="I144" s="584">
        <v>99.2</v>
      </c>
      <c r="J144" s="584">
        <v>8.5</v>
      </c>
      <c r="K144" s="584">
        <v>13</v>
      </c>
      <c r="L144" s="456">
        <f t="shared" si="54"/>
        <v>2820.7</v>
      </c>
      <c r="M144" s="457">
        <f t="shared" si="55"/>
        <v>420</v>
      </c>
      <c r="N144" s="458">
        <f t="shared" si="56"/>
        <v>31.5</v>
      </c>
      <c r="O144" s="458">
        <f t="shared" si="57"/>
        <v>121.8</v>
      </c>
      <c r="P144" s="458">
        <f t="shared" si="58"/>
        <v>168</v>
      </c>
      <c r="Q144" s="459">
        <f t="shared" si="59"/>
        <v>741.3</v>
      </c>
      <c r="R144" s="460">
        <f t="shared" si="60"/>
        <v>175</v>
      </c>
      <c r="S144" s="461">
        <f t="shared" si="61"/>
        <v>58.333333333333336</v>
      </c>
      <c r="T144" s="461">
        <f t="shared" si="62"/>
        <v>18.666666666666668</v>
      </c>
      <c r="U144" s="454">
        <f t="shared" si="63"/>
        <v>175</v>
      </c>
      <c r="V144" s="454">
        <f t="shared" si="64"/>
        <v>14</v>
      </c>
      <c r="W144" s="454">
        <f t="shared" si="65"/>
        <v>175</v>
      </c>
      <c r="X144" s="454">
        <f t="shared" si="66"/>
        <v>14</v>
      </c>
      <c r="Y144" s="454">
        <f t="shared" si="67"/>
        <v>107.33333333333333</v>
      </c>
      <c r="Z144" s="454">
        <f t="shared" si="68"/>
        <v>159.25000000000003</v>
      </c>
      <c r="AA144" s="456">
        <f t="shared" si="69"/>
        <v>896.58333333333337</v>
      </c>
      <c r="AB144" s="587">
        <f t="shared" si="70"/>
        <v>4458.583333333333</v>
      </c>
    </row>
    <row r="145" spans="2:30" ht="13.5" customHeight="1" x14ac:dyDescent="0.25">
      <c r="B145" s="586" t="s">
        <v>348</v>
      </c>
      <c r="C145" s="468">
        <v>2500</v>
      </c>
      <c r="D145" s="454"/>
      <c r="E145" s="454"/>
      <c r="F145" s="584"/>
      <c r="G145" s="454"/>
      <c r="H145" s="584"/>
      <c r="I145" s="584"/>
      <c r="J145" s="584"/>
      <c r="K145" s="584"/>
      <c r="L145" s="456">
        <f t="shared" si="54"/>
        <v>2500</v>
      </c>
      <c r="M145" s="457"/>
      <c r="N145" s="458"/>
      <c r="O145" s="458"/>
      <c r="P145" s="458"/>
      <c r="Q145" s="459">
        <f t="shared" si="59"/>
        <v>0</v>
      </c>
      <c r="R145" s="460"/>
      <c r="S145" s="461"/>
      <c r="T145" s="461"/>
      <c r="U145" s="454"/>
      <c r="V145" s="454"/>
      <c r="W145" s="454"/>
      <c r="X145" s="454"/>
      <c r="Y145" s="454"/>
      <c r="Z145" s="454"/>
      <c r="AA145" s="456"/>
      <c r="AB145" s="587">
        <f t="shared" si="70"/>
        <v>2500</v>
      </c>
    </row>
    <row r="146" spans="2:30" ht="13.5" customHeight="1" x14ac:dyDescent="0.25">
      <c r="B146" s="586" t="s">
        <v>349</v>
      </c>
      <c r="C146" s="468"/>
      <c r="D146" s="589">
        <f>1621*2</f>
        <v>3242</v>
      </c>
      <c r="E146" s="454">
        <v>10844</v>
      </c>
      <c r="F146" s="584">
        <v>3000</v>
      </c>
      <c r="G146" s="454"/>
      <c r="H146" s="584"/>
      <c r="I146" s="584"/>
      <c r="J146" s="584"/>
      <c r="K146" s="584"/>
      <c r="L146" s="456">
        <f t="shared" si="54"/>
        <v>17086</v>
      </c>
      <c r="M146" s="490">
        <f>3242*11%</f>
        <v>356.62</v>
      </c>
      <c r="N146" s="458"/>
      <c r="O146" s="458"/>
      <c r="P146" s="458"/>
      <c r="Q146" s="459">
        <f t="shared" si="59"/>
        <v>356.62</v>
      </c>
      <c r="R146" s="460"/>
      <c r="S146" s="461"/>
      <c r="T146" s="461"/>
      <c r="U146" s="454"/>
      <c r="V146" s="454"/>
      <c r="W146" s="454"/>
      <c r="X146" s="454"/>
      <c r="Y146" s="454"/>
      <c r="Z146" s="454"/>
      <c r="AA146" s="456">
        <f>SUM(R146:Z146)</f>
        <v>0</v>
      </c>
      <c r="AB146" s="587">
        <f t="shared" si="70"/>
        <v>17442.62</v>
      </c>
    </row>
    <row r="147" spans="2:30" ht="14.25" customHeight="1" x14ac:dyDescent="0.25">
      <c r="B147" s="590"/>
      <c r="C147" s="591">
        <f t="shared" ref="C147:AB147" si="71">SUM(C117:C146)</f>
        <v>63822</v>
      </c>
      <c r="D147" s="592">
        <f t="shared" si="71"/>
        <v>3242</v>
      </c>
      <c r="E147" s="592">
        <f t="shared" si="71"/>
        <v>10844</v>
      </c>
      <c r="F147" s="592">
        <f t="shared" si="71"/>
        <v>7750</v>
      </c>
      <c r="G147" s="592">
        <f t="shared" si="71"/>
        <v>0</v>
      </c>
      <c r="H147" s="592">
        <f t="shared" si="71"/>
        <v>13900</v>
      </c>
      <c r="I147" s="592">
        <f t="shared" si="71"/>
        <v>2777.1999999999994</v>
      </c>
      <c r="J147" s="592">
        <f t="shared" si="71"/>
        <v>238</v>
      </c>
      <c r="K147" s="592">
        <f t="shared" si="71"/>
        <v>338</v>
      </c>
      <c r="L147" s="593">
        <f t="shared" si="71"/>
        <v>102911.19999999998</v>
      </c>
      <c r="M147" s="591">
        <f t="shared" si="71"/>
        <v>13571.02</v>
      </c>
      <c r="N147" s="592">
        <f t="shared" si="71"/>
        <v>991.08</v>
      </c>
      <c r="O147" s="592">
        <f t="shared" si="71"/>
        <v>3832.1760000000013</v>
      </c>
      <c r="P147" s="592">
        <f t="shared" si="71"/>
        <v>5285.76</v>
      </c>
      <c r="Q147" s="593">
        <f t="shared" si="71"/>
        <v>23680.035999999989</v>
      </c>
      <c r="R147" s="591">
        <f t="shared" si="71"/>
        <v>5506</v>
      </c>
      <c r="S147" s="592">
        <f t="shared" si="71"/>
        <v>1835.3333333333337</v>
      </c>
      <c r="T147" s="592">
        <f t="shared" si="71"/>
        <v>587.30666666666684</v>
      </c>
      <c r="U147" s="592">
        <f t="shared" si="71"/>
        <v>5506</v>
      </c>
      <c r="V147" s="592">
        <f t="shared" si="71"/>
        <v>440.48000000000008</v>
      </c>
      <c r="W147" s="592">
        <f t="shared" si="71"/>
        <v>5506</v>
      </c>
      <c r="X147" s="592">
        <f t="shared" si="71"/>
        <v>440.48000000000008</v>
      </c>
      <c r="Y147" s="592">
        <f t="shared" si="71"/>
        <v>3377.0133333333342</v>
      </c>
      <c r="Z147" s="592">
        <f t="shared" si="71"/>
        <v>5010.4600000000019</v>
      </c>
      <c r="AA147" s="593">
        <f t="shared" si="71"/>
        <v>28209.073333333337</v>
      </c>
      <c r="AB147" s="594">
        <f t="shared" si="71"/>
        <v>154800.30933333331</v>
      </c>
    </row>
    <row r="148" spans="2:30" ht="13.5" customHeight="1" x14ac:dyDescent="0.25"/>
    <row r="149" spans="2:30" ht="12.75" customHeight="1" x14ac:dyDescent="0.25">
      <c r="B149" s="438" t="s">
        <v>158</v>
      </c>
      <c r="C149" s="439" t="s">
        <v>190</v>
      </c>
      <c r="D149" s="440" t="s">
        <v>194</v>
      </c>
      <c r="E149" s="440" t="s">
        <v>197</v>
      </c>
      <c r="F149" s="440" t="s">
        <v>306</v>
      </c>
      <c r="G149" s="440" t="s">
        <v>307</v>
      </c>
      <c r="H149" s="440" t="s">
        <v>308</v>
      </c>
      <c r="I149" s="440" t="s">
        <v>309</v>
      </c>
      <c r="J149" s="440" t="s">
        <v>310</v>
      </c>
      <c r="K149" s="440" t="s">
        <v>311</v>
      </c>
      <c r="L149" s="441" t="s">
        <v>199</v>
      </c>
      <c r="M149" s="442" t="s">
        <v>168</v>
      </c>
      <c r="N149" s="443" t="s">
        <v>200</v>
      </c>
      <c r="O149" s="443" t="s">
        <v>201</v>
      </c>
      <c r="P149" s="444" t="s">
        <v>36</v>
      </c>
      <c r="Q149" s="445" t="s">
        <v>202</v>
      </c>
      <c r="R149" s="446" t="s">
        <v>40</v>
      </c>
      <c r="S149" s="447" t="s">
        <v>169</v>
      </c>
      <c r="T149" s="447" t="s">
        <v>203</v>
      </c>
      <c r="U149" s="447" t="s">
        <v>204</v>
      </c>
      <c r="V149" s="447" t="s">
        <v>205</v>
      </c>
      <c r="W149" s="447" t="s">
        <v>206</v>
      </c>
      <c r="X149" s="447" t="s">
        <v>207</v>
      </c>
      <c r="Y149" s="447" t="s">
        <v>208</v>
      </c>
      <c r="Z149" s="447" t="s">
        <v>209</v>
      </c>
      <c r="AA149" s="448" t="s">
        <v>210</v>
      </c>
      <c r="AB149" s="583" t="s">
        <v>13</v>
      </c>
      <c r="AC149" s="450" t="s">
        <v>189</v>
      </c>
      <c r="AD149" s="451">
        <v>46143</v>
      </c>
    </row>
    <row r="150" spans="2:30" ht="13.5" customHeight="1" x14ac:dyDescent="0.25">
      <c r="B150" s="489"/>
      <c r="C150" s="490"/>
      <c r="D150" s="454"/>
      <c r="E150" s="454"/>
      <c r="F150" s="584"/>
      <c r="G150" s="454"/>
      <c r="H150" s="584"/>
      <c r="I150" s="584"/>
      <c r="J150" s="584"/>
      <c r="K150" s="584"/>
      <c r="L150" s="456">
        <f t="shared" ref="L150:L179" si="72">SUM(C150:K150)</f>
        <v>0</v>
      </c>
      <c r="M150" s="457">
        <f t="shared" ref="M150:M177" si="73">(C150+F150+G150)*20%</f>
        <v>0</v>
      </c>
      <c r="N150" s="458">
        <f t="shared" ref="N150:N177" si="74">(C150+F150+G150)*1.5%</f>
        <v>0</v>
      </c>
      <c r="O150" s="458">
        <f t="shared" ref="O150:O177" si="75">(C150+F150+G150)*5.8%</f>
        <v>0</v>
      </c>
      <c r="P150" s="458">
        <f t="shared" ref="P150:P177" si="76">(C150+F150+G150)*8%</f>
        <v>0</v>
      </c>
      <c r="Q150" s="459">
        <f t="shared" ref="Q150:Q179" si="77">SUM(M150:P150)</f>
        <v>0</v>
      </c>
      <c r="R150" s="460">
        <f t="shared" ref="R150:R177" si="78">(C150+F150+G150)/12</f>
        <v>0</v>
      </c>
      <c r="S150" s="461">
        <f t="shared" ref="S150:S177" si="79">R150/3</f>
        <v>0</v>
      </c>
      <c r="T150" s="461">
        <f t="shared" ref="T150:T177" si="80">(R150+S150)*8%</f>
        <v>0</v>
      </c>
      <c r="U150" s="454">
        <f t="shared" ref="U150:U177" si="81">(C150+F150+G150)/12</f>
        <v>0</v>
      </c>
      <c r="V150" s="454">
        <f t="shared" ref="V150:V177" si="82">U150*8%</f>
        <v>0</v>
      </c>
      <c r="W150" s="454">
        <f t="shared" ref="W150:W177" si="83">(C150+F150+G150)/12</f>
        <v>0</v>
      </c>
      <c r="X150" s="454">
        <f t="shared" ref="X150:X177" si="84">W150*8%</f>
        <v>0</v>
      </c>
      <c r="Y150" s="454">
        <f t="shared" ref="Y150:Y177" si="85">(P150+T150+V150+X150)*50%</f>
        <v>0</v>
      </c>
      <c r="Z150" s="454">
        <f t="shared" ref="Z150:Z177" si="86">(R150+S150+U150+W150)*27.3%</f>
        <v>0</v>
      </c>
      <c r="AA150" s="456">
        <f t="shared" ref="AA150:AA177" si="87">SUM(R150:Z150)</f>
        <v>0</v>
      </c>
      <c r="AB150" s="585">
        <f t="shared" ref="AB150:AB179" si="88">L150+Q150+AA150</f>
        <v>0</v>
      </c>
      <c r="AC150" s="465" t="s">
        <v>89</v>
      </c>
      <c r="AD150" s="466">
        <f>C180</f>
        <v>0</v>
      </c>
    </row>
    <row r="151" spans="2:30" ht="13.5" customHeight="1" x14ac:dyDescent="0.25">
      <c r="B151" s="467"/>
      <c r="C151" s="468"/>
      <c r="D151" s="454"/>
      <c r="E151" s="454"/>
      <c r="F151" s="584"/>
      <c r="G151" s="454"/>
      <c r="H151" s="584"/>
      <c r="I151" s="584"/>
      <c r="J151" s="584"/>
      <c r="K151" s="584"/>
      <c r="L151" s="456">
        <f t="shared" si="72"/>
        <v>0</v>
      </c>
      <c r="M151" s="457">
        <f t="shared" si="73"/>
        <v>0</v>
      </c>
      <c r="N151" s="458">
        <f t="shared" si="74"/>
        <v>0</v>
      </c>
      <c r="O151" s="458">
        <f t="shared" si="75"/>
        <v>0</v>
      </c>
      <c r="P151" s="458">
        <f t="shared" si="76"/>
        <v>0</v>
      </c>
      <c r="Q151" s="459">
        <f t="shared" si="77"/>
        <v>0</v>
      </c>
      <c r="R151" s="460">
        <f t="shared" si="78"/>
        <v>0</v>
      </c>
      <c r="S151" s="461">
        <f t="shared" si="79"/>
        <v>0</v>
      </c>
      <c r="T151" s="461">
        <f t="shared" si="80"/>
        <v>0</v>
      </c>
      <c r="U151" s="454">
        <f t="shared" si="81"/>
        <v>0</v>
      </c>
      <c r="V151" s="454">
        <f t="shared" si="82"/>
        <v>0</v>
      </c>
      <c r="W151" s="454">
        <f t="shared" si="83"/>
        <v>0</v>
      </c>
      <c r="X151" s="454">
        <f t="shared" si="84"/>
        <v>0</v>
      </c>
      <c r="Y151" s="454">
        <f t="shared" si="85"/>
        <v>0</v>
      </c>
      <c r="Z151" s="454">
        <f t="shared" si="86"/>
        <v>0</v>
      </c>
      <c r="AA151" s="456">
        <f t="shared" si="87"/>
        <v>0</v>
      </c>
      <c r="AB151" s="585">
        <f t="shared" si="88"/>
        <v>0</v>
      </c>
      <c r="AC151" s="465" t="s">
        <v>306</v>
      </c>
      <c r="AD151" s="466">
        <f>F180</f>
        <v>0</v>
      </c>
    </row>
    <row r="152" spans="2:30" ht="13.5" customHeight="1" x14ac:dyDescent="0.25">
      <c r="B152" s="467"/>
      <c r="C152" s="468"/>
      <c r="D152" s="454"/>
      <c r="E152" s="454"/>
      <c r="F152" s="584"/>
      <c r="G152" s="454"/>
      <c r="H152" s="584"/>
      <c r="I152" s="584"/>
      <c r="J152" s="584"/>
      <c r="K152" s="584"/>
      <c r="L152" s="456">
        <f t="shared" si="72"/>
        <v>0</v>
      </c>
      <c r="M152" s="457">
        <f t="shared" si="73"/>
        <v>0</v>
      </c>
      <c r="N152" s="458">
        <f t="shared" si="74"/>
        <v>0</v>
      </c>
      <c r="O152" s="458">
        <f t="shared" si="75"/>
        <v>0</v>
      </c>
      <c r="P152" s="458">
        <f t="shared" si="76"/>
        <v>0</v>
      </c>
      <c r="Q152" s="459">
        <f t="shared" si="77"/>
        <v>0</v>
      </c>
      <c r="R152" s="460">
        <f t="shared" si="78"/>
        <v>0</v>
      </c>
      <c r="S152" s="461">
        <f t="shared" si="79"/>
        <v>0</v>
      </c>
      <c r="T152" s="461">
        <f t="shared" si="80"/>
        <v>0</v>
      </c>
      <c r="U152" s="454">
        <f t="shared" si="81"/>
        <v>0</v>
      </c>
      <c r="V152" s="454">
        <f t="shared" si="82"/>
        <v>0</v>
      </c>
      <c r="W152" s="454">
        <f t="shared" si="83"/>
        <v>0</v>
      </c>
      <c r="X152" s="454">
        <f t="shared" si="84"/>
        <v>0</v>
      </c>
      <c r="Y152" s="454">
        <f t="shared" si="85"/>
        <v>0</v>
      </c>
      <c r="Z152" s="454">
        <f t="shared" si="86"/>
        <v>0</v>
      </c>
      <c r="AA152" s="456">
        <f t="shared" si="87"/>
        <v>0</v>
      </c>
      <c r="AB152" s="585">
        <f t="shared" si="88"/>
        <v>0</v>
      </c>
      <c r="AC152" s="465" t="s">
        <v>315</v>
      </c>
      <c r="AD152" s="466">
        <v>0</v>
      </c>
    </row>
    <row r="153" spans="2:30" ht="13.5" customHeight="1" x14ac:dyDescent="0.25">
      <c r="B153" s="467"/>
      <c r="C153" s="468"/>
      <c r="D153" s="454"/>
      <c r="E153" s="454"/>
      <c r="F153" s="584"/>
      <c r="G153" s="454"/>
      <c r="H153" s="584"/>
      <c r="I153" s="584"/>
      <c r="J153" s="584"/>
      <c r="K153" s="584"/>
      <c r="L153" s="456">
        <f t="shared" si="72"/>
        <v>0</v>
      </c>
      <c r="M153" s="457">
        <f t="shared" si="73"/>
        <v>0</v>
      </c>
      <c r="N153" s="458">
        <f t="shared" si="74"/>
        <v>0</v>
      </c>
      <c r="O153" s="458">
        <f t="shared" si="75"/>
        <v>0</v>
      </c>
      <c r="P153" s="458">
        <f t="shared" si="76"/>
        <v>0</v>
      </c>
      <c r="Q153" s="459">
        <f t="shared" si="77"/>
        <v>0</v>
      </c>
      <c r="R153" s="460">
        <f t="shared" si="78"/>
        <v>0</v>
      </c>
      <c r="S153" s="461">
        <f t="shared" si="79"/>
        <v>0</v>
      </c>
      <c r="T153" s="461">
        <f t="shared" si="80"/>
        <v>0</v>
      </c>
      <c r="U153" s="454">
        <f t="shared" si="81"/>
        <v>0</v>
      </c>
      <c r="V153" s="454">
        <f t="shared" si="82"/>
        <v>0</v>
      </c>
      <c r="W153" s="454">
        <f t="shared" si="83"/>
        <v>0</v>
      </c>
      <c r="X153" s="454">
        <f t="shared" si="84"/>
        <v>0</v>
      </c>
      <c r="Y153" s="454">
        <f t="shared" si="85"/>
        <v>0</v>
      </c>
      <c r="Z153" s="454">
        <f t="shared" si="86"/>
        <v>0</v>
      </c>
      <c r="AA153" s="456">
        <f t="shared" si="87"/>
        <v>0</v>
      </c>
      <c r="AB153" s="585">
        <f t="shared" si="88"/>
        <v>0</v>
      </c>
      <c r="AC153" s="469" t="s">
        <v>194</v>
      </c>
      <c r="AD153" s="466">
        <f>D180</f>
        <v>0</v>
      </c>
    </row>
    <row r="154" spans="2:30" ht="13.5" customHeight="1" x14ac:dyDescent="0.25">
      <c r="B154" s="467"/>
      <c r="C154" s="468"/>
      <c r="D154" s="454"/>
      <c r="E154" s="454"/>
      <c r="F154" s="584"/>
      <c r="G154" s="454"/>
      <c r="H154" s="584"/>
      <c r="I154" s="584"/>
      <c r="J154" s="584"/>
      <c r="K154" s="584"/>
      <c r="L154" s="456">
        <f t="shared" si="72"/>
        <v>0</v>
      </c>
      <c r="M154" s="457">
        <f t="shared" si="73"/>
        <v>0</v>
      </c>
      <c r="N154" s="458">
        <f t="shared" si="74"/>
        <v>0</v>
      </c>
      <c r="O154" s="458">
        <f t="shared" si="75"/>
        <v>0</v>
      </c>
      <c r="P154" s="458">
        <f t="shared" si="76"/>
        <v>0</v>
      </c>
      <c r="Q154" s="459">
        <f t="shared" si="77"/>
        <v>0</v>
      </c>
      <c r="R154" s="460">
        <f t="shared" si="78"/>
        <v>0</v>
      </c>
      <c r="S154" s="461">
        <f t="shared" si="79"/>
        <v>0</v>
      </c>
      <c r="T154" s="461">
        <f t="shared" si="80"/>
        <v>0</v>
      </c>
      <c r="U154" s="454">
        <f t="shared" si="81"/>
        <v>0</v>
      </c>
      <c r="V154" s="454">
        <f t="shared" si="82"/>
        <v>0</v>
      </c>
      <c r="W154" s="454">
        <f t="shared" si="83"/>
        <v>0</v>
      </c>
      <c r="X154" s="454">
        <f t="shared" si="84"/>
        <v>0</v>
      </c>
      <c r="Y154" s="454">
        <f t="shared" si="85"/>
        <v>0</v>
      </c>
      <c r="Z154" s="454">
        <f t="shared" si="86"/>
        <v>0</v>
      </c>
      <c r="AA154" s="456">
        <f t="shared" si="87"/>
        <v>0</v>
      </c>
      <c r="AB154" s="585">
        <f t="shared" si="88"/>
        <v>0</v>
      </c>
      <c r="AC154" s="469" t="s">
        <v>197</v>
      </c>
      <c r="AD154" s="466">
        <f>E180</f>
        <v>0</v>
      </c>
    </row>
    <row r="155" spans="2:30" ht="13.5" customHeight="1" x14ac:dyDescent="0.25">
      <c r="B155" s="467"/>
      <c r="C155" s="468"/>
      <c r="D155" s="454"/>
      <c r="E155" s="454"/>
      <c r="F155" s="584"/>
      <c r="G155" s="454"/>
      <c r="H155" s="584"/>
      <c r="I155" s="584"/>
      <c r="J155" s="584"/>
      <c r="K155" s="584"/>
      <c r="L155" s="456">
        <f t="shared" si="72"/>
        <v>0</v>
      </c>
      <c r="M155" s="457">
        <f t="shared" si="73"/>
        <v>0</v>
      </c>
      <c r="N155" s="458">
        <f t="shared" si="74"/>
        <v>0</v>
      </c>
      <c r="O155" s="458">
        <f t="shared" si="75"/>
        <v>0</v>
      </c>
      <c r="P155" s="458">
        <f t="shared" si="76"/>
        <v>0</v>
      </c>
      <c r="Q155" s="459">
        <f t="shared" si="77"/>
        <v>0</v>
      </c>
      <c r="R155" s="460">
        <f t="shared" si="78"/>
        <v>0</v>
      </c>
      <c r="S155" s="461">
        <f t="shared" si="79"/>
        <v>0</v>
      </c>
      <c r="T155" s="461">
        <f t="shared" si="80"/>
        <v>0</v>
      </c>
      <c r="U155" s="454">
        <f t="shared" si="81"/>
        <v>0</v>
      </c>
      <c r="V155" s="454">
        <f t="shared" si="82"/>
        <v>0</v>
      </c>
      <c r="W155" s="454">
        <f t="shared" si="83"/>
        <v>0</v>
      </c>
      <c r="X155" s="454">
        <f t="shared" si="84"/>
        <v>0</v>
      </c>
      <c r="Y155" s="454">
        <f t="shared" si="85"/>
        <v>0</v>
      </c>
      <c r="Z155" s="454">
        <f t="shared" si="86"/>
        <v>0</v>
      </c>
      <c r="AA155" s="456">
        <f t="shared" si="87"/>
        <v>0</v>
      </c>
      <c r="AB155" s="585">
        <f t="shared" si="88"/>
        <v>0</v>
      </c>
      <c r="AC155" s="469" t="s">
        <v>211</v>
      </c>
      <c r="AD155" s="466">
        <f>SUM(H180:K180)</f>
        <v>0</v>
      </c>
    </row>
    <row r="156" spans="2:30" ht="13.5" customHeight="1" x14ac:dyDescent="0.25">
      <c r="B156" s="467"/>
      <c r="C156" s="468"/>
      <c r="D156" s="431"/>
      <c r="E156" s="454"/>
      <c r="F156" s="584"/>
      <c r="G156" s="454"/>
      <c r="H156" s="584"/>
      <c r="I156" s="584"/>
      <c r="J156" s="584"/>
      <c r="K156" s="584"/>
      <c r="L156" s="456">
        <f t="shared" si="72"/>
        <v>0</v>
      </c>
      <c r="M156" s="457">
        <f t="shared" si="73"/>
        <v>0</v>
      </c>
      <c r="N156" s="458">
        <f t="shared" si="74"/>
        <v>0</v>
      </c>
      <c r="O156" s="458">
        <f t="shared" si="75"/>
        <v>0</v>
      </c>
      <c r="P156" s="458">
        <f t="shared" si="76"/>
        <v>0</v>
      </c>
      <c r="Q156" s="459">
        <f t="shared" si="77"/>
        <v>0</v>
      </c>
      <c r="R156" s="460">
        <f t="shared" si="78"/>
        <v>0</v>
      </c>
      <c r="S156" s="461">
        <f t="shared" si="79"/>
        <v>0</v>
      </c>
      <c r="T156" s="461">
        <f t="shared" si="80"/>
        <v>0</v>
      </c>
      <c r="U156" s="454">
        <f t="shared" si="81"/>
        <v>0</v>
      </c>
      <c r="V156" s="454">
        <f t="shared" si="82"/>
        <v>0</v>
      </c>
      <c r="W156" s="454">
        <f t="shared" si="83"/>
        <v>0</v>
      </c>
      <c r="X156" s="454">
        <f t="shared" si="84"/>
        <v>0</v>
      </c>
      <c r="Y156" s="454">
        <f t="shared" si="85"/>
        <v>0</v>
      </c>
      <c r="Z156" s="454">
        <f t="shared" si="86"/>
        <v>0</v>
      </c>
      <c r="AA156" s="456">
        <f t="shared" si="87"/>
        <v>0</v>
      </c>
      <c r="AB156" s="585">
        <f t="shared" si="88"/>
        <v>0</v>
      </c>
      <c r="AC156" s="465" t="s">
        <v>209</v>
      </c>
      <c r="AD156" s="466">
        <f>SUM(M180:O180)</f>
        <v>0</v>
      </c>
    </row>
    <row r="157" spans="2:30" ht="13.5" customHeight="1" x14ac:dyDescent="0.25">
      <c r="B157" s="467"/>
      <c r="C157" s="468"/>
      <c r="D157" s="431"/>
      <c r="E157" s="454"/>
      <c r="F157" s="584"/>
      <c r="G157" s="454"/>
      <c r="H157" s="584"/>
      <c r="I157" s="584"/>
      <c r="J157" s="584"/>
      <c r="K157" s="584"/>
      <c r="L157" s="456">
        <f t="shared" si="72"/>
        <v>0</v>
      </c>
      <c r="M157" s="457">
        <f t="shared" si="73"/>
        <v>0</v>
      </c>
      <c r="N157" s="458">
        <f t="shared" si="74"/>
        <v>0</v>
      </c>
      <c r="O157" s="458">
        <f t="shared" si="75"/>
        <v>0</v>
      </c>
      <c r="P157" s="458">
        <f t="shared" si="76"/>
        <v>0</v>
      </c>
      <c r="Q157" s="459">
        <f t="shared" si="77"/>
        <v>0</v>
      </c>
      <c r="R157" s="460">
        <f t="shared" si="78"/>
        <v>0</v>
      </c>
      <c r="S157" s="461">
        <f t="shared" si="79"/>
        <v>0</v>
      </c>
      <c r="T157" s="461">
        <f t="shared" si="80"/>
        <v>0</v>
      </c>
      <c r="U157" s="454">
        <f t="shared" si="81"/>
        <v>0</v>
      </c>
      <c r="V157" s="454">
        <f t="shared" si="82"/>
        <v>0</v>
      </c>
      <c r="W157" s="454">
        <f t="shared" si="83"/>
        <v>0</v>
      </c>
      <c r="X157" s="454">
        <f t="shared" si="84"/>
        <v>0</v>
      </c>
      <c r="Y157" s="454">
        <f t="shared" si="85"/>
        <v>0</v>
      </c>
      <c r="Z157" s="454">
        <f t="shared" si="86"/>
        <v>0</v>
      </c>
      <c r="AA157" s="456">
        <f t="shared" si="87"/>
        <v>0</v>
      </c>
      <c r="AB157" s="585">
        <f t="shared" si="88"/>
        <v>0</v>
      </c>
      <c r="AC157" s="465" t="s">
        <v>36</v>
      </c>
      <c r="AD157" s="466">
        <f>P180</f>
        <v>0</v>
      </c>
    </row>
    <row r="158" spans="2:30" ht="13.5" customHeight="1" x14ac:dyDescent="0.25">
      <c r="B158" s="586"/>
      <c r="C158" s="468"/>
      <c r="D158" s="454"/>
      <c r="E158" s="454"/>
      <c r="F158" s="584"/>
      <c r="G158" s="454"/>
      <c r="H158" s="584"/>
      <c r="I158" s="584"/>
      <c r="J158" s="584"/>
      <c r="K158" s="584"/>
      <c r="L158" s="456">
        <f t="shared" si="72"/>
        <v>0</v>
      </c>
      <c r="M158" s="457">
        <f t="shared" si="73"/>
        <v>0</v>
      </c>
      <c r="N158" s="458">
        <f t="shared" si="74"/>
        <v>0</v>
      </c>
      <c r="O158" s="458">
        <f t="shared" si="75"/>
        <v>0</v>
      </c>
      <c r="P158" s="458">
        <f t="shared" si="76"/>
        <v>0</v>
      </c>
      <c r="Q158" s="459">
        <f t="shared" si="77"/>
        <v>0</v>
      </c>
      <c r="R158" s="460">
        <f t="shared" si="78"/>
        <v>0</v>
      </c>
      <c r="S158" s="461">
        <f t="shared" si="79"/>
        <v>0</v>
      </c>
      <c r="T158" s="461">
        <f t="shared" si="80"/>
        <v>0</v>
      </c>
      <c r="U158" s="454">
        <f t="shared" si="81"/>
        <v>0</v>
      </c>
      <c r="V158" s="454">
        <f t="shared" si="82"/>
        <v>0</v>
      </c>
      <c r="W158" s="454">
        <f t="shared" si="83"/>
        <v>0</v>
      </c>
      <c r="X158" s="454">
        <f t="shared" si="84"/>
        <v>0</v>
      </c>
      <c r="Y158" s="454">
        <f t="shared" si="85"/>
        <v>0</v>
      </c>
      <c r="Z158" s="454">
        <f t="shared" si="86"/>
        <v>0</v>
      </c>
      <c r="AA158" s="456">
        <f t="shared" si="87"/>
        <v>0</v>
      </c>
      <c r="AB158" s="585">
        <f t="shared" si="88"/>
        <v>0</v>
      </c>
      <c r="AC158" s="469" t="s">
        <v>212</v>
      </c>
      <c r="AD158" s="466">
        <f>SUM(R180:Z180)</f>
        <v>0</v>
      </c>
    </row>
    <row r="159" spans="2:30" ht="14.25" customHeight="1" x14ac:dyDescent="0.25">
      <c r="B159" s="586"/>
      <c r="C159" s="468"/>
      <c r="D159" s="454"/>
      <c r="E159" s="454"/>
      <c r="F159" s="584"/>
      <c r="G159" s="454"/>
      <c r="H159" s="584"/>
      <c r="I159" s="584"/>
      <c r="J159" s="584"/>
      <c r="K159" s="584"/>
      <c r="L159" s="456">
        <f t="shared" si="72"/>
        <v>0</v>
      </c>
      <c r="M159" s="457">
        <f t="shared" si="73"/>
        <v>0</v>
      </c>
      <c r="N159" s="458">
        <f t="shared" si="74"/>
        <v>0</v>
      </c>
      <c r="O159" s="458">
        <f t="shared" si="75"/>
        <v>0</v>
      </c>
      <c r="P159" s="458">
        <f t="shared" si="76"/>
        <v>0</v>
      </c>
      <c r="Q159" s="459">
        <f t="shared" si="77"/>
        <v>0</v>
      </c>
      <c r="R159" s="460">
        <f t="shared" si="78"/>
        <v>0</v>
      </c>
      <c r="S159" s="461">
        <f t="shared" si="79"/>
        <v>0</v>
      </c>
      <c r="T159" s="461">
        <f t="shared" si="80"/>
        <v>0</v>
      </c>
      <c r="U159" s="454">
        <f t="shared" si="81"/>
        <v>0</v>
      </c>
      <c r="V159" s="454">
        <f t="shared" si="82"/>
        <v>0</v>
      </c>
      <c r="W159" s="454">
        <f t="shared" si="83"/>
        <v>0</v>
      </c>
      <c r="X159" s="454">
        <f t="shared" si="84"/>
        <v>0</v>
      </c>
      <c r="Y159" s="454">
        <f t="shared" si="85"/>
        <v>0</v>
      </c>
      <c r="Z159" s="454">
        <f t="shared" si="86"/>
        <v>0</v>
      </c>
      <c r="AA159" s="456">
        <f t="shared" si="87"/>
        <v>0</v>
      </c>
      <c r="AB159" s="585">
        <f t="shared" si="88"/>
        <v>0</v>
      </c>
      <c r="AC159" s="483" t="s">
        <v>13</v>
      </c>
      <c r="AD159" s="484">
        <f>SUM(AD150:AD158)</f>
        <v>0</v>
      </c>
    </row>
    <row r="160" spans="2:30" ht="13.5" customHeight="1" x14ac:dyDescent="0.25">
      <c r="B160" s="586"/>
      <c r="C160" s="468"/>
      <c r="D160" s="454"/>
      <c r="E160" s="454"/>
      <c r="F160" s="584"/>
      <c r="G160" s="454"/>
      <c r="H160" s="584"/>
      <c r="I160" s="584"/>
      <c r="J160" s="584"/>
      <c r="K160" s="584"/>
      <c r="L160" s="456">
        <f t="shared" si="72"/>
        <v>0</v>
      </c>
      <c r="M160" s="457">
        <f t="shared" si="73"/>
        <v>0</v>
      </c>
      <c r="N160" s="458">
        <f t="shared" si="74"/>
        <v>0</v>
      </c>
      <c r="O160" s="458">
        <f t="shared" si="75"/>
        <v>0</v>
      </c>
      <c r="P160" s="458">
        <f t="shared" si="76"/>
        <v>0</v>
      </c>
      <c r="Q160" s="459">
        <f t="shared" si="77"/>
        <v>0</v>
      </c>
      <c r="R160" s="460">
        <f t="shared" si="78"/>
        <v>0</v>
      </c>
      <c r="S160" s="461">
        <f t="shared" si="79"/>
        <v>0</v>
      </c>
      <c r="T160" s="461">
        <f t="shared" si="80"/>
        <v>0</v>
      </c>
      <c r="U160" s="454">
        <f t="shared" si="81"/>
        <v>0</v>
      </c>
      <c r="V160" s="454">
        <f t="shared" si="82"/>
        <v>0</v>
      </c>
      <c r="W160" s="454">
        <f t="shared" si="83"/>
        <v>0</v>
      </c>
      <c r="X160" s="454">
        <f t="shared" si="84"/>
        <v>0</v>
      </c>
      <c r="Y160" s="454">
        <f t="shared" si="85"/>
        <v>0</v>
      </c>
      <c r="Z160" s="454">
        <f t="shared" si="86"/>
        <v>0</v>
      </c>
      <c r="AA160" s="456">
        <f t="shared" si="87"/>
        <v>0</v>
      </c>
      <c r="AB160" s="587">
        <f t="shared" si="88"/>
        <v>0</v>
      </c>
    </row>
    <row r="161" spans="2:28" ht="13.5" customHeight="1" x14ac:dyDescent="0.25">
      <c r="B161" s="586"/>
      <c r="C161" s="468"/>
      <c r="D161" s="454"/>
      <c r="E161" s="454"/>
      <c r="F161" s="584"/>
      <c r="G161" s="454"/>
      <c r="H161" s="584"/>
      <c r="I161" s="584"/>
      <c r="J161" s="584"/>
      <c r="K161" s="584"/>
      <c r="L161" s="456">
        <f t="shared" si="72"/>
        <v>0</v>
      </c>
      <c r="M161" s="457">
        <f t="shared" si="73"/>
        <v>0</v>
      </c>
      <c r="N161" s="458">
        <f t="shared" si="74"/>
        <v>0</v>
      </c>
      <c r="O161" s="458">
        <f t="shared" si="75"/>
        <v>0</v>
      </c>
      <c r="P161" s="458">
        <f t="shared" si="76"/>
        <v>0</v>
      </c>
      <c r="Q161" s="459">
        <f t="shared" si="77"/>
        <v>0</v>
      </c>
      <c r="R161" s="460">
        <f t="shared" si="78"/>
        <v>0</v>
      </c>
      <c r="S161" s="461">
        <f t="shared" si="79"/>
        <v>0</v>
      </c>
      <c r="T161" s="461">
        <f t="shared" si="80"/>
        <v>0</v>
      </c>
      <c r="U161" s="454">
        <f t="shared" si="81"/>
        <v>0</v>
      </c>
      <c r="V161" s="454">
        <f t="shared" si="82"/>
        <v>0</v>
      </c>
      <c r="W161" s="454">
        <f t="shared" si="83"/>
        <v>0</v>
      </c>
      <c r="X161" s="454">
        <f t="shared" si="84"/>
        <v>0</v>
      </c>
      <c r="Y161" s="454">
        <f t="shared" si="85"/>
        <v>0</v>
      </c>
      <c r="Z161" s="454">
        <f t="shared" si="86"/>
        <v>0</v>
      </c>
      <c r="AA161" s="456">
        <f t="shared" si="87"/>
        <v>0</v>
      </c>
      <c r="AB161" s="587">
        <f t="shared" si="88"/>
        <v>0</v>
      </c>
    </row>
    <row r="162" spans="2:28" ht="13.5" customHeight="1" x14ac:dyDescent="0.25">
      <c r="B162" s="586"/>
      <c r="C162" s="468"/>
      <c r="D162" s="454"/>
      <c r="E162" s="454"/>
      <c r="F162" s="584"/>
      <c r="G162" s="454"/>
      <c r="H162" s="584"/>
      <c r="I162" s="584"/>
      <c r="J162" s="584"/>
      <c r="K162" s="584"/>
      <c r="L162" s="456">
        <f t="shared" si="72"/>
        <v>0</v>
      </c>
      <c r="M162" s="457">
        <f t="shared" si="73"/>
        <v>0</v>
      </c>
      <c r="N162" s="458">
        <f t="shared" si="74"/>
        <v>0</v>
      </c>
      <c r="O162" s="458">
        <f t="shared" si="75"/>
        <v>0</v>
      </c>
      <c r="P162" s="458">
        <f t="shared" si="76"/>
        <v>0</v>
      </c>
      <c r="Q162" s="459">
        <f t="shared" si="77"/>
        <v>0</v>
      </c>
      <c r="R162" s="460">
        <f t="shared" si="78"/>
        <v>0</v>
      </c>
      <c r="S162" s="461">
        <f t="shared" si="79"/>
        <v>0</v>
      </c>
      <c r="T162" s="461">
        <f t="shared" si="80"/>
        <v>0</v>
      </c>
      <c r="U162" s="454">
        <f t="shared" si="81"/>
        <v>0</v>
      </c>
      <c r="V162" s="454">
        <f t="shared" si="82"/>
        <v>0</v>
      </c>
      <c r="W162" s="454">
        <f t="shared" si="83"/>
        <v>0</v>
      </c>
      <c r="X162" s="454">
        <f t="shared" si="84"/>
        <v>0</v>
      </c>
      <c r="Y162" s="454">
        <f t="shared" si="85"/>
        <v>0</v>
      </c>
      <c r="Z162" s="454">
        <f t="shared" si="86"/>
        <v>0</v>
      </c>
      <c r="AA162" s="456">
        <f t="shared" si="87"/>
        <v>0</v>
      </c>
      <c r="AB162" s="587">
        <f t="shared" si="88"/>
        <v>0</v>
      </c>
    </row>
    <row r="163" spans="2:28" ht="13.5" customHeight="1" x14ac:dyDescent="0.25">
      <c r="B163" s="586"/>
      <c r="C163" s="468"/>
      <c r="D163" s="454"/>
      <c r="E163" s="454"/>
      <c r="F163" s="584"/>
      <c r="G163" s="454"/>
      <c r="H163" s="584"/>
      <c r="I163" s="584"/>
      <c r="J163" s="584"/>
      <c r="K163" s="584"/>
      <c r="L163" s="456">
        <f t="shared" si="72"/>
        <v>0</v>
      </c>
      <c r="M163" s="457">
        <f t="shared" si="73"/>
        <v>0</v>
      </c>
      <c r="N163" s="458">
        <f t="shared" si="74"/>
        <v>0</v>
      </c>
      <c r="O163" s="458">
        <f t="shared" si="75"/>
        <v>0</v>
      </c>
      <c r="P163" s="458">
        <f t="shared" si="76"/>
        <v>0</v>
      </c>
      <c r="Q163" s="459">
        <f t="shared" si="77"/>
        <v>0</v>
      </c>
      <c r="R163" s="460">
        <f t="shared" si="78"/>
        <v>0</v>
      </c>
      <c r="S163" s="461">
        <f t="shared" si="79"/>
        <v>0</v>
      </c>
      <c r="T163" s="461">
        <f t="shared" si="80"/>
        <v>0</v>
      </c>
      <c r="U163" s="454">
        <f t="shared" si="81"/>
        <v>0</v>
      </c>
      <c r="V163" s="454">
        <f t="shared" si="82"/>
        <v>0</v>
      </c>
      <c r="W163" s="454">
        <f t="shared" si="83"/>
        <v>0</v>
      </c>
      <c r="X163" s="454">
        <f t="shared" si="84"/>
        <v>0</v>
      </c>
      <c r="Y163" s="454">
        <f t="shared" si="85"/>
        <v>0</v>
      </c>
      <c r="Z163" s="454">
        <f t="shared" si="86"/>
        <v>0</v>
      </c>
      <c r="AA163" s="456">
        <f t="shared" si="87"/>
        <v>0</v>
      </c>
      <c r="AB163" s="587">
        <f t="shared" si="88"/>
        <v>0</v>
      </c>
    </row>
    <row r="164" spans="2:28" ht="13.5" customHeight="1" x14ac:dyDescent="0.25">
      <c r="B164" s="586"/>
      <c r="C164" s="468"/>
      <c r="D164" s="454"/>
      <c r="E164" s="454"/>
      <c r="F164" s="584"/>
      <c r="G164" s="454"/>
      <c r="H164" s="584"/>
      <c r="I164" s="584"/>
      <c r="J164" s="584"/>
      <c r="K164" s="584"/>
      <c r="L164" s="456">
        <f t="shared" si="72"/>
        <v>0</v>
      </c>
      <c r="M164" s="457">
        <f t="shared" si="73"/>
        <v>0</v>
      </c>
      <c r="N164" s="458">
        <f t="shared" si="74"/>
        <v>0</v>
      </c>
      <c r="O164" s="458">
        <f t="shared" si="75"/>
        <v>0</v>
      </c>
      <c r="P164" s="458">
        <f t="shared" si="76"/>
        <v>0</v>
      </c>
      <c r="Q164" s="459">
        <f t="shared" si="77"/>
        <v>0</v>
      </c>
      <c r="R164" s="460">
        <f t="shared" si="78"/>
        <v>0</v>
      </c>
      <c r="S164" s="461">
        <f t="shared" si="79"/>
        <v>0</v>
      </c>
      <c r="T164" s="461">
        <f t="shared" si="80"/>
        <v>0</v>
      </c>
      <c r="U164" s="454">
        <f t="shared" si="81"/>
        <v>0</v>
      </c>
      <c r="V164" s="454">
        <f t="shared" si="82"/>
        <v>0</v>
      </c>
      <c r="W164" s="454">
        <f t="shared" si="83"/>
        <v>0</v>
      </c>
      <c r="X164" s="454">
        <f t="shared" si="84"/>
        <v>0</v>
      </c>
      <c r="Y164" s="454">
        <f t="shared" si="85"/>
        <v>0</v>
      </c>
      <c r="Z164" s="454">
        <f t="shared" si="86"/>
        <v>0</v>
      </c>
      <c r="AA164" s="456">
        <f t="shared" si="87"/>
        <v>0</v>
      </c>
      <c r="AB164" s="587">
        <f t="shared" si="88"/>
        <v>0</v>
      </c>
    </row>
    <row r="165" spans="2:28" ht="13.5" customHeight="1" x14ac:dyDescent="0.25">
      <c r="B165" s="586"/>
      <c r="C165" s="468"/>
      <c r="D165" s="454"/>
      <c r="E165" s="454"/>
      <c r="F165" s="584"/>
      <c r="G165" s="454"/>
      <c r="H165" s="584"/>
      <c r="I165" s="584"/>
      <c r="J165" s="584"/>
      <c r="K165" s="584"/>
      <c r="L165" s="456">
        <f t="shared" si="72"/>
        <v>0</v>
      </c>
      <c r="M165" s="457">
        <f t="shared" si="73"/>
        <v>0</v>
      </c>
      <c r="N165" s="458">
        <f t="shared" si="74"/>
        <v>0</v>
      </c>
      <c r="O165" s="458">
        <f t="shared" si="75"/>
        <v>0</v>
      </c>
      <c r="P165" s="458">
        <f t="shared" si="76"/>
        <v>0</v>
      </c>
      <c r="Q165" s="459">
        <f t="shared" si="77"/>
        <v>0</v>
      </c>
      <c r="R165" s="460">
        <f t="shared" si="78"/>
        <v>0</v>
      </c>
      <c r="S165" s="461">
        <f t="shared" si="79"/>
        <v>0</v>
      </c>
      <c r="T165" s="461">
        <f t="shared" si="80"/>
        <v>0</v>
      </c>
      <c r="U165" s="454">
        <f t="shared" si="81"/>
        <v>0</v>
      </c>
      <c r="V165" s="454">
        <f t="shared" si="82"/>
        <v>0</v>
      </c>
      <c r="W165" s="454">
        <f t="shared" si="83"/>
        <v>0</v>
      </c>
      <c r="X165" s="454">
        <f t="shared" si="84"/>
        <v>0</v>
      </c>
      <c r="Y165" s="454">
        <f t="shared" si="85"/>
        <v>0</v>
      </c>
      <c r="Z165" s="454">
        <f t="shared" si="86"/>
        <v>0</v>
      </c>
      <c r="AA165" s="456">
        <f t="shared" si="87"/>
        <v>0</v>
      </c>
      <c r="AB165" s="587">
        <f t="shared" si="88"/>
        <v>0</v>
      </c>
    </row>
    <row r="166" spans="2:28" ht="13.5" customHeight="1" x14ac:dyDescent="0.25">
      <c r="B166" s="586"/>
      <c r="C166" s="468"/>
      <c r="D166" s="454"/>
      <c r="E166" s="454"/>
      <c r="F166" s="584"/>
      <c r="G166" s="454"/>
      <c r="H166" s="584"/>
      <c r="I166" s="584"/>
      <c r="J166" s="584"/>
      <c r="K166" s="584"/>
      <c r="L166" s="456">
        <f t="shared" si="72"/>
        <v>0</v>
      </c>
      <c r="M166" s="457">
        <f t="shared" si="73"/>
        <v>0</v>
      </c>
      <c r="N166" s="458">
        <f t="shared" si="74"/>
        <v>0</v>
      </c>
      <c r="O166" s="458">
        <f t="shared" si="75"/>
        <v>0</v>
      </c>
      <c r="P166" s="458">
        <f t="shared" si="76"/>
        <v>0</v>
      </c>
      <c r="Q166" s="459">
        <f t="shared" si="77"/>
        <v>0</v>
      </c>
      <c r="R166" s="460">
        <f t="shared" si="78"/>
        <v>0</v>
      </c>
      <c r="S166" s="461">
        <f t="shared" si="79"/>
        <v>0</v>
      </c>
      <c r="T166" s="461">
        <f t="shared" si="80"/>
        <v>0</v>
      </c>
      <c r="U166" s="454">
        <f t="shared" si="81"/>
        <v>0</v>
      </c>
      <c r="V166" s="454">
        <f t="shared" si="82"/>
        <v>0</v>
      </c>
      <c r="W166" s="454">
        <f t="shared" si="83"/>
        <v>0</v>
      </c>
      <c r="X166" s="454">
        <f t="shared" si="84"/>
        <v>0</v>
      </c>
      <c r="Y166" s="454">
        <f t="shared" si="85"/>
        <v>0</v>
      </c>
      <c r="Z166" s="454">
        <f t="shared" si="86"/>
        <v>0</v>
      </c>
      <c r="AA166" s="456">
        <f t="shared" si="87"/>
        <v>0</v>
      </c>
      <c r="AB166" s="587">
        <f t="shared" si="88"/>
        <v>0</v>
      </c>
    </row>
    <row r="167" spans="2:28" ht="13.5" customHeight="1" x14ac:dyDescent="0.25">
      <c r="B167" s="586"/>
      <c r="C167" s="468"/>
      <c r="D167" s="454"/>
      <c r="E167" s="454"/>
      <c r="F167" s="584"/>
      <c r="G167" s="454"/>
      <c r="H167" s="584"/>
      <c r="I167" s="584"/>
      <c r="J167" s="584"/>
      <c r="K167" s="584"/>
      <c r="L167" s="456">
        <f t="shared" si="72"/>
        <v>0</v>
      </c>
      <c r="M167" s="457">
        <f t="shared" si="73"/>
        <v>0</v>
      </c>
      <c r="N167" s="458">
        <f t="shared" si="74"/>
        <v>0</v>
      </c>
      <c r="O167" s="458">
        <f t="shared" si="75"/>
        <v>0</v>
      </c>
      <c r="P167" s="458">
        <f t="shared" si="76"/>
        <v>0</v>
      </c>
      <c r="Q167" s="459">
        <f t="shared" si="77"/>
        <v>0</v>
      </c>
      <c r="R167" s="460">
        <f t="shared" si="78"/>
        <v>0</v>
      </c>
      <c r="S167" s="461">
        <f t="shared" si="79"/>
        <v>0</v>
      </c>
      <c r="T167" s="461">
        <f t="shared" si="80"/>
        <v>0</v>
      </c>
      <c r="U167" s="454">
        <f t="shared" si="81"/>
        <v>0</v>
      </c>
      <c r="V167" s="454">
        <f t="shared" si="82"/>
        <v>0</v>
      </c>
      <c r="W167" s="454">
        <f t="shared" si="83"/>
        <v>0</v>
      </c>
      <c r="X167" s="454">
        <f t="shared" si="84"/>
        <v>0</v>
      </c>
      <c r="Y167" s="454">
        <f t="shared" si="85"/>
        <v>0</v>
      </c>
      <c r="Z167" s="454">
        <f t="shared" si="86"/>
        <v>0</v>
      </c>
      <c r="AA167" s="456">
        <f t="shared" si="87"/>
        <v>0</v>
      </c>
      <c r="AB167" s="587">
        <f t="shared" si="88"/>
        <v>0</v>
      </c>
    </row>
    <row r="168" spans="2:28" ht="13.5" customHeight="1" x14ac:dyDescent="0.25">
      <c r="B168" s="586"/>
      <c r="C168" s="468"/>
      <c r="D168" s="454"/>
      <c r="E168" s="454"/>
      <c r="F168" s="588"/>
      <c r="G168" s="454"/>
      <c r="H168" s="584"/>
      <c r="I168" s="584"/>
      <c r="J168" s="584"/>
      <c r="K168" s="584"/>
      <c r="L168" s="456">
        <f t="shared" si="72"/>
        <v>0</v>
      </c>
      <c r="M168" s="457">
        <f t="shared" si="73"/>
        <v>0</v>
      </c>
      <c r="N168" s="458">
        <f t="shared" si="74"/>
        <v>0</v>
      </c>
      <c r="O168" s="458">
        <f t="shared" si="75"/>
        <v>0</v>
      </c>
      <c r="P168" s="458">
        <f t="shared" si="76"/>
        <v>0</v>
      </c>
      <c r="Q168" s="459">
        <f t="shared" si="77"/>
        <v>0</v>
      </c>
      <c r="R168" s="460">
        <f t="shared" si="78"/>
        <v>0</v>
      </c>
      <c r="S168" s="461">
        <f t="shared" si="79"/>
        <v>0</v>
      </c>
      <c r="T168" s="461">
        <f t="shared" si="80"/>
        <v>0</v>
      </c>
      <c r="U168" s="454">
        <f t="shared" si="81"/>
        <v>0</v>
      </c>
      <c r="V168" s="454">
        <f t="shared" si="82"/>
        <v>0</v>
      </c>
      <c r="W168" s="454">
        <f t="shared" si="83"/>
        <v>0</v>
      </c>
      <c r="X168" s="454">
        <f t="shared" si="84"/>
        <v>0</v>
      </c>
      <c r="Y168" s="454">
        <f t="shared" si="85"/>
        <v>0</v>
      </c>
      <c r="Z168" s="454">
        <f t="shared" si="86"/>
        <v>0</v>
      </c>
      <c r="AA168" s="456">
        <f t="shared" si="87"/>
        <v>0</v>
      </c>
      <c r="AB168" s="587">
        <f t="shared" si="88"/>
        <v>0</v>
      </c>
    </row>
    <row r="169" spans="2:28" ht="13.5" customHeight="1" x14ac:dyDescent="0.25">
      <c r="B169" s="586"/>
      <c r="C169" s="468"/>
      <c r="D169" s="454"/>
      <c r="E169" s="454"/>
      <c r="F169" s="584"/>
      <c r="G169" s="454"/>
      <c r="H169" s="584"/>
      <c r="I169" s="584"/>
      <c r="J169" s="584"/>
      <c r="K169" s="584"/>
      <c r="L169" s="456">
        <f t="shared" si="72"/>
        <v>0</v>
      </c>
      <c r="M169" s="457">
        <f t="shared" si="73"/>
        <v>0</v>
      </c>
      <c r="N169" s="458">
        <f t="shared" si="74"/>
        <v>0</v>
      </c>
      <c r="O169" s="458">
        <f t="shared" si="75"/>
        <v>0</v>
      </c>
      <c r="P169" s="458">
        <f t="shared" si="76"/>
        <v>0</v>
      </c>
      <c r="Q169" s="459">
        <f t="shared" si="77"/>
        <v>0</v>
      </c>
      <c r="R169" s="460">
        <f t="shared" si="78"/>
        <v>0</v>
      </c>
      <c r="S169" s="461">
        <f t="shared" si="79"/>
        <v>0</v>
      </c>
      <c r="T169" s="461">
        <f t="shared" si="80"/>
        <v>0</v>
      </c>
      <c r="U169" s="454">
        <f t="shared" si="81"/>
        <v>0</v>
      </c>
      <c r="V169" s="454">
        <f t="shared" si="82"/>
        <v>0</v>
      </c>
      <c r="W169" s="454">
        <f t="shared" si="83"/>
        <v>0</v>
      </c>
      <c r="X169" s="454">
        <f t="shared" si="84"/>
        <v>0</v>
      </c>
      <c r="Y169" s="454">
        <f t="shared" si="85"/>
        <v>0</v>
      </c>
      <c r="Z169" s="454">
        <f t="shared" si="86"/>
        <v>0</v>
      </c>
      <c r="AA169" s="456">
        <f t="shared" si="87"/>
        <v>0</v>
      </c>
      <c r="AB169" s="587">
        <f t="shared" si="88"/>
        <v>0</v>
      </c>
    </row>
    <row r="170" spans="2:28" ht="13.5" customHeight="1" x14ac:dyDescent="0.25">
      <c r="B170" s="586"/>
      <c r="C170" s="468"/>
      <c r="D170" s="454"/>
      <c r="E170" s="454"/>
      <c r="F170" s="584"/>
      <c r="G170" s="454"/>
      <c r="H170" s="584"/>
      <c r="I170" s="584"/>
      <c r="J170" s="584"/>
      <c r="K170" s="584"/>
      <c r="L170" s="456">
        <f t="shared" si="72"/>
        <v>0</v>
      </c>
      <c r="M170" s="457">
        <f t="shared" si="73"/>
        <v>0</v>
      </c>
      <c r="N170" s="458">
        <f t="shared" si="74"/>
        <v>0</v>
      </c>
      <c r="O170" s="458">
        <f t="shared" si="75"/>
        <v>0</v>
      </c>
      <c r="P170" s="458">
        <f t="shared" si="76"/>
        <v>0</v>
      </c>
      <c r="Q170" s="459">
        <f t="shared" si="77"/>
        <v>0</v>
      </c>
      <c r="R170" s="460">
        <f t="shared" si="78"/>
        <v>0</v>
      </c>
      <c r="S170" s="461">
        <f t="shared" si="79"/>
        <v>0</v>
      </c>
      <c r="T170" s="461">
        <f t="shared" si="80"/>
        <v>0</v>
      </c>
      <c r="U170" s="454">
        <f t="shared" si="81"/>
        <v>0</v>
      </c>
      <c r="V170" s="454">
        <f t="shared" si="82"/>
        <v>0</v>
      </c>
      <c r="W170" s="454">
        <f t="shared" si="83"/>
        <v>0</v>
      </c>
      <c r="X170" s="454">
        <f t="shared" si="84"/>
        <v>0</v>
      </c>
      <c r="Y170" s="454">
        <f t="shared" si="85"/>
        <v>0</v>
      </c>
      <c r="Z170" s="454">
        <f t="shared" si="86"/>
        <v>0</v>
      </c>
      <c r="AA170" s="456">
        <f t="shared" si="87"/>
        <v>0</v>
      </c>
      <c r="AB170" s="587">
        <f t="shared" si="88"/>
        <v>0</v>
      </c>
    </row>
    <row r="171" spans="2:28" ht="13.5" customHeight="1" x14ac:dyDescent="0.25">
      <c r="B171" s="586"/>
      <c r="C171" s="468"/>
      <c r="D171" s="454"/>
      <c r="E171" s="454"/>
      <c r="F171" s="584"/>
      <c r="G171" s="454"/>
      <c r="H171" s="584"/>
      <c r="I171" s="584"/>
      <c r="J171" s="584"/>
      <c r="K171" s="584"/>
      <c r="L171" s="456">
        <f t="shared" si="72"/>
        <v>0</v>
      </c>
      <c r="M171" s="457">
        <f t="shared" si="73"/>
        <v>0</v>
      </c>
      <c r="N171" s="458">
        <f t="shared" si="74"/>
        <v>0</v>
      </c>
      <c r="O171" s="458">
        <f t="shared" si="75"/>
        <v>0</v>
      </c>
      <c r="P171" s="458">
        <f t="shared" si="76"/>
        <v>0</v>
      </c>
      <c r="Q171" s="459">
        <f t="shared" si="77"/>
        <v>0</v>
      </c>
      <c r="R171" s="460">
        <f t="shared" si="78"/>
        <v>0</v>
      </c>
      <c r="S171" s="461">
        <f t="shared" si="79"/>
        <v>0</v>
      </c>
      <c r="T171" s="461">
        <f t="shared" si="80"/>
        <v>0</v>
      </c>
      <c r="U171" s="454">
        <f t="shared" si="81"/>
        <v>0</v>
      </c>
      <c r="V171" s="454">
        <f t="shared" si="82"/>
        <v>0</v>
      </c>
      <c r="W171" s="454">
        <f t="shared" si="83"/>
        <v>0</v>
      </c>
      <c r="X171" s="454">
        <f t="shared" si="84"/>
        <v>0</v>
      </c>
      <c r="Y171" s="454">
        <f t="shared" si="85"/>
        <v>0</v>
      </c>
      <c r="Z171" s="454">
        <f t="shared" si="86"/>
        <v>0</v>
      </c>
      <c r="AA171" s="456">
        <f t="shared" si="87"/>
        <v>0</v>
      </c>
      <c r="AB171" s="587">
        <f t="shared" si="88"/>
        <v>0</v>
      </c>
    </row>
    <row r="172" spans="2:28" ht="13.5" customHeight="1" x14ac:dyDescent="0.25">
      <c r="B172" s="586"/>
      <c r="C172" s="468"/>
      <c r="D172" s="454"/>
      <c r="E172" s="454"/>
      <c r="F172" s="584"/>
      <c r="G172" s="454"/>
      <c r="H172" s="584"/>
      <c r="I172" s="584"/>
      <c r="J172" s="584"/>
      <c r="K172" s="584"/>
      <c r="L172" s="456">
        <f t="shared" si="72"/>
        <v>0</v>
      </c>
      <c r="M172" s="457">
        <f t="shared" si="73"/>
        <v>0</v>
      </c>
      <c r="N172" s="458">
        <f t="shared" si="74"/>
        <v>0</v>
      </c>
      <c r="O172" s="458">
        <f t="shared" si="75"/>
        <v>0</v>
      </c>
      <c r="P172" s="458">
        <f t="shared" si="76"/>
        <v>0</v>
      </c>
      <c r="Q172" s="459">
        <f t="shared" si="77"/>
        <v>0</v>
      </c>
      <c r="R172" s="460">
        <f t="shared" si="78"/>
        <v>0</v>
      </c>
      <c r="S172" s="461">
        <f t="shared" si="79"/>
        <v>0</v>
      </c>
      <c r="T172" s="461">
        <f t="shared" si="80"/>
        <v>0</v>
      </c>
      <c r="U172" s="454">
        <f t="shared" si="81"/>
        <v>0</v>
      </c>
      <c r="V172" s="454">
        <f t="shared" si="82"/>
        <v>0</v>
      </c>
      <c r="W172" s="454">
        <f t="shared" si="83"/>
        <v>0</v>
      </c>
      <c r="X172" s="454">
        <f t="shared" si="84"/>
        <v>0</v>
      </c>
      <c r="Y172" s="454">
        <f t="shared" si="85"/>
        <v>0</v>
      </c>
      <c r="Z172" s="454">
        <f t="shared" si="86"/>
        <v>0</v>
      </c>
      <c r="AA172" s="456">
        <f t="shared" si="87"/>
        <v>0</v>
      </c>
      <c r="AB172" s="587">
        <f t="shared" si="88"/>
        <v>0</v>
      </c>
    </row>
    <row r="173" spans="2:28" ht="13.5" customHeight="1" x14ac:dyDescent="0.25">
      <c r="B173" s="586"/>
      <c r="C173" s="468"/>
      <c r="D173" s="454"/>
      <c r="E173" s="454"/>
      <c r="F173" s="584"/>
      <c r="G173" s="454"/>
      <c r="H173" s="584"/>
      <c r="I173" s="584"/>
      <c r="J173" s="584"/>
      <c r="K173" s="584"/>
      <c r="L173" s="456">
        <f t="shared" si="72"/>
        <v>0</v>
      </c>
      <c r="M173" s="457">
        <f t="shared" si="73"/>
        <v>0</v>
      </c>
      <c r="N173" s="458">
        <f t="shared" si="74"/>
        <v>0</v>
      </c>
      <c r="O173" s="458">
        <f t="shared" si="75"/>
        <v>0</v>
      </c>
      <c r="P173" s="458">
        <f t="shared" si="76"/>
        <v>0</v>
      </c>
      <c r="Q173" s="459">
        <f t="shared" si="77"/>
        <v>0</v>
      </c>
      <c r="R173" s="460">
        <f t="shared" si="78"/>
        <v>0</v>
      </c>
      <c r="S173" s="461">
        <f t="shared" si="79"/>
        <v>0</v>
      </c>
      <c r="T173" s="461">
        <f t="shared" si="80"/>
        <v>0</v>
      </c>
      <c r="U173" s="454">
        <f t="shared" si="81"/>
        <v>0</v>
      </c>
      <c r="V173" s="454">
        <f t="shared" si="82"/>
        <v>0</v>
      </c>
      <c r="W173" s="454">
        <f t="shared" si="83"/>
        <v>0</v>
      </c>
      <c r="X173" s="454">
        <f t="shared" si="84"/>
        <v>0</v>
      </c>
      <c r="Y173" s="454">
        <f t="shared" si="85"/>
        <v>0</v>
      </c>
      <c r="Z173" s="454">
        <f t="shared" si="86"/>
        <v>0</v>
      </c>
      <c r="AA173" s="456">
        <f t="shared" si="87"/>
        <v>0</v>
      </c>
      <c r="AB173" s="587">
        <f t="shared" si="88"/>
        <v>0</v>
      </c>
    </row>
    <row r="174" spans="2:28" ht="13.5" customHeight="1" x14ac:dyDescent="0.25">
      <c r="B174" s="586"/>
      <c r="C174" s="468"/>
      <c r="D174" s="454"/>
      <c r="E174" s="454"/>
      <c r="F174" s="584"/>
      <c r="G174" s="454"/>
      <c r="H174" s="584"/>
      <c r="I174" s="584"/>
      <c r="J174" s="584"/>
      <c r="K174" s="584"/>
      <c r="L174" s="456">
        <f t="shared" si="72"/>
        <v>0</v>
      </c>
      <c r="M174" s="457">
        <f t="shared" si="73"/>
        <v>0</v>
      </c>
      <c r="N174" s="458">
        <f t="shared" si="74"/>
        <v>0</v>
      </c>
      <c r="O174" s="458">
        <f t="shared" si="75"/>
        <v>0</v>
      </c>
      <c r="P174" s="458">
        <f t="shared" si="76"/>
        <v>0</v>
      </c>
      <c r="Q174" s="459">
        <f t="shared" si="77"/>
        <v>0</v>
      </c>
      <c r="R174" s="460">
        <f t="shared" si="78"/>
        <v>0</v>
      </c>
      <c r="S174" s="461">
        <f t="shared" si="79"/>
        <v>0</v>
      </c>
      <c r="T174" s="461">
        <f t="shared" si="80"/>
        <v>0</v>
      </c>
      <c r="U174" s="454">
        <f t="shared" si="81"/>
        <v>0</v>
      </c>
      <c r="V174" s="454">
        <f t="shared" si="82"/>
        <v>0</v>
      </c>
      <c r="W174" s="454">
        <f t="shared" si="83"/>
        <v>0</v>
      </c>
      <c r="X174" s="454">
        <f t="shared" si="84"/>
        <v>0</v>
      </c>
      <c r="Y174" s="454">
        <f t="shared" si="85"/>
        <v>0</v>
      </c>
      <c r="Z174" s="454">
        <f t="shared" si="86"/>
        <v>0</v>
      </c>
      <c r="AA174" s="456">
        <f t="shared" si="87"/>
        <v>0</v>
      </c>
      <c r="AB174" s="587">
        <f t="shared" si="88"/>
        <v>0</v>
      </c>
    </row>
    <row r="175" spans="2:28" ht="13.5" customHeight="1" x14ac:dyDescent="0.25">
      <c r="B175" s="586"/>
      <c r="C175" s="468"/>
      <c r="D175" s="454"/>
      <c r="E175" s="454"/>
      <c r="F175" s="584"/>
      <c r="G175" s="454"/>
      <c r="H175" s="584"/>
      <c r="I175" s="584"/>
      <c r="J175" s="584"/>
      <c r="K175" s="584"/>
      <c r="L175" s="456">
        <f t="shared" si="72"/>
        <v>0</v>
      </c>
      <c r="M175" s="457">
        <f t="shared" si="73"/>
        <v>0</v>
      </c>
      <c r="N175" s="458">
        <f t="shared" si="74"/>
        <v>0</v>
      </c>
      <c r="O175" s="458">
        <f t="shared" si="75"/>
        <v>0</v>
      </c>
      <c r="P175" s="458">
        <f t="shared" si="76"/>
        <v>0</v>
      </c>
      <c r="Q175" s="459">
        <f t="shared" si="77"/>
        <v>0</v>
      </c>
      <c r="R175" s="460">
        <f t="shared" si="78"/>
        <v>0</v>
      </c>
      <c r="S175" s="461">
        <f t="shared" si="79"/>
        <v>0</v>
      </c>
      <c r="T175" s="461">
        <f t="shared" si="80"/>
        <v>0</v>
      </c>
      <c r="U175" s="454">
        <f t="shared" si="81"/>
        <v>0</v>
      </c>
      <c r="V175" s="454">
        <f t="shared" si="82"/>
        <v>0</v>
      </c>
      <c r="W175" s="454">
        <f t="shared" si="83"/>
        <v>0</v>
      </c>
      <c r="X175" s="454">
        <f t="shared" si="84"/>
        <v>0</v>
      </c>
      <c r="Y175" s="454">
        <f t="shared" si="85"/>
        <v>0</v>
      </c>
      <c r="Z175" s="454">
        <f t="shared" si="86"/>
        <v>0</v>
      </c>
      <c r="AA175" s="456">
        <f t="shared" si="87"/>
        <v>0</v>
      </c>
      <c r="AB175" s="587">
        <f t="shared" si="88"/>
        <v>0</v>
      </c>
    </row>
    <row r="176" spans="2:28" ht="13.5" customHeight="1" x14ac:dyDescent="0.25">
      <c r="B176" s="586"/>
      <c r="C176" s="468"/>
      <c r="D176" s="454"/>
      <c r="E176" s="454"/>
      <c r="F176" s="584"/>
      <c r="G176" s="454"/>
      <c r="H176" s="584"/>
      <c r="I176" s="584"/>
      <c r="J176" s="584"/>
      <c r="K176" s="584"/>
      <c r="L176" s="456">
        <f t="shared" si="72"/>
        <v>0</v>
      </c>
      <c r="M176" s="457">
        <f t="shared" si="73"/>
        <v>0</v>
      </c>
      <c r="N176" s="458">
        <f t="shared" si="74"/>
        <v>0</v>
      </c>
      <c r="O176" s="458">
        <f t="shared" si="75"/>
        <v>0</v>
      </c>
      <c r="P176" s="458">
        <f t="shared" si="76"/>
        <v>0</v>
      </c>
      <c r="Q176" s="459">
        <f t="shared" si="77"/>
        <v>0</v>
      </c>
      <c r="R176" s="460">
        <f t="shared" si="78"/>
        <v>0</v>
      </c>
      <c r="S176" s="461">
        <f t="shared" si="79"/>
        <v>0</v>
      </c>
      <c r="T176" s="461">
        <f t="shared" si="80"/>
        <v>0</v>
      </c>
      <c r="U176" s="454">
        <f t="shared" si="81"/>
        <v>0</v>
      </c>
      <c r="V176" s="454">
        <f t="shared" si="82"/>
        <v>0</v>
      </c>
      <c r="W176" s="454">
        <f t="shared" si="83"/>
        <v>0</v>
      </c>
      <c r="X176" s="454">
        <f t="shared" si="84"/>
        <v>0</v>
      </c>
      <c r="Y176" s="454">
        <f t="shared" si="85"/>
        <v>0</v>
      </c>
      <c r="Z176" s="454">
        <f t="shared" si="86"/>
        <v>0</v>
      </c>
      <c r="AA176" s="456">
        <f t="shared" si="87"/>
        <v>0</v>
      </c>
      <c r="AB176" s="587">
        <f t="shared" si="88"/>
        <v>0</v>
      </c>
    </row>
    <row r="177" spans="2:30" ht="13.5" customHeight="1" x14ac:dyDescent="0.25">
      <c r="B177" s="586"/>
      <c r="C177" s="468"/>
      <c r="D177" s="454"/>
      <c r="E177" s="454"/>
      <c r="F177" s="584"/>
      <c r="G177" s="454"/>
      <c r="H177" s="584"/>
      <c r="I177" s="584"/>
      <c r="J177" s="584"/>
      <c r="K177" s="584"/>
      <c r="L177" s="456">
        <f t="shared" si="72"/>
        <v>0</v>
      </c>
      <c r="M177" s="457">
        <f t="shared" si="73"/>
        <v>0</v>
      </c>
      <c r="N177" s="458">
        <f t="shared" si="74"/>
        <v>0</v>
      </c>
      <c r="O177" s="458">
        <f t="shared" si="75"/>
        <v>0</v>
      </c>
      <c r="P177" s="458">
        <f t="shared" si="76"/>
        <v>0</v>
      </c>
      <c r="Q177" s="459">
        <f t="shared" si="77"/>
        <v>0</v>
      </c>
      <c r="R177" s="460">
        <f t="shared" si="78"/>
        <v>0</v>
      </c>
      <c r="S177" s="461">
        <f t="shared" si="79"/>
        <v>0</v>
      </c>
      <c r="T177" s="461">
        <f t="shared" si="80"/>
        <v>0</v>
      </c>
      <c r="U177" s="454">
        <f t="shared" si="81"/>
        <v>0</v>
      </c>
      <c r="V177" s="454">
        <f t="shared" si="82"/>
        <v>0</v>
      </c>
      <c r="W177" s="454">
        <f t="shared" si="83"/>
        <v>0</v>
      </c>
      <c r="X177" s="454">
        <f t="shared" si="84"/>
        <v>0</v>
      </c>
      <c r="Y177" s="454">
        <f t="shared" si="85"/>
        <v>0</v>
      </c>
      <c r="Z177" s="454">
        <f t="shared" si="86"/>
        <v>0</v>
      </c>
      <c r="AA177" s="456">
        <f t="shared" si="87"/>
        <v>0</v>
      </c>
      <c r="AB177" s="587">
        <f t="shared" si="88"/>
        <v>0</v>
      </c>
    </row>
    <row r="178" spans="2:30" ht="13.5" customHeight="1" x14ac:dyDescent="0.25">
      <c r="B178" s="586"/>
      <c r="C178" s="468"/>
      <c r="D178" s="454"/>
      <c r="E178" s="454"/>
      <c r="F178" s="584"/>
      <c r="G178" s="454"/>
      <c r="H178" s="584"/>
      <c r="I178" s="584"/>
      <c r="J178" s="584"/>
      <c r="K178" s="584"/>
      <c r="L178" s="456">
        <f t="shared" si="72"/>
        <v>0</v>
      </c>
      <c r="M178" s="457"/>
      <c r="N178" s="458"/>
      <c r="O178" s="458"/>
      <c r="P178" s="458"/>
      <c r="Q178" s="459">
        <f t="shared" si="77"/>
        <v>0</v>
      </c>
      <c r="R178" s="460"/>
      <c r="S178" s="461"/>
      <c r="T178" s="461"/>
      <c r="U178" s="454"/>
      <c r="V178" s="454"/>
      <c r="W178" s="454"/>
      <c r="X178" s="454"/>
      <c r="Y178" s="454"/>
      <c r="Z178" s="454"/>
      <c r="AA178" s="456"/>
      <c r="AB178" s="587">
        <f t="shared" si="88"/>
        <v>0</v>
      </c>
    </row>
    <row r="179" spans="2:30" ht="13.5" customHeight="1" x14ac:dyDescent="0.25">
      <c r="B179" s="586"/>
      <c r="C179" s="468"/>
      <c r="D179" s="589"/>
      <c r="E179" s="454"/>
      <c r="F179" s="584"/>
      <c r="G179" s="454"/>
      <c r="H179" s="584"/>
      <c r="I179" s="584"/>
      <c r="J179" s="584"/>
      <c r="K179" s="584"/>
      <c r="L179" s="456">
        <f t="shared" si="72"/>
        <v>0</v>
      </c>
      <c r="M179" s="490"/>
      <c r="N179" s="458"/>
      <c r="O179" s="458"/>
      <c r="P179" s="458"/>
      <c r="Q179" s="459">
        <f t="shared" si="77"/>
        <v>0</v>
      </c>
      <c r="R179" s="460"/>
      <c r="S179" s="461"/>
      <c r="T179" s="461"/>
      <c r="U179" s="454"/>
      <c r="V179" s="454"/>
      <c r="W179" s="454"/>
      <c r="X179" s="454"/>
      <c r="Y179" s="454"/>
      <c r="Z179" s="454"/>
      <c r="AA179" s="456">
        <f>SUM(R179:Z179)</f>
        <v>0</v>
      </c>
      <c r="AB179" s="587">
        <f t="shared" si="88"/>
        <v>0</v>
      </c>
    </row>
    <row r="180" spans="2:30" ht="14.25" customHeight="1" x14ac:dyDescent="0.25">
      <c r="B180" s="590"/>
      <c r="C180" s="591">
        <f t="shared" ref="C180:AB180" si="89">SUM(C150:C179)</f>
        <v>0</v>
      </c>
      <c r="D180" s="592">
        <f t="shared" si="89"/>
        <v>0</v>
      </c>
      <c r="E180" s="592">
        <f t="shared" si="89"/>
        <v>0</v>
      </c>
      <c r="F180" s="592">
        <f t="shared" si="89"/>
        <v>0</v>
      </c>
      <c r="G180" s="592">
        <f t="shared" si="89"/>
        <v>0</v>
      </c>
      <c r="H180" s="592">
        <f t="shared" si="89"/>
        <v>0</v>
      </c>
      <c r="I180" s="592">
        <f t="shared" si="89"/>
        <v>0</v>
      </c>
      <c r="J180" s="592">
        <f t="shared" si="89"/>
        <v>0</v>
      </c>
      <c r="K180" s="592">
        <f t="shared" si="89"/>
        <v>0</v>
      </c>
      <c r="L180" s="593">
        <f t="shared" si="89"/>
        <v>0</v>
      </c>
      <c r="M180" s="591">
        <f t="shared" si="89"/>
        <v>0</v>
      </c>
      <c r="N180" s="592">
        <f t="shared" si="89"/>
        <v>0</v>
      </c>
      <c r="O180" s="592">
        <f t="shared" si="89"/>
        <v>0</v>
      </c>
      <c r="P180" s="592">
        <f t="shared" si="89"/>
        <v>0</v>
      </c>
      <c r="Q180" s="593">
        <f t="shared" si="89"/>
        <v>0</v>
      </c>
      <c r="R180" s="591">
        <f t="shared" si="89"/>
        <v>0</v>
      </c>
      <c r="S180" s="592">
        <f t="shared" si="89"/>
        <v>0</v>
      </c>
      <c r="T180" s="592">
        <f t="shared" si="89"/>
        <v>0</v>
      </c>
      <c r="U180" s="592">
        <f t="shared" si="89"/>
        <v>0</v>
      </c>
      <c r="V180" s="592">
        <f t="shared" si="89"/>
        <v>0</v>
      </c>
      <c r="W180" s="592">
        <f t="shared" si="89"/>
        <v>0</v>
      </c>
      <c r="X180" s="592">
        <f t="shared" si="89"/>
        <v>0</v>
      </c>
      <c r="Y180" s="592">
        <f t="shared" si="89"/>
        <v>0</v>
      </c>
      <c r="Z180" s="592">
        <f t="shared" si="89"/>
        <v>0</v>
      </c>
      <c r="AA180" s="593">
        <f t="shared" si="89"/>
        <v>0</v>
      </c>
      <c r="AB180" s="594">
        <f t="shared" si="89"/>
        <v>0</v>
      </c>
    </row>
    <row r="181" spans="2:30" ht="13.5" customHeight="1" x14ac:dyDescent="0.25"/>
    <row r="182" spans="2:30" ht="12.75" customHeight="1" x14ac:dyDescent="0.25">
      <c r="B182" s="438" t="s">
        <v>158</v>
      </c>
      <c r="C182" s="439" t="s">
        <v>190</v>
      </c>
      <c r="D182" s="440" t="s">
        <v>194</v>
      </c>
      <c r="E182" s="440" t="s">
        <v>197</v>
      </c>
      <c r="F182" s="440" t="s">
        <v>306</v>
      </c>
      <c r="G182" s="440" t="s">
        <v>307</v>
      </c>
      <c r="H182" s="440" t="s">
        <v>308</v>
      </c>
      <c r="I182" s="440" t="s">
        <v>309</v>
      </c>
      <c r="J182" s="440" t="s">
        <v>310</v>
      </c>
      <c r="K182" s="440" t="s">
        <v>311</v>
      </c>
      <c r="L182" s="441" t="s">
        <v>199</v>
      </c>
      <c r="M182" s="442" t="s">
        <v>168</v>
      </c>
      <c r="N182" s="443" t="s">
        <v>200</v>
      </c>
      <c r="O182" s="443" t="s">
        <v>201</v>
      </c>
      <c r="P182" s="444" t="s">
        <v>36</v>
      </c>
      <c r="Q182" s="445" t="s">
        <v>202</v>
      </c>
      <c r="R182" s="446" t="s">
        <v>40</v>
      </c>
      <c r="S182" s="447" t="s">
        <v>169</v>
      </c>
      <c r="T182" s="447" t="s">
        <v>203</v>
      </c>
      <c r="U182" s="447" t="s">
        <v>204</v>
      </c>
      <c r="V182" s="447" t="s">
        <v>205</v>
      </c>
      <c r="W182" s="447" t="s">
        <v>206</v>
      </c>
      <c r="X182" s="447" t="s">
        <v>207</v>
      </c>
      <c r="Y182" s="447" t="s">
        <v>208</v>
      </c>
      <c r="Z182" s="447" t="s">
        <v>209</v>
      </c>
      <c r="AA182" s="448" t="s">
        <v>210</v>
      </c>
      <c r="AB182" s="583" t="s">
        <v>13</v>
      </c>
      <c r="AC182" s="450" t="s">
        <v>189</v>
      </c>
      <c r="AD182" s="451">
        <v>46174</v>
      </c>
    </row>
    <row r="183" spans="2:30" ht="13.5" customHeight="1" x14ac:dyDescent="0.25">
      <c r="B183" s="489"/>
      <c r="C183" s="490"/>
      <c r="D183" s="454"/>
      <c r="E183" s="454"/>
      <c r="F183" s="584"/>
      <c r="G183" s="454"/>
      <c r="H183" s="584"/>
      <c r="I183" s="584"/>
      <c r="J183" s="584"/>
      <c r="K183" s="584"/>
      <c r="L183" s="456">
        <f t="shared" ref="L183:L212" si="90">SUM(C183:K183)</f>
        <v>0</v>
      </c>
      <c r="M183" s="457">
        <f t="shared" ref="M183:M210" si="91">(C183+F183+G183)*20%</f>
        <v>0</v>
      </c>
      <c r="N183" s="458">
        <f t="shared" ref="N183:N210" si="92">(C183+F183+G183)*1.5%</f>
        <v>0</v>
      </c>
      <c r="O183" s="458">
        <f t="shared" ref="O183:O210" si="93">(C183+F183+G183)*5.8%</f>
        <v>0</v>
      </c>
      <c r="P183" s="458">
        <f t="shared" ref="P183:P210" si="94">(C183+F183+G183)*8%</f>
        <v>0</v>
      </c>
      <c r="Q183" s="459">
        <f t="shared" ref="Q183:Q212" si="95">SUM(M183:P183)</f>
        <v>0</v>
      </c>
      <c r="R183" s="460">
        <f t="shared" ref="R183:R210" si="96">(C183+F183+G183)/12</f>
        <v>0</v>
      </c>
      <c r="S183" s="461">
        <f t="shared" ref="S183:S210" si="97">R183/3</f>
        <v>0</v>
      </c>
      <c r="T183" s="461">
        <f t="shared" ref="T183:T210" si="98">(R183+S183)*8%</f>
        <v>0</v>
      </c>
      <c r="U183" s="454">
        <f t="shared" ref="U183:U210" si="99">(C183+F183+G183)/12</f>
        <v>0</v>
      </c>
      <c r="V183" s="454">
        <f t="shared" ref="V183:V210" si="100">U183*8%</f>
        <v>0</v>
      </c>
      <c r="W183" s="454">
        <f t="shared" ref="W183:W210" si="101">(C183+F183+G183)/12</f>
        <v>0</v>
      </c>
      <c r="X183" s="454">
        <f t="shared" ref="X183:X210" si="102">W183*8%</f>
        <v>0</v>
      </c>
      <c r="Y183" s="454">
        <f t="shared" ref="Y183:Y210" si="103">(P183+T183+V183+X183)*50%</f>
        <v>0</v>
      </c>
      <c r="Z183" s="454">
        <f t="shared" ref="Z183:Z210" si="104">(R183+S183+U183+W183)*27.3%</f>
        <v>0</v>
      </c>
      <c r="AA183" s="456">
        <f t="shared" ref="AA183:AA210" si="105">SUM(R183:Z183)</f>
        <v>0</v>
      </c>
      <c r="AB183" s="585">
        <f t="shared" ref="AB183:AB212" si="106">L183+Q183+AA183</f>
        <v>0</v>
      </c>
      <c r="AC183" s="465" t="s">
        <v>89</v>
      </c>
      <c r="AD183" s="466">
        <f>C213</f>
        <v>0</v>
      </c>
    </row>
    <row r="184" spans="2:30" ht="13.5" customHeight="1" x14ac:dyDescent="0.25">
      <c r="B184" s="467"/>
      <c r="C184" s="468"/>
      <c r="D184" s="454"/>
      <c r="E184" s="454"/>
      <c r="F184" s="584"/>
      <c r="G184" s="454"/>
      <c r="H184" s="584"/>
      <c r="I184" s="584"/>
      <c r="J184" s="584"/>
      <c r="K184" s="584"/>
      <c r="L184" s="456">
        <f t="shared" si="90"/>
        <v>0</v>
      </c>
      <c r="M184" s="457">
        <f t="shared" si="91"/>
        <v>0</v>
      </c>
      <c r="N184" s="458">
        <f t="shared" si="92"/>
        <v>0</v>
      </c>
      <c r="O184" s="458">
        <f t="shared" si="93"/>
        <v>0</v>
      </c>
      <c r="P184" s="458">
        <f t="shared" si="94"/>
        <v>0</v>
      </c>
      <c r="Q184" s="459">
        <f t="shared" si="95"/>
        <v>0</v>
      </c>
      <c r="R184" s="460">
        <f t="shared" si="96"/>
        <v>0</v>
      </c>
      <c r="S184" s="461">
        <f t="shared" si="97"/>
        <v>0</v>
      </c>
      <c r="T184" s="461">
        <f t="shared" si="98"/>
        <v>0</v>
      </c>
      <c r="U184" s="454">
        <f t="shared" si="99"/>
        <v>0</v>
      </c>
      <c r="V184" s="454">
        <f t="shared" si="100"/>
        <v>0</v>
      </c>
      <c r="W184" s="454">
        <f t="shared" si="101"/>
        <v>0</v>
      </c>
      <c r="X184" s="454">
        <f t="shared" si="102"/>
        <v>0</v>
      </c>
      <c r="Y184" s="454">
        <f t="shared" si="103"/>
        <v>0</v>
      </c>
      <c r="Z184" s="454">
        <f t="shared" si="104"/>
        <v>0</v>
      </c>
      <c r="AA184" s="456">
        <f t="shared" si="105"/>
        <v>0</v>
      </c>
      <c r="AB184" s="585">
        <f t="shared" si="106"/>
        <v>0</v>
      </c>
      <c r="AC184" s="465" t="s">
        <v>306</v>
      </c>
      <c r="AD184" s="466">
        <f>F213</f>
        <v>0</v>
      </c>
    </row>
    <row r="185" spans="2:30" ht="13.5" customHeight="1" x14ac:dyDescent="0.25">
      <c r="B185" s="467"/>
      <c r="C185" s="468"/>
      <c r="D185" s="454"/>
      <c r="E185" s="454"/>
      <c r="F185" s="584"/>
      <c r="G185" s="454"/>
      <c r="H185" s="584"/>
      <c r="I185" s="584"/>
      <c r="J185" s="584"/>
      <c r="K185" s="584"/>
      <c r="L185" s="456">
        <f t="shared" si="90"/>
        <v>0</v>
      </c>
      <c r="M185" s="457">
        <f t="shared" si="91"/>
        <v>0</v>
      </c>
      <c r="N185" s="458">
        <f t="shared" si="92"/>
        <v>0</v>
      </c>
      <c r="O185" s="458">
        <f t="shared" si="93"/>
        <v>0</v>
      </c>
      <c r="P185" s="458">
        <f t="shared" si="94"/>
        <v>0</v>
      </c>
      <c r="Q185" s="459">
        <f t="shared" si="95"/>
        <v>0</v>
      </c>
      <c r="R185" s="460">
        <f t="shared" si="96"/>
        <v>0</v>
      </c>
      <c r="S185" s="461">
        <f t="shared" si="97"/>
        <v>0</v>
      </c>
      <c r="T185" s="461">
        <f t="shared" si="98"/>
        <v>0</v>
      </c>
      <c r="U185" s="454">
        <f t="shared" si="99"/>
        <v>0</v>
      </c>
      <c r="V185" s="454">
        <f t="shared" si="100"/>
        <v>0</v>
      </c>
      <c r="W185" s="454">
        <f t="shared" si="101"/>
        <v>0</v>
      </c>
      <c r="X185" s="454">
        <f t="shared" si="102"/>
        <v>0</v>
      </c>
      <c r="Y185" s="454">
        <f t="shared" si="103"/>
        <v>0</v>
      </c>
      <c r="Z185" s="454">
        <f t="shared" si="104"/>
        <v>0</v>
      </c>
      <c r="AA185" s="456">
        <f t="shared" si="105"/>
        <v>0</v>
      </c>
      <c r="AB185" s="585">
        <f t="shared" si="106"/>
        <v>0</v>
      </c>
      <c r="AC185" s="465" t="s">
        <v>315</v>
      </c>
      <c r="AD185" s="466">
        <v>0</v>
      </c>
    </row>
    <row r="186" spans="2:30" ht="13.5" customHeight="1" x14ac:dyDescent="0.25">
      <c r="B186" s="467"/>
      <c r="C186" s="468"/>
      <c r="D186" s="454"/>
      <c r="E186" s="454"/>
      <c r="F186" s="584"/>
      <c r="G186" s="454"/>
      <c r="H186" s="584"/>
      <c r="I186" s="584"/>
      <c r="J186" s="584"/>
      <c r="K186" s="584"/>
      <c r="L186" s="456">
        <f t="shared" si="90"/>
        <v>0</v>
      </c>
      <c r="M186" s="457">
        <f t="shared" si="91"/>
        <v>0</v>
      </c>
      <c r="N186" s="458">
        <f t="shared" si="92"/>
        <v>0</v>
      </c>
      <c r="O186" s="458">
        <f t="shared" si="93"/>
        <v>0</v>
      </c>
      <c r="P186" s="458">
        <f t="shared" si="94"/>
        <v>0</v>
      </c>
      <c r="Q186" s="459">
        <f t="shared" si="95"/>
        <v>0</v>
      </c>
      <c r="R186" s="460">
        <f t="shared" si="96"/>
        <v>0</v>
      </c>
      <c r="S186" s="461">
        <f t="shared" si="97"/>
        <v>0</v>
      </c>
      <c r="T186" s="461">
        <f t="shared" si="98"/>
        <v>0</v>
      </c>
      <c r="U186" s="454">
        <f t="shared" si="99"/>
        <v>0</v>
      </c>
      <c r="V186" s="454">
        <f t="shared" si="100"/>
        <v>0</v>
      </c>
      <c r="W186" s="454">
        <f t="shared" si="101"/>
        <v>0</v>
      </c>
      <c r="X186" s="454">
        <f t="shared" si="102"/>
        <v>0</v>
      </c>
      <c r="Y186" s="454">
        <f t="shared" si="103"/>
        <v>0</v>
      </c>
      <c r="Z186" s="454">
        <f t="shared" si="104"/>
        <v>0</v>
      </c>
      <c r="AA186" s="456">
        <f t="shared" si="105"/>
        <v>0</v>
      </c>
      <c r="AB186" s="585">
        <f t="shared" si="106"/>
        <v>0</v>
      </c>
      <c r="AC186" s="469" t="s">
        <v>194</v>
      </c>
      <c r="AD186" s="466">
        <f>D213</f>
        <v>0</v>
      </c>
    </row>
    <row r="187" spans="2:30" ht="13.5" customHeight="1" x14ac:dyDescent="0.25">
      <c r="B187" s="467"/>
      <c r="C187" s="468"/>
      <c r="D187" s="454"/>
      <c r="E187" s="454"/>
      <c r="F187" s="584"/>
      <c r="G187" s="454"/>
      <c r="H187" s="584"/>
      <c r="I187" s="584"/>
      <c r="J187" s="584"/>
      <c r="K187" s="584"/>
      <c r="L187" s="456">
        <f t="shared" si="90"/>
        <v>0</v>
      </c>
      <c r="M187" s="457">
        <f t="shared" si="91"/>
        <v>0</v>
      </c>
      <c r="N187" s="458">
        <f t="shared" si="92"/>
        <v>0</v>
      </c>
      <c r="O187" s="458">
        <f t="shared" si="93"/>
        <v>0</v>
      </c>
      <c r="P187" s="458">
        <f t="shared" si="94"/>
        <v>0</v>
      </c>
      <c r="Q187" s="459">
        <f t="shared" si="95"/>
        <v>0</v>
      </c>
      <c r="R187" s="460">
        <f t="shared" si="96"/>
        <v>0</v>
      </c>
      <c r="S187" s="461">
        <f t="shared" si="97"/>
        <v>0</v>
      </c>
      <c r="T187" s="461">
        <f t="shared" si="98"/>
        <v>0</v>
      </c>
      <c r="U187" s="454">
        <f t="shared" si="99"/>
        <v>0</v>
      </c>
      <c r="V187" s="454">
        <f t="shared" si="100"/>
        <v>0</v>
      </c>
      <c r="W187" s="454">
        <f t="shared" si="101"/>
        <v>0</v>
      </c>
      <c r="X187" s="454">
        <f t="shared" si="102"/>
        <v>0</v>
      </c>
      <c r="Y187" s="454">
        <f t="shared" si="103"/>
        <v>0</v>
      </c>
      <c r="Z187" s="454">
        <f t="shared" si="104"/>
        <v>0</v>
      </c>
      <c r="AA187" s="456">
        <f t="shared" si="105"/>
        <v>0</v>
      </c>
      <c r="AB187" s="585">
        <f t="shared" si="106"/>
        <v>0</v>
      </c>
      <c r="AC187" s="469" t="s">
        <v>197</v>
      </c>
      <c r="AD187" s="466">
        <f>E213</f>
        <v>0</v>
      </c>
    </row>
    <row r="188" spans="2:30" ht="13.5" customHeight="1" x14ac:dyDescent="0.25">
      <c r="B188" s="467"/>
      <c r="C188" s="468"/>
      <c r="D188" s="454"/>
      <c r="E188" s="454"/>
      <c r="F188" s="584"/>
      <c r="G188" s="454"/>
      <c r="H188" s="584"/>
      <c r="I188" s="584"/>
      <c r="J188" s="584"/>
      <c r="K188" s="584"/>
      <c r="L188" s="456">
        <f t="shared" si="90"/>
        <v>0</v>
      </c>
      <c r="M188" s="457">
        <f t="shared" si="91"/>
        <v>0</v>
      </c>
      <c r="N188" s="458">
        <f t="shared" si="92"/>
        <v>0</v>
      </c>
      <c r="O188" s="458">
        <f t="shared" si="93"/>
        <v>0</v>
      </c>
      <c r="P188" s="458">
        <f t="shared" si="94"/>
        <v>0</v>
      </c>
      <c r="Q188" s="459">
        <f t="shared" si="95"/>
        <v>0</v>
      </c>
      <c r="R188" s="460">
        <f t="shared" si="96"/>
        <v>0</v>
      </c>
      <c r="S188" s="461">
        <f t="shared" si="97"/>
        <v>0</v>
      </c>
      <c r="T188" s="461">
        <f t="shared" si="98"/>
        <v>0</v>
      </c>
      <c r="U188" s="454">
        <f t="shared" si="99"/>
        <v>0</v>
      </c>
      <c r="V188" s="454">
        <f t="shared" si="100"/>
        <v>0</v>
      </c>
      <c r="W188" s="454">
        <f t="shared" si="101"/>
        <v>0</v>
      </c>
      <c r="X188" s="454">
        <f t="shared" si="102"/>
        <v>0</v>
      </c>
      <c r="Y188" s="454">
        <f t="shared" si="103"/>
        <v>0</v>
      </c>
      <c r="Z188" s="454">
        <f t="shared" si="104"/>
        <v>0</v>
      </c>
      <c r="AA188" s="456">
        <f t="shared" si="105"/>
        <v>0</v>
      </c>
      <c r="AB188" s="585">
        <f t="shared" si="106"/>
        <v>0</v>
      </c>
      <c r="AC188" s="469" t="s">
        <v>211</v>
      </c>
      <c r="AD188" s="466">
        <f>SUM(H213:K213)</f>
        <v>0</v>
      </c>
    </row>
    <row r="189" spans="2:30" ht="13.5" customHeight="1" x14ac:dyDescent="0.25">
      <c r="B189" s="467"/>
      <c r="C189" s="468"/>
      <c r="D189" s="431"/>
      <c r="E189" s="454"/>
      <c r="F189" s="584"/>
      <c r="G189" s="454"/>
      <c r="H189" s="584"/>
      <c r="I189" s="584"/>
      <c r="J189" s="584"/>
      <c r="K189" s="584"/>
      <c r="L189" s="456">
        <f t="shared" si="90"/>
        <v>0</v>
      </c>
      <c r="M189" s="457">
        <f t="shared" si="91"/>
        <v>0</v>
      </c>
      <c r="N189" s="458">
        <f t="shared" si="92"/>
        <v>0</v>
      </c>
      <c r="O189" s="458">
        <f t="shared" si="93"/>
        <v>0</v>
      </c>
      <c r="P189" s="458">
        <f t="shared" si="94"/>
        <v>0</v>
      </c>
      <c r="Q189" s="459">
        <f t="shared" si="95"/>
        <v>0</v>
      </c>
      <c r="R189" s="460">
        <f t="shared" si="96"/>
        <v>0</v>
      </c>
      <c r="S189" s="461">
        <f t="shared" si="97"/>
        <v>0</v>
      </c>
      <c r="T189" s="461">
        <f t="shared" si="98"/>
        <v>0</v>
      </c>
      <c r="U189" s="454">
        <f t="shared" si="99"/>
        <v>0</v>
      </c>
      <c r="V189" s="454">
        <f t="shared" si="100"/>
        <v>0</v>
      </c>
      <c r="W189" s="454">
        <f t="shared" si="101"/>
        <v>0</v>
      </c>
      <c r="X189" s="454">
        <f t="shared" si="102"/>
        <v>0</v>
      </c>
      <c r="Y189" s="454">
        <f t="shared" si="103"/>
        <v>0</v>
      </c>
      <c r="Z189" s="454">
        <f t="shared" si="104"/>
        <v>0</v>
      </c>
      <c r="AA189" s="456">
        <f t="shared" si="105"/>
        <v>0</v>
      </c>
      <c r="AB189" s="585">
        <f t="shared" si="106"/>
        <v>0</v>
      </c>
      <c r="AC189" s="465" t="s">
        <v>209</v>
      </c>
      <c r="AD189" s="466">
        <f>SUM(M213:O213)</f>
        <v>0</v>
      </c>
    </row>
    <row r="190" spans="2:30" ht="13.5" customHeight="1" x14ac:dyDescent="0.25">
      <c r="B190" s="467"/>
      <c r="C190" s="468"/>
      <c r="D190" s="431"/>
      <c r="E190" s="454"/>
      <c r="F190" s="584"/>
      <c r="G190" s="454"/>
      <c r="H190" s="584"/>
      <c r="I190" s="584"/>
      <c r="J190" s="584"/>
      <c r="K190" s="584"/>
      <c r="L190" s="456">
        <f t="shared" si="90"/>
        <v>0</v>
      </c>
      <c r="M190" s="457">
        <f t="shared" si="91"/>
        <v>0</v>
      </c>
      <c r="N190" s="458">
        <f t="shared" si="92"/>
        <v>0</v>
      </c>
      <c r="O190" s="458">
        <f t="shared" si="93"/>
        <v>0</v>
      </c>
      <c r="P190" s="458">
        <f t="shared" si="94"/>
        <v>0</v>
      </c>
      <c r="Q190" s="459">
        <f t="shared" si="95"/>
        <v>0</v>
      </c>
      <c r="R190" s="460">
        <f t="shared" si="96"/>
        <v>0</v>
      </c>
      <c r="S190" s="461">
        <f t="shared" si="97"/>
        <v>0</v>
      </c>
      <c r="T190" s="461">
        <f t="shared" si="98"/>
        <v>0</v>
      </c>
      <c r="U190" s="454">
        <f t="shared" si="99"/>
        <v>0</v>
      </c>
      <c r="V190" s="454">
        <f t="shared" si="100"/>
        <v>0</v>
      </c>
      <c r="W190" s="454">
        <f t="shared" si="101"/>
        <v>0</v>
      </c>
      <c r="X190" s="454">
        <f t="shared" si="102"/>
        <v>0</v>
      </c>
      <c r="Y190" s="454">
        <f t="shared" si="103"/>
        <v>0</v>
      </c>
      <c r="Z190" s="454">
        <f t="shared" si="104"/>
        <v>0</v>
      </c>
      <c r="AA190" s="456">
        <f t="shared" si="105"/>
        <v>0</v>
      </c>
      <c r="AB190" s="585">
        <f t="shared" si="106"/>
        <v>0</v>
      </c>
      <c r="AC190" s="465" t="s">
        <v>36</v>
      </c>
      <c r="AD190" s="466">
        <f>P213</f>
        <v>0</v>
      </c>
    </row>
    <row r="191" spans="2:30" ht="13.5" customHeight="1" x14ac:dyDescent="0.25">
      <c r="B191" s="586"/>
      <c r="C191" s="468"/>
      <c r="D191" s="454"/>
      <c r="E191" s="454"/>
      <c r="F191" s="584"/>
      <c r="G191" s="454"/>
      <c r="H191" s="584"/>
      <c r="I191" s="584"/>
      <c r="J191" s="584"/>
      <c r="K191" s="584"/>
      <c r="L191" s="456">
        <f t="shared" si="90"/>
        <v>0</v>
      </c>
      <c r="M191" s="457">
        <f t="shared" si="91"/>
        <v>0</v>
      </c>
      <c r="N191" s="458">
        <f t="shared" si="92"/>
        <v>0</v>
      </c>
      <c r="O191" s="458">
        <f t="shared" si="93"/>
        <v>0</v>
      </c>
      <c r="P191" s="458">
        <f t="shared" si="94"/>
        <v>0</v>
      </c>
      <c r="Q191" s="459">
        <f t="shared" si="95"/>
        <v>0</v>
      </c>
      <c r="R191" s="460">
        <f t="shared" si="96"/>
        <v>0</v>
      </c>
      <c r="S191" s="461">
        <f t="shared" si="97"/>
        <v>0</v>
      </c>
      <c r="T191" s="461">
        <f t="shared" si="98"/>
        <v>0</v>
      </c>
      <c r="U191" s="454">
        <f t="shared" si="99"/>
        <v>0</v>
      </c>
      <c r="V191" s="454">
        <f t="shared" si="100"/>
        <v>0</v>
      </c>
      <c r="W191" s="454">
        <f t="shared" si="101"/>
        <v>0</v>
      </c>
      <c r="X191" s="454">
        <f t="shared" si="102"/>
        <v>0</v>
      </c>
      <c r="Y191" s="454">
        <f t="shared" si="103"/>
        <v>0</v>
      </c>
      <c r="Z191" s="454">
        <f t="shared" si="104"/>
        <v>0</v>
      </c>
      <c r="AA191" s="456">
        <f t="shared" si="105"/>
        <v>0</v>
      </c>
      <c r="AB191" s="585">
        <f t="shared" si="106"/>
        <v>0</v>
      </c>
      <c r="AC191" s="469" t="s">
        <v>212</v>
      </c>
      <c r="AD191" s="466">
        <f>SUM(R213:Z213)</f>
        <v>0</v>
      </c>
    </row>
    <row r="192" spans="2:30" ht="14.25" customHeight="1" x14ac:dyDescent="0.25">
      <c r="B192" s="586"/>
      <c r="C192" s="468"/>
      <c r="D192" s="454"/>
      <c r="E192" s="454"/>
      <c r="F192" s="584"/>
      <c r="G192" s="454"/>
      <c r="H192" s="584"/>
      <c r="I192" s="584"/>
      <c r="J192" s="584"/>
      <c r="K192" s="584"/>
      <c r="L192" s="456">
        <f t="shared" si="90"/>
        <v>0</v>
      </c>
      <c r="M192" s="457">
        <f t="shared" si="91"/>
        <v>0</v>
      </c>
      <c r="N192" s="458">
        <f t="shared" si="92"/>
        <v>0</v>
      </c>
      <c r="O192" s="458">
        <f t="shared" si="93"/>
        <v>0</v>
      </c>
      <c r="P192" s="458">
        <f t="shared" si="94"/>
        <v>0</v>
      </c>
      <c r="Q192" s="459">
        <f t="shared" si="95"/>
        <v>0</v>
      </c>
      <c r="R192" s="460">
        <f t="shared" si="96"/>
        <v>0</v>
      </c>
      <c r="S192" s="461">
        <f t="shared" si="97"/>
        <v>0</v>
      </c>
      <c r="T192" s="461">
        <f t="shared" si="98"/>
        <v>0</v>
      </c>
      <c r="U192" s="454">
        <f t="shared" si="99"/>
        <v>0</v>
      </c>
      <c r="V192" s="454">
        <f t="shared" si="100"/>
        <v>0</v>
      </c>
      <c r="W192" s="454">
        <f t="shared" si="101"/>
        <v>0</v>
      </c>
      <c r="X192" s="454">
        <f t="shared" si="102"/>
        <v>0</v>
      </c>
      <c r="Y192" s="454">
        <f t="shared" si="103"/>
        <v>0</v>
      </c>
      <c r="Z192" s="454">
        <f t="shared" si="104"/>
        <v>0</v>
      </c>
      <c r="AA192" s="456">
        <f t="shared" si="105"/>
        <v>0</v>
      </c>
      <c r="AB192" s="585">
        <f t="shared" si="106"/>
        <v>0</v>
      </c>
      <c r="AC192" s="483" t="s">
        <v>13</v>
      </c>
      <c r="AD192" s="484">
        <f>SUM(AD183:AD191)</f>
        <v>0</v>
      </c>
    </row>
    <row r="193" spans="2:28" ht="13.5" customHeight="1" x14ac:dyDescent="0.25">
      <c r="B193" s="586"/>
      <c r="C193" s="468"/>
      <c r="D193" s="454"/>
      <c r="E193" s="454"/>
      <c r="F193" s="584"/>
      <c r="G193" s="454"/>
      <c r="H193" s="584"/>
      <c r="I193" s="584"/>
      <c r="J193" s="584"/>
      <c r="K193" s="584"/>
      <c r="L193" s="456">
        <f t="shared" si="90"/>
        <v>0</v>
      </c>
      <c r="M193" s="457">
        <f t="shared" si="91"/>
        <v>0</v>
      </c>
      <c r="N193" s="458">
        <f t="shared" si="92"/>
        <v>0</v>
      </c>
      <c r="O193" s="458">
        <f t="shared" si="93"/>
        <v>0</v>
      </c>
      <c r="P193" s="458">
        <f t="shared" si="94"/>
        <v>0</v>
      </c>
      <c r="Q193" s="459">
        <f t="shared" si="95"/>
        <v>0</v>
      </c>
      <c r="R193" s="460">
        <f t="shared" si="96"/>
        <v>0</v>
      </c>
      <c r="S193" s="461">
        <f t="shared" si="97"/>
        <v>0</v>
      </c>
      <c r="T193" s="461">
        <f t="shared" si="98"/>
        <v>0</v>
      </c>
      <c r="U193" s="454">
        <f t="shared" si="99"/>
        <v>0</v>
      </c>
      <c r="V193" s="454">
        <f t="shared" si="100"/>
        <v>0</v>
      </c>
      <c r="W193" s="454">
        <f t="shared" si="101"/>
        <v>0</v>
      </c>
      <c r="X193" s="454">
        <f t="shared" si="102"/>
        <v>0</v>
      </c>
      <c r="Y193" s="454">
        <f t="shared" si="103"/>
        <v>0</v>
      </c>
      <c r="Z193" s="454">
        <f t="shared" si="104"/>
        <v>0</v>
      </c>
      <c r="AA193" s="456">
        <f t="shared" si="105"/>
        <v>0</v>
      </c>
      <c r="AB193" s="587">
        <f t="shared" si="106"/>
        <v>0</v>
      </c>
    </row>
    <row r="194" spans="2:28" ht="13.5" customHeight="1" x14ac:dyDescent="0.25">
      <c r="B194" s="586"/>
      <c r="C194" s="468"/>
      <c r="D194" s="454"/>
      <c r="E194" s="454"/>
      <c r="F194" s="584"/>
      <c r="G194" s="454"/>
      <c r="H194" s="584"/>
      <c r="I194" s="584"/>
      <c r="J194" s="584"/>
      <c r="K194" s="584"/>
      <c r="L194" s="456">
        <f t="shared" si="90"/>
        <v>0</v>
      </c>
      <c r="M194" s="457">
        <f t="shared" si="91"/>
        <v>0</v>
      </c>
      <c r="N194" s="458">
        <f t="shared" si="92"/>
        <v>0</v>
      </c>
      <c r="O194" s="458">
        <f t="shared" si="93"/>
        <v>0</v>
      </c>
      <c r="P194" s="458">
        <f t="shared" si="94"/>
        <v>0</v>
      </c>
      <c r="Q194" s="459">
        <f t="shared" si="95"/>
        <v>0</v>
      </c>
      <c r="R194" s="460">
        <f t="shared" si="96"/>
        <v>0</v>
      </c>
      <c r="S194" s="461">
        <f t="shared" si="97"/>
        <v>0</v>
      </c>
      <c r="T194" s="461">
        <f t="shared" si="98"/>
        <v>0</v>
      </c>
      <c r="U194" s="454">
        <f t="shared" si="99"/>
        <v>0</v>
      </c>
      <c r="V194" s="454">
        <f t="shared" si="100"/>
        <v>0</v>
      </c>
      <c r="W194" s="454">
        <f t="shared" si="101"/>
        <v>0</v>
      </c>
      <c r="X194" s="454">
        <f t="shared" si="102"/>
        <v>0</v>
      </c>
      <c r="Y194" s="454">
        <f t="shared" si="103"/>
        <v>0</v>
      </c>
      <c r="Z194" s="454">
        <f t="shared" si="104"/>
        <v>0</v>
      </c>
      <c r="AA194" s="456">
        <f t="shared" si="105"/>
        <v>0</v>
      </c>
      <c r="AB194" s="587">
        <f t="shared" si="106"/>
        <v>0</v>
      </c>
    </row>
    <row r="195" spans="2:28" ht="13.5" customHeight="1" x14ac:dyDescent="0.25">
      <c r="B195" s="586"/>
      <c r="C195" s="468"/>
      <c r="D195" s="454"/>
      <c r="E195" s="454"/>
      <c r="F195" s="584"/>
      <c r="G195" s="454"/>
      <c r="H195" s="584"/>
      <c r="I195" s="584"/>
      <c r="J195" s="584"/>
      <c r="K195" s="584"/>
      <c r="L195" s="456">
        <f t="shared" si="90"/>
        <v>0</v>
      </c>
      <c r="M195" s="457">
        <f t="shared" si="91"/>
        <v>0</v>
      </c>
      <c r="N195" s="458">
        <f t="shared" si="92"/>
        <v>0</v>
      </c>
      <c r="O195" s="458">
        <f t="shared" si="93"/>
        <v>0</v>
      </c>
      <c r="P195" s="458">
        <f t="shared" si="94"/>
        <v>0</v>
      </c>
      <c r="Q195" s="459">
        <f t="shared" si="95"/>
        <v>0</v>
      </c>
      <c r="R195" s="460">
        <f t="shared" si="96"/>
        <v>0</v>
      </c>
      <c r="S195" s="461">
        <f t="shared" si="97"/>
        <v>0</v>
      </c>
      <c r="T195" s="461">
        <f t="shared" si="98"/>
        <v>0</v>
      </c>
      <c r="U195" s="454">
        <f t="shared" si="99"/>
        <v>0</v>
      </c>
      <c r="V195" s="454">
        <f t="shared" si="100"/>
        <v>0</v>
      </c>
      <c r="W195" s="454">
        <f t="shared" si="101"/>
        <v>0</v>
      </c>
      <c r="X195" s="454">
        <f t="shared" si="102"/>
        <v>0</v>
      </c>
      <c r="Y195" s="454">
        <f t="shared" si="103"/>
        <v>0</v>
      </c>
      <c r="Z195" s="454">
        <f t="shared" si="104"/>
        <v>0</v>
      </c>
      <c r="AA195" s="456">
        <f t="shared" si="105"/>
        <v>0</v>
      </c>
      <c r="AB195" s="587">
        <f t="shared" si="106"/>
        <v>0</v>
      </c>
    </row>
    <row r="196" spans="2:28" ht="13.5" customHeight="1" x14ac:dyDescent="0.25">
      <c r="B196" s="586"/>
      <c r="C196" s="468"/>
      <c r="D196" s="454"/>
      <c r="E196" s="454"/>
      <c r="F196" s="584"/>
      <c r="G196" s="454"/>
      <c r="H196" s="584"/>
      <c r="I196" s="584"/>
      <c r="J196" s="584"/>
      <c r="K196" s="584"/>
      <c r="L196" s="456">
        <f t="shared" si="90"/>
        <v>0</v>
      </c>
      <c r="M196" s="457">
        <f t="shared" si="91"/>
        <v>0</v>
      </c>
      <c r="N196" s="458">
        <f t="shared" si="92"/>
        <v>0</v>
      </c>
      <c r="O196" s="458">
        <f t="shared" si="93"/>
        <v>0</v>
      </c>
      <c r="P196" s="458">
        <f t="shared" si="94"/>
        <v>0</v>
      </c>
      <c r="Q196" s="459">
        <f t="shared" si="95"/>
        <v>0</v>
      </c>
      <c r="R196" s="460">
        <f t="shared" si="96"/>
        <v>0</v>
      </c>
      <c r="S196" s="461">
        <f t="shared" si="97"/>
        <v>0</v>
      </c>
      <c r="T196" s="461">
        <f t="shared" si="98"/>
        <v>0</v>
      </c>
      <c r="U196" s="454">
        <f t="shared" si="99"/>
        <v>0</v>
      </c>
      <c r="V196" s="454">
        <f t="shared" si="100"/>
        <v>0</v>
      </c>
      <c r="W196" s="454">
        <f t="shared" si="101"/>
        <v>0</v>
      </c>
      <c r="X196" s="454">
        <f t="shared" si="102"/>
        <v>0</v>
      </c>
      <c r="Y196" s="454">
        <f t="shared" si="103"/>
        <v>0</v>
      </c>
      <c r="Z196" s="454">
        <f t="shared" si="104"/>
        <v>0</v>
      </c>
      <c r="AA196" s="456">
        <f t="shared" si="105"/>
        <v>0</v>
      </c>
      <c r="AB196" s="587">
        <f t="shared" si="106"/>
        <v>0</v>
      </c>
    </row>
    <row r="197" spans="2:28" ht="13.5" customHeight="1" x14ac:dyDescent="0.25">
      <c r="B197" s="586"/>
      <c r="C197" s="468"/>
      <c r="D197" s="454"/>
      <c r="E197" s="454"/>
      <c r="F197" s="584"/>
      <c r="G197" s="454"/>
      <c r="H197" s="584"/>
      <c r="I197" s="584"/>
      <c r="J197" s="584"/>
      <c r="K197" s="584"/>
      <c r="L197" s="456">
        <f t="shared" si="90"/>
        <v>0</v>
      </c>
      <c r="M197" s="457">
        <f t="shared" si="91"/>
        <v>0</v>
      </c>
      <c r="N197" s="458">
        <f t="shared" si="92"/>
        <v>0</v>
      </c>
      <c r="O197" s="458">
        <f t="shared" si="93"/>
        <v>0</v>
      </c>
      <c r="P197" s="458">
        <f t="shared" si="94"/>
        <v>0</v>
      </c>
      <c r="Q197" s="459">
        <f t="shared" si="95"/>
        <v>0</v>
      </c>
      <c r="R197" s="460">
        <f t="shared" si="96"/>
        <v>0</v>
      </c>
      <c r="S197" s="461">
        <f t="shared" si="97"/>
        <v>0</v>
      </c>
      <c r="T197" s="461">
        <f t="shared" si="98"/>
        <v>0</v>
      </c>
      <c r="U197" s="454">
        <f t="shared" si="99"/>
        <v>0</v>
      </c>
      <c r="V197" s="454">
        <f t="shared" si="100"/>
        <v>0</v>
      </c>
      <c r="W197" s="454">
        <f t="shared" si="101"/>
        <v>0</v>
      </c>
      <c r="X197" s="454">
        <f t="shared" si="102"/>
        <v>0</v>
      </c>
      <c r="Y197" s="454">
        <f t="shared" si="103"/>
        <v>0</v>
      </c>
      <c r="Z197" s="454">
        <f t="shared" si="104"/>
        <v>0</v>
      </c>
      <c r="AA197" s="456">
        <f t="shared" si="105"/>
        <v>0</v>
      </c>
      <c r="AB197" s="587">
        <f t="shared" si="106"/>
        <v>0</v>
      </c>
    </row>
    <row r="198" spans="2:28" ht="13.5" customHeight="1" x14ac:dyDescent="0.25">
      <c r="B198" s="586"/>
      <c r="C198" s="468"/>
      <c r="D198" s="454"/>
      <c r="E198" s="454"/>
      <c r="F198" s="584"/>
      <c r="G198" s="454"/>
      <c r="H198" s="584"/>
      <c r="I198" s="584"/>
      <c r="J198" s="584"/>
      <c r="K198" s="584"/>
      <c r="L198" s="456">
        <f t="shared" si="90"/>
        <v>0</v>
      </c>
      <c r="M198" s="457">
        <f t="shared" si="91"/>
        <v>0</v>
      </c>
      <c r="N198" s="458">
        <f t="shared" si="92"/>
        <v>0</v>
      </c>
      <c r="O198" s="458">
        <f t="shared" si="93"/>
        <v>0</v>
      </c>
      <c r="P198" s="458">
        <f t="shared" si="94"/>
        <v>0</v>
      </c>
      <c r="Q198" s="459">
        <f t="shared" si="95"/>
        <v>0</v>
      </c>
      <c r="R198" s="460">
        <f t="shared" si="96"/>
        <v>0</v>
      </c>
      <c r="S198" s="461">
        <f t="shared" si="97"/>
        <v>0</v>
      </c>
      <c r="T198" s="461">
        <f t="shared" si="98"/>
        <v>0</v>
      </c>
      <c r="U198" s="454">
        <f t="shared" si="99"/>
        <v>0</v>
      </c>
      <c r="V198" s="454">
        <f t="shared" si="100"/>
        <v>0</v>
      </c>
      <c r="W198" s="454">
        <f t="shared" si="101"/>
        <v>0</v>
      </c>
      <c r="X198" s="454">
        <f t="shared" si="102"/>
        <v>0</v>
      </c>
      <c r="Y198" s="454">
        <f t="shared" si="103"/>
        <v>0</v>
      </c>
      <c r="Z198" s="454">
        <f t="shared" si="104"/>
        <v>0</v>
      </c>
      <c r="AA198" s="456">
        <f t="shared" si="105"/>
        <v>0</v>
      </c>
      <c r="AB198" s="587">
        <f t="shared" si="106"/>
        <v>0</v>
      </c>
    </row>
    <row r="199" spans="2:28" ht="13.5" customHeight="1" x14ac:dyDescent="0.25">
      <c r="B199" s="586"/>
      <c r="C199" s="468"/>
      <c r="D199" s="454"/>
      <c r="E199" s="454"/>
      <c r="F199" s="584"/>
      <c r="G199" s="454"/>
      <c r="H199" s="584"/>
      <c r="I199" s="584"/>
      <c r="J199" s="584"/>
      <c r="K199" s="584"/>
      <c r="L199" s="456">
        <f t="shared" si="90"/>
        <v>0</v>
      </c>
      <c r="M199" s="457">
        <f t="shared" si="91"/>
        <v>0</v>
      </c>
      <c r="N199" s="458">
        <f t="shared" si="92"/>
        <v>0</v>
      </c>
      <c r="O199" s="458">
        <f t="shared" si="93"/>
        <v>0</v>
      </c>
      <c r="P199" s="458">
        <f t="shared" si="94"/>
        <v>0</v>
      </c>
      <c r="Q199" s="459">
        <f t="shared" si="95"/>
        <v>0</v>
      </c>
      <c r="R199" s="460">
        <f t="shared" si="96"/>
        <v>0</v>
      </c>
      <c r="S199" s="461">
        <f t="shared" si="97"/>
        <v>0</v>
      </c>
      <c r="T199" s="461">
        <f t="shared" si="98"/>
        <v>0</v>
      </c>
      <c r="U199" s="454">
        <f t="shared" si="99"/>
        <v>0</v>
      </c>
      <c r="V199" s="454">
        <f t="shared" si="100"/>
        <v>0</v>
      </c>
      <c r="W199" s="454">
        <f t="shared" si="101"/>
        <v>0</v>
      </c>
      <c r="X199" s="454">
        <f t="shared" si="102"/>
        <v>0</v>
      </c>
      <c r="Y199" s="454">
        <f t="shared" si="103"/>
        <v>0</v>
      </c>
      <c r="Z199" s="454">
        <f t="shared" si="104"/>
        <v>0</v>
      </c>
      <c r="AA199" s="456">
        <f t="shared" si="105"/>
        <v>0</v>
      </c>
      <c r="AB199" s="587">
        <f t="shared" si="106"/>
        <v>0</v>
      </c>
    </row>
    <row r="200" spans="2:28" ht="13.5" customHeight="1" x14ac:dyDescent="0.25">
      <c r="B200" s="586"/>
      <c r="C200" s="468"/>
      <c r="D200" s="454"/>
      <c r="E200" s="454"/>
      <c r="F200" s="584"/>
      <c r="G200" s="454"/>
      <c r="H200" s="584"/>
      <c r="I200" s="584"/>
      <c r="J200" s="584"/>
      <c r="K200" s="584"/>
      <c r="L200" s="456">
        <f t="shared" si="90"/>
        <v>0</v>
      </c>
      <c r="M200" s="457">
        <f t="shared" si="91"/>
        <v>0</v>
      </c>
      <c r="N200" s="458">
        <f t="shared" si="92"/>
        <v>0</v>
      </c>
      <c r="O200" s="458">
        <f t="shared" si="93"/>
        <v>0</v>
      </c>
      <c r="P200" s="458">
        <f t="shared" si="94"/>
        <v>0</v>
      </c>
      <c r="Q200" s="459">
        <f t="shared" si="95"/>
        <v>0</v>
      </c>
      <c r="R200" s="460">
        <f t="shared" si="96"/>
        <v>0</v>
      </c>
      <c r="S200" s="461">
        <f t="shared" si="97"/>
        <v>0</v>
      </c>
      <c r="T200" s="461">
        <f t="shared" si="98"/>
        <v>0</v>
      </c>
      <c r="U200" s="454">
        <f t="shared" si="99"/>
        <v>0</v>
      </c>
      <c r="V200" s="454">
        <f t="shared" si="100"/>
        <v>0</v>
      </c>
      <c r="W200" s="454">
        <f t="shared" si="101"/>
        <v>0</v>
      </c>
      <c r="X200" s="454">
        <f t="shared" si="102"/>
        <v>0</v>
      </c>
      <c r="Y200" s="454">
        <f t="shared" si="103"/>
        <v>0</v>
      </c>
      <c r="Z200" s="454">
        <f t="shared" si="104"/>
        <v>0</v>
      </c>
      <c r="AA200" s="456">
        <f t="shared" si="105"/>
        <v>0</v>
      </c>
      <c r="AB200" s="587">
        <f t="shared" si="106"/>
        <v>0</v>
      </c>
    </row>
    <row r="201" spans="2:28" ht="13.5" customHeight="1" x14ac:dyDescent="0.25">
      <c r="B201" s="586"/>
      <c r="C201" s="468"/>
      <c r="D201" s="454"/>
      <c r="E201" s="454"/>
      <c r="F201" s="588"/>
      <c r="G201" s="454"/>
      <c r="H201" s="584"/>
      <c r="I201" s="584"/>
      <c r="J201" s="584"/>
      <c r="K201" s="584"/>
      <c r="L201" s="456">
        <f t="shared" si="90"/>
        <v>0</v>
      </c>
      <c r="M201" s="457">
        <f t="shared" si="91"/>
        <v>0</v>
      </c>
      <c r="N201" s="458">
        <f t="shared" si="92"/>
        <v>0</v>
      </c>
      <c r="O201" s="458">
        <f t="shared" si="93"/>
        <v>0</v>
      </c>
      <c r="P201" s="458">
        <f t="shared" si="94"/>
        <v>0</v>
      </c>
      <c r="Q201" s="459">
        <f t="shared" si="95"/>
        <v>0</v>
      </c>
      <c r="R201" s="460">
        <f t="shared" si="96"/>
        <v>0</v>
      </c>
      <c r="S201" s="461">
        <f t="shared" si="97"/>
        <v>0</v>
      </c>
      <c r="T201" s="461">
        <f t="shared" si="98"/>
        <v>0</v>
      </c>
      <c r="U201" s="454">
        <f t="shared" si="99"/>
        <v>0</v>
      </c>
      <c r="V201" s="454">
        <f t="shared" si="100"/>
        <v>0</v>
      </c>
      <c r="W201" s="454">
        <f t="shared" si="101"/>
        <v>0</v>
      </c>
      <c r="X201" s="454">
        <f t="shared" si="102"/>
        <v>0</v>
      </c>
      <c r="Y201" s="454">
        <f t="shared" si="103"/>
        <v>0</v>
      </c>
      <c r="Z201" s="454">
        <f t="shared" si="104"/>
        <v>0</v>
      </c>
      <c r="AA201" s="456">
        <f t="shared" si="105"/>
        <v>0</v>
      </c>
      <c r="AB201" s="587">
        <f t="shared" si="106"/>
        <v>0</v>
      </c>
    </row>
    <row r="202" spans="2:28" ht="13.5" customHeight="1" x14ac:dyDescent="0.25">
      <c r="B202" s="586"/>
      <c r="C202" s="468"/>
      <c r="D202" s="454"/>
      <c r="E202" s="454"/>
      <c r="F202" s="584"/>
      <c r="G202" s="454"/>
      <c r="H202" s="584"/>
      <c r="I202" s="584"/>
      <c r="J202" s="584"/>
      <c r="K202" s="584"/>
      <c r="L202" s="456">
        <f t="shared" si="90"/>
        <v>0</v>
      </c>
      <c r="M202" s="457">
        <f t="shared" si="91"/>
        <v>0</v>
      </c>
      <c r="N202" s="458">
        <f t="shared" si="92"/>
        <v>0</v>
      </c>
      <c r="O202" s="458">
        <f t="shared" si="93"/>
        <v>0</v>
      </c>
      <c r="P202" s="458">
        <f t="shared" si="94"/>
        <v>0</v>
      </c>
      <c r="Q202" s="459">
        <f t="shared" si="95"/>
        <v>0</v>
      </c>
      <c r="R202" s="460">
        <f t="shared" si="96"/>
        <v>0</v>
      </c>
      <c r="S202" s="461">
        <f t="shared" si="97"/>
        <v>0</v>
      </c>
      <c r="T202" s="461">
        <f t="shared" si="98"/>
        <v>0</v>
      </c>
      <c r="U202" s="454">
        <f t="shared" si="99"/>
        <v>0</v>
      </c>
      <c r="V202" s="454">
        <f t="shared" si="100"/>
        <v>0</v>
      </c>
      <c r="W202" s="454">
        <f t="shared" si="101"/>
        <v>0</v>
      </c>
      <c r="X202" s="454">
        <f t="shared" si="102"/>
        <v>0</v>
      </c>
      <c r="Y202" s="454">
        <f t="shared" si="103"/>
        <v>0</v>
      </c>
      <c r="Z202" s="454">
        <f t="shared" si="104"/>
        <v>0</v>
      </c>
      <c r="AA202" s="456">
        <f t="shared" si="105"/>
        <v>0</v>
      </c>
      <c r="AB202" s="587">
        <f t="shared" si="106"/>
        <v>0</v>
      </c>
    </row>
    <row r="203" spans="2:28" ht="13.5" customHeight="1" x14ac:dyDescent="0.25">
      <c r="B203" s="586"/>
      <c r="C203" s="468"/>
      <c r="D203" s="454"/>
      <c r="E203" s="454"/>
      <c r="F203" s="584"/>
      <c r="G203" s="454"/>
      <c r="H203" s="584"/>
      <c r="I203" s="584"/>
      <c r="J203" s="584"/>
      <c r="K203" s="584"/>
      <c r="L203" s="456">
        <f t="shared" si="90"/>
        <v>0</v>
      </c>
      <c r="M203" s="457">
        <f t="shared" si="91"/>
        <v>0</v>
      </c>
      <c r="N203" s="458">
        <f t="shared" si="92"/>
        <v>0</v>
      </c>
      <c r="O203" s="458">
        <f t="shared" si="93"/>
        <v>0</v>
      </c>
      <c r="P203" s="458">
        <f t="shared" si="94"/>
        <v>0</v>
      </c>
      <c r="Q203" s="459">
        <f t="shared" si="95"/>
        <v>0</v>
      </c>
      <c r="R203" s="460">
        <f t="shared" si="96"/>
        <v>0</v>
      </c>
      <c r="S203" s="461">
        <f t="shared" si="97"/>
        <v>0</v>
      </c>
      <c r="T203" s="461">
        <f t="shared" si="98"/>
        <v>0</v>
      </c>
      <c r="U203" s="454">
        <f t="shared" si="99"/>
        <v>0</v>
      </c>
      <c r="V203" s="454">
        <f t="shared" si="100"/>
        <v>0</v>
      </c>
      <c r="W203" s="454">
        <f t="shared" si="101"/>
        <v>0</v>
      </c>
      <c r="X203" s="454">
        <f t="shared" si="102"/>
        <v>0</v>
      </c>
      <c r="Y203" s="454">
        <f t="shared" si="103"/>
        <v>0</v>
      </c>
      <c r="Z203" s="454">
        <f t="shared" si="104"/>
        <v>0</v>
      </c>
      <c r="AA203" s="456">
        <f t="shared" si="105"/>
        <v>0</v>
      </c>
      <c r="AB203" s="587">
        <f t="shared" si="106"/>
        <v>0</v>
      </c>
    </row>
    <row r="204" spans="2:28" ht="13.5" customHeight="1" x14ac:dyDescent="0.25">
      <c r="B204" s="586"/>
      <c r="C204" s="468"/>
      <c r="D204" s="454"/>
      <c r="E204" s="454"/>
      <c r="F204" s="584"/>
      <c r="G204" s="454"/>
      <c r="H204" s="584"/>
      <c r="I204" s="584"/>
      <c r="J204" s="584"/>
      <c r="K204" s="584"/>
      <c r="L204" s="456">
        <f t="shared" si="90"/>
        <v>0</v>
      </c>
      <c r="M204" s="457">
        <f t="shared" si="91"/>
        <v>0</v>
      </c>
      <c r="N204" s="458">
        <f t="shared" si="92"/>
        <v>0</v>
      </c>
      <c r="O204" s="458">
        <f t="shared" si="93"/>
        <v>0</v>
      </c>
      <c r="P204" s="458">
        <f t="shared" si="94"/>
        <v>0</v>
      </c>
      <c r="Q204" s="459">
        <f t="shared" si="95"/>
        <v>0</v>
      </c>
      <c r="R204" s="460">
        <f t="shared" si="96"/>
        <v>0</v>
      </c>
      <c r="S204" s="461">
        <f t="shared" si="97"/>
        <v>0</v>
      </c>
      <c r="T204" s="461">
        <f t="shared" si="98"/>
        <v>0</v>
      </c>
      <c r="U204" s="454">
        <f t="shared" si="99"/>
        <v>0</v>
      </c>
      <c r="V204" s="454">
        <f t="shared" si="100"/>
        <v>0</v>
      </c>
      <c r="W204" s="454">
        <f t="shared" si="101"/>
        <v>0</v>
      </c>
      <c r="X204" s="454">
        <f t="shared" si="102"/>
        <v>0</v>
      </c>
      <c r="Y204" s="454">
        <f t="shared" si="103"/>
        <v>0</v>
      </c>
      <c r="Z204" s="454">
        <f t="shared" si="104"/>
        <v>0</v>
      </c>
      <c r="AA204" s="456">
        <f t="shared" si="105"/>
        <v>0</v>
      </c>
      <c r="AB204" s="587">
        <f t="shared" si="106"/>
        <v>0</v>
      </c>
    </row>
    <row r="205" spans="2:28" ht="13.5" customHeight="1" x14ac:dyDescent="0.25">
      <c r="B205" s="586"/>
      <c r="C205" s="468"/>
      <c r="D205" s="454"/>
      <c r="E205" s="454"/>
      <c r="F205" s="584"/>
      <c r="G205" s="454"/>
      <c r="H205" s="584"/>
      <c r="I205" s="584"/>
      <c r="J205" s="584"/>
      <c r="K205" s="584"/>
      <c r="L205" s="456">
        <f t="shared" si="90"/>
        <v>0</v>
      </c>
      <c r="M205" s="457">
        <f t="shared" si="91"/>
        <v>0</v>
      </c>
      <c r="N205" s="458">
        <f t="shared" si="92"/>
        <v>0</v>
      </c>
      <c r="O205" s="458">
        <f t="shared" si="93"/>
        <v>0</v>
      </c>
      <c r="P205" s="458">
        <f t="shared" si="94"/>
        <v>0</v>
      </c>
      <c r="Q205" s="459">
        <f t="shared" si="95"/>
        <v>0</v>
      </c>
      <c r="R205" s="460">
        <f t="shared" si="96"/>
        <v>0</v>
      </c>
      <c r="S205" s="461">
        <f t="shared" si="97"/>
        <v>0</v>
      </c>
      <c r="T205" s="461">
        <f t="shared" si="98"/>
        <v>0</v>
      </c>
      <c r="U205" s="454">
        <f t="shared" si="99"/>
        <v>0</v>
      </c>
      <c r="V205" s="454">
        <f t="shared" si="100"/>
        <v>0</v>
      </c>
      <c r="W205" s="454">
        <f t="shared" si="101"/>
        <v>0</v>
      </c>
      <c r="X205" s="454">
        <f t="shared" si="102"/>
        <v>0</v>
      </c>
      <c r="Y205" s="454">
        <f t="shared" si="103"/>
        <v>0</v>
      </c>
      <c r="Z205" s="454">
        <f t="shared" si="104"/>
        <v>0</v>
      </c>
      <c r="AA205" s="456">
        <f t="shared" si="105"/>
        <v>0</v>
      </c>
      <c r="AB205" s="587">
        <f t="shared" si="106"/>
        <v>0</v>
      </c>
    </row>
    <row r="206" spans="2:28" ht="13.5" customHeight="1" x14ac:dyDescent="0.25">
      <c r="B206" s="586"/>
      <c r="C206" s="468"/>
      <c r="D206" s="454"/>
      <c r="E206" s="454"/>
      <c r="F206" s="584"/>
      <c r="G206" s="454"/>
      <c r="H206" s="584"/>
      <c r="I206" s="584"/>
      <c r="J206" s="584"/>
      <c r="K206" s="584"/>
      <c r="L206" s="456">
        <f t="shared" si="90"/>
        <v>0</v>
      </c>
      <c r="M206" s="457">
        <f t="shared" si="91"/>
        <v>0</v>
      </c>
      <c r="N206" s="458">
        <f t="shared" si="92"/>
        <v>0</v>
      </c>
      <c r="O206" s="458">
        <f t="shared" si="93"/>
        <v>0</v>
      </c>
      <c r="P206" s="458">
        <f t="shared" si="94"/>
        <v>0</v>
      </c>
      <c r="Q206" s="459">
        <f t="shared" si="95"/>
        <v>0</v>
      </c>
      <c r="R206" s="460">
        <f t="shared" si="96"/>
        <v>0</v>
      </c>
      <c r="S206" s="461">
        <f t="shared" si="97"/>
        <v>0</v>
      </c>
      <c r="T206" s="461">
        <f t="shared" si="98"/>
        <v>0</v>
      </c>
      <c r="U206" s="454">
        <f t="shared" si="99"/>
        <v>0</v>
      </c>
      <c r="V206" s="454">
        <f t="shared" si="100"/>
        <v>0</v>
      </c>
      <c r="W206" s="454">
        <f t="shared" si="101"/>
        <v>0</v>
      </c>
      <c r="X206" s="454">
        <f t="shared" si="102"/>
        <v>0</v>
      </c>
      <c r="Y206" s="454">
        <f t="shared" si="103"/>
        <v>0</v>
      </c>
      <c r="Z206" s="454">
        <f t="shared" si="104"/>
        <v>0</v>
      </c>
      <c r="AA206" s="456">
        <f t="shared" si="105"/>
        <v>0</v>
      </c>
      <c r="AB206" s="587">
        <f t="shared" si="106"/>
        <v>0</v>
      </c>
    </row>
    <row r="207" spans="2:28" ht="13.5" customHeight="1" x14ac:dyDescent="0.25">
      <c r="B207" s="586"/>
      <c r="C207" s="468"/>
      <c r="D207" s="454"/>
      <c r="E207" s="454"/>
      <c r="F207" s="584"/>
      <c r="G207" s="454"/>
      <c r="H207" s="584"/>
      <c r="I207" s="584"/>
      <c r="J207" s="584"/>
      <c r="K207" s="584"/>
      <c r="L207" s="456">
        <f t="shared" si="90"/>
        <v>0</v>
      </c>
      <c r="M207" s="457">
        <f t="shared" si="91"/>
        <v>0</v>
      </c>
      <c r="N207" s="458">
        <f t="shared" si="92"/>
        <v>0</v>
      </c>
      <c r="O207" s="458">
        <f t="shared" si="93"/>
        <v>0</v>
      </c>
      <c r="P207" s="458">
        <f t="shared" si="94"/>
        <v>0</v>
      </c>
      <c r="Q207" s="459">
        <f t="shared" si="95"/>
        <v>0</v>
      </c>
      <c r="R207" s="460">
        <f t="shared" si="96"/>
        <v>0</v>
      </c>
      <c r="S207" s="461">
        <f t="shared" si="97"/>
        <v>0</v>
      </c>
      <c r="T207" s="461">
        <f t="shared" si="98"/>
        <v>0</v>
      </c>
      <c r="U207" s="454">
        <f t="shared" si="99"/>
        <v>0</v>
      </c>
      <c r="V207" s="454">
        <f t="shared" si="100"/>
        <v>0</v>
      </c>
      <c r="W207" s="454">
        <f t="shared" si="101"/>
        <v>0</v>
      </c>
      <c r="X207" s="454">
        <f t="shared" si="102"/>
        <v>0</v>
      </c>
      <c r="Y207" s="454">
        <f t="shared" si="103"/>
        <v>0</v>
      </c>
      <c r="Z207" s="454">
        <f t="shared" si="104"/>
        <v>0</v>
      </c>
      <c r="AA207" s="456">
        <f t="shared" si="105"/>
        <v>0</v>
      </c>
      <c r="AB207" s="587">
        <f t="shared" si="106"/>
        <v>0</v>
      </c>
    </row>
    <row r="208" spans="2:28" ht="13.5" customHeight="1" x14ac:dyDescent="0.25">
      <c r="B208" s="586"/>
      <c r="C208" s="468"/>
      <c r="D208" s="454"/>
      <c r="E208" s="454"/>
      <c r="F208" s="584"/>
      <c r="G208" s="454"/>
      <c r="H208" s="584"/>
      <c r="I208" s="584"/>
      <c r="J208" s="584"/>
      <c r="K208" s="584"/>
      <c r="L208" s="456">
        <f t="shared" si="90"/>
        <v>0</v>
      </c>
      <c r="M208" s="457">
        <f t="shared" si="91"/>
        <v>0</v>
      </c>
      <c r="N208" s="458">
        <f t="shared" si="92"/>
        <v>0</v>
      </c>
      <c r="O208" s="458">
        <f t="shared" si="93"/>
        <v>0</v>
      </c>
      <c r="P208" s="458">
        <f t="shared" si="94"/>
        <v>0</v>
      </c>
      <c r="Q208" s="459">
        <f t="shared" si="95"/>
        <v>0</v>
      </c>
      <c r="R208" s="460">
        <f t="shared" si="96"/>
        <v>0</v>
      </c>
      <c r="S208" s="461">
        <f t="shared" si="97"/>
        <v>0</v>
      </c>
      <c r="T208" s="461">
        <f t="shared" si="98"/>
        <v>0</v>
      </c>
      <c r="U208" s="454">
        <f t="shared" si="99"/>
        <v>0</v>
      </c>
      <c r="V208" s="454">
        <f t="shared" si="100"/>
        <v>0</v>
      </c>
      <c r="W208" s="454">
        <f t="shared" si="101"/>
        <v>0</v>
      </c>
      <c r="X208" s="454">
        <f t="shared" si="102"/>
        <v>0</v>
      </c>
      <c r="Y208" s="454">
        <f t="shared" si="103"/>
        <v>0</v>
      </c>
      <c r="Z208" s="454">
        <f t="shared" si="104"/>
        <v>0</v>
      </c>
      <c r="AA208" s="456">
        <f t="shared" si="105"/>
        <v>0</v>
      </c>
      <c r="AB208" s="587">
        <f t="shared" si="106"/>
        <v>0</v>
      </c>
    </row>
    <row r="209" spans="2:30" ht="13.5" customHeight="1" x14ac:dyDescent="0.25">
      <c r="B209" s="586"/>
      <c r="C209" s="468"/>
      <c r="D209" s="454"/>
      <c r="E209" s="454"/>
      <c r="F209" s="584"/>
      <c r="G209" s="454"/>
      <c r="H209" s="584"/>
      <c r="I209" s="584"/>
      <c r="J209" s="584"/>
      <c r="K209" s="584"/>
      <c r="L209" s="456">
        <f t="shared" si="90"/>
        <v>0</v>
      </c>
      <c r="M209" s="457">
        <f t="shared" si="91"/>
        <v>0</v>
      </c>
      <c r="N209" s="458">
        <f t="shared" si="92"/>
        <v>0</v>
      </c>
      <c r="O209" s="458">
        <f t="shared" si="93"/>
        <v>0</v>
      </c>
      <c r="P209" s="458">
        <f t="shared" si="94"/>
        <v>0</v>
      </c>
      <c r="Q209" s="459">
        <f t="shared" si="95"/>
        <v>0</v>
      </c>
      <c r="R209" s="460">
        <f t="shared" si="96"/>
        <v>0</v>
      </c>
      <c r="S209" s="461">
        <f t="shared" si="97"/>
        <v>0</v>
      </c>
      <c r="T209" s="461">
        <f t="shared" si="98"/>
        <v>0</v>
      </c>
      <c r="U209" s="454">
        <f t="shared" si="99"/>
        <v>0</v>
      </c>
      <c r="V209" s="454">
        <f t="shared" si="100"/>
        <v>0</v>
      </c>
      <c r="W209" s="454">
        <f t="shared" si="101"/>
        <v>0</v>
      </c>
      <c r="X209" s="454">
        <f t="shared" si="102"/>
        <v>0</v>
      </c>
      <c r="Y209" s="454">
        <f t="shared" si="103"/>
        <v>0</v>
      </c>
      <c r="Z209" s="454">
        <f t="shared" si="104"/>
        <v>0</v>
      </c>
      <c r="AA209" s="456">
        <f t="shared" si="105"/>
        <v>0</v>
      </c>
      <c r="AB209" s="587">
        <f t="shared" si="106"/>
        <v>0</v>
      </c>
    </row>
    <row r="210" spans="2:30" ht="13.5" customHeight="1" x14ac:dyDescent="0.25">
      <c r="B210" s="586"/>
      <c r="C210" s="468"/>
      <c r="D210" s="454"/>
      <c r="E210" s="454"/>
      <c r="F210" s="584"/>
      <c r="G210" s="454"/>
      <c r="H210" s="584"/>
      <c r="I210" s="584"/>
      <c r="J210" s="584"/>
      <c r="K210" s="584"/>
      <c r="L210" s="456">
        <f t="shared" si="90"/>
        <v>0</v>
      </c>
      <c r="M210" s="457">
        <f t="shared" si="91"/>
        <v>0</v>
      </c>
      <c r="N210" s="458">
        <f t="shared" si="92"/>
        <v>0</v>
      </c>
      <c r="O210" s="458">
        <f t="shared" si="93"/>
        <v>0</v>
      </c>
      <c r="P210" s="458">
        <f t="shared" si="94"/>
        <v>0</v>
      </c>
      <c r="Q210" s="459">
        <f t="shared" si="95"/>
        <v>0</v>
      </c>
      <c r="R210" s="460">
        <f t="shared" si="96"/>
        <v>0</v>
      </c>
      <c r="S210" s="461">
        <f t="shared" si="97"/>
        <v>0</v>
      </c>
      <c r="T210" s="461">
        <f t="shared" si="98"/>
        <v>0</v>
      </c>
      <c r="U210" s="454">
        <f t="shared" si="99"/>
        <v>0</v>
      </c>
      <c r="V210" s="454">
        <f t="shared" si="100"/>
        <v>0</v>
      </c>
      <c r="W210" s="454">
        <f t="shared" si="101"/>
        <v>0</v>
      </c>
      <c r="X210" s="454">
        <f t="shared" si="102"/>
        <v>0</v>
      </c>
      <c r="Y210" s="454">
        <f t="shared" si="103"/>
        <v>0</v>
      </c>
      <c r="Z210" s="454">
        <f t="shared" si="104"/>
        <v>0</v>
      </c>
      <c r="AA210" s="456">
        <f t="shared" si="105"/>
        <v>0</v>
      </c>
      <c r="AB210" s="587">
        <f t="shared" si="106"/>
        <v>0</v>
      </c>
    </row>
    <row r="211" spans="2:30" ht="13.5" customHeight="1" x14ac:dyDescent="0.25">
      <c r="B211" s="586" t="s">
        <v>348</v>
      </c>
      <c r="C211" s="468"/>
      <c r="D211" s="454"/>
      <c r="E211" s="454"/>
      <c r="F211" s="584"/>
      <c r="G211" s="454"/>
      <c r="H211" s="584"/>
      <c r="I211" s="584"/>
      <c r="J211" s="584"/>
      <c r="K211" s="584"/>
      <c r="L211" s="456">
        <f t="shared" si="90"/>
        <v>0</v>
      </c>
      <c r="M211" s="457"/>
      <c r="N211" s="458"/>
      <c r="O211" s="458"/>
      <c r="P211" s="458"/>
      <c r="Q211" s="459">
        <f t="shared" si="95"/>
        <v>0</v>
      </c>
      <c r="R211" s="460"/>
      <c r="S211" s="461"/>
      <c r="T211" s="461"/>
      <c r="U211" s="454"/>
      <c r="V211" s="454"/>
      <c r="W211" s="454"/>
      <c r="X211" s="454"/>
      <c r="Y211" s="454"/>
      <c r="Z211" s="454"/>
      <c r="AA211" s="456"/>
      <c r="AB211" s="587">
        <f t="shared" si="106"/>
        <v>0</v>
      </c>
    </row>
    <row r="212" spans="2:30" ht="13.5" customHeight="1" x14ac:dyDescent="0.25">
      <c r="B212" s="586" t="s">
        <v>349</v>
      </c>
      <c r="C212" s="468"/>
      <c r="D212" s="589"/>
      <c r="E212" s="454"/>
      <c r="F212" s="584"/>
      <c r="G212" s="454"/>
      <c r="H212" s="584"/>
      <c r="I212" s="584"/>
      <c r="J212" s="584"/>
      <c r="K212" s="584"/>
      <c r="L212" s="456">
        <f t="shared" si="90"/>
        <v>0</v>
      </c>
      <c r="M212" s="490"/>
      <c r="N212" s="458"/>
      <c r="O212" s="458"/>
      <c r="P212" s="458"/>
      <c r="Q212" s="459">
        <f t="shared" si="95"/>
        <v>0</v>
      </c>
      <c r="R212" s="460"/>
      <c r="S212" s="461"/>
      <c r="T212" s="461"/>
      <c r="U212" s="454"/>
      <c r="V212" s="454"/>
      <c r="W212" s="454"/>
      <c r="X212" s="454"/>
      <c r="Y212" s="454"/>
      <c r="Z212" s="454"/>
      <c r="AA212" s="456">
        <f>SUM(R212:Z212)</f>
        <v>0</v>
      </c>
      <c r="AB212" s="587">
        <f t="shared" si="106"/>
        <v>0</v>
      </c>
    </row>
    <row r="213" spans="2:30" ht="14.25" customHeight="1" x14ac:dyDescent="0.25">
      <c r="B213" s="590"/>
      <c r="C213" s="591">
        <f t="shared" ref="C213:AB213" si="107">SUM(C183:C212)</f>
        <v>0</v>
      </c>
      <c r="D213" s="592">
        <f t="shared" si="107"/>
        <v>0</v>
      </c>
      <c r="E213" s="592">
        <f t="shared" si="107"/>
        <v>0</v>
      </c>
      <c r="F213" s="592">
        <f t="shared" si="107"/>
        <v>0</v>
      </c>
      <c r="G213" s="592">
        <f t="shared" si="107"/>
        <v>0</v>
      </c>
      <c r="H213" s="592">
        <f t="shared" si="107"/>
        <v>0</v>
      </c>
      <c r="I213" s="592">
        <f t="shared" si="107"/>
        <v>0</v>
      </c>
      <c r="J213" s="592">
        <f t="shared" si="107"/>
        <v>0</v>
      </c>
      <c r="K213" s="592">
        <f t="shared" si="107"/>
        <v>0</v>
      </c>
      <c r="L213" s="593">
        <f t="shared" si="107"/>
        <v>0</v>
      </c>
      <c r="M213" s="591">
        <f t="shared" si="107"/>
        <v>0</v>
      </c>
      <c r="N213" s="592">
        <f t="shared" si="107"/>
        <v>0</v>
      </c>
      <c r="O213" s="592">
        <f t="shared" si="107"/>
        <v>0</v>
      </c>
      <c r="P213" s="592">
        <f t="shared" si="107"/>
        <v>0</v>
      </c>
      <c r="Q213" s="593">
        <f t="shared" si="107"/>
        <v>0</v>
      </c>
      <c r="R213" s="591">
        <f t="shared" si="107"/>
        <v>0</v>
      </c>
      <c r="S213" s="592">
        <f t="shared" si="107"/>
        <v>0</v>
      </c>
      <c r="T213" s="592">
        <f t="shared" si="107"/>
        <v>0</v>
      </c>
      <c r="U213" s="592">
        <f t="shared" si="107"/>
        <v>0</v>
      </c>
      <c r="V213" s="592">
        <f t="shared" si="107"/>
        <v>0</v>
      </c>
      <c r="W213" s="592">
        <f t="shared" si="107"/>
        <v>0</v>
      </c>
      <c r="X213" s="592">
        <f t="shared" si="107"/>
        <v>0</v>
      </c>
      <c r="Y213" s="592">
        <f t="shared" si="107"/>
        <v>0</v>
      </c>
      <c r="Z213" s="592">
        <f t="shared" si="107"/>
        <v>0</v>
      </c>
      <c r="AA213" s="593">
        <f t="shared" si="107"/>
        <v>0</v>
      </c>
      <c r="AB213" s="594">
        <f t="shared" si="107"/>
        <v>0</v>
      </c>
    </row>
    <row r="214" spans="2:30" ht="13.5" customHeight="1" x14ac:dyDescent="0.25"/>
    <row r="215" spans="2:30" ht="12.75" customHeight="1" x14ac:dyDescent="0.25">
      <c r="B215" s="438" t="s">
        <v>158</v>
      </c>
      <c r="C215" s="439" t="s">
        <v>190</v>
      </c>
      <c r="D215" s="440" t="s">
        <v>194</v>
      </c>
      <c r="E215" s="440" t="s">
        <v>197</v>
      </c>
      <c r="F215" s="440" t="s">
        <v>306</v>
      </c>
      <c r="G215" s="440" t="s">
        <v>307</v>
      </c>
      <c r="H215" s="440" t="s">
        <v>308</v>
      </c>
      <c r="I215" s="440" t="s">
        <v>309</v>
      </c>
      <c r="J215" s="440" t="s">
        <v>310</v>
      </c>
      <c r="K215" s="440" t="s">
        <v>311</v>
      </c>
      <c r="L215" s="441" t="s">
        <v>199</v>
      </c>
      <c r="M215" s="442" t="s">
        <v>168</v>
      </c>
      <c r="N215" s="443" t="s">
        <v>200</v>
      </c>
      <c r="O215" s="443" t="s">
        <v>201</v>
      </c>
      <c r="P215" s="444" t="s">
        <v>36</v>
      </c>
      <c r="Q215" s="445" t="s">
        <v>202</v>
      </c>
      <c r="R215" s="446" t="s">
        <v>40</v>
      </c>
      <c r="S215" s="447" t="s">
        <v>169</v>
      </c>
      <c r="T215" s="447" t="s">
        <v>203</v>
      </c>
      <c r="U215" s="447" t="s">
        <v>204</v>
      </c>
      <c r="V215" s="447" t="s">
        <v>205</v>
      </c>
      <c r="W215" s="447" t="s">
        <v>206</v>
      </c>
      <c r="X215" s="447" t="s">
        <v>207</v>
      </c>
      <c r="Y215" s="447" t="s">
        <v>208</v>
      </c>
      <c r="Z215" s="447" t="s">
        <v>209</v>
      </c>
      <c r="AA215" s="448" t="s">
        <v>210</v>
      </c>
      <c r="AB215" s="583" t="s">
        <v>13</v>
      </c>
      <c r="AC215" s="450" t="s">
        <v>189</v>
      </c>
      <c r="AD215" s="451">
        <v>46204</v>
      </c>
    </row>
    <row r="216" spans="2:30" ht="13.5" customHeight="1" x14ac:dyDescent="0.25">
      <c r="B216" s="489"/>
      <c r="C216" s="490"/>
      <c r="D216" s="454"/>
      <c r="E216" s="454"/>
      <c r="F216" s="584"/>
      <c r="G216" s="454"/>
      <c r="H216" s="584"/>
      <c r="I216" s="584"/>
      <c r="J216" s="584"/>
      <c r="K216" s="584"/>
      <c r="L216" s="456">
        <f t="shared" ref="L216:L245" si="108">SUM(C216:K216)</f>
        <v>0</v>
      </c>
      <c r="M216" s="457">
        <f t="shared" ref="M216:M243" si="109">(C216+F216+G216)*20%</f>
        <v>0</v>
      </c>
      <c r="N216" s="458">
        <f t="shared" ref="N216:N243" si="110">(C216+F216+G216)*1.5%</f>
        <v>0</v>
      </c>
      <c r="O216" s="458">
        <f t="shared" ref="O216:O243" si="111">(C216+F216+G216)*5.8%</f>
        <v>0</v>
      </c>
      <c r="P216" s="458">
        <f t="shared" ref="P216:P243" si="112">(C216+F216+G216)*8%</f>
        <v>0</v>
      </c>
      <c r="Q216" s="459">
        <f t="shared" ref="Q216:Q245" si="113">SUM(M216:P216)</f>
        <v>0</v>
      </c>
      <c r="R216" s="460">
        <f t="shared" ref="R216:R243" si="114">(C216+F216+G216)/12</f>
        <v>0</v>
      </c>
      <c r="S216" s="461">
        <f t="shared" ref="S216:S243" si="115">R216/3</f>
        <v>0</v>
      </c>
      <c r="T216" s="461">
        <f t="shared" ref="T216:T243" si="116">(R216+S216)*8%</f>
        <v>0</v>
      </c>
      <c r="U216" s="454">
        <f t="shared" ref="U216:U243" si="117">(C216+F216+G216)/12</f>
        <v>0</v>
      </c>
      <c r="V216" s="454">
        <f t="shared" ref="V216:V243" si="118">U216*8%</f>
        <v>0</v>
      </c>
      <c r="W216" s="454">
        <f t="shared" ref="W216:W243" si="119">(C216+F216+G216)/12</f>
        <v>0</v>
      </c>
      <c r="X216" s="454">
        <f t="shared" ref="X216:X243" si="120">W216*8%</f>
        <v>0</v>
      </c>
      <c r="Y216" s="454">
        <f t="shared" ref="Y216:Y243" si="121">(P216+T216+V216+X216)*50%</f>
        <v>0</v>
      </c>
      <c r="Z216" s="454">
        <f t="shared" ref="Z216:Z243" si="122">(R216+S216+U216+W216)*27.3%</f>
        <v>0</v>
      </c>
      <c r="AA216" s="456">
        <f t="shared" ref="AA216:AA243" si="123">SUM(R216:Z216)</f>
        <v>0</v>
      </c>
      <c r="AB216" s="585">
        <f t="shared" ref="AB216:AB245" si="124">L216+Q216+AA216</f>
        <v>0</v>
      </c>
      <c r="AC216" s="465" t="s">
        <v>89</v>
      </c>
      <c r="AD216" s="466">
        <f>C246</f>
        <v>0</v>
      </c>
    </row>
    <row r="217" spans="2:30" ht="13.5" customHeight="1" x14ac:dyDescent="0.25">
      <c r="B217" s="467"/>
      <c r="C217" s="468"/>
      <c r="D217" s="454"/>
      <c r="E217" s="454"/>
      <c r="F217" s="584"/>
      <c r="G217" s="454"/>
      <c r="H217" s="584"/>
      <c r="I217" s="584"/>
      <c r="J217" s="584"/>
      <c r="K217" s="584"/>
      <c r="L217" s="456">
        <f t="shared" si="108"/>
        <v>0</v>
      </c>
      <c r="M217" s="457">
        <f t="shared" si="109"/>
        <v>0</v>
      </c>
      <c r="N217" s="458">
        <f t="shared" si="110"/>
        <v>0</v>
      </c>
      <c r="O217" s="458">
        <f t="shared" si="111"/>
        <v>0</v>
      </c>
      <c r="P217" s="458">
        <f t="shared" si="112"/>
        <v>0</v>
      </c>
      <c r="Q217" s="459">
        <f t="shared" si="113"/>
        <v>0</v>
      </c>
      <c r="R217" s="460">
        <f t="shared" si="114"/>
        <v>0</v>
      </c>
      <c r="S217" s="461">
        <f t="shared" si="115"/>
        <v>0</v>
      </c>
      <c r="T217" s="461">
        <f t="shared" si="116"/>
        <v>0</v>
      </c>
      <c r="U217" s="454">
        <f t="shared" si="117"/>
        <v>0</v>
      </c>
      <c r="V217" s="454">
        <f t="shared" si="118"/>
        <v>0</v>
      </c>
      <c r="W217" s="454">
        <f t="shared" si="119"/>
        <v>0</v>
      </c>
      <c r="X217" s="454">
        <f t="shared" si="120"/>
        <v>0</v>
      </c>
      <c r="Y217" s="454">
        <f t="shared" si="121"/>
        <v>0</v>
      </c>
      <c r="Z217" s="454">
        <f t="shared" si="122"/>
        <v>0</v>
      </c>
      <c r="AA217" s="456">
        <f t="shared" si="123"/>
        <v>0</v>
      </c>
      <c r="AB217" s="585">
        <f t="shared" si="124"/>
        <v>0</v>
      </c>
      <c r="AC217" s="465" t="s">
        <v>306</v>
      </c>
      <c r="AD217" s="466">
        <f>F246</f>
        <v>0</v>
      </c>
    </row>
    <row r="218" spans="2:30" ht="13.5" customHeight="1" x14ac:dyDescent="0.25">
      <c r="B218" s="467"/>
      <c r="C218" s="468"/>
      <c r="D218" s="454"/>
      <c r="E218" s="454"/>
      <c r="F218" s="584"/>
      <c r="G218" s="454"/>
      <c r="H218" s="584"/>
      <c r="I218" s="584"/>
      <c r="J218" s="584"/>
      <c r="K218" s="584"/>
      <c r="L218" s="456">
        <f t="shared" si="108"/>
        <v>0</v>
      </c>
      <c r="M218" s="457">
        <f t="shared" si="109"/>
        <v>0</v>
      </c>
      <c r="N218" s="458">
        <f t="shared" si="110"/>
        <v>0</v>
      </c>
      <c r="O218" s="458">
        <f t="shared" si="111"/>
        <v>0</v>
      </c>
      <c r="P218" s="458">
        <f t="shared" si="112"/>
        <v>0</v>
      </c>
      <c r="Q218" s="459">
        <f t="shared" si="113"/>
        <v>0</v>
      </c>
      <c r="R218" s="460">
        <f t="shared" si="114"/>
        <v>0</v>
      </c>
      <c r="S218" s="461">
        <f t="shared" si="115"/>
        <v>0</v>
      </c>
      <c r="T218" s="461">
        <f t="shared" si="116"/>
        <v>0</v>
      </c>
      <c r="U218" s="454">
        <f t="shared" si="117"/>
        <v>0</v>
      </c>
      <c r="V218" s="454">
        <f t="shared" si="118"/>
        <v>0</v>
      </c>
      <c r="W218" s="454">
        <f t="shared" si="119"/>
        <v>0</v>
      </c>
      <c r="X218" s="454">
        <f t="shared" si="120"/>
        <v>0</v>
      </c>
      <c r="Y218" s="454">
        <f t="shared" si="121"/>
        <v>0</v>
      </c>
      <c r="Z218" s="454">
        <f t="shared" si="122"/>
        <v>0</v>
      </c>
      <c r="AA218" s="456">
        <f t="shared" si="123"/>
        <v>0</v>
      </c>
      <c r="AB218" s="585">
        <f t="shared" si="124"/>
        <v>0</v>
      </c>
      <c r="AC218" s="465" t="s">
        <v>315</v>
      </c>
      <c r="AD218" s="466">
        <v>0</v>
      </c>
    </row>
    <row r="219" spans="2:30" ht="13.5" customHeight="1" x14ac:dyDescent="0.25">
      <c r="B219" s="467"/>
      <c r="C219" s="468"/>
      <c r="D219" s="454"/>
      <c r="E219" s="454"/>
      <c r="F219" s="584"/>
      <c r="G219" s="454"/>
      <c r="H219" s="584"/>
      <c r="I219" s="584"/>
      <c r="J219" s="584"/>
      <c r="K219" s="584"/>
      <c r="L219" s="456">
        <f t="shared" si="108"/>
        <v>0</v>
      </c>
      <c r="M219" s="457">
        <f t="shared" si="109"/>
        <v>0</v>
      </c>
      <c r="N219" s="458">
        <f t="shared" si="110"/>
        <v>0</v>
      </c>
      <c r="O219" s="458">
        <f t="shared" si="111"/>
        <v>0</v>
      </c>
      <c r="P219" s="458">
        <f t="shared" si="112"/>
        <v>0</v>
      </c>
      <c r="Q219" s="459">
        <f t="shared" si="113"/>
        <v>0</v>
      </c>
      <c r="R219" s="460">
        <f t="shared" si="114"/>
        <v>0</v>
      </c>
      <c r="S219" s="461">
        <f t="shared" si="115"/>
        <v>0</v>
      </c>
      <c r="T219" s="461">
        <f t="shared" si="116"/>
        <v>0</v>
      </c>
      <c r="U219" s="454">
        <f t="shared" si="117"/>
        <v>0</v>
      </c>
      <c r="V219" s="454">
        <f t="shared" si="118"/>
        <v>0</v>
      </c>
      <c r="W219" s="454">
        <f t="shared" si="119"/>
        <v>0</v>
      </c>
      <c r="X219" s="454">
        <f t="shared" si="120"/>
        <v>0</v>
      </c>
      <c r="Y219" s="454">
        <f t="shared" si="121"/>
        <v>0</v>
      </c>
      <c r="Z219" s="454">
        <f t="shared" si="122"/>
        <v>0</v>
      </c>
      <c r="AA219" s="456">
        <f t="shared" si="123"/>
        <v>0</v>
      </c>
      <c r="AB219" s="585">
        <f t="shared" si="124"/>
        <v>0</v>
      </c>
      <c r="AC219" s="469" t="s">
        <v>194</v>
      </c>
      <c r="AD219" s="466">
        <f>D246</f>
        <v>0</v>
      </c>
    </row>
    <row r="220" spans="2:30" ht="13.5" customHeight="1" x14ac:dyDescent="0.25">
      <c r="B220" s="467"/>
      <c r="C220" s="468"/>
      <c r="D220" s="454"/>
      <c r="E220" s="454"/>
      <c r="F220" s="584"/>
      <c r="G220" s="454"/>
      <c r="H220" s="584"/>
      <c r="I220" s="584"/>
      <c r="J220" s="584"/>
      <c r="K220" s="584"/>
      <c r="L220" s="456">
        <f t="shared" si="108"/>
        <v>0</v>
      </c>
      <c r="M220" s="457">
        <f t="shared" si="109"/>
        <v>0</v>
      </c>
      <c r="N220" s="458">
        <f t="shared" si="110"/>
        <v>0</v>
      </c>
      <c r="O220" s="458">
        <f t="shared" si="111"/>
        <v>0</v>
      </c>
      <c r="P220" s="458">
        <f t="shared" si="112"/>
        <v>0</v>
      </c>
      <c r="Q220" s="459">
        <f t="shared" si="113"/>
        <v>0</v>
      </c>
      <c r="R220" s="460">
        <f t="shared" si="114"/>
        <v>0</v>
      </c>
      <c r="S220" s="461">
        <f t="shared" si="115"/>
        <v>0</v>
      </c>
      <c r="T220" s="461">
        <f t="shared" si="116"/>
        <v>0</v>
      </c>
      <c r="U220" s="454">
        <f t="shared" si="117"/>
        <v>0</v>
      </c>
      <c r="V220" s="454">
        <f t="shared" si="118"/>
        <v>0</v>
      </c>
      <c r="W220" s="454">
        <f t="shared" si="119"/>
        <v>0</v>
      </c>
      <c r="X220" s="454">
        <f t="shared" si="120"/>
        <v>0</v>
      </c>
      <c r="Y220" s="454">
        <f t="shared" si="121"/>
        <v>0</v>
      </c>
      <c r="Z220" s="454">
        <f t="shared" si="122"/>
        <v>0</v>
      </c>
      <c r="AA220" s="456">
        <f t="shared" si="123"/>
        <v>0</v>
      </c>
      <c r="AB220" s="585">
        <f t="shared" si="124"/>
        <v>0</v>
      </c>
      <c r="AC220" s="469" t="s">
        <v>197</v>
      </c>
      <c r="AD220" s="466">
        <f>E246</f>
        <v>0</v>
      </c>
    </row>
    <row r="221" spans="2:30" ht="13.5" customHeight="1" x14ac:dyDescent="0.25">
      <c r="B221" s="467"/>
      <c r="C221" s="468"/>
      <c r="D221" s="454"/>
      <c r="E221" s="454"/>
      <c r="F221" s="584"/>
      <c r="G221" s="454"/>
      <c r="H221" s="584"/>
      <c r="I221" s="584"/>
      <c r="J221" s="584"/>
      <c r="K221" s="584"/>
      <c r="L221" s="456">
        <f t="shared" si="108"/>
        <v>0</v>
      </c>
      <c r="M221" s="457">
        <f t="shared" si="109"/>
        <v>0</v>
      </c>
      <c r="N221" s="458">
        <f t="shared" si="110"/>
        <v>0</v>
      </c>
      <c r="O221" s="458">
        <f t="shared" si="111"/>
        <v>0</v>
      </c>
      <c r="P221" s="458">
        <f t="shared" si="112"/>
        <v>0</v>
      </c>
      <c r="Q221" s="459">
        <f t="shared" si="113"/>
        <v>0</v>
      </c>
      <c r="R221" s="460">
        <f t="shared" si="114"/>
        <v>0</v>
      </c>
      <c r="S221" s="461">
        <f t="shared" si="115"/>
        <v>0</v>
      </c>
      <c r="T221" s="461">
        <f t="shared" si="116"/>
        <v>0</v>
      </c>
      <c r="U221" s="454">
        <f t="shared" si="117"/>
        <v>0</v>
      </c>
      <c r="V221" s="454">
        <f t="shared" si="118"/>
        <v>0</v>
      </c>
      <c r="W221" s="454">
        <f t="shared" si="119"/>
        <v>0</v>
      </c>
      <c r="X221" s="454">
        <f t="shared" si="120"/>
        <v>0</v>
      </c>
      <c r="Y221" s="454">
        <f t="shared" si="121"/>
        <v>0</v>
      </c>
      <c r="Z221" s="454">
        <f t="shared" si="122"/>
        <v>0</v>
      </c>
      <c r="AA221" s="456">
        <f t="shared" si="123"/>
        <v>0</v>
      </c>
      <c r="AB221" s="585">
        <f t="shared" si="124"/>
        <v>0</v>
      </c>
      <c r="AC221" s="469" t="s">
        <v>211</v>
      </c>
      <c r="AD221" s="466">
        <f>SUM(H246:K246)</f>
        <v>0</v>
      </c>
    </row>
    <row r="222" spans="2:30" ht="13.5" customHeight="1" x14ac:dyDescent="0.25">
      <c r="B222" s="467"/>
      <c r="C222" s="468"/>
      <c r="D222" s="431"/>
      <c r="E222" s="454"/>
      <c r="F222" s="584"/>
      <c r="G222" s="454"/>
      <c r="H222" s="584"/>
      <c r="I222" s="584"/>
      <c r="J222" s="584"/>
      <c r="K222" s="584"/>
      <c r="L222" s="456">
        <f t="shared" si="108"/>
        <v>0</v>
      </c>
      <c r="M222" s="457">
        <f t="shared" si="109"/>
        <v>0</v>
      </c>
      <c r="N222" s="458">
        <f t="shared" si="110"/>
        <v>0</v>
      </c>
      <c r="O222" s="458">
        <f t="shared" si="111"/>
        <v>0</v>
      </c>
      <c r="P222" s="458">
        <f t="shared" si="112"/>
        <v>0</v>
      </c>
      <c r="Q222" s="459">
        <f t="shared" si="113"/>
        <v>0</v>
      </c>
      <c r="R222" s="460">
        <f t="shared" si="114"/>
        <v>0</v>
      </c>
      <c r="S222" s="461">
        <f t="shared" si="115"/>
        <v>0</v>
      </c>
      <c r="T222" s="461">
        <f t="shared" si="116"/>
        <v>0</v>
      </c>
      <c r="U222" s="454">
        <f t="shared" si="117"/>
        <v>0</v>
      </c>
      <c r="V222" s="454">
        <f t="shared" si="118"/>
        <v>0</v>
      </c>
      <c r="W222" s="454">
        <f t="shared" si="119"/>
        <v>0</v>
      </c>
      <c r="X222" s="454">
        <f t="shared" si="120"/>
        <v>0</v>
      </c>
      <c r="Y222" s="454">
        <f t="shared" si="121"/>
        <v>0</v>
      </c>
      <c r="Z222" s="454">
        <f t="shared" si="122"/>
        <v>0</v>
      </c>
      <c r="AA222" s="456">
        <f t="shared" si="123"/>
        <v>0</v>
      </c>
      <c r="AB222" s="585">
        <f t="shared" si="124"/>
        <v>0</v>
      </c>
      <c r="AC222" s="465" t="s">
        <v>209</v>
      </c>
      <c r="AD222" s="466">
        <f>SUM(M246:O246)</f>
        <v>0</v>
      </c>
    </row>
    <row r="223" spans="2:30" ht="13.5" customHeight="1" x14ac:dyDescent="0.25">
      <c r="B223" s="467"/>
      <c r="C223" s="468"/>
      <c r="D223" s="431"/>
      <c r="E223" s="454"/>
      <c r="F223" s="584"/>
      <c r="G223" s="454"/>
      <c r="H223" s="584"/>
      <c r="I223" s="584"/>
      <c r="J223" s="584"/>
      <c r="K223" s="584"/>
      <c r="L223" s="456">
        <f t="shared" si="108"/>
        <v>0</v>
      </c>
      <c r="M223" s="457">
        <f t="shared" si="109"/>
        <v>0</v>
      </c>
      <c r="N223" s="458">
        <f t="shared" si="110"/>
        <v>0</v>
      </c>
      <c r="O223" s="458">
        <f t="shared" si="111"/>
        <v>0</v>
      </c>
      <c r="P223" s="458">
        <f t="shared" si="112"/>
        <v>0</v>
      </c>
      <c r="Q223" s="459">
        <f t="shared" si="113"/>
        <v>0</v>
      </c>
      <c r="R223" s="460">
        <f t="shared" si="114"/>
        <v>0</v>
      </c>
      <c r="S223" s="461">
        <f t="shared" si="115"/>
        <v>0</v>
      </c>
      <c r="T223" s="461">
        <f t="shared" si="116"/>
        <v>0</v>
      </c>
      <c r="U223" s="454">
        <f t="shared" si="117"/>
        <v>0</v>
      </c>
      <c r="V223" s="454">
        <f t="shared" si="118"/>
        <v>0</v>
      </c>
      <c r="W223" s="454">
        <f t="shared" si="119"/>
        <v>0</v>
      </c>
      <c r="X223" s="454">
        <f t="shared" si="120"/>
        <v>0</v>
      </c>
      <c r="Y223" s="454">
        <f t="shared" si="121"/>
        <v>0</v>
      </c>
      <c r="Z223" s="454">
        <f t="shared" si="122"/>
        <v>0</v>
      </c>
      <c r="AA223" s="456">
        <f t="shared" si="123"/>
        <v>0</v>
      </c>
      <c r="AB223" s="585">
        <f t="shared" si="124"/>
        <v>0</v>
      </c>
      <c r="AC223" s="465" t="s">
        <v>36</v>
      </c>
      <c r="AD223" s="466">
        <f>P246</f>
        <v>0</v>
      </c>
    </row>
    <row r="224" spans="2:30" ht="13.5" customHeight="1" x14ac:dyDescent="0.25">
      <c r="B224" s="586"/>
      <c r="C224" s="468"/>
      <c r="D224" s="454"/>
      <c r="E224" s="454"/>
      <c r="F224" s="584"/>
      <c r="G224" s="454"/>
      <c r="H224" s="584"/>
      <c r="I224" s="584"/>
      <c r="J224" s="584"/>
      <c r="K224" s="584"/>
      <c r="L224" s="456">
        <f t="shared" si="108"/>
        <v>0</v>
      </c>
      <c r="M224" s="457">
        <f t="shared" si="109"/>
        <v>0</v>
      </c>
      <c r="N224" s="458">
        <f t="shared" si="110"/>
        <v>0</v>
      </c>
      <c r="O224" s="458">
        <f t="shared" si="111"/>
        <v>0</v>
      </c>
      <c r="P224" s="458">
        <f t="shared" si="112"/>
        <v>0</v>
      </c>
      <c r="Q224" s="459">
        <f t="shared" si="113"/>
        <v>0</v>
      </c>
      <c r="R224" s="460">
        <f t="shared" si="114"/>
        <v>0</v>
      </c>
      <c r="S224" s="461">
        <f t="shared" si="115"/>
        <v>0</v>
      </c>
      <c r="T224" s="461">
        <f t="shared" si="116"/>
        <v>0</v>
      </c>
      <c r="U224" s="454">
        <f t="shared" si="117"/>
        <v>0</v>
      </c>
      <c r="V224" s="454">
        <f t="shared" si="118"/>
        <v>0</v>
      </c>
      <c r="W224" s="454">
        <f t="shared" si="119"/>
        <v>0</v>
      </c>
      <c r="X224" s="454">
        <f t="shared" si="120"/>
        <v>0</v>
      </c>
      <c r="Y224" s="454">
        <f t="shared" si="121"/>
        <v>0</v>
      </c>
      <c r="Z224" s="454">
        <f t="shared" si="122"/>
        <v>0</v>
      </c>
      <c r="AA224" s="456">
        <f t="shared" si="123"/>
        <v>0</v>
      </c>
      <c r="AB224" s="585">
        <f t="shared" si="124"/>
        <v>0</v>
      </c>
      <c r="AC224" s="469" t="s">
        <v>212</v>
      </c>
      <c r="AD224" s="466">
        <f>SUM(R246:Z246)</f>
        <v>0</v>
      </c>
    </row>
    <row r="225" spans="2:30" ht="14.25" customHeight="1" x14ac:dyDescent="0.25">
      <c r="B225" s="586"/>
      <c r="C225" s="468"/>
      <c r="D225" s="454"/>
      <c r="E225" s="454"/>
      <c r="F225" s="584"/>
      <c r="G225" s="454"/>
      <c r="H225" s="584"/>
      <c r="I225" s="584"/>
      <c r="J225" s="584"/>
      <c r="K225" s="584"/>
      <c r="L225" s="456">
        <f t="shared" si="108"/>
        <v>0</v>
      </c>
      <c r="M225" s="457">
        <f t="shared" si="109"/>
        <v>0</v>
      </c>
      <c r="N225" s="458">
        <f t="shared" si="110"/>
        <v>0</v>
      </c>
      <c r="O225" s="458">
        <f t="shared" si="111"/>
        <v>0</v>
      </c>
      <c r="P225" s="458">
        <f t="shared" si="112"/>
        <v>0</v>
      </c>
      <c r="Q225" s="459">
        <f t="shared" si="113"/>
        <v>0</v>
      </c>
      <c r="R225" s="460">
        <f t="shared" si="114"/>
        <v>0</v>
      </c>
      <c r="S225" s="461">
        <f t="shared" si="115"/>
        <v>0</v>
      </c>
      <c r="T225" s="461">
        <f t="shared" si="116"/>
        <v>0</v>
      </c>
      <c r="U225" s="454">
        <f t="shared" si="117"/>
        <v>0</v>
      </c>
      <c r="V225" s="454">
        <f t="shared" si="118"/>
        <v>0</v>
      </c>
      <c r="W225" s="454">
        <f t="shared" si="119"/>
        <v>0</v>
      </c>
      <c r="X225" s="454">
        <f t="shared" si="120"/>
        <v>0</v>
      </c>
      <c r="Y225" s="454">
        <f t="shared" si="121"/>
        <v>0</v>
      </c>
      <c r="Z225" s="454">
        <f t="shared" si="122"/>
        <v>0</v>
      </c>
      <c r="AA225" s="456">
        <f t="shared" si="123"/>
        <v>0</v>
      </c>
      <c r="AB225" s="585">
        <f t="shared" si="124"/>
        <v>0</v>
      </c>
      <c r="AC225" s="483" t="s">
        <v>13</v>
      </c>
      <c r="AD225" s="484">
        <f>SUM(AD216:AD224)</f>
        <v>0</v>
      </c>
    </row>
    <row r="226" spans="2:30" ht="13.5" customHeight="1" x14ac:dyDescent="0.25">
      <c r="B226" s="586"/>
      <c r="C226" s="468"/>
      <c r="D226" s="454"/>
      <c r="E226" s="454"/>
      <c r="F226" s="584"/>
      <c r="G226" s="454"/>
      <c r="H226" s="584"/>
      <c r="I226" s="584"/>
      <c r="J226" s="584"/>
      <c r="K226" s="584"/>
      <c r="L226" s="456">
        <f t="shared" si="108"/>
        <v>0</v>
      </c>
      <c r="M226" s="457">
        <f t="shared" si="109"/>
        <v>0</v>
      </c>
      <c r="N226" s="458">
        <f t="shared" si="110"/>
        <v>0</v>
      </c>
      <c r="O226" s="458">
        <f t="shared" si="111"/>
        <v>0</v>
      </c>
      <c r="P226" s="458">
        <f t="shared" si="112"/>
        <v>0</v>
      </c>
      <c r="Q226" s="459">
        <f t="shared" si="113"/>
        <v>0</v>
      </c>
      <c r="R226" s="460">
        <f t="shared" si="114"/>
        <v>0</v>
      </c>
      <c r="S226" s="461">
        <f t="shared" si="115"/>
        <v>0</v>
      </c>
      <c r="T226" s="461">
        <f t="shared" si="116"/>
        <v>0</v>
      </c>
      <c r="U226" s="454">
        <f t="shared" si="117"/>
        <v>0</v>
      </c>
      <c r="V226" s="454">
        <f t="shared" si="118"/>
        <v>0</v>
      </c>
      <c r="W226" s="454">
        <f t="shared" si="119"/>
        <v>0</v>
      </c>
      <c r="X226" s="454">
        <f t="shared" si="120"/>
        <v>0</v>
      </c>
      <c r="Y226" s="454">
        <f t="shared" si="121"/>
        <v>0</v>
      </c>
      <c r="Z226" s="454">
        <f t="shared" si="122"/>
        <v>0</v>
      </c>
      <c r="AA226" s="456">
        <f t="shared" si="123"/>
        <v>0</v>
      </c>
      <c r="AB226" s="587">
        <f t="shared" si="124"/>
        <v>0</v>
      </c>
    </row>
    <row r="227" spans="2:30" ht="13.5" customHeight="1" x14ac:dyDescent="0.25">
      <c r="B227" s="586"/>
      <c r="C227" s="468"/>
      <c r="D227" s="454"/>
      <c r="E227" s="454"/>
      <c r="F227" s="584"/>
      <c r="G227" s="454"/>
      <c r="H227" s="584"/>
      <c r="I227" s="584"/>
      <c r="J227" s="584"/>
      <c r="K227" s="584"/>
      <c r="L227" s="456">
        <f t="shared" si="108"/>
        <v>0</v>
      </c>
      <c r="M227" s="457">
        <f t="shared" si="109"/>
        <v>0</v>
      </c>
      <c r="N227" s="458">
        <f t="shared" si="110"/>
        <v>0</v>
      </c>
      <c r="O227" s="458">
        <f t="shared" si="111"/>
        <v>0</v>
      </c>
      <c r="P227" s="458">
        <f t="shared" si="112"/>
        <v>0</v>
      </c>
      <c r="Q227" s="459">
        <f t="shared" si="113"/>
        <v>0</v>
      </c>
      <c r="R227" s="460">
        <f t="shared" si="114"/>
        <v>0</v>
      </c>
      <c r="S227" s="461">
        <f t="shared" si="115"/>
        <v>0</v>
      </c>
      <c r="T227" s="461">
        <f t="shared" si="116"/>
        <v>0</v>
      </c>
      <c r="U227" s="454">
        <f t="shared" si="117"/>
        <v>0</v>
      </c>
      <c r="V227" s="454">
        <f t="shared" si="118"/>
        <v>0</v>
      </c>
      <c r="W227" s="454">
        <f t="shared" si="119"/>
        <v>0</v>
      </c>
      <c r="X227" s="454">
        <f t="shared" si="120"/>
        <v>0</v>
      </c>
      <c r="Y227" s="454">
        <f t="shared" si="121"/>
        <v>0</v>
      </c>
      <c r="Z227" s="454">
        <f t="shared" si="122"/>
        <v>0</v>
      </c>
      <c r="AA227" s="456">
        <f t="shared" si="123"/>
        <v>0</v>
      </c>
      <c r="AB227" s="587">
        <f t="shared" si="124"/>
        <v>0</v>
      </c>
    </row>
    <row r="228" spans="2:30" ht="13.5" customHeight="1" x14ac:dyDescent="0.25">
      <c r="B228" s="586"/>
      <c r="C228" s="468"/>
      <c r="D228" s="454"/>
      <c r="E228" s="454"/>
      <c r="F228" s="584"/>
      <c r="G228" s="454"/>
      <c r="H228" s="584"/>
      <c r="I228" s="584"/>
      <c r="J228" s="584"/>
      <c r="K228" s="584"/>
      <c r="L228" s="456">
        <f t="shared" si="108"/>
        <v>0</v>
      </c>
      <c r="M228" s="457">
        <f t="shared" si="109"/>
        <v>0</v>
      </c>
      <c r="N228" s="458">
        <f t="shared" si="110"/>
        <v>0</v>
      </c>
      <c r="O228" s="458">
        <f t="shared" si="111"/>
        <v>0</v>
      </c>
      <c r="P228" s="458">
        <f t="shared" si="112"/>
        <v>0</v>
      </c>
      <c r="Q228" s="459">
        <f t="shared" si="113"/>
        <v>0</v>
      </c>
      <c r="R228" s="460">
        <f t="shared" si="114"/>
        <v>0</v>
      </c>
      <c r="S228" s="461">
        <f t="shared" si="115"/>
        <v>0</v>
      </c>
      <c r="T228" s="461">
        <f t="shared" si="116"/>
        <v>0</v>
      </c>
      <c r="U228" s="454">
        <f t="shared" si="117"/>
        <v>0</v>
      </c>
      <c r="V228" s="454">
        <f t="shared" si="118"/>
        <v>0</v>
      </c>
      <c r="W228" s="454">
        <f t="shared" si="119"/>
        <v>0</v>
      </c>
      <c r="X228" s="454">
        <f t="shared" si="120"/>
        <v>0</v>
      </c>
      <c r="Y228" s="454">
        <f t="shared" si="121"/>
        <v>0</v>
      </c>
      <c r="Z228" s="454">
        <f t="shared" si="122"/>
        <v>0</v>
      </c>
      <c r="AA228" s="456">
        <f t="shared" si="123"/>
        <v>0</v>
      </c>
      <c r="AB228" s="587">
        <f t="shared" si="124"/>
        <v>0</v>
      </c>
    </row>
    <row r="229" spans="2:30" ht="13.5" customHeight="1" x14ac:dyDescent="0.25">
      <c r="B229" s="586"/>
      <c r="C229" s="468"/>
      <c r="D229" s="454"/>
      <c r="E229" s="454"/>
      <c r="F229" s="584"/>
      <c r="G229" s="454"/>
      <c r="H229" s="584"/>
      <c r="I229" s="584"/>
      <c r="J229" s="584"/>
      <c r="K229" s="584"/>
      <c r="L229" s="456">
        <f t="shared" si="108"/>
        <v>0</v>
      </c>
      <c r="M229" s="457">
        <f t="shared" si="109"/>
        <v>0</v>
      </c>
      <c r="N229" s="458">
        <f t="shared" si="110"/>
        <v>0</v>
      </c>
      <c r="O229" s="458">
        <f t="shared" si="111"/>
        <v>0</v>
      </c>
      <c r="P229" s="458">
        <f t="shared" si="112"/>
        <v>0</v>
      </c>
      <c r="Q229" s="459">
        <f t="shared" si="113"/>
        <v>0</v>
      </c>
      <c r="R229" s="460">
        <f t="shared" si="114"/>
        <v>0</v>
      </c>
      <c r="S229" s="461">
        <f t="shared" si="115"/>
        <v>0</v>
      </c>
      <c r="T229" s="461">
        <f t="shared" si="116"/>
        <v>0</v>
      </c>
      <c r="U229" s="454">
        <f t="shared" si="117"/>
        <v>0</v>
      </c>
      <c r="V229" s="454">
        <f t="shared" si="118"/>
        <v>0</v>
      </c>
      <c r="W229" s="454">
        <f t="shared" si="119"/>
        <v>0</v>
      </c>
      <c r="X229" s="454">
        <f t="shared" si="120"/>
        <v>0</v>
      </c>
      <c r="Y229" s="454">
        <f t="shared" si="121"/>
        <v>0</v>
      </c>
      <c r="Z229" s="454">
        <f t="shared" si="122"/>
        <v>0</v>
      </c>
      <c r="AA229" s="456">
        <f t="shared" si="123"/>
        <v>0</v>
      </c>
      <c r="AB229" s="587">
        <f t="shared" si="124"/>
        <v>0</v>
      </c>
    </row>
    <row r="230" spans="2:30" ht="13.5" customHeight="1" x14ac:dyDescent="0.25">
      <c r="B230" s="586"/>
      <c r="C230" s="468"/>
      <c r="D230" s="454"/>
      <c r="E230" s="454"/>
      <c r="F230" s="584"/>
      <c r="G230" s="454"/>
      <c r="H230" s="584"/>
      <c r="I230" s="584"/>
      <c r="J230" s="584"/>
      <c r="K230" s="584"/>
      <c r="L230" s="456">
        <f t="shared" si="108"/>
        <v>0</v>
      </c>
      <c r="M230" s="457">
        <f t="shared" si="109"/>
        <v>0</v>
      </c>
      <c r="N230" s="458">
        <f t="shared" si="110"/>
        <v>0</v>
      </c>
      <c r="O230" s="458">
        <f t="shared" si="111"/>
        <v>0</v>
      </c>
      <c r="P230" s="458">
        <f t="shared" si="112"/>
        <v>0</v>
      </c>
      <c r="Q230" s="459">
        <f t="shared" si="113"/>
        <v>0</v>
      </c>
      <c r="R230" s="460">
        <f t="shared" si="114"/>
        <v>0</v>
      </c>
      <c r="S230" s="461">
        <f t="shared" si="115"/>
        <v>0</v>
      </c>
      <c r="T230" s="461">
        <f t="shared" si="116"/>
        <v>0</v>
      </c>
      <c r="U230" s="454">
        <f t="shared" si="117"/>
        <v>0</v>
      </c>
      <c r="V230" s="454">
        <f t="shared" si="118"/>
        <v>0</v>
      </c>
      <c r="W230" s="454">
        <f t="shared" si="119"/>
        <v>0</v>
      </c>
      <c r="X230" s="454">
        <f t="shared" si="120"/>
        <v>0</v>
      </c>
      <c r="Y230" s="454">
        <f t="shared" si="121"/>
        <v>0</v>
      </c>
      <c r="Z230" s="454">
        <f t="shared" si="122"/>
        <v>0</v>
      </c>
      <c r="AA230" s="456">
        <f t="shared" si="123"/>
        <v>0</v>
      </c>
      <c r="AB230" s="587">
        <f t="shared" si="124"/>
        <v>0</v>
      </c>
    </row>
    <row r="231" spans="2:30" ht="13.5" customHeight="1" x14ac:dyDescent="0.25">
      <c r="B231" s="586"/>
      <c r="C231" s="468"/>
      <c r="D231" s="454"/>
      <c r="E231" s="454"/>
      <c r="F231" s="584"/>
      <c r="G231" s="454"/>
      <c r="H231" s="584"/>
      <c r="I231" s="584"/>
      <c r="J231" s="584"/>
      <c r="K231" s="584"/>
      <c r="L231" s="456">
        <f t="shared" si="108"/>
        <v>0</v>
      </c>
      <c r="M231" s="457">
        <f t="shared" si="109"/>
        <v>0</v>
      </c>
      <c r="N231" s="458">
        <f t="shared" si="110"/>
        <v>0</v>
      </c>
      <c r="O231" s="458">
        <f t="shared" si="111"/>
        <v>0</v>
      </c>
      <c r="P231" s="458">
        <f t="shared" si="112"/>
        <v>0</v>
      </c>
      <c r="Q231" s="459">
        <f t="shared" si="113"/>
        <v>0</v>
      </c>
      <c r="R231" s="460">
        <f t="shared" si="114"/>
        <v>0</v>
      </c>
      <c r="S231" s="461">
        <f t="shared" si="115"/>
        <v>0</v>
      </c>
      <c r="T231" s="461">
        <f t="shared" si="116"/>
        <v>0</v>
      </c>
      <c r="U231" s="454">
        <f t="shared" si="117"/>
        <v>0</v>
      </c>
      <c r="V231" s="454">
        <f t="shared" si="118"/>
        <v>0</v>
      </c>
      <c r="W231" s="454">
        <f t="shared" si="119"/>
        <v>0</v>
      </c>
      <c r="X231" s="454">
        <f t="shared" si="120"/>
        <v>0</v>
      </c>
      <c r="Y231" s="454">
        <f t="shared" si="121"/>
        <v>0</v>
      </c>
      <c r="Z231" s="454">
        <f t="shared" si="122"/>
        <v>0</v>
      </c>
      <c r="AA231" s="456">
        <f t="shared" si="123"/>
        <v>0</v>
      </c>
      <c r="AB231" s="587">
        <f t="shared" si="124"/>
        <v>0</v>
      </c>
    </row>
    <row r="232" spans="2:30" ht="13.5" customHeight="1" x14ac:dyDescent="0.25">
      <c r="B232" s="586"/>
      <c r="C232" s="468"/>
      <c r="D232" s="454"/>
      <c r="E232" s="454"/>
      <c r="F232" s="584"/>
      <c r="G232" s="454"/>
      <c r="H232" s="584"/>
      <c r="I232" s="584"/>
      <c r="J232" s="584"/>
      <c r="K232" s="584"/>
      <c r="L232" s="456">
        <f t="shared" si="108"/>
        <v>0</v>
      </c>
      <c r="M232" s="457">
        <f t="shared" si="109"/>
        <v>0</v>
      </c>
      <c r="N232" s="458">
        <f t="shared" si="110"/>
        <v>0</v>
      </c>
      <c r="O232" s="458">
        <f t="shared" si="111"/>
        <v>0</v>
      </c>
      <c r="P232" s="458">
        <f t="shared" si="112"/>
        <v>0</v>
      </c>
      <c r="Q232" s="459">
        <f t="shared" si="113"/>
        <v>0</v>
      </c>
      <c r="R232" s="460">
        <f t="shared" si="114"/>
        <v>0</v>
      </c>
      <c r="S232" s="461">
        <f t="shared" si="115"/>
        <v>0</v>
      </c>
      <c r="T232" s="461">
        <f t="shared" si="116"/>
        <v>0</v>
      </c>
      <c r="U232" s="454">
        <f t="shared" si="117"/>
        <v>0</v>
      </c>
      <c r="V232" s="454">
        <f t="shared" si="118"/>
        <v>0</v>
      </c>
      <c r="W232" s="454">
        <f t="shared" si="119"/>
        <v>0</v>
      </c>
      <c r="X232" s="454">
        <f t="shared" si="120"/>
        <v>0</v>
      </c>
      <c r="Y232" s="454">
        <f t="shared" si="121"/>
        <v>0</v>
      </c>
      <c r="Z232" s="454">
        <f t="shared" si="122"/>
        <v>0</v>
      </c>
      <c r="AA232" s="456">
        <f t="shared" si="123"/>
        <v>0</v>
      </c>
      <c r="AB232" s="587">
        <f t="shared" si="124"/>
        <v>0</v>
      </c>
    </row>
    <row r="233" spans="2:30" ht="13.5" customHeight="1" x14ac:dyDescent="0.25">
      <c r="B233" s="586"/>
      <c r="C233" s="468"/>
      <c r="D233" s="454"/>
      <c r="E233" s="454"/>
      <c r="F233" s="584"/>
      <c r="G233" s="454"/>
      <c r="H233" s="584"/>
      <c r="I233" s="584"/>
      <c r="J233" s="584"/>
      <c r="K233" s="584"/>
      <c r="L233" s="456">
        <f t="shared" si="108"/>
        <v>0</v>
      </c>
      <c r="M233" s="457">
        <f t="shared" si="109"/>
        <v>0</v>
      </c>
      <c r="N233" s="458">
        <f t="shared" si="110"/>
        <v>0</v>
      </c>
      <c r="O233" s="458">
        <f t="shared" si="111"/>
        <v>0</v>
      </c>
      <c r="P233" s="458">
        <f t="shared" si="112"/>
        <v>0</v>
      </c>
      <c r="Q233" s="459">
        <f t="shared" si="113"/>
        <v>0</v>
      </c>
      <c r="R233" s="460">
        <f t="shared" si="114"/>
        <v>0</v>
      </c>
      <c r="S233" s="461">
        <f t="shared" si="115"/>
        <v>0</v>
      </c>
      <c r="T233" s="461">
        <f t="shared" si="116"/>
        <v>0</v>
      </c>
      <c r="U233" s="454">
        <f t="shared" si="117"/>
        <v>0</v>
      </c>
      <c r="V233" s="454">
        <f t="shared" si="118"/>
        <v>0</v>
      </c>
      <c r="W233" s="454">
        <f t="shared" si="119"/>
        <v>0</v>
      </c>
      <c r="X233" s="454">
        <f t="shared" si="120"/>
        <v>0</v>
      </c>
      <c r="Y233" s="454">
        <f t="shared" si="121"/>
        <v>0</v>
      </c>
      <c r="Z233" s="454">
        <f t="shared" si="122"/>
        <v>0</v>
      </c>
      <c r="AA233" s="456">
        <f t="shared" si="123"/>
        <v>0</v>
      </c>
      <c r="AB233" s="587">
        <f t="shared" si="124"/>
        <v>0</v>
      </c>
    </row>
    <row r="234" spans="2:30" ht="13.5" customHeight="1" x14ac:dyDescent="0.25">
      <c r="B234" s="586"/>
      <c r="C234" s="468"/>
      <c r="D234" s="454"/>
      <c r="E234" s="454"/>
      <c r="F234" s="588"/>
      <c r="G234" s="454"/>
      <c r="H234" s="584"/>
      <c r="I234" s="584"/>
      <c r="J234" s="584"/>
      <c r="K234" s="584"/>
      <c r="L234" s="456">
        <f t="shared" si="108"/>
        <v>0</v>
      </c>
      <c r="M234" s="457">
        <f t="shared" si="109"/>
        <v>0</v>
      </c>
      <c r="N234" s="458">
        <f t="shared" si="110"/>
        <v>0</v>
      </c>
      <c r="O234" s="458">
        <f t="shared" si="111"/>
        <v>0</v>
      </c>
      <c r="P234" s="458">
        <f t="shared" si="112"/>
        <v>0</v>
      </c>
      <c r="Q234" s="459">
        <f t="shared" si="113"/>
        <v>0</v>
      </c>
      <c r="R234" s="460">
        <f t="shared" si="114"/>
        <v>0</v>
      </c>
      <c r="S234" s="461">
        <f t="shared" si="115"/>
        <v>0</v>
      </c>
      <c r="T234" s="461">
        <f t="shared" si="116"/>
        <v>0</v>
      </c>
      <c r="U234" s="454">
        <f t="shared" si="117"/>
        <v>0</v>
      </c>
      <c r="V234" s="454">
        <f t="shared" si="118"/>
        <v>0</v>
      </c>
      <c r="W234" s="454">
        <f t="shared" si="119"/>
        <v>0</v>
      </c>
      <c r="X234" s="454">
        <f t="shared" si="120"/>
        <v>0</v>
      </c>
      <c r="Y234" s="454">
        <f t="shared" si="121"/>
        <v>0</v>
      </c>
      <c r="Z234" s="454">
        <f t="shared" si="122"/>
        <v>0</v>
      </c>
      <c r="AA234" s="456">
        <f t="shared" si="123"/>
        <v>0</v>
      </c>
      <c r="AB234" s="587">
        <f t="shared" si="124"/>
        <v>0</v>
      </c>
    </row>
    <row r="235" spans="2:30" ht="13.5" customHeight="1" x14ac:dyDescent="0.25">
      <c r="B235" s="586"/>
      <c r="C235" s="468"/>
      <c r="D235" s="454"/>
      <c r="E235" s="454"/>
      <c r="F235" s="584"/>
      <c r="G235" s="454"/>
      <c r="H235" s="584"/>
      <c r="I235" s="584"/>
      <c r="J235" s="584"/>
      <c r="K235" s="584"/>
      <c r="L235" s="456">
        <f t="shared" si="108"/>
        <v>0</v>
      </c>
      <c r="M235" s="457">
        <f t="shared" si="109"/>
        <v>0</v>
      </c>
      <c r="N235" s="458">
        <f t="shared" si="110"/>
        <v>0</v>
      </c>
      <c r="O235" s="458">
        <f t="shared" si="111"/>
        <v>0</v>
      </c>
      <c r="P235" s="458">
        <f t="shared" si="112"/>
        <v>0</v>
      </c>
      <c r="Q235" s="459">
        <f t="shared" si="113"/>
        <v>0</v>
      </c>
      <c r="R235" s="460">
        <f t="shared" si="114"/>
        <v>0</v>
      </c>
      <c r="S235" s="461">
        <f t="shared" si="115"/>
        <v>0</v>
      </c>
      <c r="T235" s="461">
        <f t="shared" si="116"/>
        <v>0</v>
      </c>
      <c r="U235" s="454">
        <f t="shared" si="117"/>
        <v>0</v>
      </c>
      <c r="V235" s="454">
        <f t="shared" si="118"/>
        <v>0</v>
      </c>
      <c r="W235" s="454">
        <f t="shared" si="119"/>
        <v>0</v>
      </c>
      <c r="X235" s="454">
        <f t="shared" si="120"/>
        <v>0</v>
      </c>
      <c r="Y235" s="454">
        <f t="shared" si="121"/>
        <v>0</v>
      </c>
      <c r="Z235" s="454">
        <f t="shared" si="122"/>
        <v>0</v>
      </c>
      <c r="AA235" s="456">
        <f t="shared" si="123"/>
        <v>0</v>
      </c>
      <c r="AB235" s="587">
        <f t="shared" si="124"/>
        <v>0</v>
      </c>
    </row>
    <row r="236" spans="2:30" ht="13.5" customHeight="1" x14ac:dyDescent="0.25">
      <c r="B236" s="586"/>
      <c r="C236" s="468"/>
      <c r="D236" s="454"/>
      <c r="E236" s="454"/>
      <c r="F236" s="584"/>
      <c r="G236" s="454"/>
      <c r="H236" s="584"/>
      <c r="I236" s="584"/>
      <c r="J236" s="584"/>
      <c r="K236" s="584"/>
      <c r="L236" s="456">
        <f t="shared" si="108"/>
        <v>0</v>
      </c>
      <c r="M236" s="457">
        <f t="shared" si="109"/>
        <v>0</v>
      </c>
      <c r="N236" s="458">
        <f t="shared" si="110"/>
        <v>0</v>
      </c>
      <c r="O236" s="458">
        <f t="shared" si="111"/>
        <v>0</v>
      </c>
      <c r="P236" s="458">
        <f t="shared" si="112"/>
        <v>0</v>
      </c>
      <c r="Q236" s="459">
        <f t="shared" si="113"/>
        <v>0</v>
      </c>
      <c r="R236" s="460">
        <f t="shared" si="114"/>
        <v>0</v>
      </c>
      <c r="S236" s="461">
        <f t="shared" si="115"/>
        <v>0</v>
      </c>
      <c r="T236" s="461">
        <f t="shared" si="116"/>
        <v>0</v>
      </c>
      <c r="U236" s="454">
        <f t="shared" si="117"/>
        <v>0</v>
      </c>
      <c r="V236" s="454">
        <f t="shared" si="118"/>
        <v>0</v>
      </c>
      <c r="W236" s="454">
        <f t="shared" si="119"/>
        <v>0</v>
      </c>
      <c r="X236" s="454">
        <f t="shared" si="120"/>
        <v>0</v>
      </c>
      <c r="Y236" s="454">
        <f t="shared" si="121"/>
        <v>0</v>
      </c>
      <c r="Z236" s="454">
        <f t="shared" si="122"/>
        <v>0</v>
      </c>
      <c r="AA236" s="456">
        <f t="shared" si="123"/>
        <v>0</v>
      </c>
      <c r="AB236" s="587">
        <f t="shared" si="124"/>
        <v>0</v>
      </c>
    </row>
    <row r="237" spans="2:30" ht="13.5" customHeight="1" x14ac:dyDescent="0.25">
      <c r="B237" s="586"/>
      <c r="C237" s="468"/>
      <c r="D237" s="454"/>
      <c r="E237" s="454"/>
      <c r="F237" s="584"/>
      <c r="G237" s="454"/>
      <c r="H237" s="584"/>
      <c r="I237" s="584"/>
      <c r="J237" s="584"/>
      <c r="K237" s="584"/>
      <c r="L237" s="456">
        <f t="shared" si="108"/>
        <v>0</v>
      </c>
      <c r="M237" s="457">
        <f t="shared" si="109"/>
        <v>0</v>
      </c>
      <c r="N237" s="458">
        <f t="shared" si="110"/>
        <v>0</v>
      </c>
      <c r="O237" s="458">
        <f t="shared" si="111"/>
        <v>0</v>
      </c>
      <c r="P237" s="458">
        <f t="shared" si="112"/>
        <v>0</v>
      </c>
      <c r="Q237" s="459">
        <f t="shared" si="113"/>
        <v>0</v>
      </c>
      <c r="R237" s="460">
        <f t="shared" si="114"/>
        <v>0</v>
      </c>
      <c r="S237" s="461">
        <f t="shared" si="115"/>
        <v>0</v>
      </c>
      <c r="T237" s="461">
        <f t="shared" si="116"/>
        <v>0</v>
      </c>
      <c r="U237" s="454">
        <f t="shared" si="117"/>
        <v>0</v>
      </c>
      <c r="V237" s="454">
        <f t="shared" si="118"/>
        <v>0</v>
      </c>
      <c r="W237" s="454">
        <f t="shared" si="119"/>
        <v>0</v>
      </c>
      <c r="X237" s="454">
        <f t="shared" si="120"/>
        <v>0</v>
      </c>
      <c r="Y237" s="454">
        <f t="shared" si="121"/>
        <v>0</v>
      </c>
      <c r="Z237" s="454">
        <f t="shared" si="122"/>
        <v>0</v>
      </c>
      <c r="AA237" s="456">
        <f t="shared" si="123"/>
        <v>0</v>
      </c>
      <c r="AB237" s="587">
        <f t="shared" si="124"/>
        <v>0</v>
      </c>
    </row>
    <row r="238" spans="2:30" ht="13.5" customHeight="1" x14ac:dyDescent="0.25">
      <c r="B238" s="586"/>
      <c r="C238" s="468"/>
      <c r="D238" s="454"/>
      <c r="E238" s="454"/>
      <c r="F238" s="584"/>
      <c r="G238" s="454"/>
      <c r="H238" s="584"/>
      <c r="I238" s="584"/>
      <c r="J238" s="584"/>
      <c r="K238" s="584"/>
      <c r="L238" s="456">
        <f t="shared" si="108"/>
        <v>0</v>
      </c>
      <c r="M238" s="457">
        <f t="shared" si="109"/>
        <v>0</v>
      </c>
      <c r="N238" s="458">
        <f t="shared" si="110"/>
        <v>0</v>
      </c>
      <c r="O238" s="458">
        <f t="shared" si="111"/>
        <v>0</v>
      </c>
      <c r="P238" s="458">
        <f t="shared" si="112"/>
        <v>0</v>
      </c>
      <c r="Q238" s="459">
        <f t="shared" si="113"/>
        <v>0</v>
      </c>
      <c r="R238" s="460">
        <f t="shared" si="114"/>
        <v>0</v>
      </c>
      <c r="S238" s="461">
        <f t="shared" si="115"/>
        <v>0</v>
      </c>
      <c r="T238" s="461">
        <f t="shared" si="116"/>
        <v>0</v>
      </c>
      <c r="U238" s="454">
        <f t="shared" si="117"/>
        <v>0</v>
      </c>
      <c r="V238" s="454">
        <f t="shared" si="118"/>
        <v>0</v>
      </c>
      <c r="W238" s="454">
        <f t="shared" si="119"/>
        <v>0</v>
      </c>
      <c r="X238" s="454">
        <f t="shared" si="120"/>
        <v>0</v>
      </c>
      <c r="Y238" s="454">
        <f t="shared" si="121"/>
        <v>0</v>
      </c>
      <c r="Z238" s="454">
        <f t="shared" si="122"/>
        <v>0</v>
      </c>
      <c r="AA238" s="456">
        <f t="shared" si="123"/>
        <v>0</v>
      </c>
      <c r="AB238" s="587">
        <f t="shared" si="124"/>
        <v>0</v>
      </c>
    </row>
    <row r="239" spans="2:30" ht="13.5" customHeight="1" x14ac:dyDescent="0.25">
      <c r="B239" s="586"/>
      <c r="C239" s="468"/>
      <c r="D239" s="454"/>
      <c r="E239" s="454"/>
      <c r="F239" s="584"/>
      <c r="G239" s="454"/>
      <c r="H239" s="584"/>
      <c r="I239" s="584"/>
      <c r="J239" s="584"/>
      <c r="K239" s="584"/>
      <c r="L239" s="456">
        <f t="shared" si="108"/>
        <v>0</v>
      </c>
      <c r="M239" s="457">
        <f t="shared" si="109"/>
        <v>0</v>
      </c>
      <c r="N239" s="458">
        <f t="shared" si="110"/>
        <v>0</v>
      </c>
      <c r="O239" s="458">
        <f t="shared" si="111"/>
        <v>0</v>
      </c>
      <c r="P239" s="458">
        <f t="shared" si="112"/>
        <v>0</v>
      </c>
      <c r="Q239" s="459">
        <f t="shared" si="113"/>
        <v>0</v>
      </c>
      <c r="R239" s="460">
        <f t="shared" si="114"/>
        <v>0</v>
      </c>
      <c r="S239" s="461">
        <f t="shared" si="115"/>
        <v>0</v>
      </c>
      <c r="T239" s="461">
        <f t="shared" si="116"/>
        <v>0</v>
      </c>
      <c r="U239" s="454">
        <f t="shared" si="117"/>
        <v>0</v>
      </c>
      <c r="V239" s="454">
        <f t="shared" si="118"/>
        <v>0</v>
      </c>
      <c r="W239" s="454">
        <f t="shared" si="119"/>
        <v>0</v>
      </c>
      <c r="X239" s="454">
        <f t="shared" si="120"/>
        <v>0</v>
      </c>
      <c r="Y239" s="454">
        <f t="shared" si="121"/>
        <v>0</v>
      </c>
      <c r="Z239" s="454">
        <f t="shared" si="122"/>
        <v>0</v>
      </c>
      <c r="AA239" s="456">
        <f t="shared" si="123"/>
        <v>0</v>
      </c>
      <c r="AB239" s="587">
        <f t="shared" si="124"/>
        <v>0</v>
      </c>
    </row>
    <row r="240" spans="2:30" ht="13.5" customHeight="1" x14ac:dyDescent="0.25">
      <c r="B240" s="586"/>
      <c r="C240" s="468"/>
      <c r="D240" s="454"/>
      <c r="E240" s="454"/>
      <c r="F240" s="584"/>
      <c r="G240" s="454"/>
      <c r="H240" s="584"/>
      <c r="I240" s="584"/>
      <c r="J240" s="584"/>
      <c r="K240" s="584"/>
      <c r="L240" s="456">
        <f t="shared" si="108"/>
        <v>0</v>
      </c>
      <c r="M240" s="457">
        <f t="shared" si="109"/>
        <v>0</v>
      </c>
      <c r="N240" s="458">
        <f t="shared" si="110"/>
        <v>0</v>
      </c>
      <c r="O240" s="458">
        <f t="shared" si="111"/>
        <v>0</v>
      </c>
      <c r="P240" s="458">
        <f t="shared" si="112"/>
        <v>0</v>
      </c>
      <c r="Q240" s="459">
        <f t="shared" si="113"/>
        <v>0</v>
      </c>
      <c r="R240" s="460">
        <f t="shared" si="114"/>
        <v>0</v>
      </c>
      <c r="S240" s="461">
        <f t="shared" si="115"/>
        <v>0</v>
      </c>
      <c r="T240" s="461">
        <f t="shared" si="116"/>
        <v>0</v>
      </c>
      <c r="U240" s="454">
        <f t="shared" si="117"/>
        <v>0</v>
      </c>
      <c r="V240" s="454">
        <f t="shared" si="118"/>
        <v>0</v>
      </c>
      <c r="W240" s="454">
        <f t="shared" si="119"/>
        <v>0</v>
      </c>
      <c r="X240" s="454">
        <f t="shared" si="120"/>
        <v>0</v>
      </c>
      <c r="Y240" s="454">
        <f t="shared" si="121"/>
        <v>0</v>
      </c>
      <c r="Z240" s="454">
        <f t="shared" si="122"/>
        <v>0</v>
      </c>
      <c r="AA240" s="456">
        <f t="shared" si="123"/>
        <v>0</v>
      </c>
      <c r="AB240" s="587">
        <f t="shared" si="124"/>
        <v>0</v>
      </c>
    </row>
    <row r="241" spans="2:30" ht="13.5" customHeight="1" x14ac:dyDescent="0.25">
      <c r="B241" s="586"/>
      <c r="C241" s="468"/>
      <c r="D241" s="454"/>
      <c r="E241" s="454"/>
      <c r="F241" s="584"/>
      <c r="G241" s="454"/>
      <c r="H241" s="584"/>
      <c r="I241" s="584"/>
      <c r="J241" s="584"/>
      <c r="K241" s="584"/>
      <c r="L241" s="456">
        <f t="shared" si="108"/>
        <v>0</v>
      </c>
      <c r="M241" s="457">
        <f t="shared" si="109"/>
        <v>0</v>
      </c>
      <c r="N241" s="458">
        <f t="shared" si="110"/>
        <v>0</v>
      </c>
      <c r="O241" s="458">
        <f t="shared" si="111"/>
        <v>0</v>
      </c>
      <c r="P241" s="458">
        <f t="shared" si="112"/>
        <v>0</v>
      </c>
      <c r="Q241" s="459">
        <f t="shared" si="113"/>
        <v>0</v>
      </c>
      <c r="R241" s="460">
        <f t="shared" si="114"/>
        <v>0</v>
      </c>
      <c r="S241" s="461">
        <f t="shared" si="115"/>
        <v>0</v>
      </c>
      <c r="T241" s="461">
        <f t="shared" si="116"/>
        <v>0</v>
      </c>
      <c r="U241" s="454">
        <f t="shared" si="117"/>
        <v>0</v>
      </c>
      <c r="V241" s="454">
        <f t="shared" si="118"/>
        <v>0</v>
      </c>
      <c r="W241" s="454">
        <f t="shared" si="119"/>
        <v>0</v>
      </c>
      <c r="X241" s="454">
        <f t="shared" si="120"/>
        <v>0</v>
      </c>
      <c r="Y241" s="454">
        <f t="shared" si="121"/>
        <v>0</v>
      </c>
      <c r="Z241" s="454">
        <f t="shared" si="122"/>
        <v>0</v>
      </c>
      <c r="AA241" s="456">
        <f t="shared" si="123"/>
        <v>0</v>
      </c>
      <c r="AB241" s="587">
        <f t="shared" si="124"/>
        <v>0</v>
      </c>
    </row>
    <row r="242" spans="2:30" ht="13.5" customHeight="1" x14ac:dyDescent="0.25">
      <c r="B242" s="586"/>
      <c r="C242" s="468"/>
      <c r="D242" s="454"/>
      <c r="E242" s="454"/>
      <c r="F242" s="584"/>
      <c r="G242" s="454"/>
      <c r="H242" s="584"/>
      <c r="I242" s="584"/>
      <c r="J242" s="584"/>
      <c r="K242" s="584"/>
      <c r="L242" s="456">
        <f t="shared" si="108"/>
        <v>0</v>
      </c>
      <c r="M242" s="457">
        <f t="shared" si="109"/>
        <v>0</v>
      </c>
      <c r="N242" s="458">
        <f t="shared" si="110"/>
        <v>0</v>
      </c>
      <c r="O242" s="458">
        <f t="shared" si="111"/>
        <v>0</v>
      </c>
      <c r="P242" s="458">
        <f t="shared" si="112"/>
        <v>0</v>
      </c>
      <c r="Q242" s="459">
        <f t="shared" si="113"/>
        <v>0</v>
      </c>
      <c r="R242" s="460">
        <f t="shared" si="114"/>
        <v>0</v>
      </c>
      <c r="S242" s="461">
        <f t="shared" si="115"/>
        <v>0</v>
      </c>
      <c r="T242" s="461">
        <f t="shared" si="116"/>
        <v>0</v>
      </c>
      <c r="U242" s="454">
        <f t="shared" si="117"/>
        <v>0</v>
      </c>
      <c r="V242" s="454">
        <f t="shared" si="118"/>
        <v>0</v>
      </c>
      <c r="W242" s="454">
        <f t="shared" si="119"/>
        <v>0</v>
      </c>
      <c r="X242" s="454">
        <f t="shared" si="120"/>
        <v>0</v>
      </c>
      <c r="Y242" s="454">
        <f t="shared" si="121"/>
        <v>0</v>
      </c>
      <c r="Z242" s="454">
        <f t="shared" si="122"/>
        <v>0</v>
      </c>
      <c r="AA242" s="456">
        <f t="shared" si="123"/>
        <v>0</v>
      </c>
      <c r="AB242" s="587">
        <f t="shared" si="124"/>
        <v>0</v>
      </c>
    </row>
    <row r="243" spans="2:30" ht="13.5" customHeight="1" x14ac:dyDescent="0.25">
      <c r="B243" s="586"/>
      <c r="C243" s="468"/>
      <c r="D243" s="454"/>
      <c r="E243" s="454"/>
      <c r="F243" s="584"/>
      <c r="G243" s="454"/>
      <c r="H243" s="584"/>
      <c r="I243" s="584"/>
      <c r="J243" s="584"/>
      <c r="K243" s="584"/>
      <c r="L243" s="456">
        <f t="shared" si="108"/>
        <v>0</v>
      </c>
      <c r="M243" s="457">
        <f t="shared" si="109"/>
        <v>0</v>
      </c>
      <c r="N243" s="458">
        <f t="shared" si="110"/>
        <v>0</v>
      </c>
      <c r="O243" s="458">
        <f t="shared" si="111"/>
        <v>0</v>
      </c>
      <c r="P243" s="458">
        <f t="shared" si="112"/>
        <v>0</v>
      </c>
      <c r="Q243" s="459">
        <f t="shared" si="113"/>
        <v>0</v>
      </c>
      <c r="R243" s="460">
        <f t="shared" si="114"/>
        <v>0</v>
      </c>
      <c r="S243" s="461">
        <f t="shared" si="115"/>
        <v>0</v>
      </c>
      <c r="T243" s="461">
        <f t="shared" si="116"/>
        <v>0</v>
      </c>
      <c r="U243" s="454">
        <f t="shared" si="117"/>
        <v>0</v>
      </c>
      <c r="V243" s="454">
        <f t="shared" si="118"/>
        <v>0</v>
      </c>
      <c r="W243" s="454">
        <f t="shared" si="119"/>
        <v>0</v>
      </c>
      <c r="X243" s="454">
        <f t="shared" si="120"/>
        <v>0</v>
      </c>
      <c r="Y243" s="454">
        <f t="shared" si="121"/>
        <v>0</v>
      </c>
      <c r="Z243" s="454">
        <f t="shared" si="122"/>
        <v>0</v>
      </c>
      <c r="AA243" s="456">
        <f t="shared" si="123"/>
        <v>0</v>
      </c>
      <c r="AB243" s="587">
        <f t="shared" si="124"/>
        <v>0</v>
      </c>
    </row>
    <row r="244" spans="2:30" ht="13.5" customHeight="1" x14ac:dyDescent="0.25">
      <c r="B244" s="586" t="s">
        <v>348</v>
      </c>
      <c r="C244" s="468"/>
      <c r="D244" s="454"/>
      <c r="E244" s="454"/>
      <c r="F244" s="584"/>
      <c r="G244" s="454"/>
      <c r="H244" s="584"/>
      <c r="I244" s="584"/>
      <c r="J244" s="584"/>
      <c r="K244" s="584"/>
      <c r="L244" s="456">
        <f t="shared" si="108"/>
        <v>0</v>
      </c>
      <c r="M244" s="457"/>
      <c r="N244" s="458"/>
      <c r="O244" s="458"/>
      <c r="P244" s="458"/>
      <c r="Q244" s="459">
        <f t="shared" si="113"/>
        <v>0</v>
      </c>
      <c r="R244" s="460"/>
      <c r="S244" s="461"/>
      <c r="T244" s="461"/>
      <c r="U244" s="454"/>
      <c r="V244" s="454"/>
      <c r="W244" s="454"/>
      <c r="X244" s="454"/>
      <c r="Y244" s="454"/>
      <c r="Z244" s="454"/>
      <c r="AA244" s="456"/>
      <c r="AB244" s="587">
        <f t="shared" si="124"/>
        <v>0</v>
      </c>
    </row>
    <row r="245" spans="2:30" ht="13.5" customHeight="1" x14ac:dyDescent="0.25">
      <c r="B245" s="586" t="s">
        <v>349</v>
      </c>
      <c r="C245" s="468"/>
      <c r="D245" s="589"/>
      <c r="E245" s="454"/>
      <c r="F245" s="584"/>
      <c r="G245" s="454"/>
      <c r="H245" s="584"/>
      <c r="I245" s="584"/>
      <c r="J245" s="584"/>
      <c r="K245" s="584"/>
      <c r="L245" s="456">
        <f t="shared" si="108"/>
        <v>0</v>
      </c>
      <c r="M245" s="490"/>
      <c r="N245" s="458"/>
      <c r="O245" s="458"/>
      <c r="P245" s="458"/>
      <c r="Q245" s="459">
        <f t="shared" si="113"/>
        <v>0</v>
      </c>
      <c r="R245" s="460"/>
      <c r="S245" s="461"/>
      <c r="T245" s="461"/>
      <c r="U245" s="454"/>
      <c r="V245" s="454"/>
      <c r="W245" s="454"/>
      <c r="X245" s="454"/>
      <c r="Y245" s="454"/>
      <c r="Z245" s="454"/>
      <c r="AA245" s="456">
        <f>SUM(R245:Z245)</f>
        <v>0</v>
      </c>
      <c r="AB245" s="587">
        <f t="shared" si="124"/>
        <v>0</v>
      </c>
    </row>
    <row r="246" spans="2:30" ht="14.25" customHeight="1" x14ac:dyDescent="0.25">
      <c r="B246" s="590"/>
      <c r="C246" s="591">
        <f t="shared" ref="C246:AB246" si="125">SUM(C216:C245)</f>
        <v>0</v>
      </c>
      <c r="D246" s="592">
        <f t="shared" si="125"/>
        <v>0</v>
      </c>
      <c r="E246" s="592">
        <f t="shared" si="125"/>
        <v>0</v>
      </c>
      <c r="F246" s="592">
        <f t="shared" si="125"/>
        <v>0</v>
      </c>
      <c r="G246" s="592">
        <f t="shared" si="125"/>
        <v>0</v>
      </c>
      <c r="H246" s="592">
        <f t="shared" si="125"/>
        <v>0</v>
      </c>
      <c r="I246" s="592">
        <f t="shared" si="125"/>
        <v>0</v>
      </c>
      <c r="J246" s="592">
        <f t="shared" si="125"/>
        <v>0</v>
      </c>
      <c r="K246" s="592">
        <f t="shared" si="125"/>
        <v>0</v>
      </c>
      <c r="L246" s="593">
        <f t="shared" si="125"/>
        <v>0</v>
      </c>
      <c r="M246" s="591">
        <f t="shared" si="125"/>
        <v>0</v>
      </c>
      <c r="N246" s="592">
        <f t="shared" si="125"/>
        <v>0</v>
      </c>
      <c r="O246" s="592">
        <f t="shared" si="125"/>
        <v>0</v>
      </c>
      <c r="P246" s="592">
        <f t="shared" si="125"/>
        <v>0</v>
      </c>
      <c r="Q246" s="593">
        <f t="shared" si="125"/>
        <v>0</v>
      </c>
      <c r="R246" s="591">
        <f t="shared" si="125"/>
        <v>0</v>
      </c>
      <c r="S246" s="592">
        <f t="shared" si="125"/>
        <v>0</v>
      </c>
      <c r="T246" s="592">
        <f t="shared" si="125"/>
        <v>0</v>
      </c>
      <c r="U246" s="592">
        <f t="shared" si="125"/>
        <v>0</v>
      </c>
      <c r="V246" s="592">
        <f t="shared" si="125"/>
        <v>0</v>
      </c>
      <c r="W246" s="592">
        <f t="shared" si="125"/>
        <v>0</v>
      </c>
      <c r="X246" s="592">
        <f t="shared" si="125"/>
        <v>0</v>
      </c>
      <c r="Y246" s="592">
        <f t="shared" si="125"/>
        <v>0</v>
      </c>
      <c r="Z246" s="592">
        <f t="shared" si="125"/>
        <v>0</v>
      </c>
      <c r="AA246" s="593">
        <f t="shared" si="125"/>
        <v>0</v>
      </c>
      <c r="AB246" s="594">
        <f t="shared" si="125"/>
        <v>0</v>
      </c>
    </row>
    <row r="247" spans="2:30" ht="13.5" customHeight="1" x14ac:dyDescent="0.25"/>
    <row r="248" spans="2:30" ht="12.75" customHeight="1" x14ac:dyDescent="0.25">
      <c r="B248" s="438" t="s">
        <v>158</v>
      </c>
      <c r="C248" s="439" t="s">
        <v>190</v>
      </c>
      <c r="D248" s="440" t="s">
        <v>194</v>
      </c>
      <c r="E248" s="440" t="s">
        <v>197</v>
      </c>
      <c r="F248" s="440" t="s">
        <v>306</v>
      </c>
      <c r="G248" s="440" t="s">
        <v>307</v>
      </c>
      <c r="H248" s="440" t="s">
        <v>308</v>
      </c>
      <c r="I248" s="440" t="s">
        <v>309</v>
      </c>
      <c r="J248" s="440" t="s">
        <v>310</v>
      </c>
      <c r="K248" s="440" t="s">
        <v>311</v>
      </c>
      <c r="L248" s="441" t="s">
        <v>199</v>
      </c>
      <c r="M248" s="442" t="s">
        <v>168</v>
      </c>
      <c r="N248" s="443" t="s">
        <v>200</v>
      </c>
      <c r="O248" s="443" t="s">
        <v>201</v>
      </c>
      <c r="P248" s="444" t="s">
        <v>36</v>
      </c>
      <c r="Q248" s="445" t="s">
        <v>202</v>
      </c>
      <c r="R248" s="446" t="s">
        <v>40</v>
      </c>
      <c r="S248" s="447" t="s">
        <v>169</v>
      </c>
      <c r="T248" s="447" t="s">
        <v>203</v>
      </c>
      <c r="U248" s="447" t="s">
        <v>204</v>
      </c>
      <c r="V248" s="447" t="s">
        <v>205</v>
      </c>
      <c r="W248" s="447" t="s">
        <v>206</v>
      </c>
      <c r="X248" s="447" t="s">
        <v>207</v>
      </c>
      <c r="Y248" s="447" t="s">
        <v>208</v>
      </c>
      <c r="Z248" s="447" t="s">
        <v>209</v>
      </c>
      <c r="AA248" s="448" t="s">
        <v>210</v>
      </c>
      <c r="AB248" s="583" t="s">
        <v>13</v>
      </c>
      <c r="AC248" s="450" t="s">
        <v>189</v>
      </c>
      <c r="AD248" s="451">
        <v>46235</v>
      </c>
    </row>
    <row r="249" spans="2:30" ht="13.5" customHeight="1" x14ac:dyDescent="0.25">
      <c r="B249" s="489"/>
      <c r="C249" s="490"/>
      <c r="D249" s="454"/>
      <c r="E249" s="454"/>
      <c r="F249" s="584"/>
      <c r="G249" s="454"/>
      <c r="H249" s="584"/>
      <c r="I249" s="584"/>
      <c r="J249" s="584"/>
      <c r="K249" s="584"/>
      <c r="L249" s="456">
        <f t="shared" ref="L249:L278" si="126">SUM(C249:K249)</f>
        <v>0</v>
      </c>
      <c r="M249" s="457">
        <f t="shared" ref="M249:M276" si="127">(C249+F249+G249)*20%</f>
        <v>0</v>
      </c>
      <c r="N249" s="458">
        <f t="shared" ref="N249:N276" si="128">(C249+F249+G249)*1.5%</f>
        <v>0</v>
      </c>
      <c r="O249" s="458">
        <f t="shared" ref="O249:O276" si="129">(C249+F249+G249)*5.8%</f>
        <v>0</v>
      </c>
      <c r="P249" s="458">
        <f t="shared" ref="P249:P276" si="130">(C249+F249+G249)*8%</f>
        <v>0</v>
      </c>
      <c r="Q249" s="459">
        <f t="shared" ref="Q249:Q278" si="131">SUM(M249:P249)</f>
        <v>0</v>
      </c>
      <c r="R249" s="460">
        <f t="shared" ref="R249:R276" si="132">(C249+F249+G249)/12</f>
        <v>0</v>
      </c>
      <c r="S249" s="461">
        <f t="shared" ref="S249:S276" si="133">R249/3</f>
        <v>0</v>
      </c>
      <c r="T249" s="461">
        <f t="shared" ref="T249:T276" si="134">(R249+S249)*8%</f>
        <v>0</v>
      </c>
      <c r="U249" s="454">
        <f t="shared" ref="U249:U276" si="135">(C249+F249+G249)/12</f>
        <v>0</v>
      </c>
      <c r="V249" s="454">
        <f t="shared" ref="V249:V276" si="136">U249*8%</f>
        <v>0</v>
      </c>
      <c r="W249" s="454">
        <f t="shared" ref="W249:W276" si="137">(C249+F249+G249)/12</f>
        <v>0</v>
      </c>
      <c r="X249" s="454">
        <f t="shared" ref="X249:X276" si="138">W249*8%</f>
        <v>0</v>
      </c>
      <c r="Y249" s="454">
        <f t="shared" ref="Y249:Y276" si="139">(P249+T249+V249+X249)*50%</f>
        <v>0</v>
      </c>
      <c r="Z249" s="454">
        <f t="shared" ref="Z249:Z276" si="140">(R249+S249+U249+W249)*27.3%</f>
        <v>0</v>
      </c>
      <c r="AA249" s="456">
        <f t="shared" ref="AA249:AA276" si="141">SUM(R249:Z249)</f>
        <v>0</v>
      </c>
      <c r="AB249" s="585">
        <f t="shared" ref="AB249:AB278" si="142">L249+Q249+AA249</f>
        <v>0</v>
      </c>
      <c r="AC249" s="465" t="s">
        <v>89</v>
      </c>
      <c r="AD249" s="466">
        <f>C279</f>
        <v>0</v>
      </c>
    </row>
    <row r="250" spans="2:30" ht="13.5" customHeight="1" x14ac:dyDescent="0.25">
      <c r="B250" s="467"/>
      <c r="C250" s="468"/>
      <c r="D250" s="454"/>
      <c r="E250" s="454"/>
      <c r="F250" s="584"/>
      <c r="G250" s="454"/>
      <c r="H250" s="584"/>
      <c r="I250" s="584"/>
      <c r="J250" s="584"/>
      <c r="K250" s="584"/>
      <c r="L250" s="456">
        <f t="shared" si="126"/>
        <v>0</v>
      </c>
      <c r="M250" s="457">
        <f t="shared" si="127"/>
        <v>0</v>
      </c>
      <c r="N250" s="458">
        <f t="shared" si="128"/>
        <v>0</v>
      </c>
      <c r="O250" s="458">
        <f t="shared" si="129"/>
        <v>0</v>
      </c>
      <c r="P250" s="458">
        <f t="shared" si="130"/>
        <v>0</v>
      </c>
      <c r="Q250" s="459">
        <f t="shared" si="131"/>
        <v>0</v>
      </c>
      <c r="R250" s="460">
        <f t="shared" si="132"/>
        <v>0</v>
      </c>
      <c r="S250" s="461">
        <f t="shared" si="133"/>
        <v>0</v>
      </c>
      <c r="T250" s="461">
        <f t="shared" si="134"/>
        <v>0</v>
      </c>
      <c r="U250" s="454">
        <f t="shared" si="135"/>
        <v>0</v>
      </c>
      <c r="V250" s="454">
        <f t="shared" si="136"/>
        <v>0</v>
      </c>
      <c r="W250" s="454">
        <f t="shared" si="137"/>
        <v>0</v>
      </c>
      <c r="X250" s="454">
        <f t="shared" si="138"/>
        <v>0</v>
      </c>
      <c r="Y250" s="454">
        <f t="shared" si="139"/>
        <v>0</v>
      </c>
      <c r="Z250" s="454">
        <f t="shared" si="140"/>
        <v>0</v>
      </c>
      <c r="AA250" s="456">
        <f t="shared" si="141"/>
        <v>0</v>
      </c>
      <c r="AB250" s="585">
        <f t="shared" si="142"/>
        <v>0</v>
      </c>
      <c r="AC250" s="465" t="s">
        <v>306</v>
      </c>
      <c r="AD250" s="466">
        <f>F279</f>
        <v>0</v>
      </c>
    </row>
    <row r="251" spans="2:30" ht="13.5" customHeight="1" x14ac:dyDescent="0.25">
      <c r="B251" s="467"/>
      <c r="C251" s="468"/>
      <c r="D251" s="454"/>
      <c r="E251" s="454"/>
      <c r="F251" s="584"/>
      <c r="G251" s="454"/>
      <c r="H251" s="584"/>
      <c r="I251" s="584"/>
      <c r="J251" s="584"/>
      <c r="K251" s="584"/>
      <c r="L251" s="456">
        <f t="shared" si="126"/>
        <v>0</v>
      </c>
      <c r="M251" s="457">
        <f t="shared" si="127"/>
        <v>0</v>
      </c>
      <c r="N251" s="458">
        <f t="shared" si="128"/>
        <v>0</v>
      </c>
      <c r="O251" s="458">
        <f t="shared" si="129"/>
        <v>0</v>
      </c>
      <c r="P251" s="458">
        <f t="shared" si="130"/>
        <v>0</v>
      </c>
      <c r="Q251" s="459">
        <f t="shared" si="131"/>
        <v>0</v>
      </c>
      <c r="R251" s="460">
        <f t="shared" si="132"/>
        <v>0</v>
      </c>
      <c r="S251" s="461">
        <f t="shared" si="133"/>
        <v>0</v>
      </c>
      <c r="T251" s="461">
        <f t="shared" si="134"/>
        <v>0</v>
      </c>
      <c r="U251" s="454">
        <f t="shared" si="135"/>
        <v>0</v>
      </c>
      <c r="V251" s="454">
        <f t="shared" si="136"/>
        <v>0</v>
      </c>
      <c r="W251" s="454">
        <f t="shared" si="137"/>
        <v>0</v>
      </c>
      <c r="X251" s="454">
        <f t="shared" si="138"/>
        <v>0</v>
      </c>
      <c r="Y251" s="454">
        <f t="shared" si="139"/>
        <v>0</v>
      </c>
      <c r="Z251" s="454">
        <f t="shared" si="140"/>
        <v>0</v>
      </c>
      <c r="AA251" s="456">
        <f t="shared" si="141"/>
        <v>0</v>
      </c>
      <c r="AB251" s="585">
        <f t="shared" si="142"/>
        <v>0</v>
      </c>
      <c r="AC251" s="465" t="s">
        <v>315</v>
      </c>
      <c r="AD251" s="466">
        <v>0</v>
      </c>
    </row>
    <row r="252" spans="2:30" ht="13.5" customHeight="1" x14ac:dyDescent="0.25">
      <c r="B252" s="467"/>
      <c r="C252" s="468"/>
      <c r="D252" s="454"/>
      <c r="E252" s="454"/>
      <c r="F252" s="584"/>
      <c r="G252" s="454"/>
      <c r="H252" s="584"/>
      <c r="I252" s="584"/>
      <c r="J252" s="584"/>
      <c r="K252" s="584"/>
      <c r="L252" s="456">
        <f t="shared" si="126"/>
        <v>0</v>
      </c>
      <c r="M252" s="457">
        <f t="shared" si="127"/>
        <v>0</v>
      </c>
      <c r="N252" s="458">
        <f t="shared" si="128"/>
        <v>0</v>
      </c>
      <c r="O252" s="458">
        <f t="shared" si="129"/>
        <v>0</v>
      </c>
      <c r="P252" s="458">
        <f t="shared" si="130"/>
        <v>0</v>
      </c>
      <c r="Q252" s="459">
        <f t="shared" si="131"/>
        <v>0</v>
      </c>
      <c r="R252" s="460">
        <f t="shared" si="132"/>
        <v>0</v>
      </c>
      <c r="S252" s="461">
        <f t="shared" si="133"/>
        <v>0</v>
      </c>
      <c r="T252" s="461">
        <f t="shared" si="134"/>
        <v>0</v>
      </c>
      <c r="U252" s="454">
        <f t="shared" si="135"/>
        <v>0</v>
      </c>
      <c r="V252" s="454">
        <f t="shared" si="136"/>
        <v>0</v>
      </c>
      <c r="W252" s="454">
        <f t="shared" si="137"/>
        <v>0</v>
      </c>
      <c r="X252" s="454">
        <f t="shared" si="138"/>
        <v>0</v>
      </c>
      <c r="Y252" s="454">
        <f t="shared" si="139"/>
        <v>0</v>
      </c>
      <c r="Z252" s="454">
        <f t="shared" si="140"/>
        <v>0</v>
      </c>
      <c r="AA252" s="456">
        <f t="shared" si="141"/>
        <v>0</v>
      </c>
      <c r="AB252" s="585">
        <f t="shared" si="142"/>
        <v>0</v>
      </c>
      <c r="AC252" s="469" t="s">
        <v>194</v>
      </c>
      <c r="AD252" s="466">
        <f>D279</f>
        <v>0</v>
      </c>
    </row>
    <row r="253" spans="2:30" ht="13.5" customHeight="1" x14ac:dyDescent="0.25">
      <c r="B253" s="467"/>
      <c r="C253" s="468"/>
      <c r="D253" s="454"/>
      <c r="E253" s="454"/>
      <c r="F253" s="584"/>
      <c r="G253" s="454"/>
      <c r="H253" s="584"/>
      <c r="I253" s="584"/>
      <c r="J253" s="584"/>
      <c r="K253" s="584"/>
      <c r="L253" s="456">
        <f t="shared" si="126"/>
        <v>0</v>
      </c>
      <c r="M253" s="457">
        <f t="shared" si="127"/>
        <v>0</v>
      </c>
      <c r="N253" s="458">
        <f t="shared" si="128"/>
        <v>0</v>
      </c>
      <c r="O253" s="458">
        <f t="shared" si="129"/>
        <v>0</v>
      </c>
      <c r="P253" s="458">
        <f t="shared" si="130"/>
        <v>0</v>
      </c>
      <c r="Q253" s="459">
        <f t="shared" si="131"/>
        <v>0</v>
      </c>
      <c r="R253" s="460">
        <f t="shared" si="132"/>
        <v>0</v>
      </c>
      <c r="S253" s="461">
        <f t="shared" si="133"/>
        <v>0</v>
      </c>
      <c r="T253" s="461">
        <f t="shared" si="134"/>
        <v>0</v>
      </c>
      <c r="U253" s="454">
        <f t="shared" si="135"/>
        <v>0</v>
      </c>
      <c r="V253" s="454">
        <f t="shared" si="136"/>
        <v>0</v>
      </c>
      <c r="W253" s="454">
        <f t="shared" si="137"/>
        <v>0</v>
      </c>
      <c r="X253" s="454">
        <f t="shared" si="138"/>
        <v>0</v>
      </c>
      <c r="Y253" s="454">
        <f t="shared" si="139"/>
        <v>0</v>
      </c>
      <c r="Z253" s="454">
        <f t="shared" si="140"/>
        <v>0</v>
      </c>
      <c r="AA253" s="456">
        <f t="shared" si="141"/>
        <v>0</v>
      </c>
      <c r="AB253" s="585">
        <f t="shared" si="142"/>
        <v>0</v>
      </c>
      <c r="AC253" s="469" t="s">
        <v>197</v>
      </c>
      <c r="AD253" s="466">
        <f>E279</f>
        <v>0</v>
      </c>
    </row>
    <row r="254" spans="2:30" ht="13.5" customHeight="1" x14ac:dyDescent="0.25">
      <c r="B254" s="467"/>
      <c r="C254" s="468"/>
      <c r="D254" s="454"/>
      <c r="E254" s="454"/>
      <c r="F254" s="584"/>
      <c r="G254" s="454"/>
      <c r="H254" s="584"/>
      <c r="I254" s="584"/>
      <c r="J254" s="584"/>
      <c r="K254" s="584"/>
      <c r="L254" s="456">
        <f t="shared" si="126"/>
        <v>0</v>
      </c>
      <c r="M254" s="457">
        <f t="shared" si="127"/>
        <v>0</v>
      </c>
      <c r="N254" s="458">
        <f t="shared" si="128"/>
        <v>0</v>
      </c>
      <c r="O254" s="458">
        <f t="shared" si="129"/>
        <v>0</v>
      </c>
      <c r="P254" s="458">
        <f t="shared" si="130"/>
        <v>0</v>
      </c>
      <c r="Q254" s="459">
        <f t="shared" si="131"/>
        <v>0</v>
      </c>
      <c r="R254" s="460">
        <f t="shared" si="132"/>
        <v>0</v>
      </c>
      <c r="S254" s="461">
        <f t="shared" si="133"/>
        <v>0</v>
      </c>
      <c r="T254" s="461">
        <f t="shared" si="134"/>
        <v>0</v>
      </c>
      <c r="U254" s="454">
        <f t="shared" si="135"/>
        <v>0</v>
      </c>
      <c r="V254" s="454">
        <f t="shared" si="136"/>
        <v>0</v>
      </c>
      <c r="W254" s="454">
        <f t="shared" si="137"/>
        <v>0</v>
      </c>
      <c r="X254" s="454">
        <f t="shared" si="138"/>
        <v>0</v>
      </c>
      <c r="Y254" s="454">
        <f t="shared" si="139"/>
        <v>0</v>
      </c>
      <c r="Z254" s="454">
        <f t="shared" si="140"/>
        <v>0</v>
      </c>
      <c r="AA254" s="456">
        <f t="shared" si="141"/>
        <v>0</v>
      </c>
      <c r="AB254" s="585">
        <f t="shared" si="142"/>
        <v>0</v>
      </c>
      <c r="AC254" s="469" t="s">
        <v>211</v>
      </c>
      <c r="AD254" s="466">
        <f>SUM(H279:K279)</f>
        <v>0</v>
      </c>
    </row>
    <row r="255" spans="2:30" ht="13.5" customHeight="1" x14ac:dyDescent="0.25">
      <c r="B255" s="467"/>
      <c r="C255" s="468"/>
      <c r="D255" s="431"/>
      <c r="E255" s="454"/>
      <c r="F255" s="584"/>
      <c r="G255" s="454"/>
      <c r="H255" s="584"/>
      <c r="I255" s="584"/>
      <c r="J255" s="584"/>
      <c r="K255" s="584"/>
      <c r="L255" s="456">
        <f t="shared" si="126"/>
        <v>0</v>
      </c>
      <c r="M255" s="457">
        <f t="shared" si="127"/>
        <v>0</v>
      </c>
      <c r="N255" s="458">
        <f t="shared" si="128"/>
        <v>0</v>
      </c>
      <c r="O255" s="458">
        <f t="shared" si="129"/>
        <v>0</v>
      </c>
      <c r="P255" s="458">
        <f t="shared" si="130"/>
        <v>0</v>
      </c>
      <c r="Q255" s="459">
        <f t="shared" si="131"/>
        <v>0</v>
      </c>
      <c r="R255" s="460">
        <f t="shared" si="132"/>
        <v>0</v>
      </c>
      <c r="S255" s="461">
        <f t="shared" si="133"/>
        <v>0</v>
      </c>
      <c r="T255" s="461">
        <f t="shared" si="134"/>
        <v>0</v>
      </c>
      <c r="U255" s="454">
        <f t="shared" si="135"/>
        <v>0</v>
      </c>
      <c r="V255" s="454">
        <f t="shared" si="136"/>
        <v>0</v>
      </c>
      <c r="W255" s="454">
        <f t="shared" si="137"/>
        <v>0</v>
      </c>
      <c r="X255" s="454">
        <f t="shared" si="138"/>
        <v>0</v>
      </c>
      <c r="Y255" s="454">
        <f t="shared" si="139"/>
        <v>0</v>
      </c>
      <c r="Z255" s="454">
        <f t="shared" si="140"/>
        <v>0</v>
      </c>
      <c r="AA255" s="456">
        <f t="shared" si="141"/>
        <v>0</v>
      </c>
      <c r="AB255" s="585">
        <f t="shared" si="142"/>
        <v>0</v>
      </c>
      <c r="AC255" s="465" t="s">
        <v>209</v>
      </c>
      <c r="AD255" s="466">
        <f>SUM(M279:O279)</f>
        <v>0</v>
      </c>
    </row>
    <row r="256" spans="2:30" ht="13.5" customHeight="1" x14ac:dyDescent="0.25">
      <c r="B256" s="467"/>
      <c r="C256" s="468"/>
      <c r="D256" s="431"/>
      <c r="E256" s="454"/>
      <c r="F256" s="584"/>
      <c r="G256" s="454"/>
      <c r="H256" s="584"/>
      <c r="I256" s="584"/>
      <c r="J256" s="584"/>
      <c r="K256" s="584"/>
      <c r="L256" s="456">
        <f t="shared" si="126"/>
        <v>0</v>
      </c>
      <c r="M256" s="457">
        <f t="shared" si="127"/>
        <v>0</v>
      </c>
      <c r="N256" s="458">
        <f t="shared" si="128"/>
        <v>0</v>
      </c>
      <c r="O256" s="458">
        <f t="shared" si="129"/>
        <v>0</v>
      </c>
      <c r="P256" s="458">
        <f t="shared" si="130"/>
        <v>0</v>
      </c>
      <c r="Q256" s="459">
        <f t="shared" si="131"/>
        <v>0</v>
      </c>
      <c r="R256" s="460">
        <f t="shared" si="132"/>
        <v>0</v>
      </c>
      <c r="S256" s="461">
        <f t="shared" si="133"/>
        <v>0</v>
      </c>
      <c r="T256" s="461">
        <f t="shared" si="134"/>
        <v>0</v>
      </c>
      <c r="U256" s="454">
        <f t="shared" si="135"/>
        <v>0</v>
      </c>
      <c r="V256" s="454">
        <f t="shared" si="136"/>
        <v>0</v>
      </c>
      <c r="W256" s="454">
        <f t="shared" si="137"/>
        <v>0</v>
      </c>
      <c r="X256" s="454">
        <f t="shared" si="138"/>
        <v>0</v>
      </c>
      <c r="Y256" s="454">
        <f t="shared" si="139"/>
        <v>0</v>
      </c>
      <c r="Z256" s="454">
        <f t="shared" si="140"/>
        <v>0</v>
      </c>
      <c r="AA256" s="456">
        <f t="shared" si="141"/>
        <v>0</v>
      </c>
      <c r="AB256" s="585">
        <f t="shared" si="142"/>
        <v>0</v>
      </c>
      <c r="AC256" s="465" t="s">
        <v>36</v>
      </c>
      <c r="AD256" s="466">
        <f>P279</f>
        <v>0</v>
      </c>
    </row>
    <row r="257" spans="2:30" ht="13.5" customHeight="1" x14ac:dyDescent="0.25">
      <c r="B257" s="586"/>
      <c r="C257" s="468"/>
      <c r="D257" s="454"/>
      <c r="E257" s="454"/>
      <c r="F257" s="584"/>
      <c r="G257" s="454"/>
      <c r="H257" s="584"/>
      <c r="I257" s="584"/>
      <c r="J257" s="584"/>
      <c r="K257" s="584"/>
      <c r="L257" s="456">
        <f t="shared" si="126"/>
        <v>0</v>
      </c>
      <c r="M257" s="457">
        <f t="shared" si="127"/>
        <v>0</v>
      </c>
      <c r="N257" s="458">
        <f t="shared" si="128"/>
        <v>0</v>
      </c>
      <c r="O257" s="458">
        <f t="shared" si="129"/>
        <v>0</v>
      </c>
      <c r="P257" s="458">
        <f t="shared" si="130"/>
        <v>0</v>
      </c>
      <c r="Q257" s="459">
        <f t="shared" si="131"/>
        <v>0</v>
      </c>
      <c r="R257" s="460">
        <f t="shared" si="132"/>
        <v>0</v>
      </c>
      <c r="S257" s="461">
        <f t="shared" si="133"/>
        <v>0</v>
      </c>
      <c r="T257" s="461">
        <f t="shared" si="134"/>
        <v>0</v>
      </c>
      <c r="U257" s="454">
        <f t="shared" si="135"/>
        <v>0</v>
      </c>
      <c r="V257" s="454">
        <f t="shared" si="136"/>
        <v>0</v>
      </c>
      <c r="W257" s="454">
        <f t="shared" si="137"/>
        <v>0</v>
      </c>
      <c r="X257" s="454">
        <f t="shared" si="138"/>
        <v>0</v>
      </c>
      <c r="Y257" s="454">
        <f t="shared" si="139"/>
        <v>0</v>
      </c>
      <c r="Z257" s="454">
        <f t="shared" si="140"/>
        <v>0</v>
      </c>
      <c r="AA257" s="456">
        <f t="shared" si="141"/>
        <v>0</v>
      </c>
      <c r="AB257" s="585">
        <f t="shared" si="142"/>
        <v>0</v>
      </c>
      <c r="AC257" s="469" t="s">
        <v>212</v>
      </c>
      <c r="AD257" s="466">
        <f>SUM(R279:Z279)</f>
        <v>0</v>
      </c>
    </row>
    <row r="258" spans="2:30" ht="14.25" customHeight="1" x14ac:dyDescent="0.25">
      <c r="B258" s="586"/>
      <c r="C258" s="468"/>
      <c r="D258" s="454"/>
      <c r="E258" s="454"/>
      <c r="F258" s="584"/>
      <c r="G258" s="454"/>
      <c r="H258" s="584"/>
      <c r="I258" s="584"/>
      <c r="J258" s="584"/>
      <c r="K258" s="584"/>
      <c r="L258" s="456">
        <f t="shared" si="126"/>
        <v>0</v>
      </c>
      <c r="M258" s="457">
        <f t="shared" si="127"/>
        <v>0</v>
      </c>
      <c r="N258" s="458">
        <f t="shared" si="128"/>
        <v>0</v>
      </c>
      <c r="O258" s="458">
        <f t="shared" si="129"/>
        <v>0</v>
      </c>
      <c r="P258" s="458">
        <f t="shared" si="130"/>
        <v>0</v>
      </c>
      <c r="Q258" s="459">
        <f t="shared" si="131"/>
        <v>0</v>
      </c>
      <c r="R258" s="460">
        <f t="shared" si="132"/>
        <v>0</v>
      </c>
      <c r="S258" s="461">
        <f t="shared" si="133"/>
        <v>0</v>
      </c>
      <c r="T258" s="461">
        <f t="shared" si="134"/>
        <v>0</v>
      </c>
      <c r="U258" s="454">
        <f t="shared" si="135"/>
        <v>0</v>
      </c>
      <c r="V258" s="454">
        <f t="shared" si="136"/>
        <v>0</v>
      </c>
      <c r="W258" s="454">
        <f t="shared" si="137"/>
        <v>0</v>
      </c>
      <c r="X258" s="454">
        <f t="shared" si="138"/>
        <v>0</v>
      </c>
      <c r="Y258" s="454">
        <f t="shared" si="139"/>
        <v>0</v>
      </c>
      <c r="Z258" s="454">
        <f t="shared" si="140"/>
        <v>0</v>
      </c>
      <c r="AA258" s="456">
        <f t="shared" si="141"/>
        <v>0</v>
      </c>
      <c r="AB258" s="585">
        <f t="shared" si="142"/>
        <v>0</v>
      </c>
      <c r="AC258" s="483" t="s">
        <v>13</v>
      </c>
      <c r="AD258" s="484">
        <f>SUM(AD249:AD257)</f>
        <v>0</v>
      </c>
    </row>
    <row r="259" spans="2:30" ht="13.5" customHeight="1" x14ac:dyDescent="0.25">
      <c r="B259" s="586"/>
      <c r="C259" s="468"/>
      <c r="D259" s="454"/>
      <c r="E259" s="454"/>
      <c r="F259" s="584"/>
      <c r="G259" s="454"/>
      <c r="H259" s="584"/>
      <c r="I259" s="584"/>
      <c r="J259" s="584"/>
      <c r="K259" s="584"/>
      <c r="L259" s="456">
        <f t="shared" si="126"/>
        <v>0</v>
      </c>
      <c r="M259" s="457">
        <f t="shared" si="127"/>
        <v>0</v>
      </c>
      <c r="N259" s="458">
        <f t="shared" si="128"/>
        <v>0</v>
      </c>
      <c r="O259" s="458">
        <f t="shared" si="129"/>
        <v>0</v>
      </c>
      <c r="P259" s="458">
        <f t="shared" si="130"/>
        <v>0</v>
      </c>
      <c r="Q259" s="459">
        <f t="shared" si="131"/>
        <v>0</v>
      </c>
      <c r="R259" s="460">
        <f t="shared" si="132"/>
        <v>0</v>
      </c>
      <c r="S259" s="461">
        <f t="shared" si="133"/>
        <v>0</v>
      </c>
      <c r="T259" s="461">
        <f t="shared" si="134"/>
        <v>0</v>
      </c>
      <c r="U259" s="454">
        <f t="shared" si="135"/>
        <v>0</v>
      </c>
      <c r="V259" s="454">
        <f t="shared" si="136"/>
        <v>0</v>
      </c>
      <c r="W259" s="454">
        <f t="shared" si="137"/>
        <v>0</v>
      </c>
      <c r="X259" s="454">
        <f t="shared" si="138"/>
        <v>0</v>
      </c>
      <c r="Y259" s="454">
        <f t="shared" si="139"/>
        <v>0</v>
      </c>
      <c r="Z259" s="454">
        <f t="shared" si="140"/>
        <v>0</v>
      </c>
      <c r="AA259" s="456">
        <f t="shared" si="141"/>
        <v>0</v>
      </c>
      <c r="AB259" s="587">
        <f t="shared" si="142"/>
        <v>0</v>
      </c>
    </row>
    <row r="260" spans="2:30" ht="13.5" customHeight="1" x14ac:dyDescent="0.25">
      <c r="B260" s="586"/>
      <c r="C260" s="468"/>
      <c r="D260" s="454"/>
      <c r="E260" s="454"/>
      <c r="F260" s="584"/>
      <c r="G260" s="454"/>
      <c r="H260" s="584"/>
      <c r="I260" s="584"/>
      <c r="J260" s="584"/>
      <c r="K260" s="584"/>
      <c r="L260" s="456">
        <f t="shared" si="126"/>
        <v>0</v>
      </c>
      <c r="M260" s="457">
        <f t="shared" si="127"/>
        <v>0</v>
      </c>
      <c r="N260" s="458">
        <f t="shared" si="128"/>
        <v>0</v>
      </c>
      <c r="O260" s="458">
        <f t="shared" si="129"/>
        <v>0</v>
      </c>
      <c r="P260" s="458">
        <f t="shared" si="130"/>
        <v>0</v>
      </c>
      <c r="Q260" s="459">
        <f t="shared" si="131"/>
        <v>0</v>
      </c>
      <c r="R260" s="460">
        <f t="shared" si="132"/>
        <v>0</v>
      </c>
      <c r="S260" s="461">
        <f t="shared" si="133"/>
        <v>0</v>
      </c>
      <c r="T260" s="461">
        <f t="shared" si="134"/>
        <v>0</v>
      </c>
      <c r="U260" s="454">
        <f t="shared" si="135"/>
        <v>0</v>
      </c>
      <c r="V260" s="454">
        <f t="shared" si="136"/>
        <v>0</v>
      </c>
      <c r="W260" s="454">
        <f t="shared" si="137"/>
        <v>0</v>
      </c>
      <c r="X260" s="454">
        <f t="shared" si="138"/>
        <v>0</v>
      </c>
      <c r="Y260" s="454">
        <f t="shared" si="139"/>
        <v>0</v>
      </c>
      <c r="Z260" s="454">
        <f t="shared" si="140"/>
        <v>0</v>
      </c>
      <c r="AA260" s="456">
        <f t="shared" si="141"/>
        <v>0</v>
      </c>
      <c r="AB260" s="587">
        <f t="shared" si="142"/>
        <v>0</v>
      </c>
    </row>
    <row r="261" spans="2:30" ht="13.5" customHeight="1" x14ac:dyDescent="0.25">
      <c r="B261" s="586"/>
      <c r="C261" s="468"/>
      <c r="D261" s="454"/>
      <c r="E261" s="454"/>
      <c r="F261" s="584"/>
      <c r="G261" s="454"/>
      <c r="H261" s="584"/>
      <c r="I261" s="584"/>
      <c r="J261" s="584"/>
      <c r="K261" s="584"/>
      <c r="L261" s="456">
        <f t="shared" si="126"/>
        <v>0</v>
      </c>
      <c r="M261" s="457">
        <f t="shared" si="127"/>
        <v>0</v>
      </c>
      <c r="N261" s="458">
        <f t="shared" si="128"/>
        <v>0</v>
      </c>
      <c r="O261" s="458">
        <f t="shared" si="129"/>
        <v>0</v>
      </c>
      <c r="P261" s="458">
        <f t="shared" si="130"/>
        <v>0</v>
      </c>
      <c r="Q261" s="459">
        <f t="shared" si="131"/>
        <v>0</v>
      </c>
      <c r="R261" s="460">
        <f t="shared" si="132"/>
        <v>0</v>
      </c>
      <c r="S261" s="461">
        <f t="shared" si="133"/>
        <v>0</v>
      </c>
      <c r="T261" s="461">
        <f t="shared" si="134"/>
        <v>0</v>
      </c>
      <c r="U261" s="454">
        <f t="shared" si="135"/>
        <v>0</v>
      </c>
      <c r="V261" s="454">
        <f t="shared" si="136"/>
        <v>0</v>
      </c>
      <c r="W261" s="454">
        <f t="shared" si="137"/>
        <v>0</v>
      </c>
      <c r="X261" s="454">
        <f t="shared" si="138"/>
        <v>0</v>
      </c>
      <c r="Y261" s="454">
        <f t="shared" si="139"/>
        <v>0</v>
      </c>
      <c r="Z261" s="454">
        <f t="shared" si="140"/>
        <v>0</v>
      </c>
      <c r="AA261" s="456">
        <f t="shared" si="141"/>
        <v>0</v>
      </c>
      <c r="AB261" s="587">
        <f t="shared" si="142"/>
        <v>0</v>
      </c>
    </row>
    <row r="262" spans="2:30" ht="13.5" customHeight="1" x14ac:dyDescent="0.25">
      <c r="B262" s="586"/>
      <c r="C262" s="468"/>
      <c r="D262" s="454"/>
      <c r="E262" s="454"/>
      <c r="F262" s="584"/>
      <c r="G262" s="454"/>
      <c r="H262" s="584"/>
      <c r="I262" s="584"/>
      <c r="J262" s="584"/>
      <c r="K262" s="584"/>
      <c r="L262" s="456">
        <f t="shared" si="126"/>
        <v>0</v>
      </c>
      <c r="M262" s="457">
        <f t="shared" si="127"/>
        <v>0</v>
      </c>
      <c r="N262" s="458">
        <f t="shared" si="128"/>
        <v>0</v>
      </c>
      <c r="O262" s="458">
        <f t="shared" si="129"/>
        <v>0</v>
      </c>
      <c r="P262" s="458">
        <f t="shared" si="130"/>
        <v>0</v>
      </c>
      <c r="Q262" s="459">
        <f t="shared" si="131"/>
        <v>0</v>
      </c>
      <c r="R262" s="460">
        <f t="shared" si="132"/>
        <v>0</v>
      </c>
      <c r="S262" s="461">
        <f t="shared" si="133"/>
        <v>0</v>
      </c>
      <c r="T262" s="461">
        <f t="shared" si="134"/>
        <v>0</v>
      </c>
      <c r="U262" s="454">
        <f t="shared" si="135"/>
        <v>0</v>
      </c>
      <c r="V262" s="454">
        <f t="shared" si="136"/>
        <v>0</v>
      </c>
      <c r="W262" s="454">
        <f t="shared" si="137"/>
        <v>0</v>
      </c>
      <c r="X262" s="454">
        <f t="shared" si="138"/>
        <v>0</v>
      </c>
      <c r="Y262" s="454">
        <f t="shared" si="139"/>
        <v>0</v>
      </c>
      <c r="Z262" s="454">
        <f t="shared" si="140"/>
        <v>0</v>
      </c>
      <c r="AA262" s="456">
        <f t="shared" si="141"/>
        <v>0</v>
      </c>
      <c r="AB262" s="587">
        <f t="shared" si="142"/>
        <v>0</v>
      </c>
    </row>
    <row r="263" spans="2:30" ht="13.5" customHeight="1" x14ac:dyDescent="0.25">
      <c r="B263" s="586"/>
      <c r="C263" s="468"/>
      <c r="D263" s="454"/>
      <c r="E263" s="454"/>
      <c r="F263" s="584"/>
      <c r="G263" s="454"/>
      <c r="H263" s="584"/>
      <c r="I263" s="584"/>
      <c r="J263" s="584"/>
      <c r="K263" s="584"/>
      <c r="L263" s="456">
        <f t="shared" si="126"/>
        <v>0</v>
      </c>
      <c r="M263" s="457">
        <f t="shared" si="127"/>
        <v>0</v>
      </c>
      <c r="N263" s="458">
        <f t="shared" si="128"/>
        <v>0</v>
      </c>
      <c r="O263" s="458">
        <f t="shared" si="129"/>
        <v>0</v>
      </c>
      <c r="P263" s="458">
        <f t="shared" si="130"/>
        <v>0</v>
      </c>
      <c r="Q263" s="459">
        <f t="shared" si="131"/>
        <v>0</v>
      </c>
      <c r="R263" s="460">
        <f t="shared" si="132"/>
        <v>0</v>
      </c>
      <c r="S263" s="461">
        <f t="shared" si="133"/>
        <v>0</v>
      </c>
      <c r="T263" s="461">
        <f t="shared" si="134"/>
        <v>0</v>
      </c>
      <c r="U263" s="454">
        <f t="shared" si="135"/>
        <v>0</v>
      </c>
      <c r="V263" s="454">
        <f t="shared" si="136"/>
        <v>0</v>
      </c>
      <c r="W263" s="454">
        <f t="shared" si="137"/>
        <v>0</v>
      </c>
      <c r="X263" s="454">
        <f t="shared" si="138"/>
        <v>0</v>
      </c>
      <c r="Y263" s="454">
        <f t="shared" si="139"/>
        <v>0</v>
      </c>
      <c r="Z263" s="454">
        <f t="shared" si="140"/>
        <v>0</v>
      </c>
      <c r="AA263" s="456">
        <f t="shared" si="141"/>
        <v>0</v>
      </c>
      <c r="AB263" s="587">
        <f t="shared" si="142"/>
        <v>0</v>
      </c>
    </row>
    <row r="264" spans="2:30" ht="13.5" customHeight="1" x14ac:dyDescent="0.25">
      <c r="B264" s="586"/>
      <c r="C264" s="468"/>
      <c r="D264" s="454"/>
      <c r="E264" s="454"/>
      <c r="F264" s="584"/>
      <c r="G264" s="454"/>
      <c r="H264" s="584"/>
      <c r="I264" s="584"/>
      <c r="J264" s="584"/>
      <c r="K264" s="584"/>
      <c r="L264" s="456">
        <f t="shared" si="126"/>
        <v>0</v>
      </c>
      <c r="M264" s="457">
        <f t="shared" si="127"/>
        <v>0</v>
      </c>
      <c r="N264" s="458">
        <f t="shared" si="128"/>
        <v>0</v>
      </c>
      <c r="O264" s="458">
        <f t="shared" si="129"/>
        <v>0</v>
      </c>
      <c r="P264" s="458">
        <f t="shared" si="130"/>
        <v>0</v>
      </c>
      <c r="Q264" s="459">
        <f t="shared" si="131"/>
        <v>0</v>
      </c>
      <c r="R264" s="460">
        <f t="shared" si="132"/>
        <v>0</v>
      </c>
      <c r="S264" s="461">
        <f t="shared" si="133"/>
        <v>0</v>
      </c>
      <c r="T264" s="461">
        <f t="shared" si="134"/>
        <v>0</v>
      </c>
      <c r="U264" s="454">
        <f t="shared" si="135"/>
        <v>0</v>
      </c>
      <c r="V264" s="454">
        <f t="shared" si="136"/>
        <v>0</v>
      </c>
      <c r="W264" s="454">
        <f t="shared" si="137"/>
        <v>0</v>
      </c>
      <c r="X264" s="454">
        <f t="shared" si="138"/>
        <v>0</v>
      </c>
      <c r="Y264" s="454">
        <f t="shared" si="139"/>
        <v>0</v>
      </c>
      <c r="Z264" s="454">
        <f t="shared" si="140"/>
        <v>0</v>
      </c>
      <c r="AA264" s="456">
        <f t="shared" si="141"/>
        <v>0</v>
      </c>
      <c r="AB264" s="587">
        <f t="shared" si="142"/>
        <v>0</v>
      </c>
    </row>
    <row r="265" spans="2:30" ht="13.5" customHeight="1" x14ac:dyDescent="0.25">
      <c r="B265" s="586"/>
      <c r="C265" s="468"/>
      <c r="D265" s="454"/>
      <c r="E265" s="454"/>
      <c r="F265" s="584"/>
      <c r="G265" s="454"/>
      <c r="H265" s="584"/>
      <c r="I265" s="584"/>
      <c r="J265" s="584"/>
      <c r="K265" s="584"/>
      <c r="L265" s="456">
        <f t="shared" si="126"/>
        <v>0</v>
      </c>
      <c r="M265" s="457">
        <f t="shared" si="127"/>
        <v>0</v>
      </c>
      <c r="N265" s="458">
        <f t="shared" si="128"/>
        <v>0</v>
      </c>
      <c r="O265" s="458">
        <f t="shared" si="129"/>
        <v>0</v>
      </c>
      <c r="P265" s="458">
        <f t="shared" si="130"/>
        <v>0</v>
      </c>
      <c r="Q265" s="459">
        <f t="shared" si="131"/>
        <v>0</v>
      </c>
      <c r="R265" s="460">
        <f t="shared" si="132"/>
        <v>0</v>
      </c>
      <c r="S265" s="461">
        <f t="shared" si="133"/>
        <v>0</v>
      </c>
      <c r="T265" s="461">
        <f t="shared" si="134"/>
        <v>0</v>
      </c>
      <c r="U265" s="454">
        <f t="shared" si="135"/>
        <v>0</v>
      </c>
      <c r="V265" s="454">
        <f t="shared" si="136"/>
        <v>0</v>
      </c>
      <c r="W265" s="454">
        <f t="shared" si="137"/>
        <v>0</v>
      </c>
      <c r="X265" s="454">
        <f t="shared" si="138"/>
        <v>0</v>
      </c>
      <c r="Y265" s="454">
        <f t="shared" si="139"/>
        <v>0</v>
      </c>
      <c r="Z265" s="454">
        <f t="shared" si="140"/>
        <v>0</v>
      </c>
      <c r="AA265" s="456">
        <f t="shared" si="141"/>
        <v>0</v>
      </c>
      <c r="AB265" s="587">
        <f t="shared" si="142"/>
        <v>0</v>
      </c>
    </row>
    <row r="266" spans="2:30" ht="13.5" customHeight="1" x14ac:dyDescent="0.25">
      <c r="B266" s="586"/>
      <c r="C266" s="468"/>
      <c r="D266" s="454"/>
      <c r="E266" s="454"/>
      <c r="F266" s="584"/>
      <c r="G266" s="454"/>
      <c r="H266" s="584"/>
      <c r="I266" s="584"/>
      <c r="J266" s="584"/>
      <c r="K266" s="584"/>
      <c r="L266" s="456">
        <f t="shared" si="126"/>
        <v>0</v>
      </c>
      <c r="M266" s="457">
        <f t="shared" si="127"/>
        <v>0</v>
      </c>
      <c r="N266" s="458">
        <f t="shared" si="128"/>
        <v>0</v>
      </c>
      <c r="O266" s="458">
        <f t="shared" si="129"/>
        <v>0</v>
      </c>
      <c r="P266" s="458">
        <f t="shared" si="130"/>
        <v>0</v>
      </c>
      <c r="Q266" s="459">
        <f t="shared" si="131"/>
        <v>0</v>
      </c>
      <c r="R266" s="460">
        <f t="shared" si="132"/>
        <v>0</v>
      </c>
      <c r="S266" s="461">
        <f t="shared" si="133"/>
        <v>0</v>
      </c>
      <c r="T266" s="461">
        <f t="shared" si="134"/>
        <v>0</v>
      </c>
      <c r="U266" s="454">
        <f t="shared" si="135"/>
        <v>0</v>
      </c>
      <c r="V266" s="454">
        <f t="shared" si="136"/>
        <v>0</v>
      </c>
      <c r="W266" s="454">
        <f t="shared" si="137"/>
        <v>0</v>
      </c>
      <c r="X266" s="454">
        <f t="shared" si="138"/>
        <v>0</v>
      </c>
      <c r="Y266" s="454">
        <f t="shared" si="139"/>
        <v>0</v>
      </c>
      <c r="Z266" s="454">
        <f t="shared" si="140"/>
        <v>0</v>
      </c>
      <c r="AA266" s="456">
        <f t="shared" si="141"/>
        <v>0</v>
      </c>
      <c r="AB266" s="587">
        <f t="shared" si="142"/>
        <v>0</v>
      </c>
    </row>
    <row r="267" spans="2:30" ht="13.5" customHeight="1" x14ac:dyDescent="0.25">
      <c r="B267" s="586"/>
      <c r="C267" s="468"/>
      <c r="D267" s="454"/>
      <c r="E267" s="454"/>
      <c r="F267" s="588"/>
      <c r="G267" s="454"/>
      <c r="H267" s="584"/>
      <c r="I267" s="584"/>
      <c r="J267" s="584"/>
      <c r="K267" s="584"/>
      <c r="L267" s="456">
        <f t="shared" si="126"/>
        <v>0</v>
      </c>
      <c r="M267" s="457">
        <f t="shared" si="127"/>
        <v>0</v>
      </c>
      <c r="N267" s="458">
        <f t="shared" si="128"/>
        <v>0</v>
      </c>
      <c r="O267" s="458">
        <f t="shared" si="129"/>
        <v>0</v>
      </c>
      <c r="P267" s="458">
        <f t="shared" si="130"/>
        <v>0</v>
      </c>
      <c r="Q267" s="459">
        <f t="shared" si="131"/>
        <v>0</v>
      </c>
      <c r="R267" s="460">
        <f t="shared" si="132"/>
        <v>0</v>
      </c>
      <c r="S267" s="461">
        <f t="shared" si="133"/>
        <v>0</v>
      </c>
      <c r="T267" s="461">
        <f t="shared" si="134"/>
        <v>0</v>
      </c>
      <c r="U267" s="454">
        <f t="shared" si="135"/>
        <v>0</v>
      </c>
      <c r="V267" s="454">
        <f t="shared" si="136"/>
        <v>0</v>
      </c>
      <c r="W267" s="454">
        <f t="shared" si="137"/>
        <v>0</v>
      </c>
      <c r="X267" s="454">
        <f t="shared" si="138"/>
        <v>0</v>
      </c>
      <c r="Y267" s="454">
        <f t="shared" si="139"/>
        <v>0</v>
      </c>
      <c r="Z267" s="454">
        <f t="shared" si="140"/>
        <v>0</v>
      </c>
      <c r="AA267" s="456">
        <f t="shared" si="141"/>
        <v>0</v>
      </c>
      <c r="AB267" s="587">
        <f t="shared" si="142"/>
        <v>0</v>
      </c>
    </row>
    <row r="268" spans="2:30" ht="13.5" customHeight="1" x14ac:dyDescent="0.25">
      <c r="B268" s="586"/>
      <c r="C268" s="468"/>
      <c r="D268" s="454"/>
      <c r="E268" s="454"/>
      <c r="F268" s="584"/>
      <c r="G268" s="454"/>
      <c r="H268" s="584"/>
      <c r="I268" s="584"/>
      <c r="J268" s="584"/>
      <c r="K268" s="584"/>
      <c r="L268" s="456">
        <f t="shared" si="126"/>
        <v>0</v>
      </c>
      <c r="M268" s="457">
        <f t="shared" si="127"/>
        <v>0</v>
      </c>
      <c r="N268" s="458">
        <f t="shared" si="128"/>
        <v>0</v>
      </c>
      <c r="O268" s="458">
        <f t="shared" si="129"/>
        <v>0</v>
      </c>
      <c r="P268" s="458">
        <f t="shared" si="130"/>
        <v>0</v>
      </c>
      <c r="Q268" s="459">
        <f t="shared" si="131"/>
        <v>0</v>
      </c>
      <c r="R268" s="460">
        <f t="shared" si="132"/>
        <v>0</v>
      </c>
      <c r="S268" s="461">
        <f t="shared" si="133"/>
        <v>0</v>
      </c>
      <c r="T268" s="461">
        <f t="shared" si="134"/>
        <v>0</v>
      </c>
      <c r="U268" s="454">
        <f t="shared" si="135"/>
        <v>0</v>
      </c>
      <c r="V268" s="454">
        <f t="shared" si="136"/>
        <v>0</v>
      </c>
      <c r="W268" s="454">
        <f t="shared" si="137"/>
        <v>0</v>
      </c>
      <c r="X268" s="454">
        <f t="shared" si="138"/>
        <v>0</v>
      </c>
      <c r="Y268" s="454">
        <f t="shared" si="139"/>
        <v>0</v>
      </c>
      <c r="Z268" s="454">
        <f t="shared" si="140"/>
        <v>0</v>
      </c>
      <c r="AA268" s="456">
        <f t="shared" si="141"/>
        <v>0</v>
      </c>
      <c r="AB268" s="587">
        <f t="shared" si="142"/>
        <v>0</v>
      </c>
    </row>
    <row r="269" spans="2:30" ht="13.5" customHeight="1" x14ac:dyDescent="0.25">
      <c r="B269" s="586"/>
      <c r="C269" s="468"/>
      <c r="D269" s="454"/>
      <c r="E269" s="454"/>
      <c r="F269" s="584"/>
      <c r="G269" s="454"/>
      <c r="H269" s="584"/>
      <c r="I269" s="584"/>
      <c r="J269" s="584"/>
      <c r="K269" s="584"/>
      <c r="L269" s="456">
        <f t="shared" si="126"/>
        <v>0</v>
      </c>
      <c r="M269" s="457">
        <f t="shared" si="127"/>
        <v>0</v>
      </c>
      <c r="N269" s="458">
        <f t="shared" si="128"/>
        <v>0</v>
      </c>
      <c r="O269" s="458">
        <f t="shared" si="129"/>
        <v>0</v>
      </c>
      <c r="P269" s="458">
        <f t="shared" si="130"/>
        <v>0</v>
      </c>
      <c r="Q269" s="459">
        <f t="shared" si="131"/>
        <v>0</v>
      </c>
      <c r="R269" s="460">
        <f t="shared" si="132"/>
        <v>0</v>
      </c>
      <c r="S269" s="461">
        <f t="shared" si="133"/>
        <v>0</v>
      </c>
      <c r="T269" s="461">
        <f t="shared" si="134"/>
        <v>0</v>
      </c>
      <c r="U269" s="454">
        <f t="shared" si="135"/>
        <v>0</v>
      </c>
      <c r="V269" s="454">
        <f t="shared" si="136"/>
        <v>0</v>
      </c>
      <c r="W269" s="454">
        <f t="shared" si="137"/>
        <v>0</v>
      </c>
      <c r="X269" s="454">
        <f t="shared" si="138"/>
        <v>0</v>
      </c>
      <c r="Y269" s="454">
        <f t="shared" si="139"/>
        <v>0</v>
      </c>
      <c r="Z269" s="454">
        <f t="shared" si="140"/>
        <v>0</v>
      </c>
      <c r="AA269" s="456">
        <f t="shared" si="141"/>
        <v>0</v>
      </c>
      <c r="AB269" s="587">
        <f t="shared" si="142"/>
        <v>0</v>
      </c>
    </row>
    <row r="270" spans="2:30" ht="13.5" customHeight="1" x14ac:dyDescent="0.25">
      <c r="B270" s="586"/>
      <c r="C270" s="468"/>
      <c r="D270" s="454"/>
      <c r="E270" s="454"/>
      <c r="F270" s="584"/>
      <c r="G270" s="454"/>
      <c r="H270" s="584"/>
      <c r="I270" s="584"/>
      <c r="J270" s="584"/>
      <c r="K270" s="584"/>
      <c r="L270" s="456">
        <f t="shared" si="126"/>
        <v>0</v>
      </c>
      <c r="M270" s="457">
        <f t="shared" si="127"/>
        <v>0</v>
      </c>
      <c r="N270" s="458">
        <f t="shared" si="128"/>
        <v>0</v>
      </c>
      <c r="O270" s="458">
        <f t="shared" si="129"/>
        <v>0</v>
      </c>
      <c r="P270" s="458">
        <f t="shared" si="130"/>
        <v>0</v>
      </c>
      <c r="Q270" s="459">
        <f t="shared" si="131"/>
        <v>0</v>
      </c>
      <c r="R270" s="460">
        <f t="shared" si="132"/>
        <v>0</v>
      </c>
      <c r="S270" s="461">
        <f t="shared" si="133"/>
        <v>0</v>
      </c>
      <c r="T270" s="461">
        <f t="shared" si="134"/>
        <v>0</v>
      </c>
      <c r="U270" s="454">
        <f t="shared" si="135"/>
        <v>0</v>
      </c>
      <c r="V270" s="454">
        <f t="shared" si="136"/>
        <v>0</v>
      </c>
      <c r="W270" s="454">
        <f t="shared" si="137"/>
        <v>0</v>
      </c>
      <c r="X270" s="454">
        <f t="shared" si="138"/>
        <v>0</v>
      </c>
      <c r="Y270" s="454">
        <f t="shared" si="139"/>
        <v>0</v>
      </c>
      <c r="Z270" s="454">
        <f t="shared" si="140"/>
        <v>0</v>
      </c>
      <c r="AA270" s="456">
        <f t="shared" si="141"/>
        <v>0</v>
      </c>
      <c r="AB270" s="587">
        <f t="shared" si="142"/>
        <v>0</v>
      </c>
    </row>
    <row r="271" spans="2:30" ht="13.5" customHeight="1" x14ac:dyDescent="0.25">
      <c r="B271" s="586"/>
      <c r="C271" s="468"/>
      <c r="D271" s="454"/>
      <c r="E271" s="454"/>
      <c r="F271" s="584"/>
      <c r="G271" s="454"/>
      <c r="H271" s="584"/>
      <c r="I271" s="584"/>
      <c r="J271" s="584"/>
      <c r="K271" s="584"/>
      <c r="L271" s="456">
        <f t="shared" si="126"/>
        <v>0</v>
      </c>
      <c r="M271" s="457">
        <f t="shared" si="127"/>
        <v>0</v>
      </c>
      <c r="N271" s="458">
        <f t="shared" si="128"/>
        <v>0</v>
      </c>
      <c r="O271" s="458">
        <f t="shared" si="129"/>
        <v>0</v>
      </c>
      <c r="P271" s="458">
        <f t="shared" si="130"/>
        <v>0</v>
      </c>
      <c r="Q271" s="459">
        <f t="shared" si="131"/>
        <v>0</v>
      </c>
      <c r="R271" s="460">
        <f t="shared" si="132"/>
        <v>0</v>
      </c>
      <c r="S271" s="461">
        <f t="shared" si="133"/>
        <v>0</v>
      </c>
      <c r="T271" s="461">
        <f t="shared" si="134"/>
        <v>0</v>
      </c>
      <c r="U271" s="454">
        <f t="shared" si="135"/>
        <v>0</v>
      </c>
      <c r="V271" s="454">
        <f t="shared" si="136"/>
        <v>0</v>
      </c>
      <c r="W271" s="454">
        <f t="shared" si="137"/>
        <v>0</v>
      </c>
      <c r="X271" s="454">
        <f t="shared" si="138"/>
        <v>0</v>
      </c>
      <c r="Y271" s="454">
        <f t="shared" si="139"/>
        <v>0</v>
      </c>
      <c r="Z271" s="454">
        <f t="shared" si="140"/>
        <v>0</v>
      </c>
      <c r="AA271" s="456">
        <f t="shared" si="141"/>
        <v>0</v>
      </c>
      <c r="AB271" s="587">
        <f t="shared" si="142"/>
        <v>0</v>
      </c>
    </row>
    <row r="272" spans="2:30" ht="13.5" customHeight="1" x14ac:dyDescent="0.25">
      <c r="B272" s="586"/>
      <c r="C272" s="468"/>
      <c r="D272" s="454"/>
      <c r="E272" s="454"/>
      <c r="F272" s="584"/>
      <c r="G272" s="454"/>
      <c r="H272" s="584"/>
      <c r="I272" s="584"/>
      <c r="J272" s="584"/>
      <c r="K272" s="584"/>
      <c r="L272" s="456">
        <f t="shared" si="126"/>
        <v>0</v>
      </c>
      <c r="M272" s="457">
        <f t="shared" si="127"/>
        <v>0</v>
      </c>
      <c r="N272" s="458">
        <f t="shared" si="128"/>
        <v>0</v>
      </c>
      <c r="O272" s="458">
        <f t="shared" si="129"/>
        <v>0</v>
      </c>
      <c r="P272" s="458">
        <f t="shared" si="130"/>
        <v>0</v>
      </c>
      <c r="Q272" s="459">
        <f t="shared" si="131"/>
        <v>0</v>
      </c>
      <c r="R272" s="460">
        <f t="shared" si="132"/>
        <v>0</v>
      </c>
      <c r="S272" s="461">
        <f t="shared" si="133"/>
        <v>0</v>
      </c>
      <c r="T272" s="461">
        <f t="shared" si="134"/>
        <v>0</v>
      </c>
      <c r="U272" s="454">
        <f t="shared" si="135"/>
        <v>0</v>
      </c>
      <c r="V272" s="454">
        <f t="shared" si="136"/>
        <v>0</v>
      </c>
      <c r="W272" s="454">
        <f t="shared" si="137"/>
        <v>0</v>
      </c>
      <c r="X272" s="454">
        <f t="shared" si="138"/>
        <v>0</v>
      </c>
      <c r="Y272" s="454">
        <f t="shared" si="139"/>
        <v>0</v>
      </c>
      <c r="Z272" s="454">
        <f t="shared" si="140"/>
        <v>0</v>
      </c>
      <c r="AA272" s="456">
        <f t="shared" si="141"/>
        <v>0</v>
      </c>
      <c r="AB272" s="587">
        <f t="shared" si="142"/>
        <v>0</v>
      </c>
    </row>
    <row r="273" spans="2:30" ht="13.5" customHeight="1" x14ac:dyDescent="0.25">
      <c r="B273" s="586"/>
      <c r="C273" s="468"/>
      <c r="D273" s="454"/>
      <c r="E273" s="454"/>
      <c r="F273" s="584"/>
      <c r="G273" s="454"/>
      <c r="H273" s="584"/>
      <c r="I273" s="584"/>
      <c r="J273" s="584"/>
      <c r="K273" s="584"/>
      <c r="L273" s="456">
        <f t="shared" si="126"/>
        <v>0</v>
      </c>
      <c r="M273" s="457">
        <f t="shared" si="127"/>
        <v>0</v>
      </c>
      <c r="N273" s="458">
        <f t="shared" si="128"/>
        <v>0</v>
      </c>
      <c r="O273" s="458">
        <f t="shared" si="129"/>
        <v>0</v>
      </c>
      <c r="P273" s="458">
        <f t="shared" si="130"/>
        <v>0</v>
      </c>
      <c r="Q273" s="459">
        <f t="shared" si="131"/>
        <v>0</v>
      </c>
      <c r="R273" s="460">
        <f t="shared" si="132"/>
        <v>0</v>
      </c>
      <c r="S273" s="461">
        <f t="shared" si="133"/>
        <v>0</v>
      </c>
      <c r="T273" s="461">
        <f t="shared" si="134"/>
        <v>0</v>
      </c>
      <c r="U273" s="454">
        <f t="shared" si="135"/>
        <v>0</v>
      </c>
      <c r="V273" s="454">
        <f t="shared" si="136"/>
        <v>0</v>
      </c>
      <c r="W273" s="454">
        <f t="shared" si="137"/>
        <v>0</v>
      </c>
      <c r="X273" s="454">
        <f t="shared" si="138"/>
        <v>0</v>
      </c>
      <c r="Y273" s="454">
        <f t="shared" si="139"/>
        <v>0</v>
      </c>
      <c r="Z273" s="454">
        <f t="shared" si="140"/>
        <v>0</v>
      </c>
      <c r="AA273" s="456">
        <f t="shared" si="141"/>
        <v>0</v>
      </c>
      <c r="AB273" s="587">
        <f t="shared" si="142"/>
        <v>0</v>
      </c>
    </row>
    <row r="274" spans="2:30" ht="13.5" customHeight="1" x14ac:dyDescent="0.25">
      <c r="B274" s="586"/>
      <c r="C274" s="468"/>
      <c r="D274" s="454"/>
      <c r="E274" s="454"/>
      <c r="F274" s="584"/>
      <c r="G274" s="454"/>
      <c r="H274" s="584"/>
      <c r="I274" s="584"/>
      <c r="J274" s="584"/>
      <c r="K274" s="584"/>
      <c r="L274" s="456">
        <f t="shared" si="126"/>
        <v>0</v>
      </c>
      <c r="M274" s="457">
        <f t="shared" si="127"/>
        <v>0</v>
      </c>
      <c r="N274" s="458">
        <f t="shared" si="128"/>
        <v>0</v>
      </c>
      <c r="O274" s="458">
        <f t="shared" si="129"/>
        <v>0</v>
      </c>
      <c r="P274" s="458">
        <f t="shared" si="130"/>
        <v>0</v>
      </c>
      <c r="Q274" s="459">
        <f t="shared" si="131"/>
        <v>0</v>
      </c>
      <c r="R274" s="460">
        <f t="shared" si="132"/>
        <v>0</v>
      </c>
      <c r="S274" s="461">
        <f t="shared" si="133"/>
        <v>0</v>
      </c>
      <c r="T274" s="461">
        <f t="shared" si="134"/>
        <v>0</v>
      </c>
      <c r="U274" s="454">
        <f t="shared" si="135"/>
        <v>0</v>
      </c>
      <c r="V274" s="454">
        <f t="shared" si="136"/>
        <v>0</v>
      </c>
      <c r="W274" s="454">
        <f t="shared" si="137"/>
        <v>0</v>
      </c>
      <c r="X274" s="454">
        <f t="shared" si="138"/>
        <v>0</v>
      </c>
      <c r="Y274" s="454">
        <f t="shared" si="139"/>
        <v>0</v>
      </c>
      <c r="Z274" s="454">
        <f t="shared" si="140"/>
        <v>0</v>
      </c>
      <c r="AA274" s="456">
        <f t="shared" si="141"/>
        <v>0</v>
      </c>
      <c r="AB274" s="587">
        <f t="shared" si="142"/>
        <v>0</v>
      </c>
    </row>
    <row r="275" spans="2:30" ht="13.5" customHeight="1" x14ac:dyDescent="0.25">
      <c r="B275" s="586"/>
      <c r="C275" s="468"/>
      <c r="D275" s="454"/>
      <c r="E275" s="454"/>
      <c r="F275" s="584"/>
      <c r="G275" s="454"/>
      <c r="H275" s="584"/>
      <c r="I275" s="584"/>
      <c r="J275" s="584"/>
      <c r="K275" s="584"/>
      <c r="L275" s="456">
        <f t="shared" si="126"/>
        <v>0</v>
      </c>
      <c r="M275" s="457">
        <f t="shared" si="127"/>
        <v>0</v>
      </c>
      <c r="N275" s="458">
        <f t="shared" si="128"/>
        <v>0</v>
      </c>
      <c r="O275" s="458">
        <f t="shared" si="129"/>
        <v>0</v>
      </c>
      <c r="P275" s="458">
        <f t="shared" si="130"/>
        <v>0</v>
      </c>
      <c r="Q275" s="459">
        <f t="shared" si="131"/>
        <v>0</v>
      </c>
      <c r="R275" s="460">
        <f t="shared" si="132"/>
        <v>0</v>
      </c>
      <c r="S275" s="461">
        <f t="shared" si="133"/>
        <v>0</v>
      </c>
      <c r="T275" s="461">
        <f t="shared" si="134"/>
        <v>0</v>
      </c>
      <c r="U275" s="454">
        <f t="shared" si="135"/>
        <v>0</v>
      </c>
      <c r="V275" s="454">
        <f t="shared" si="136"/>
        <v>0</v>
      </c>
      <c r="W275" s="454">
        <f t="shared" si="137"/>
        <v>0</v>
      </c>
      <c r="X275" s="454">
        <f t="shared" si="138"/>
        <v>0</v>
      </c>
      <c r="Y275" s="454">
        <f t="shared" si="139"/>
        <v>0</v>
      </c>
      <c r="Z275" s="454">
        <f t="shared" si="140"/>
        <v>0</v>
      </c>
      <c r="AA275" s="456">
        <f t="shared" si="141"/>
        <v>0</v>
      </c>
      <c r="AB275" s="587">
        <f t="shared" si="142"/>
        <v>0</v>
      </c>
    </row>
    <row r="276" spans="2:30" ht="13.5" customHeight="1" x14ac:dyDescent="0.25">
      <c r="B276" s="586"/>
      <c r="C276" s="468"/>
      <c r="D276" s="454"/>
      <c r="E276" s="454"/>
      <c r="F276" s="584"/>
      <c r="G276" s="454"/>
      <c r="H276" s="584"/>
      <c r="I276" s="584"/>
      <c r="J276" s="584"/>
      <c r="K276" s="584"/>
      <c r="L276" s="456">
        <f t="shared" si="126"/>
        <v>0</v>
      </c>
      <c r="M276" s="457">
        <f t="shared" si="127"/>
        <v>0</v>
      </c>
      <c r="N276" s="458">
        <f t="shared" si="128"/>
        <v>0</v>
      </c>
      <c r="O276" s="458">
        <f t="shared" si="129"/>
        <v>0</v>
      </c>
      <c r="P276" s="458">
        <f t="shared" si="130"/>
        <v>0</v>
      </c>
      <c r="Q276" s="459">
        <f t="shared" si="131"/>
        <v>0</v>
      </c>
      <c r="R276" s="460">
        <f t="shared" si="132"/>
        <v>0</v>
      </c>
      <c r="S276" s="461">
        <f t="shared" si="133"/>
        <v>0</v>
      </c>
      <c r="T276" s="461">
        <f t="shared" si="134"/>
        <v>0</v>
      </c>
      <c r="U276" s="454">
        <f t="shared" si="135"/>
        <v>0</v>
      </c>
      <c r="V276" s="454">
        <f t="shared" si="136"/>
        <v>0</v>
      </c>
      <c r="W276" s="454">
        <f t="shared" si="137"/>
        <v>0</v>
      </c>
      <c r="X276" s="454">
        <f t="shared" si="138"/>
        <v>0</v>
      </c>
      <c r="Y276" s="454">
        <f t="shared" si="139"/>
        <v>0</v>
      </c>
      <c r="Z276" s="454">
        <f t="shared" si="140"/>
        <v>0</v>
      </c>
      <c r="AA276" s="456">
        <f t="shared" si="141"/>
        <v>0</v>
      </c>
      <c r="AB276" s="587">
        <f t="shared" si="142"/>
        <v>0</v>
      </c>
    </row>
    <row r="277" spans="2:30" ht="13.5" customHeight="1" x14ac:dyDescent="0.25">
      <c r="B277" s="586" t="s">
        <v>348</v>
      </c>
      <c r="C277" s="468"/>
      <c r="D277" s="454"/>
      <c r="E277" s="454"/>
      <c r="F277" s="584"/>
      <c r="G277" s="454"/>
      <c r="H277" s="584"/>
      <c r="I277" s="584"/>
      <c r="J277" s="584"/>
      <c r="K277" s="584"/>
      <c r="L277" s="456">
        <f t="shared" si="126"/>
        <v>0</v>
      </c>
      <c r="M277" s="457"/>
      <c r="N277" s="458"/>
      <c r="O277" s="458"/>
      <c r="P277" s="458"/>
      <c r="Q277" s="459">
        <f t="shared" si="131"/>
        <v>0</v>
      </c>
      <c r="R277" s="460"/>
      <c r="S277" s="461"/>
      <c r="T277" s="461"/>
      <c r="U277" s="454"/>
      <c r="V277" s="454"/>
      <c r="W277" s="454"/>
      <c r="X277" s="454"/>
      <c r="Y277" s="454"/>
      <c r="Z277" s="454"/>
      <c r="AA277" s="456"/>
      <c r="AB277" s="587">
        <f t="shared" si="142"/>
        <v>0</v>
      </c>
    </row>
    <row r="278" spans="2:30" ht="13.5" customHeight="1" x14ac:dyDescent="0.25">
      <c r="B278" s="586" t="s">
        <v>349</v>
      </c>
      <c r="C278" s="468"/>
      <c r="D278" s="589"/>
      <c r="E278" s="454"/>
      <c r="F278" s="584"/>
      <c r="G278" s="454"/>
      <c r="H278" s="584"/>
      <c r="I278" s="584"/>
      <c r="J278" s="584"/>
      <c r="K278" s="584"/>
      <c r="L278" s="456">
        <f t="shared" si="126"/>
        <v>0</v>
      </c>
      <c r="M278" s="490"/>
      <c r="N278" s="458"/>
      <c r="O278" s="458"/>
      <c r="P278" s="458"/>
      <c r="Q278" s="459">
        <f t="shared" si="131"/>
        <v>0</v>
      </c>
      <c r="R278" s="460"/>
      <c r="S278" s="461"/>
      <c r="T278" s="461"/>
      <c r="U278" s="454"/>
      <c r="V278" s="454"/>
      <c r="W278" s="454"/>
      <c r="X278" s="454"/>
      <c r="Y278" s="454"/>
      <c r="Z278" s="454"/>
      <c r="AA278" s="456">
        <f>SUM(R278:Z278)</f>
        <v>0</v>
      </c>
      <c r="AB278" s="587">
        <f t="shared" si="142"/>
        <v>0</v>
      </c>
    </row>
    <row r="279" spans="2:30" ht="14.25" customHeight="1" x14ac:dyDescent="0.25">
      <c r="B279" s="590"/>
      <c r="C279" s="591">
        <f t="shared" ref="C279:AB279" si="143">SUM(C249:C278)</f>
        <v>0</v>
      </c>
      <c r="D279" s="592">
        <f t="shared" si="143"/>
        <v>0</v>
      </c>
      <c r="E279" s="592">
        <f t="shared" si="143"/>
        <v>0</v>
      </c>
      <c r="F279" s="592">
        <f t="shared" si="143"/>
        <v>0</v>
      </c>
      <c r="G279" s="592">
        <f t="shared" si="143"/>
        <v>0</v>
      </c>
      <c r="H279" s="592">
        <f t="shared" si="143"/>
        <v>0</v>
      </c>
      <c r="I279" s="592">
        <f t="shared" si="143"/>
        <v>0</v>
      </c>
      <c r="J279" s="592">
        <f t="shared" si="143"/>
        <v>0</v>
      </c>
      <c r="K279" s="592">
        <f t="shared" si="143"/>
        <v>0</v>
      </c>
      <c r="L279" s="593">
        <f t="shared" si="143"/>
        <v>0</v>
      </c>
      <c r="M279" s="591">
        <f t="shared" si="143"/>
        <v>0</v>
      </c>
      <c r="N279" s="592">
        <f t="shared" si="143"/>
        <v>0</v>
      </c>
      <c r="O279" s="592">
        <f t="shared" si="143"/>
        <v>0</v>
      </c>
      <c r="P279" s="592">
        <f t="shared" si="143"/>
        <v>0</v>
      </c>
      <c r="Q279" s="593">
        <f t="shared" si="143"/>
        <v>0</v>
      </c>
      <c r="R279" s="591">
        <f t="shared" si="143"/>
        <v>0</v>
      </c>
      <c r="S279" s="592">
        <f t="shared" si="143"/>
        <v>0</v>
      </c>
      <c r="T279" s="592">
        <f t="shared" si="143"/>
        <v>0</v>
      </c>
      <c r="U279" s="592">
        <f t="shared" si="143"/>
        <v>0</v>
      </c>
      <c r="V279" s="592">
        <f t="shared" si="143"/>
        <v>0</v>
      </c>
      <c r="W279" s="592">
        <f t="shared" si="143"/>
        <v>0</v>
      </c>
      <c r="X279" s="592">
        <f t="shared" si="143"/>
        <v>0</v>
      </c>
      <c r="Y279" s="592">
        <f t="shared" si="143"/>
        <v>0</v>
      </c>
      <c r="Z279" s="592">
        <f t="shared" si="143"/>
        <v>0</v>
      </c>
      <c r="AA279" s="593">
        <f t="shared" si="143"/>
        <v>0</v>
      </c>
      <c r="AB279" s="594">
        <f t="shared" si="143"/>
        <v>0</v>
      </c>
    </row>
    <row r="280" spans="2:30" ht="13.5" customHeight="1" x14ac:dyDescent="0.25"/>
    <row r="281" spans="2:30" ht="12.75" customHeight="1" x14ac:dyDescent="0.25">
      <c r="B281" s="438" t="s">
        <v>158</v>
      </c>
      <c r="C281" s="439" t="s">
        <v>190</v>
      </c>
      <c r="D281" s="440" t="s">
        <v>194</v>
      </c>
      <c r="E281" s="440" t="s">
        <v>197</v>
      </c>
      <c r="F281" s="440" t="s">
        <v>306</v>
      </c>
      <c r="G281" s="440" t="s">
        <v>307</v>
      </c>
      <c r="H281" s="440" t="s">
        <v>308</v>
      </c>
      <c r="I281" s="440" t="s">
        <v>309</v>
      </c>
      <c r="J281" s="440" t="s">
        <v>310</v>
      </c>
      <c r="K281" s="440" t="s">
        <v>311</v>
      </c>
      <c r="L281" s="441" t="s">
        <v>199</v>
      </c>
      <c r="M281" s="442" t="s">
        <v>168</v>
      </c>
      <c r="N281" s="443" t="s">
        <v>200</v>
      </c>
      <c r="O281" s="443" t="s">
        <v>201</v>
      </c>
      <c r="P281" s="444" t="s">
        <v>36</v>
      </c>
      <c r="Q281" s="445" t="s">
        <v>202</v>
      </c>
      <c r="R281" s="446" t="s">
        <v>40</v>
      </c>
      <c r="S281" s="447" t="s">
        <v>169</v>
      </c>
      <c r="T281" s="447" t="s">
        <v>203</v>
      </c>
      <c r="U281" s="447" t="s">
        <v>204</v>
      </c>
      <c r="V281" s="447" t="s">
        <v>205</v>
      </c>
      <c r="W281" s="447" t="s">
        <v>206</v>
      </c>
      <c r="X281" s="447" t="s">
        <v>207</v>
      </c>
      <c r="Y281" s="447" t="s">
        <v>208</v>
      </c>
      <c r="Z281" s="447" t="s">
        <v>209</v>
      </c>
      <c r="AA281" s="448" t="s">
        <v>210</v>
      </c>
      <c r="AB281" s="583" t="s">
        <v>13</v>
      </c>
      <c r="AC281" s="450" t="s">
        <v>189</v>
      </c>
      <c r="AD281" s="451">
        <v>46266</v>
      </c>
    </row>
    <row r="282" spans="2:30" ht="13.5" customHeight="1" x14ac:dyDescent="0.25">
      <c r="B282" s="489"/>
      <c r="C282" s="490"/>
      <c r="D282" s="454"/>
      <c r="E282" s="454"/>
      <c r="F282" s="584"/>
      <c r="G282" s="454"/>
      <c r="H282" s="584"/>
      <c r="I282" s="584"/>
      <c r="J282" s="584"/>
      <c r="K282" s="584"/>
      <c r="L282" s="456">
        <f t="shared" ref="L282:L311" si="144">SUM(C282:K282)</f>
        <v>0</v>
      </c>
      <c r="M282" s="457">
        <f t="shared" ref="M282:M309" si="145">(C282+F282+G282)*20%</f>
        <v>0</v>
      </c>
      <c r="N282" s="458">
        <f t="shared" ref="N282:N309" si="146">(C282+F282+G282)*1.5%</f>
        <v>0</v>
      </c>
      <c r="O282" s="458">
        <f t="shared" ref="O282:O309" si="147">(C282+F282+G282)*5.8%</f>
        <v>0</v>
      </c>
      <c r="P282" s="458">
        <f t="shared" ref="P282:P309" si="148">(C282+F282+G282)*8%</f>
        <v>0</v>
      </c>
      <c r="Q282" s="459">
        <f t="shared" ref="Q282:Q311" si="149">SUM(M282:P282)</f>
        <v>0</v>
      </c>
      <c r="R282" s="460">
        <f t="shared" ref="R282:R309" si="150">(C282+F282+G282)/12</f>
        <v>0</v>
      </c>
      <c r="S282" s="461">
        <f t="shared" ref="S282:S309" si="151">R282/3</f>
        <v>0</v>
      </c>
      <c r="T282" s="461">
        <f t="shared" ref="T282:T309" si="152">(R282+S282)*8%</f>
        <v>0</v>
      </c>
      <c r="U282" s="454">
        <f t="shared" ref="U282:U309" si="153">(C282+F282+G282)/12</f>
        <v>0</v>
      </c>
      <c r="V282" s="454">
        <f t="shared" ref="V282:V309" si="154">U282*8%</f>
        <v>0</v>
      </c>
      <c r="W282" s="454">
        <f t="shared" ref="W282:W309" si="155">(C282+F282+G282)/12</f>
        <v>0</v>
      </c>
      <c r="X282" s="454">
        <f t="shared" ref="X282:X309" si="156">W282*8%</f>
        <v>0</v>
      </c>
      <c r="Y282" s="454">
        <f t="shared" ref="Y282:Y309" si="157">(P282+T282+V282+X282)*50%</f>
        <v>0</v>
      </c>
      <c r="Z282" s="454">
        <f t="shared" ref="Z282:Z309" si="158">(R282+S282+U282+W282)*27.3%</f>
        <v>0</v>
      </c>
      <c r="AA282" s="456">
        <f t="shared" ref="AA282:AA309" si="159">SUM(R282:Z282)</f>
        <v>0</v>
      </c>
      <c r="AB282" s="585">
        <f t="shared" ref="AB282:AB311" si="160">L282+Q282+AA282</f>
        <v>0</v>
      </c>
      <c r="AC282" s="465" t="s">
        <v>89</v>
      </c>
      <c r="AD282" s="466">
        <f>C312</f>
        <v>0</v>
      </c>
    </row>
    <row r="283" spans="2:30" ht="13.5" customHeight="1" x14ac:dyDescent="0.25">
      <c r="B283" s="467"/>
      <c r="C283" s="468"/>
      <c r="D283" s="454"/>
      <c r="E283" s="454"/>
      <c r="F283" s="584"/>
      <c r="G283" s="454"/>
      <c r="H283" s="584"/>
      <c r="I283" s="584"/>
      <c r="J283" s="584"/>
      <c r="K283" s="584"/>
      <c r="L283" s="456">
        <f t="shared" si="144"/>
        <v>0</v>
      </c>
      <c r="M283" s="457">
        <f t="shared" si="145"/>
        <v>0</v>
      </c>
      <c r="N283" s="458">
        <f t="shared" si="146"/>
        <v>0</v>
      </c>
      <c r="O283" s="458">
        <f t="shared" si="147"/>
        <v>0</v>
      </c>
      <c r="P283" s="458">
        <f t="shared" si="148"/>
        <v>0</v>
      </c>
      <c r="Q283" s="459">
        <f t="shared" si="149"/>
        <v>0</v>
      </c>
      <c r="R283" s="460">
        <f t="shared" si="150"/>
        <v>0</v>
      </c>
      <c r="S283" s="461">
        <f t="shared" si="151"/>
        <v>0</v>
      </c>
      <c r="T283" s="461">
        <f t="shared" si="152"/>
        <v>0</v>
      </c>
      <c r="U283" s="454">
        <f t="shared" si="153"/>
        <v>0</v>
      </c>
      <c r="V283" s="454">
        <f t="shared" si="154"/>
        <v>0</v>
      </c>
      <c r="W283" s="454">
        <f t="shared" si="155"/>
        <v>0</v>
      </c>
      <c r="X283" s="454">
        <f t="shared" si="156"/>
        <v>0</v>
      </c>
      <c r="Y283" s="454">
        <f t="shared" si="157"/>
        <v>0</v>
      </c>
      <c r="Z283" s="454">
        <f t="shared" si="158"/>
        <v>0</v>
      </c>
      <c r="AA283" s="456">
        <f t="shared" si="159"/>
        <v>0</v>
      </c>
      <c r="AB283" s="585">
        <f t="shared" si="160"/>
        <v>0</v>
      </c>
      <c r="AC283" s="465" t="s">
        <v>306</v>
      </c>
      <c r="AD283" s="466">
        <f>F312</f>
        <v>0</v>
      </c>
    </row>
    <row r="284" spans="2:30" ht="13.5" customHeight="1" x14ac:dyDescent="0.25">
      <c r="B284" s="467"/>
      <c r="C284" s="468"/>
      <c r="D284" s="454"/>
      <c r="E284" s="454"/>
      <c r="F284" s="584"/>
      <c r="G284" s="454"/>
      <c r="H284" s="584"/>
      <c r="I284" s="584"/>
      <c r="J284" s="584"/>
      <c r="K284" s="584"/>
      <c r="L284" s="456">
        <f t="shared" si="144"/>
        <v>0</v>
      </c>
      <c r="M284" s="457">
        <f t="shared" si="145"/>
        <v>0</v>
      </c>
      <c r="N284" s="458">
        <f t="shared" si="146"/>
        <v>0</v>
      </c>
      <c r="O284" s="458">
        <f t="shared" si="147"/>
        <v>0</v>
      </c>
      <c r="P284" s="458">
        <f t="shared" si="148"/>
        <v>0</v>
      </c>
      <c r="Q284" s="459">
        <f t="shared" si="149"/>
        <v>0</v>
      </c>
      <c r="R284" s="460">
        <f t="shared" si="150"/>
        <v>0</v>
      </c>
      <c r="S284" s="461">
        <f t="shared" si="151"/>
        <v>0</v>
      </c>
      <c r="T284" s="461">
        <f t="shared" si="152"/>
        <v>0</v>
      </c>
      <c r="U284" s="454">
        <f t="shared" si="153"/>
        <v>0</v>
      </c>
      <c r="V284" s="454">
        <f t="shared" si="154"/>
        <v>0</v>
      </c>
      <c r="W284" s="454">
        <f t="shared" si="155"/>
        <v>0</v>
      </c>
      <c r="X284" s="454">
        <f t="shared" si="156"/>
        <v>0</v>
      </c>
      <c r="Y284" s="454">
        <f t="shared" si="157"/>
        <v>0</v>
      </c>
      <c r="Z284" s="454">
        <f t="shared" si="158"/>
        <v>0</v>
      </c>
      <c r="AA284" s="456">
        <f t="shared" si="159"/>
        <v>0</v>
      </c>
      <c r="AB284" s="585">
        <f t="shared" si="160"/>
        <v>0</v>
      </c>
      <c r="AC284" s="465" t="s">
        <v>315</v>
      </c>
      <c r="AD284" s="466">
        <v>0</v>
      </c>
    </row>
    <row r="285" spans="2:30" ht="13.5" customHeight="1" x14ac:dyDescent="0.25">
      <c r="B285" s="467"/>
      <c r="C285" s="468"/>
      <c r="D285" s="454"/>
      <c r="E285" s="454"/>
      <c r="F285" s="584"/>
      <c r="G285" s="454"/>
      <c r="H285" s="584"/>
      <c r="I285" s="584"/>
      <c r="J285" s="584"/>
      <c r="K285" s="584"/>
      <c r="L285" s="456">
        <f t="shared" si="144"/>
        <v>0</v>
      </c>
      <c r="M285" s="457">
        <f t="shared" si="145"/>
        <v>0</v>
      </c>
      <c r="N285" s="458">
        <f t="shared" si="146"/>
        <v>0</v>
      </c>
      <c r="O285" s="458">
        <f t="shared" si="147"/>
        <v>0</v>
      </c>
      <c r="P285" s="458">
        <f t="shared" si="148"/>
        <v>0</v>
      </c>
      <c r="Q285" s="459">
        <f t="shared" si="149"/>
        <v>0</v>
      </c>
      <c r="R285" s="460">
        <f t="shared" si="150"/>
        <v>0</v>
      </c>
      <c r="S285" s="461">
        <f t="shared" si="151"/>
        <v>0</v>
      </c>
      <c r="T285" s="461">
        <f t="shared" si="152"/>
        <v>0</v>
      </c>
      <c r="U285" s="454">
        <f t="shared" si="153"/>
        <v>0</v>
      </c>
      <c r="V285" s="454">
        <f t="shared" si="154"/>
        <v>0</v>
      </c>
      <c r="W285" s="454">
        <f t="shared" si="155"/>
        <v>0</v>
      </c>
      <c r="X285" s="454">
        <f t="shared" si="156"/>
        <v>0</v>
      </c>
      <c r="Y285" s="454">
        <f t="shared" si="157"/>
        <v>0</v>
      </c>
      <c r="Z285" s="454">
        <f t="shared" si="158"/>
        <v>0</v>
      </c>
      <c r="AA285" s="456">
        <f t="shared" si="159"/>
        <v>0</v>
      </c>
      <c r="AB285" s="585">
        <f t="shared" si="160"/>
        <v>0</v>
      </c>
      <c r="AC285" s="469" t="s">
        <v>194</v>
      </c>
      <c r="AD285" s="466">
        <f>D312</f>
        <v>0</v>
      </c>
    </row>
    <row r="286" spans="2:30" ht="13.5" customHeight="1" x14ac:dyDescent="0.25">
      <c r="B286" s="467"/>
      <c r="C286" s="468"/>
      <c r="D286" s="454"/>
      <c r="E286" s="454"/>
      <c r="F286" s="584"/>
      <c r="G286" s="454"/>
      <c r="H286" s="584"/>
      <c r="I286" s="584"/>
      <c r="J286" s="584"/>
      <c r="K286" s="584"/>
      <c r="L286" s="456">
        <f t="shared" si="144"/>
        <v>0</v>
      </c>
      <c r="M286" s="457">
        <f t="shared" si="145"/>
        <v>0</v>
      </c>
      <c r="N286" s="458">
        <f t="shared" si="146"/>
        <v>0</v>
      </c>
      <c r="O286" s="458">
        <f t="shared" si="147"/>
        <v>0</v>
      </c>
      <c r="P286" s="458">
        <f t="shared" si="148"/>
        <v>0</v>
      </c>
      <c r="Q286" s="459">
        <f t="shared" si="149"/>
        <v>0</v>
      </c>
      <c r="R286" s="460">
        <f t="shared" si="150"/>
        <v>0</v>
      </c>
      <c r="S286" s="461">
        <f t="shared" si="151"/>
        <v>0</v>
      </c>
      <c r="T286" s="461">
        <f t="shared" si="152"/>
        <v>0</v>
      </c>
      <c r="U286" s="454">
        <f t="shared" si="153"/>
        <v>0</v>
      </c>
      <c r="V286" s="454">
        <f t="shared" si="154"/>
        <v>0</v>
      </c>
      <c r="W286" s="454">
        <f t="shared" si="155"/>
        <v>0</v>
      </c>
      <c r="X286" s="454">
        <f t="shared" si="156"/>
        <v>0</v>
      </c>
      <c r="Y286" s="454">
        <f t="shared" si="157"/>
        <v>0</v>
      </c>
      <c r="Z286" s="454">
        <f t="shared" si="158"/>
        <v>0</v>
      </c>
      <c r="AA286" s="456">
        <f t="shared" si="159"/>
        <v>0</v>
      </c>
      <c r="AB286" s="585">
        <f t="shared" si="160"/>
        <v>0</v>
      </c>
      <c r="AC286" s="469" t="s">
        <v>197</v>
      </c>
      <c r="AD286" s="466">
        <f>E312</f>
        <v>0</v>
      </c>
    </row>
    <row r="287" spans="2:30" ht="13.5" customHeight="1" x14ac:dyDescent="0.25">
      <c r="B287" s="467"/>
      <c r="C287" s="468"/>
      <c r="D287" s="454"/>
      <c r="E287" s="454"/>
      <c r="F287" s="584"/>
      <c r="G287" s="454"/>
      <c r="H287" s="584"/>
      <c r="I287" s="584"/>
      <c r="J287" s="584"/>
      <c r="K287" s="584"/>
      <c r="L287" s="456">
        <f t="shared" si="144"/>
        <v>0</v>
      </c>
      <c r="M287" s="457">
        <f t="shared" si="145"/>
        <v>0</v>
      </c>
      <c r="N287" s="458">
        <f t="shared" si="146"/>
        <v>0</v>
      </c>
      <c r="O287" s="458">
        <f t="shared" si="147"/>
        <v>0</v>
      </c>
      <c r="P287" s="458">
        <f t="shared" si="148"/>
        <v>0</v>
      </c>
      <c r="Q287" s="459">
        <f t="shared" si="149"/>
        <v>0</v>
      </c>
      <c r="R287" s="460">
        <f t="shared" si="150"/>
        <v>0</v>
      </c>
      <c r="S287" s="461">
        <f t="shared" si="151"/>
        <v>0</v>
      </c>
      <c r="T287" s="461">
        <f t="shared" si="152"/>
        <v>0</v>
      </c>
      <c r="U287" s="454">
        <f t="shared" si="153"/>
        <v>0</v>
      </c>
      <c r="V287" s="454">
        <f t="shared" si="154"/>
        <v>0</v>
      </c>
      <c r="W287" s="454">
        <f t="shared" si="155"/>
        <v>0</v>
      </c>
      <c r="X287" s="454">
        <f t="shared" si="156"/>
        <v>0</v>
      </c>
      <c r="Y287" s="454">
        <f t="shared" si="157"/>
        <v>0</v>
      </c>
      <c r="Z287" s="454">
        <f t="shared" si="158"/>
        <v>0</v>
      </c>
      <c r="AA287" s="456">
        <f t="shared" si="159"/>
        <v>0</v>
      </c>
      <c r="AB287" s="585">
        <f t="shared" si="160"/>
        <v>0</v>
      </c>
      <c r="AC287" s="469" t="s">
        <v>211</v>
      </c>
      <c r="AD287" s="466">
        <f>SUM(H312:K312)</f>
        <v>0</v>
      </c>
    </row>
    <row r="288" spans="2:30" ht="13.5" customHeight="1" x14ac:dyDescent="0.25">
      <c r="B288" s="467"/>
      <c r="C288" s="468"/>
      <c r="D288" s="431"/>
      <c r="E288" s="454"/>
      <c r="F288" s="584"/>
      <c r="G288" s="454"/>
      <c r="H288" s="584"/>
      <c r="I288" s="584"/>
      <c r="J288" s="584"/>
      <c r="K288" s="584"/>
      <c r="L288" s="456">
        <f t="shared" si="144"/>
        <v>0</v>
      </c>
      <c r="M288" s="457">
        <f t="shared" si="145"/>
        <v>0</v>
      </c>
      <c r="N288" s="458">
        <f t="shared" si="146"/>
        <v>0</v>
      </c>
      <c r="O288" s="458">
        <f t="shared" si="147"/>
        <v>0</v>
      </c>
      <c r="P288" s="458">
        <f t="shared" si="148"/>
        <v>0</v>
      </c>
      <c r="Q288" s="459">
        <f t="shared" si="149"/>
        <v>0</v>
      </c>
      <c r="R288" s="460">
        <f t="shared" si="150"/>
        <v>0</v>
      </c>
      <c r="S288" s="461">
        <f t="shared" si="151"/>
        <v>0</v>
      </c>
      <c r="T288" s="461">
        <f t="shared" si="152"/>
        <v>0</v>
      </c>
      <c r="U288" s="454">
        <f t="shared" si="153"/>
        <v>0</v>
      </c>
      <c r="V288" s="454">
        <f t="shared" si="154"/>
        <v>0</v>
      </c>
      <c r="W288" s="454">
        <f t="shared" si="155"/>
        <v>0</v>
      </c>
      <c r="X288" s="454">
        <f t="shared" si="156"/>
        <v>0</v>
      </c>
      <c r="Y288" s="454">
        <f t="shared" si="157"/>
        <v>0</v>
      </c>
      <c r="Z288" s="454">
        <f t="shared" si="158"/>
        <v>0</v>
      </c>
      <c r="AA288" s="456">
        <f t="shared" si="159"/>
        <v>0</v>
      </c>
      <c r="AB288" s="585">
        <f t="shared" si="160"/>
        <v>0</v>
      </c>
      <c r="AC288" s="465" t="s">
        <v>209</v>
      </c>
      <c r="AD288" s="466">
        <f>SUM(M312:O312)</f>
        <v>0</v>
      </c>
    </row>
    <row r="289" spans="2:30" ht="13.5" customHeight="1" x14ac:dyDescent="0.25">
      <c r="B289" s="467"/>
      <c r="C289" s="468"/>
      <c r="D289" s="431"/>
      <c r="E289" s="454"/>
      <c r="F289" s="584"/>
      <c r="G289" s="454"/>
      <c r="H289" s="584"/>
      <c r="I289" s="584"/>
      <c r="J289" s="584"/>
      <c r="K289" s="584"/>
      <c r="L289" s="456">
        <f t="shared" si="144"/>
        <v>0</v>
      </c>
      <c r="M289" s="457">
        <f t="shared" si="145"/>
        <v>0</v>
      </c>
      <c r="N289" s="458">
        <f t="shared" si="146"/>
        <v>0</v>
      </c>
      <c r="O289" s="458">
        <f t="shared" si="147"/>
        <v>0</v>
      </c>
      <c r="P289" s="458">
        <f t="shared" si="148"/>
        <v>0</v>
      </c>
      <c r="Q289" s="459">
        <f t="shared" si="149"/>
        <v>0</v>
      </c>
      <c r="R289" s="460">
        <f t="shared" si="150"/>
        <v>0</v>
      </c>
      <c r="S289" s="461">
        <f t="shared" si="151"/>
        <v>0</v>
      </c>
      <c r="T289" s="461">
        <f t="shared" si="152"/>
        <v>0</v>
      </c>
      <c r="U289" s="454">
        <f t="shared" si="153"/>
        <v>0</v>
      </c>
      <c r="V289" s="454">
        <f t="shared" si="154"/>
        <v>0</v>
      </c>
      <c r="W289" s="454">
        <f t="shared" si="155"/>
        <v>0</v>
      </c>
      <c r="X289" s="454">
        <f t="shared" si="156"/>
        <v>0</v>
      </c>
      <c r="Y289" s="454">
        <f t="shared" si="157"/>
        <v>0</v>
      </c>
      <c r="Z289" s="454">
        <f t="shared" si="158"/>
        <v>0</v>
      </c>
      <c r="AA289" s="456">
        <f t="shared" si="159"/>
        <v>0</v>
      </c>
      <c r="AB289" s="585">
        <f t="shared" si="160"/>
        <v>0</v>
      </c>
      <c r="AC289" s="465" t="s">
        <v>36</v>
      </c>
      <c r="AD289" s="466">
        <f>P312</f>
        <v>0</v>
      </c>
    </row>
    <row r="290" spans="2:30" ht="13.5" customHeight="1" x14ac:dyDescent="0.25">
      <c r="B290" s="586"/>
      <c r="C290" s="468"/>
      <c r="D290" s="454"/>
      <c r="E290" s="454"/>
      <c r="F290" s="584"/>
      <c r="G290" s="454"/>
      <c r="H290" s="584"/>
      <c r="I290" s="584"/>
      <c r="J290" s="584"/>
      <c r="K290" s="584"/>
      <c r="L290" s="456">
        <f t="shared" si="144"/>
        <v>0</v>
      </c>
      <c r="M290" s="457">
        <f t="shared" si="145"/>
        <v>0</v>
      </c>
      <c r="N290" s="458">
        <f t="shared" si="146"/>
        <v>0</v>
      </c>
      <c r="O290" s="458">
        <f t="shared" si="147"/>
        <v>0</v>
      </c>
      <c r="P290" s="458">
        <f t="shared" si="148"/>
        <v>0</v>
      </c>
      <c r="Q290" s="459">
        <f t="shared" si="149"/>
        <v>0</v>
      </c>
      <c r="R290" s="460">
        <f t="shared" si="150"/>
        <v>0</v>
      </c>
      <c r="S290" s="461">
        <f t="shared" si="151"/>
        <v>0</v>
      </c>
      <c r="T290" s="461">
        <f t="shared" si="152"/>
        <v>0</v>
      </c>
      <c r="U290" s="454">
        <f t="shared" si="153"/>
        <v>0</v>
      </c>
      <c r="V290" s="454">
        <f t="shared" si="154"/>
        <v>0</v>
      </c>
      <c r="W290" s="454">
        <f t="shared" si="155"/>
        <v>0</v>
      </c>
      <c r="X290" s="454">
        <f t="shared" si="156"/>
        <v>0</v>
      </c>
      <c r="Y290" s="454">
        <f t="shared" si="157"/>
        <v>0</v>
      </c>
      <c r="Z290" s="454">
        <f t="shared" si="158"/>
        <v>0</v>
      </c>
      <c r="AA290" s="456">
        <f t="shared" si="159"/>
        <v>0</v>
      </c>
      <c r="AB290" s="585">
        <f t="shared" si="160"/>
        <v>0</v>
      </c>
      <c r="AC290" s="469" t="s">
        <v>212</v>
      </c>
      <c r="AD290" s="466">
        <f>SUM(R312:Z312)</f>
        <v>0</v>
      </c>
    </row>
    <row r="291" spans="2:30" ht="14.25" customHeight="1" x14ac:dyDescent="0.25">
      <c r="B291" s="586"/>
      <c r="C291" s="468"/>
      <c r="D291" s="454"/>
      <c r="E291" s="454"/>
      <c r="F291" s="584"/>
      <c r="G291" s="454"/>
      <c r="H291" s="584"/>
      <c r="I291" s="584"/>
      <c r="J291" s="584"/>
      <c r="K291" s="584"/>
      <c r="L291" s="456">
        <f t="shared" si="144"/>
        <v>0</v>
      </c>
      <c r="M291" s="457">
        <f t="shared" si="145"/>
        <v>0</v>
      </c>
      <c r="N291" s="458">
        <f t="shared" si="146"/>
        <v>0</v>
      </c>
      <c r="O291" s="458">
        <f t="shared" si="147"/>
        <v>0</v>
      </c>
      <c r="P291" s="458">
        <f t="shared" si="148"/>
        <v>0</v>
      </c>
      <c r="Q291" s="459">
        <f t="shared" si="149"/>
        <v>0</v>
      </c>
      <c r="R291" s="460">
        <f t="shared" si="150"/>
        <v>0</v>
      </c>
      <c r="S291" s="461">
        <f t="shared" si="151"/>
        <v>0</v>
      </c>
      <c r="T291" s="461">
        <f t="shared" si="152"/>
        <v>0</v>
      </c>
      <c r="U291" s="454">
        <f t="shared" si="153"/>
        <v>0</v>
      </c>
      <c r="V291" s="454">
        <f t="shared" si="154"/>
        <v>0</v>
      </c>
      <c r="W291" s="454">
        <f t="shared" si="155"/>
        <v>0</v>
      </c>
      <c r="X291" s="454">
        <f t="shared" si="156"/>
        <v>0</v>
      </c>
      <c r="Y291" s="454">
        <f t="shared" si="157"/>
        <v>0</v>
      </c>
      <c r="Z291" s="454">
        <f t="shared" si="158"/>
        <v>0</v>
      </c>
      <c r="AA291" s="456">
        <f t="shared" si="159"/>
        <v>0</v>
      </c>
      <c r="AB291" s="585">
        <f t="shared" si="160"/>
        <v>0</v>
      </c>
      <c r="AC291" s="483" t="s">
        <v>13</v>
      </c>
      <c r="AD291" s="484">
        <f>SUM(AD282:AD290)</f>
        <v>0</v>
      </c>
    </row>
    <row r="292" spans="2:30" ht="13.5" customHeight="1" x14ac:dyDescent="0.25">
      <c r="B292" s="586"/>
      <c r="C292" s="468"/>
      <c r="D292" s="454"/>
      <c r="E292" s="454"/>
      <c r="F292" s="584"/>
      <c r="G292" s="454"/>
      <c r="H292" s="584"/>
      <c r="I292" s="584"/>
      <c r="J292" s="584"/>
      <c r="K292" s="584"/>
      <c r="L292" s="456">
        <f t="shared" si="144"/>
        <v>0</v>
      </c>
      <c r="M292" s="457">
        <f t="shared" si="145"/>
        <v>0</v>
      </c>
      <c r="N292" s="458">
        <f t="shared" si="146"/>
        <v>0</v>
      </c>
      <c r="O292" s="458">
        <f t="shared" si="147"/>
        <v>0</v>
      </c>
      <c r="P292" s="458">
        <f t="shared" si="148"/>
        <v>0</v>
      </c>
      <c r="Q292" s="459">
        <f t="shared" si="149"/>
        <v>0</v>
      </c>
      <c r="R292" s="460">
        <f t="shared" si="150"/>
        <v>0</v>
      </c>
      <c r="S292" s="461">
        <f t="shared" si="151"/>
        <v>0</v>
      </c>
      <c r="T292" s="461">
        <f t="shared" si="152"/>
        <v>0</v>
      </c>
      <c r="U292" s="454">
        <f t="shared" si="153"/>
        <v>0</v>
      </c>
      <c r="V292" s="454">
        <f t="shared" si="154"/>
        <v>0</v>
      </c>
      <c r="W292" s="454">
        <f t="shared" si="155"/>
        <v>0</v>
      </c>
      <c r="X292" s="454">
        <f t="shared" si="156"/>
        <v>0</v>
      </c>
      <c r="Y292" s="454">
        <f t="shared" si="157"/>
        <v>0</v>
      </c>
      <c r="Z292" s="454">
        <f t="shared" si="158"/>
        <v>0</v>
      </c>
      <c r="AA292" s="456">
        <f t="shared" si="159"/>
        <v>0</v>
      </c>
      <c r="AB292" s="587">
        <f t="shared" si="160"/>
        <v>0</v>
      </c>
    </row>
    <row r="293" spans="2:30" ht="13.5" customHeight="1" x14ac:dyDescent="0.25">
      <c r="B293" s="586"/>
      <c r="C293" s="468"/>
      <c r="D293" s="454"/>
      <c r="E293" s="454"/>
      <c r="F293" s="584"/>
      <c r="G293" s="454"/>
      <c r="H293" s="584"/>
      <c r="I293" s="584"/>
      <c r="J293" s="584"/>
      <c r="K293" s="584"/>
      <c r="L293" s="456">
        <f t="shared" si="144"/>
        <v>0</v>
      </c>
      <c r="M293" s="457">
        <f t="shared" si="145"/>
        <v>0</v>
      </c>
      <c r="N293" s="458">
        <f t="shared" si="146"/>
        <v>0</v>
      </c>
      <c r="O293" s="458">
        <f t="shared" si="147"/>
        <v>0</v>
      </c>
      <c r="P293" s="458">
        <f t="shared" si="148"/>
        <v>0</v>
      </c>
      <c r="Q293" s="459">
        <f t="shared" si="149"/>
        <v>0</v>
      </c>
      <c r="R293" s="460">
        <f t="shared" si="150"/>
        <v>0</v>
      </c>
      <c r="S293" s="461">
        <f t="shared" si="151"/>
        <v>0</v>
      </c>
      <c r="T293" s="461">
        <f t="shared" si="152"/>
        <v>0</v>
      </c>
      <c r="U293" s="454">
        <f t="shared" si="153"/>
        <v>0</v>
      </c>
      <c r="V293" s="454">
        <f t="shared" si="154"/>
        <v>0</v>
      </c>
      <c r="W293" s="454">
        <f t="shared" si="155"/>
        <v>0</v>
      </c>
      <c r="X293" s="454">
        <f t="shared" si="156"/>
        <v>0</v>
      </c>
      <c r="Y293" s="454">
        <f t="shared" si="157"/>
        <v>0</v>
      </c>
      <c r="Z293" s="454">
        <f t="shared" si="158"/>
        <v>0</v>
      </c>
      <c r="AA293" s="456">
        <f t="shared" si="159"/>
        <v>0</v>
      </c>
      <c r="AB293" s="587">
        <f t="shared" si="160"/>
        <v>0</v>
      </c>
    </row>
    <row r="294" spans="2:30" ht="13.5" customHeight="1" x14ac:dyDescent="0.25">
      <c r="B294" s="586"/>
      <c r="C294" s="468"/>
      <c r="D294" s="454"/>
      <c r="E294" s="454"/>
      <c r="F294" s="584"/>
      <c r="G294" s="454"/>
      <c r="H294" s="584"/>
      <c r="I294" s="584"/>
      <c r="J294" s="584"/>
      <c r="K294" s="584"/>
      <c r="L294" s="456">
        <f t="shared" si="144"/>
        <v>0</v>
      </c>
      <c r="M294" s="457">
        <f t="shared" si="145"/>
        <v>0</v>
      </c>
      <c r="N294" s="458">
        <f t="shared" si="146"/>
        <v>0</v>
      </c>
      <c r="O294" s="458">
        <f t="shared" si="147"/>
        <v>0</v>
      </c>
      <c r="P294" s="458">
        <f t="shared" si="148"/>
        <v>0</v>
      </c>
      <c r="Q294" s="459">
        <f t="shared" si="149"/>
        <v>0</v>
      </c>
      <c r="R294" s="460">
        <f t="shared" si="150"/>
        <v>0</v>
      </c>
      <c r="S294" s="461">
        <f t="shared" si="151"/>
        <v>0</v>
      </c>
      <c r="T294" s="461">
        <f t="shared" si="152"/>
        <v>0</v>
      </c>
      <c r="U294" s="454">
        <f t="shared" si="153"/>
        <v>0</v>
      </c>
      <c r="V294" s="454">
        <f t="shared" si="154"/>
        <v>0</v>
      </c>
      <c r="W294" s="454">
        <f t="shared" si="155"/>
        <v>0</v>
      </c>
      <c r="X294" s="454">
        <f t="shared" si="156"/>
        <v>0</v>
      </c>
      <c r="Y294" s="454">
        <f t="shared" si="157"/>
        <v>0</v>
      </c>
      <c r="Z294" s="454">
        <f t="shared" si="158"/>
        <v>0</v>
      </c>
      <c r="AA294" s="456">
        <f t="shared" si="159"/>
        <v>0</v>
      </c>
      <c r="AB294" s="587">
        <f t="shared" si="160"/>
        <v>0</v>
      </c>
    </row>
    <row r="295" spans="2:30" ht="13.5" customHeight="1" x14ac:dyDescent="0.25">
      <c r="B295" s="586"/>
      <c r="C295" s="468"/>
      <c r="D295" s="454"/>
      <c r="E295" s="454"/>
      <c r="F295" s="584"/>
      <c r="G295" s="454"/>
      <c r="H295" s="584"/>
      <c r="I295" s="584"/>
      <c r="J295" s="584"/>
      <c r="K295" s="584"/>
      <c r="L295" s="456">
        <f t="shared" si="144"/>
        <v>0</v>
      </c>
      <c r="M295" s="457">
        <f t="shared" si="145"/>
        <v>0</v>
      </c>
      <c r="N295" s="458">
        <f t="shared" si="146"/>
        <v>0</v>
      </c>
      <c r="O295" s="458">
        <f t="shared" si="147"/>
        <v>0</v>
      </c>
      <c r="P295" s="458">
        <f t="shared" si="148"/>
        <v>0</v>
      </c>
      <c r="Q295" s="459">
        <f t="shared" si="149"/>
        <v>0</v>
      </c>
      <c r="R295" s="460">
        <f t="shared" si="150"/>
        <v>0</v>
      </c>
      <c r="S295" s="461">
        <f t="shared" si="151"/>
        <v>0</v>
      </c>
      <c r="T295" s="461">
        <f t="shared" si="152"/>
        <v>0</v>
      </c>
      <c r="U295" s="454">
        <f t="shared" si="153"/>
        <v>0</v>
      </c>
      <c r="V295" s="454">
        <f t="shared" si="154"/>
        <v>0</v>
      </c>
      <c r="W295" s="454">
        <f t="shared" si="155"/>
        <v>0</v>
      </c>
      <c r="X295" s="454">
        <f t="shared" si="156"/>
        <v>0</v>
      </c>
      <c r="Y295" s="454">
        <f t="shared" si="157"/>
        <v>0</v>
      </c>
      <c r="Z295" s="454">
        <f t="shared" si="158"/>
        <v>0</v>
      </c>
      <c r="AA295" s="456">
        <f t="shared" si="159"/>
        <v>0</v>
      </c>
      <c r="AB295" s="587">
        <f t="shared" si="160"/>
        <v>0</v>
      </c>
    </row>
    <row r="296" spans="2:30" ht="13.5" customHeight="1" x14ac:dyDescent="0.25">
      <c r="B296" s="586"/>
      <c r="C296" s="468"/>
      <c r="D296" s="454"/>
      <c r="E296" s="454"/>
      <c r="F296" s="584"/>
      <c r="G296" s="454"/>
      <c r="H296" s="584"/>
      <c r="I296" s="584"/>
      <c r="J296" s="584"/>
      <c r="K296" s="584"/>
      <c r="L296" s="456">
        <f t="shared" si="144"/>
        <v>0</v>
      </c>
      <c r="M296" s="457">
        <f t="shared" si="145"/>
        <v>0</v>
      </c>
      <c r="N296" s="458">
        <f t="shared" si="146"/>
        <v>0</v>
      </c>
      <c r="O296" s="458">
        <f t="shared" si="147"/>
        <v>0</v>
      </c>
      <c r="P296" s="458">
        <f t="shared" si="148"/>
        <v>0</v>
      </c>
      <c r="Q296" s="459">
        <f t="shared" si="149"/>
        <v>0</v>
      </c>
      <c r="R296" s="460">
        <f t="shared" si="150"/>
        <v>0</v>
      </c>
      <c r="S296" s="461">
        <f t="shared" si="151"/>
        <v>0</v>
      </c>
      <c r="T296" s="461">
        <f t="shared" si="152"/>
        <v>0</v>
      </c>
      <c r="U296" s="454">
        <f t="shared" si="153"/>
        <v>0</v>
      </c>
      <c r="V296" s="454">
        <f t="shared" si="154"/>
        <v>0</v>
      </c>
      <c r="W296" s="454">
        <f t="shared" si="155"/>
        <v>0</v>
      </c>
      <c r="X296" s="454">
        <f t="shared" si="156"/>
        <v>0</v>
      </c>
      <c r="Y296" s="454">
        <f t="shared" si="157"/>
        <v>0</v>
      </c>
      <c r="Z296" s="454">
        <f t="shared" si="158"/>
        <v>0</v>
      </c>
      <c r="AA296" s="456">
        <f t="shared" si="159"/>
        <v>0</v>
      </c>
      <c r="AB296" s="587">
        <f t="shared" si="160"/>
        <v>0</v>
      </c>
    </row>
    <row r="297" spans="2:30" ht="13.5" customHeight="1" x14ac:dyDescent="0.25">
      <c r="B297" s="586"/>
      <c r="C297" s="468"/>
      <c r="D297" s="454"/>
      <c r="E297" s="454"/>
      <c r="F297" s="584"/>
      <c r="G297" s="454"/>
      <c r="H297" s="584"/>
      <c r="I297" s="584"/>
      <c r="J297" s="584"/>
      <c r="K297" s="584"/>
      <c r="L297" s="456">
        <f t="shared" si="144"/>
        <v>0</v>
      </c>
      <c r="M297" s="457">
        <f t="shared" si="145"/>
        <v>0</v>
      </c>
      <c r="N297" s="458">
        <f t="shared" si="146"/>
        <v>0</v>
      </c>
      <c r="O297" s="458">
        <f t="shared" si="147"/>
        <v>0</v>
      </c>
      <c r="P297" s="458">
        <f t="shared" si="148"/>
        <v>0</v>
      </c>
      <c r="Q297" s="459">
        <f t="shared" si="149"/>
        <v>0</v>
      </c>
      <c r="R297" s="460">
        <f t="shared" si="150"/>
        <v>0</v>
      </c>
      <c r="S297" s="461">
        <f t="shared" si="151"/>
        <v>0</v>
      </c>
      <c r="T297" s="461">
        <f t="shared" si="152"/>
        <v>0</v>
      </c>
      <c r="U297" s="454">
        <f t="shared" si="153"/>
        <v>0</v>
      </c>
      <c r="V297" s="454">
        <f t="shared" si="154"/>
        <v>0</v>
      </c>
      <c r="W297" s="454">
        <f t="shared" si="155"/>
        <v>0</v>
      </c>
      <c r="X297" s="454">
        <f t="shared" si="156"/>
        <v>0</v>
      </c>
      <c r="Y297" s="454">
        <f t="shared" si="157"/>
        <v>0</v>
      </c>
      <c r="Z297" s="454">
        <f t="shared" si="158"/>
        <v>0</v>
      </c>
      <c r="AA297" s="456">
        <f t="shared" si="159"/>
        <v>0</v>
      </c>
      <c r="AB297" s="587">
        <f t="shared" si="160"/>
        <v>0</v>
      </c>
    </row>
    <row r="298" spans="2:30" ht="13.5" customHeight="1" x14ac:dyDescent="0.25">
      <c r="B298" s="586"/>
      <c r="C298" s="468"/>
      <c r="D298" s="454"/>
      <c r="E298" s="454"/>
      <c r="F298" s="584"/>
      <c r="G298" s="454"/>
      <c r="H298" s="584"/>
      <c r="I298" s="584"/>
      <c r="J298" s="584"/>
      <c r="K298" s="584"/>
      <c r="L298" s="456">
        <f t="shared" si="144"/>
        <v>0</v>
      </c>
      <c r="M298" s="457">
        <f t="shared" si="145"/>
        <v>0</v>
      </c>
      <c r="N298" s="458">
        <f t="shared" si="146"/>
        <v>0</v>
      </c>
      <c r="O298" s="458">
        <f t="shared" si="147"/>
        <v>0</v>
      </c>
      <c r="P298" s="458">
        <f t="shared" si="148"/>
        <v>0</v>
      </c>
      <c r="Q298" s="459">
        <f t="shared" si="149"/>
        <v>0</v>
      </c>
      <c r="R298" s="460">
        <f t="shared" si="150"/>
        <v>0</v>
      </c>
      <c r="S298" s="461">
        <f t="shared" si="151"/>
        <v>0</v>
      </c>
      <c r="T298" s="461">
        <f t="shared" si="152"/>
        <v>0</v>
      </c>
      <c r="U298" s="454">
        <f t="shared" si="153"/>
        <v>0</v>
      </c>
      <c r="V298" s="454">
        <f t="shared" si="154"/>
        <v>0</v>
      </c>
      <c r="W298" s="454">
        <f t="shared" si="155"/>
        <v>0</v>
      </c>
      <c r="X298" s="454">
        <f t="shared" si="156"/>
        <v>0</v>
      </c>
      <c r="Y298" s="454">
        <f t="shared" si="157"/>
        <v>0</v>
      </c>
      <c r="Z298" s="454">
        <f t="shared" si="158"/>
        <v>0</v>
      </c>
      <c r="AA298" s="456">
        <f t="shared" si="159"/>
        <v>0</v>
      </c>
      <c r="AB298" s="587">
        <f t="shared" si="160"/>
        <v>0</v>
      </c>
    </row>
    <row r="299" spans="2:30" ht="13.5" customHeight="1" x14ac:dyDescent="0.25">
      <c r="B299" s="586"/>
      <c r="C299" s="468"/>
      <c r="D299" s="454"/>
      <c r="E299" s="454"/>
      <c r="F299" s="584"/>
      <c r="G299" s="454"/>
      <c r="H299" s="584"/>
      <c r="I299" s="584"/>
      <c r="J299" s="584"/>
      <c r="K299" s="584"/>
      <c r="L299" s="456">
        <f t="shared" si="144"/>
        <v>0</v>
      </c>
      <c r="M299" s="457">
        <f t="shared" si="145"/>
        <v>0</v>
      </c>
      <c r="N299" s="458">
        <f t="shared" si="146"/>
        <v>0</v>
      </c>
      <c r="O299" s="458">
        <f t="shared" si="147"/>
        <v>0</v>
      </c>
      <c r="P299" s="458">
        <f t="shared" si="148"/>
        <v>0</v>
      </c>
      <c r="Q299" s="459">
        <f t="shared" si="149"/>
        <v>0</v>
      </c>
      <c r="R299" s="460">
        <f t="shared" si="150"/>
        <v>0</v>
      </c>
      <c r="S299" s="461">
        <f t="shared" si="151"/>
        <v>0</v>
      </c>
      <c r="T299" s="461">
        <f t="shared" si="152"/>
        <v>0</v>
      </c>
      <c r="U299" s="454">
        <f t="shared" si="153"/>
        <v>0</v>
      </c>
      <c r="V299" s="454">
        <f t="shared" si="154"/>
        <v>0</v>
      </c>
      <c r="W299" s="454">
        <f t="shared" si="155"/>
        <v>0</v>
      </c>
      <c r="X299" s="454">
        <f t="shared" si="156"/>
        <v>0</v>
      </c>
      <c r="Y299" s="454">
        <f t="shared" si="157"/>
        <v>0</v>
      </c>
      <c r="Z299" s="454">
        <f t="shared" si="158"/>
        <v>0</v>
      </c>
      <c r="AA299" s="456">
        <f t="shared" si="159"/>
        <v>0</v>
      </c>
      <c r="AB299" s="587">
        <f t="shared" si="160"/>
        <v>0</v>
      </c>
    </row>
    <row r="300" spans="2:30" ht="13.5" customHeight="1" x14ac:dyDescent="0.25">
      <c r="B300" s="586"/>
      <c r="C300" s="468"/>
      <c r="D300" s="454"/>
      <c r="E300" s="454"/>
      <c r="F300" s="588"/>
      <c r="G300" s="454"/>
      <c r="H300" s="584"/>
      <c r="I300" s="584"/>
      <c r="J300" s="584"/>
      <c r="K300" s="584"/>
      <c r="L300" s="456">
        <f t="shared" si="144"/>
        <v>0</v>
      </c>
      <c r="M300" s="457">
        <f t="shared" si="145"/>
        <v>0</v>
      </c>
      <c r="N300" s="458">
        <f t="shared" si="146"/>
        <v>0</v>
      </c>
      <c r="O300" s="458">
        <f t="shared" si="147"/>
        <v>0</v>
      </c>
      <c r="P300" s="458">
        <f t="shared" si="148"/>
        <v>0</v>
      </c>
      <c r="Q300" s="459">
        <f t="shared" si="149"/>
        <v>0</v>
      </c>
      <c r="R300" s="460">
        <f t="shared" si="150"/>
        <v>0</v>
      </c>
      <c r="S300" s="461">
        <f t="shared" si="151"/>
        <v>0</v>
      </c>
      <c r="T300" s="461">
        <f t="shared" si="152"/>
        <v>0</v>
      </c>
      <c r="U300" s="454">
        <f t="shared" si="153"/>
        <v>0</v>
      </c>
      <c r="V300" s="454">
        <f t="shared" si="154"/>
        <v>0</v>
      </c>
      <c r="W300" s="454">
        <f t="shared" si="155"/>
        <v>0</v>
      </c>
      <c r="X300" s="454">
        <f t="shared" si="156"/>
        <v>0</v>
      </c>
      <c r="Y300" s="454">
        <f t="shared" si="157"/>
        <v>0</v>
      </c>
      <c r="Z300" s="454">
        <f t="shared" si="158"/>
        <v>0</v>
      </c>
      <c r="AA300" s="456">
        <f t="shared" si="159"/>
        <v>0</v>
      </c>
      <c r="AB300" s="587">
        <f t="shared" si="160"/>
        <v>0</v>
      </c>
    </row>
    <row r="301" spans="2:30" ht="13.5" customHeight="1" x14ac:dyDescent="0.25">
      <c r="B301" s="586"/>
      <c r="C301" s="468"/>
      <c r="D301" s="454"/>
      <c r="E301" s="454"/>
      <c r="F301" s="584"/>
      <c r="G301" s="454"/>
      <c r="H301" s="584"/>
      <c r="I301" s="584"/>
      <c r="J301" s="584"/>
      <c r="K301" s="584"/>
      <c r="L301" s="456">
        <f t="shared" si="144"/>
        <v>0</v>
      </c>
      <c r="M301" s="457">
        <f t="shared" si="145"/>
        <v>0</v>
      </c>
      <c r="N301" s="458">
        <f t="shared" si="146"/>
        <v>0</v>
      </c>
      <c r="O301" s="458">
        <f t="shared" si="147"/>
        <v>0</v>
      </c>
      <c r="P301" s="458">
        <f t="shared" si="148"/>
        <v>0</v>
      </c>
      <c r="Q301" s="459">
        <f t="shared" si="149"/>
        <v>0</v>
      </c>
      <c r="R301" s="460">
        <f t="shared" si="150"/>
        <v>0</v>
      </c>
      <c r="S301" s="461">
        <f t="shared" si="151"/>
        <v>0</v>
      </c>
      <c r="T301" s="461">
        <f t="shared" si="152"/>
        <v>0</v>
      </c>
      <c r="U301" s="454">
        <f t="shared" si="153"/>
        <v>0</v>
      </c>
      <c r="V301" s="454">
        <f t="shared" si="154"/>
        <v>0</v>
      </c>
      <c r="W301" s="454">
        <f t="shared" si="155"/>
        <v>0</v>
      </c>
      <c r="X301" s="454">
        <f t="shared" si="156"/>
        <v>0</v>
      </c>
      <c r="Y301" s="454">
        <f t="shared" si="157"/>
        <v>0</v>
      </c>
      <c r="Z301" s="454">
        <f t="shared" si="158"/>
        <v>0</v>
      </c>
      <c r="AA301" s="456">
        <f t="shared" si="159"/>
        <v>0</v>
      </c>
      <c r="AB301" s="587">
        <f t="shared" si="160"/>
        <v>0</v>
      </c>
    </row>
    <row r="302" spans="2:30" ht="13.5" customHeight="1" x14ac:dyDescent="0.25">
      <c r="B302" s="586"/>
      <c r="C302" s="468"/>
      <c r="D302" s="454"/>
      <c r="E302" s="454"/>
      <c r="F302" s="584"/>
      <c r="G302" s="454"/>
      <c r="H302" s="584"/>
      <c r="I302" s="584"/>
      <c r="J302" s="584"/>
      <c r="K302" s="584"/>
      <c r="L302" s="456">
        <f t="shared" si="144"/>
        <v>0</v>
      </c>
      <c r="M302" s="457">
        <f t="shared" si="145"/>
        <v>0</v>
      </c>
      <c r="N302" s="458">
        <f t="shared" si="146"/>
        <v>0</v>
      </c>
      <c r="O302" s="458">
        <f t="shared" si="147"/>
        <v>0</v>
      </c>
      <c r="P302" s="458">
        <f t="shared" si="148"/>
        <v>0</v>
      </c>
      <c r="Q302" s="459">
        <f t="shared" si="149"/>
        <v>0</v>
      </c>
      <c r="R302" s="460">
        <f t="shared" si="150"/>
        <v>0</v>
      </c>
      <c r="S302" s="461">
        <f t="shared" si="151"/>
        <v>0</v>
      </c>
      <c r="T302" s="461">
        <f t="shared" si="152"/>
        <v>0</v>
      </c>
      <c r="U302" s="454">
        <f t="shared" si="153"/>
        <v>0</v>
      </c>
      <c r="V302" s="454">
        <f t="shared" si="154"/>
        <v>0</v>
      </c>
      <c r="W302" s="454">
        <f t="shared" si="155"/>
        <v>0</v>
      </c>
      <c r="X302" s="454">
        <f t="shared" si="156"/>
        <v>0</v>
      </c>
      <c r="Y302" s="454">
        <f t="shared" si="157"/>
        <v>0</v>
      </c>
      <c r="Z302" s="454">
        <f t="shared" si="158"/>
        <v>0</v>
      </c>
      <c r="AA302" s="456">
        <f t="shared" si="159"/>
        <v>0</v>
      </c>
      <c r="AB302" s="587">
        <f t="shared" si="160"/>
        <v>0</v>
      </c>
    </row>
    <row r="303" spans="2:30" ht="13.5" customHeight="1" x14ac:dyDescent="0.25">
      <c r="B303" s="586"/>
      <c r="C303" s="468"/>
      <c r="D303" s="454"/>
      <c r="E303" s="454"/>
      <c r="F303" s="584"/>
      <c r="G303" s="454"/>
      <c r="H303" s="584"/>
      <c r="I303" s="584"/>
      <c r="J303" s="584"/>
      <c r="K303" s="584"/>
      <c r="L303" s="456">
        <f t="shared" si="144"/>
        <v>0</v>
      </c>
      <c r="M303" s="457">
        <f t="shared" si="145"/>
        <v>0</v>
      </c>
      <c r="N303" s="458">
        <f t="shared" si="146"/>
        <v>0</v>
      </c>
      <c r="O303" s="458">
        <f t="shared" si="147"/>
        <v>0</v>
      </c>
      <c r="P303" s="458">
        <f t="shared" si="148"/>
        <v>0</v>
      </c>
      <c r="Q303" s="459">
        <f t="shared" si="149"/>
        <v>0</v>
      </c>
      <c r="R303" s="460">
        <f t="shared" si="150"/>
        <v>0</v>
      </c>
      <c r="S303" s="461">
        <f t="shared" si="151"/>
        <v>0</v>
      </c>
      <c r="T303" s="461">
        <f t="shared" si="152"/>
        <v>0</v>
      </c>
      <c r="U303" s="454">
        <f t="shared" si="153"/>
        <v>0</v>
      </c>
      <c r="V303" s="454">
        <f t="shared" si="154"/>
        <v>0</v>
      </c>
      <c r="W303" s="454">
        <f t="shared" si="155"/>
        <v>0</v>
      </c>
      <c r="X303" s="454">
        <f t="shared" si="156"/>
        <v>0</v>
      </c>
      <c r="Y303" s="454">
        <f t="shared" si="157"/>
        <v>0</v>
      </c>
      <c r="Z303" s="454">
        <f t="shared" si="158"/>
        <v>0</v>
      </c>
      <c r="AA303" s="456">
        <f t="shared" si="159"/>
        <v>0</v>
      </c>
      <c r="AB303" s="587">
        <f t="shared" si="160"/>
        <v>0</v>
      </c>
    </row>
    <row r="304" spans="2:30" ht="13.5" customHeight="1" x14ac:dyDescent="0.25">
      <c r="B304" s="586"/>
      <c r="C304" s="468"/>
      <c r="D304" s="454"/>
      <c r="E304" s="454"/>
      <c r="F304" s="584"/>
      <c r="G304" s="454"/>
      <c r="H304" s="584"/>
      <c r="I304" s="584"/>
      <c r="J304" s="584"/>
      <c r="K304" s="584"/>
      <c r="L304" s="456">
        <f t="shared" si="144"/>
        <v>0</v>
      </c>
      <c r="M304" s="457">
        <f t="shared" si="145"/>
        <v>0</v>
      </c>
      <c r="N304" s="458">
        <f t="shared" si="146"/>
        <v>0</v>
      </c>
      <c r="O304" s="458">
        <f t="shared" si="147"/>
        <v>0</v>
      </c>
      <c r="P304" s="458">
        <f t="shared" si="148"/>
        <v>0</v>
      </c>
      <c r="Q304" s="459">
        <f t="shared" si="149"/>
        <v>0</v>
      </c>
      <c r="R304" s="460">
        <f t="shared" si="150"/>
        <v>0</v>
      </c>
      <c r="S304" s="461">
        <f t="shared" si="151"/>
        <v>0</v>
      </c>
      <c r="T304" s="461">
        <f t="shared" si="152"/>
        <v>0</v>
      </c>
      <c r="U304" s="454">
        <f t="shared" si="153"/>
        <v>0</v>
      </c>
      <c r="V304" s="454">
        <f t="shared" si="154"/>
        <v>0</v>
      </c>
      <c r="W304" s="454">
        <f t="shared" si="155"/>
        <v>0</v>
      </c>
      <c r="X304" s="454">
        <f t="shared" si="156"/>
        <v>0</v>
      </c>
      <c r="Y304" s="454">
        <f t="shared" si="157"/>
        <v>0</v>
      </c>
      <c r="Z304" s="454">
        <f t="shared" si="158"/>
        <v>0</v>
      </c>
      <c r="AA304" s="456">
        <f t="shared" si="159"/>
        <v>0</v>
      </c>
      <c r="AB304" s="587">
        <f t="shared" si="160"/>
        <v>0</v>
      </c>
    </row>
    <row r="305" spans="2:30" ht="13.5" customHeight="1" x14ac:dyDescent="0.25">
      <c r="B305" s="586"/>
      <c r="C305" s="468"/>
      <c r="D305" s="454"/>
      <c r="E305" s="454"/>
      <c r="F305" s="584"/>
      <c r="G305" s="454"/>
      <c r="H305" s="584"/>
      <c r="I305" s="584"/>
      <c r="J305" s="584"/>
      <c r="K305" s="584"/>
      <c r="L305" s="456">
        <f t="shared" si="144"/>
        <v>0</v>
      </c>
      <c r="M305" s="457">
        <f t="shared" si="145"/>
        <v>0</v>
      </c>
      <c r="N305" s="458">
        <f t="shared" si="146"/>
        <v>0</v>
      </c>
      <c r="O305" s="458">
        <f t="shared" si="147"/>
        <v>0</v>
      </c>
      <c r="P305" s="458">
        <f t="shared" si="148"/>
        <v>0</v>
      </c>
      <c r="Q305" s="459">
        <f t="shared" si="149"/>
        <v>0</v>
      </c>
      <c r="R305" s="460">
        <f t="shared" si="150"/>
        <v>0</v>
      </c>
      <c r="S305" s="461">
        <f t="shared" si="151"/>
        <v>0</v>
      </c>
      <c r="T305" s="461">
        <f t="shared" si="152"/>
        <v>0</v>
      </c>
      <c r="U305" s="454">
        <f t="shared" si="153"/>
        <v>0</v>
      </c>
      <c r="V305" s="454">
        <f t="shared" si="154"/>
        <v>0</v>
      </c>
      <c r="W305" s="454">
        <f t="shared" si="155"/>
        <v>0</v>
      </c>
      <c r="X305" s="454">
        <f t="shared" si="156"/>
        <v>0</v>
      </c>
      <c r="Y305" s="454">
        <f t="shared" si="157"/>
        <v>0</v>
      </c>
      <c r="Z305" s="454">
        <f t="shared" si="158"/>
        <v>0</v>
      </c>
      <c r="AA305" s="456">
        <f t="shared" si="159"/>
        <v>0</v>
      </c>
      <c r="AB305" s="587">
        <f t="shared" si="160"/>
        <v>0</v>
      </c>
    </row>
    <row r="306" spans="2:30" ht="13.5" customHeight="1" x14ac:dyDescent="0.25">
      <c r="B306" s="586"/>
      <c r="C306" s="468"/>
      <c r="D306" s="454"/>
      <c r="E306" s="454"/>
      <c r="F306" s="584"/>
      <c r="G306" s="454"/>
      <c r="H306" s="584"/>
      <c r="I306" s="584"/>
      <c r="J306" s="584"/>
      <c r="K306" s="584"/>
      <c r="L306" s="456">
        <f t="shared" si="144"/>
        <v>0</v>
      </c>
      <c r="M306" s="457">
        <f t="shared" si="145"/>
        <v>0</v>
      </c>
      <c r="N306" s="458">
        <f t="shared" si="146"/>
        <v>0</v>
      </c>
      <c r="O306" s="458">
        <f t="shared" si="147"/>
        <v>0</v>
      </c>
      <c r="P306" s="458">
        <f t="shared" si="148"/>
        <v>0</v>
      </c>
      <c r="Q306" s="459">
        <f t="shared" si="149"/>
        <v>0</v>
      </c>
      <c r="R306" s="460">
        <f t="shared" si="150"/>
        <v>0</v>
      </c>
      <c r="S306" s="461">
        <f t="shared" si="151"/>
        <v>0</v>
      </c>
      <c r="T306" s="461">
        <f t="shared" si="152"/>
        <v>0</v>
      </c>
      <c r="U306" s="454">
        <f t="shared" si="153"/>
        <v>0</v>
      </c>
      <c r="V306" s="454">
        <f t="shared" si="154"/>
        <v>0</v>
      </c>
      <c r="W306" s="454">
        <f t="shared" si="155"/>
        <v>0</v>
      </c>
      <c r="X306" s="454">
        <f t="shared" si="156"/>
        <v>0</v>
      </c>
      <c r="Y306" s="454">
        <f t="shared" si="157"/>
        <v>0</v>
      </c>
      <c r="Z306" s="454">
        <f t="shared" si="158"/>
        <v>0</v>
      </c>
      <c r="AA306" s="456">
        <f t="shared" si="159"/>
        <v>0</v>
      </c>
      <c r="AB306" s="587">
        <f t="shared" si="160"/>
        <v>0</v>
      </c>
    </row>
    <row r="307" spans="2:30" ht="13.5" customHeight="1" x14ac:dyDescent="0.25">
      <c r="B307" s="586"/>
      <c r="C307" s="468"/>
      <c r="D307" s="454"/>
      <c r="E307" s="454"/>
      <c r="F307" s="584"/>
      <c r="G307" s="454"/>
      <c r="H307" s="584"/>
      <c r="I307" s="584"/>
      <c r="J307" s="584"/>
      <c r="K307" s="584"/>
      <c r="L307" s="456">
        <f t="shared" si="144"/>
        <v>0</v>
      </c>
      <c r="M307" s="457">
        <f t="shared" si="145"/>
        <v>0</v>
      </c>
      <c r="N307" s="458">
        <f t="shared" si="146"/>
        <v>0</v>
      </c>
      <c r="O307" s="458">
        <f t="shared" si="147"/>
        <v>0</v>
      </c>
      <c r="P307" s="458">
        <f t="shared" si="148"/>
        <v>0</v>
      </c>
      <c r="Q307" s="459">
        <f t="shared" si="149"/>
        <v>0</v>
      </c>
      <c r="R307" s="460">
        <f t="shared" si="150"/>
        <v>0</v>
      </c>
      <c r="S307" s="461">
        <f t="shared" si="151"/>
        <v>0</v>
      </c>
      <c r="T307" s="461">
        <f t="shared" si="152"/>
        <v>0</v>
      </c>
      <c r="U307" s="454">
        <f t="shared" si="153"/>
        <v>0</v>
      </c>
      <c r="V307" s="454">
        <f t="shared" si="154"/>
        <v>0</v>
      </c>
      <c r="W307" s="454">
        <f t="shared" si="155"/>
        <v>0</v>
      </c>
      <c r="X307" s="454">
        <f t="shared" si="156"/>
        <v>0</v>
      </c>
      <c r="Y307" s="454">
        <f t="shared" si="157"/>
        <v>0</v>
      </c>
      <c r="Z307" s="454">
        <f t="shared" si="158"/>
        <v>0</v>
      </c>
      <c r="AA307" s="456">
        <f t="shared" si="159"/>
        <v>0</v>
      </c>
      <c r="AB307" s="587">
        <f t="shared" si="160"/>
        <v>0</v>
      </c>
    </row>
    <row r="308" spans="2:30" ht="13.5" customHeight="1" x14ac:dyDescent="0.25">
      <c r="B308" s="586"/>
      <c r="C308" s="468"/>
      <c r="D308" s="454"/>
      <c r="E308" s="454"/>
      <c r="F308" s="584"/>
      <c r="G308" s="454"/>
      <c r="H308" s="584"/>
      <c r="I308" s="584"/>
      <c r="J308" s="584"/>
      <c r="K308" s="584"/>
      <c r="L308" s="456">
        <f t="shared" si="144"/>
        <v>0</v>
      </c>
      <c r="M308" s="457">
        <f t="shared" si="145"/>
        <v>0</v>
      </c>
      <c r="N308" s="458">
        <f t="shared" si="146"/>
        <v>0</v>
      </c>
      <c r="O308" s="458">
        <f t="shared" si="147"/>
        <v>0</v>
      </c>
      <c r="P308" s="458">
        <f t="shared" si="148"/>
        <v>0</v>
      </c>
      <c r="Q308" s="459">
        <f t="shared" si="149"/>
        <v>0</v>
      </c>
      <c r="R308" s="460">
        <f t="shared" si="150"/>
        <v>0</v>
      </c>
      <c r="S308" s="461">
        <f t="shared" si="151"/>
        <v>0</v>
      </c>
      <c r="T308" s="461">
        <f t="shared" si="152"/>
        <v>0</v>
      </c>
      <c r="U308" s="454">
        <f t="shared" si="153"/>
        <v>0</v>
      </c>
      <c r="V308" s="454">
        <f t="shared" si="154"/>
        <v>0</v>
      </c>
      <c r="W308" s="454">
        <f t="shared" si="155"/>
        <v>0</v>
      </c>
      <c r="X308" s="454">
        <f t="shared" si="156"/>
        <v>0</v>
      </c>
      <c r="Y308" s="454">
        <f t="shared" si="157"/>
        <v>0</v>
      </c>
      <c r="Z308" s="454">
        <f t="shared" si="158"/>
        <v>0</v>
      </c>
      <c r="AA308" s="456">
        <f t="shared" si="159"/>
        <v>0</v>
      </c>
      <c r="AB308" s="587">
        <f t="shared" si="160"/>
        <v>0</v>
      </c>
    </row>
    <row r="309" spans="2:30" ht="13.5" customHeight="1" x14ac:dyDescent="0.25">
      <c r="B309" s="586"/>
      <c r="C309" s="468"/>
      <c r="D309" s="454"/>
      <c r="E309" s="454"/>
      <c r="F309" s="584"/>
      <c r="G309" s="454"/>
      <c r="H309" s="584"/>
      <c r="I309" s="584"/>
      <c r="J309" s="584"/>
      <c r="K309" s="584"/>
      <c r="L309" s="456">
        <f t="shared" si="144"/>
        <v>0</v>
      </c>
      <c r="M309" s="457">
        <f t="shared" si="145"/>
        <v>0</v>
      </c>
      <c r="N309" s="458">
        <f t="shared" si="146"/>
        <v>0</v>
      </c>
      <c r="O309" s="458">
        <f t="shared" si="147"/>
        <v>0</v>
      </c>
      <c r="P309" s="458">
        <f t="shared" si="148"/>
        <v>0</v>
      </c>
      <c r="Q309" s="459">
        <f t="shared" si="149"/>
        <v>0</v>
      </c>
      <c r="R309" s="460">
        <f t="shared" si="150"/>
        <v>0</v>
      </c>
      <c r="S309" s="461">
        <f t="shared" si="151"/>
        <v>0</v>
      </c>
      <c r="T309" s="461">
        <f t="shared" si="152"/>
        <v>0</v>
      </c>
      <c r="U309" s="454">
        <f t="shared" si="153"/>
        <v>0</v>
      </c>
      <c r="V309" s="454">
        <f t="shared" si="154"/>
        <v>0</v>
      </c>
      <c r="W309" s="454">
        <f t="shared" si="155"/>
        <v>0</v>
      </c>
      <c r="X309" s="454">
        <f t="shared" si="156"/>
        <v>0</v>
      </c>
      <c r="Y309" s="454">
        <f t="shared" si="157"/>
        <v>0</v>
      </c>
      <c r="Z309" s="454">
        <f t="shared" si="158"/>
        <v>0</v>
      </c>
      <c r="AA309" s="456">
        <f t="shared" si="159"/>
        <v>0</v>
      </c>
      <c r="AB309" s="587">
        <f t="shared" si="160"/>
        <v>0</v>
      </c>
    </row>
    <row r="310" spans="2:30" ht="13.5" customHeight="1" x14ac:dyDescent="0.25">
      <c r="B310" s="586" t="s">
        <v>348</v>
      </c>
      <c r="C310" s="468"/>
      <c r="D310" s="454"/>
      <c r="E310" s="454"/>
      <c r="F310" s="584"/>
      <c r="G310" s="454"/>
      <c r="H310" s="584"/>
      <c r="I310" s="584"/>
      <c r="J310" s="584"/>
      <c r="K310" s="584"/>
      <c r="L310" s="456">
        <f t="shared" si="144"/>
        <v>0</v>
      </c>
      <c r="M310" s="457"/>
      <c r="N310" s="458"/>
      <c r="O310" s="458"/>
      <c r="P310" s="458"/>
      <c r="Q310" s="459">
        <f t="shared" si="149"/>
        <v>0</v>
      </c>
      <c r="R310" s="460"/>
      <c r="S310" s="461"/>
      <c r="T310" s="461"/>
      <c r="U310" s="454"/>
      <c r="V310" s="454"/>
      <c r="W310" s="454"/>
      <c r="X310" s="454"/>
      <c r="Y310" s="454"/>
      <c r="Z310" s="454"/>
      <c r="AA310" s="456"/>
      <c r="AB310" s="587">
        <f t="shared" si="160"/>
        <v>0</v>
      </c>
    </row>
    <row r="311" spans="2:30" ht="13.5" customHeight="1" x14ac:dyDescent="0.25">
      <c r="B311" s="586" t="s">
        <v>349</v>
      </c>
      <c r="C311" s="468"/>
      <c r="D311" s="589"/>
      <c r="E311" s="454"/>
      <c r="F311" s="584"/>
      <c r="G311" s="454"/>
      <c r="H311" s="584"/>
      <c r="I311" s="584"/>
      <c r="J311" s="584"/>
      <c r="K311" s="584"/>
      <c r="L311" s="456">
        <f t="shared" si="144"/>
        <v>0</v>
      </c>
      <c r="M311" s="490"/>
      <c r="N311" s="458"/>
      <c r="O311" s="458"/>
      <c r="P311" s="458"/>
      <c r="Q311" s="459">
        <f t="shared" si="149"/>
        <v>0</v>
      </c>
      <c r="R311" s="460"/>
      <c r="S311" s="461"/>
      <c r="T311" s="461"/>
      <c r="U311" s="454"/>
      <c r="V311" s="454"/>
      <c r="W311" s="454"/>
      <c r="X311" s="454"/>
      <c r="Y311" s="454"/>
      <c r="Z311" s="454"/>
      <c r="AA311" s="456">
        <f>SUM(R311:Z311)</f>
        <v>0</v>
      </c>
      <c r="AB311" s="587">
        <f t="shared" si="160"/>
        <v>0</v>
      </c>
    </row>
    <row r="312" spans="2:30" ht="14.25" customHeight="1" x14ac:dyDescent="0.25">
      <c r="B312" s="590"/>
      <c r="C312" s="591">
        <f t="shared" ref="C312:AB312" si="161">SUM(C282:C311)</f>
        <v>0</v>
      </c>
      <c r="D312" s="592">
        <f t="shared" si="161"/>
        <v>0</v>
      </c>
      <c r="E312" s="592">
        <f t="shared" si="161"/>
        <v>0</v>
      </c>
      <c r="F312" s="592">
        <f t="shared" si="161"/>
        <v>0</v>
      </c>
      <c r="G312" s="592">
        <f t="shared" si="161"/>
        <v>0</v>
      </c>
      <c r="H312" s="592">
        <f t="shared" si="161"/>
        <v>0</v>
      </c>
      <c r="I312" s="592">
        <f t="shared" si="161"/>
        <v>0</v>
      </c>
      <c r="J312" s="592">
        <f t="shared" si="161"/>
        <v>0</v>
      </c>
      <c r="K312" s="592">
        <f t="shared" si="161"/>
        <v>0</v>
      </c>
      <c r="L312" s="593">
        <f t="shared" si="161"/>
        <v>0</v>
      </c>
      <c r="M312" s="591">
        <f t="shared" si="161"/>
        <v>0</v>
      </c>
      <c r="N312" s="592">
        <f t="shared" si="161"/>
        <v>0</v>
      </c>
      <c r="O312" s="592">
        <f t="shared" si="161"/>
        <v>0</v>
      </c>
      <c r="P312" s="592">
        <f t="shared" si="161"/>
        <v>0</v>
      </c>
      <c r="Q312" s="593">
        <f t="shared" si="161"/>
        <v>0</v>
      </c>
      <c r="R312" s="591">
        <f t="shared" si="161"/>
        <v>0</v>
      </c>
      <c r="S312" s="592">
        <f t="shared" si="161"/>
        <v>0</v>
      </c>
      <c r="T312" s="592">
        <f t="shared" si="161"/>
        <v>0</v>
      </c>
      <c r="U312" s="592">
        <f t="shared" si="161"/>
        <v>0</v>
      </c>
      <c r="V312" s="592">
        <f t="shared" si="161"/>
        <v>0</v>
      </c>
      <c r="W312" s="592">
        <f t="shared" si="161"/>
        <v>0</v>
      </c>
      <c r="X312" s="592">
        <f t="shared" si="161"/>
        <v>0</v>
      </c>
      <c r="Y312" s="592">
        <f t="shared" si="161"/>
        <v>0</v>
      </c>
      <c r="Z312" s="592">
        <f t="shared" si="161"/>
        <v>0</v>
      </c>
      <c r="AA312" s="593">
        <f t="shared" si="161"/>
        <v>0</v>
      </c>
      <c r="AB312" s="594">
        <f t="shared" si="161"/>
        <v>0</v>
      </c>
    </row>
    <row r="313" spans="2:30" ht="13.5" customHeight="1" x14ac:dyDescent="0.25"/>
    <row r="314" spans="2:30" ht="12.75" customHeight="1" x14ac:dyDescent="0.25">
      <c r="B314" s="438" t="s">
        <v>158</v>
      </c>
      <c r="C314" s="439" t="s">
        <v>190</v>
      </c>
      <c r="D314" s="440" t="s">
        <v>194</v>
      </c>
      <c r="E314" s="440" t="s">
        <v>197</v>
      </c>
      <c r="F314" s="440" t="s">
        <v>306</v>
      </c>
      <c r="G314" s="440" t="s">
        <v>307</v>
      </c>
      <c r="H314" s="440" t="s">
        <v>308</v>
      </c>
      <c r="I314" s="440" t="s">
        <v>309</v>
      </c>
      <c r="J314" s="440" t="s">
        <v>310</v>
      </c>
      <c r="K314" s="440" t="s">
        <v>311</v>
      </c>
      <c r="L314" s="441" t="s">
        <v>199</v>
      </c>
      <c r="M314" s="442" t="s">
        <v>168</v>
      </c>
      <c r="N314" s="443" t="s">
        <v>200</v>
      </c>
      <c r="O314" s="443" t="s">
        <v>201</v>
      </c>
      <c r="P314" s="444" t="s">
        <v>36</v>
      </c>
      <c r="Q314" s="445" t="s">
        <v>202</v>
      </c>
      <c r="R314" s="446" t="s">
        <v>40</v>
      </c>
      <c r="S314" s="447" t="s">
        <v>169</v>
      </c>
      <c r="T314" s="447" t="s">
        <v>203</v>
      </c>
      <c r="U314" s="447" t="s">
        <v>204</v>
      </c>
      <c r="V314" s="447" t="s">
        <v>205</v>
      </c>
      <c r="W314" s="447" t="s">
        <v>206</v>
      </c>
      <c r="X314" s="447" t="s">
        <v>207</v>
      </c>
      <c r="Y314" s="447" t="s">
        <v>208</v>
      </c>
      <c r="Z314" s="447" t="s">
        <v>209</v>
      </c>
      <c r="AA314" s="448" t="s">
        <v>210</v>
      </c>
      <c r="AB314" s="583" t="s">
        <v>13</v>
      </c>
      <c r="AC314" s="450" t="s">
        <v>189</v>
      </c>
      <c r="AD314" s="451">
        <v>46296</v>
      </c>
    </row>
    <row r="315" spans="2:30" ht="13.5" customHeight="1" x14ac:dyDescent="0.25">
      <c r="B315" s="489"/>
      <c r="C315" s="490"/>
      <c r="D315" s="454"/>
      <c r="E315" s="454"/>
      <c r="F315" s="584"/>
      <c r="G315" s="454"/>
      <c r="H315" s="584"/>
      <c r="I315" s="584"/>
      <c r="J315" s="584"/>
      <c r="K315" s="584"/>
      <c r="L315" s="456">
        <f t="shared" ref="L315:L344" si="162">SUM(C315:K315)</f>
        <v>0</v>
      </c>
      <c r="M315" s="457">
        <f t="shared" ref="M315:M342" si="163">(C315+F315+G315)*20%</f>
        <v>0</v>
      </c>
      <c r="N315" s="458">
        <f t="shared" ref="N315:N342" si="164">(C315+F315+G315)*1.5%</f>
        <v>0</v>
      </c>
      <c r="O315" s="458">
        <f t="shared" ref="O315:O342" si="165">(C315+F315+G315)*5.8%</f>
        <v>0</v>
      </c>
      <c r="P315" s="458">
        <f t="shared" ref="P315:P342" si="166">(C315+F315+G315)*8%</f>
        <v>0</v>
      </c>
      <c r="Q315" s="459">
        <f t="shared" ref="Q315:Q344" si="167">SUM(M315:P315)</f>
        <v>0</v>
      </c>
      <c r="R315" s="460">
        <f t="shared" ref="R315:R342" si="168">(C315+F315+G315)/12</f>
        <v>0</v>
      </c>
      <c r="S315" s="461">
        <f t="shared" ref="S315:S342" si="169">R315/3</f>
        <v>0</v>
      </c>
      <c r="T315" s="461">
        <f t="shared" ref="T315:T342" si="170">(R315+S315)*8%</f>
        <v>0</v>
      </c>
      <c r="U315" s="454">
        <f t="shared" ref="U315:U342" si="171">(C315+F315+G315)/12</f>
        <v>0</v>
      </c>
      <c r="V315" s="454">
        <f t="shared" ref="V315:V342" si="172">U315*8%</f>
        <v>0</v>
      </c>
      <c r="W315" s="454">
        <f t="shared" ref="W315:W342" si="173">(C315+F315+G315)/12</f>
        <v>0</v>
      </c>
      <c r="X315" s="454">
        <f t="shared" ref="X315:X342" si="174">W315*8%</f>
        <v>0</v>
      </c>
      <c r="Y315" s="454">
        <f t="shared" ref="Y315:Y342" si="175">(P315+T315+V315+X315)*50%</f>
        <v>0</v>
      </c>
      <c r="Z315" s="454">
        <f t="shared" ref="Z315:Z342" si="176">(R315+S315+U315+W315)*27.3%</f>
        <v>0</v>
      </c>
      <c r="AA315" s="456">
        <f t="shared" ref="AA315:AA342" si="177">SUM(R315:Z315)</f>
        <v>0</v>
      </c>
      <c r="AB315" s="585">
        <f t="shared" ref="AB315:AB344" si="178">L315+Q315+AA315</f>
        <v>0</v>
      </c>
      <c r="AC315" s="465" t="s">
        <v>89</v>
      </c>
      <c r="AD315" s="466">
        <f>C345</f>
        <v>0</v>
      </c>
    </row>
    <row r="316" spans="2:30" ht="13.5" customHeight="1" x14ac:dyDescent="0.25">
      <c r="B316" s="467"/>
      <c r="C316" s="468"/>
      <c r="D316" s="454"/>
      <c r="E316" s="454"/>
      <c r="F316" s="584"/>
      <c r="G316" s="454"/>
      <c r="H316" s="584"/>
      <c r="I316" s="584"/>
      <c r="J316" s="584"/>
      <c r="K316" s="584"/>
      <c r="L316" s="456">
        <f t="shared" si="162"/>
        <v>0</v>
      </c>
      <c r="M316" s="457">
        <f t="shared" si="163"/>
        <v>0</v>
      </c>
      <c r="N316" s="458">
        <f t="shared" si="164"/>
        <v>0</v>
      </c>
      <c r="O316" s="458">
        <f t="shared" si="165"/>
        <v>0</v>
      </c>
      <c r="P316" s="458">
        <f t="shared" si="166"/>
        <v>0</v>
      </c>
      <c r="Q316" s="459">
        <f t="shared" si="167"/>
        <v>0</v>
      </c>
      <c r="R316" s="460">
        <f t="shared" si="168"/>
        <v>0</v>
      </c>
      <c r="S316" s="461">
        <f t="shared" si="169"/>
        <v>0</v>
      </c>
      <c r="T316" s="461">
        <f t="shared" si="170"/>
        <v>0</v>
      </c>
      <c r="U316" s="454">
        <f t="shared" si="171"/>
        <v>0</v>
      </c>
      <c r="V316" s="454">
        <f t="shared" si="172"/>
        <v>0</v>
      </c>
      <c r="W316" s="454">
        <f t="shared" si="173"/>
        <v>0</v>
      </c>
      <c r="X316" s="454">
        <f t="shared" si="174"/>
        <v>0</v>
      </c>
      <c r="Y316" s="454">
        <f t="shared" si="175"/>
        <v>0</v>
      </c>
      <c r="Z316" s="454">
        <f t="shared" si="176"/>
        <v>0</v>
      </c>
      <c r="AA316" s="456">
        <f t="shared" si="177"/>
        <v>0</v>
      </c>
      <c r="AB316" s="585">
        <f t="shared" si="178"/>
        <v>0</v>
      </c>
      <c r="AC316" s="465" t="s">
        <v>306</v>
      </c>
      <c r="AD316" s="466">
        <f>F345</f>
        <v>0</v>
      </c>
    </row>
    <row r="317" spans="2:30" ht="13.5" customHeight="1" x14ac:dyDescent="0.25">
      <c r="B317" s="467"/>
      <c r="C317" s="468"/>
      <c r="D317" s="454"/>
      <c r="E317" s="454"/>
      <c r="F317" s="584"/>
      <c r="G317" s="454"/>
      <c r="H317" s="584"/>
      <c r="I317" s="584"/>
      <c r="J317" s="584"/>
      <c r="K317" s="584"/>
      <c r="L317" s="456">
        <f t="shared" si="162"/>
        <v>0</v>
      </c>
      <c r="M317" s="457">
        <f t="shared" si="163"/>
        <v>0</v>
      </c>
      <c r="N317" s="458">
        <f t="shared" si="164"/>
        <v>0</v>
      </c>
      <c r="O317" s="458">
        <f t="shared" si="165"/>
        <v>0</v>
      </c>
      <c r="P317" s="458">
        <f t="shared" si="166"/>
        <v>0</v>
      </c>
      <c r="Q317" s="459">
        <f t="shared" si="167"/>
        <v>0</v>
      </c>
      <c r="R317" s="460">
        <f t="shared" si="168"/>
        <v>0</v>
      </c>
      <c r="S317" s="461">
        <f t="shared" si="169"/>
        <v>0</v>
      </c>
      <c r="T317" s="461">
        <f t="shared" si="170"/>
        <v>0</v>
      </c>
      <c r="U317" s="454">
        <f t="shared" si="171"/>
        <v>0</v>
      </c>
      <c r="V317" s="454">
        <f t="shared" si="172"/>
        <v>0</v>
      </c>
      <c r="W317" s="454">
        <f t="shared" si="173"/>
        <v>0</v>
      </c>
      <c r="X317" s="454">
        <f t="shared" si="174"/>
        <v>0</v>
      </c>
      <c r="Y317" s="454">
        <f t="shared" si="175"/>
        <v>0</v>
      </c>
      <c r="Z317" s="454">
        <f t="shared" si="176"/>
        <v>0</v>
      </c>
      <c r="AA317" s="456">
        <f t="shared" si="177"/>
        <v>0</v>
      </c>
      <c r="AB317" s="585">
        <f t="shared" si="178"/>
        <v>0</v>
      </c>
      <c r="AC317" s="465" t="s">
        <v>315</v>
      </c>
      <c r="AD317" s="466">
        <v>0</v>
      </c>
    </row>
    <row r="318" spans="2:30" ht="13.5" customHeight="1" x14ac:dyDescent="0.25">
      <c r="B318" s="467"/>
      <c r="C318" s="468"/>
      <c r="D318" s="454"/>
      <c r="E318" s="454"/>
      <c r="F318" s="584"/>
      <c r="G318" s="454"/>
      <c r="H318" s="584"/>
      <c r="I318" s="584"/>
      <c r="J318" s="584"/>
      <c r="K318" s="584"/>
      <c r="L318" s="456">
        <f t="shared" si="162"/>
        <v>0</v>
      </c>
      <c r="M318" s="457">
        <f t="shared" si="163"/>
        <v>0</v>
      </c>
      <c r="N318" s="458">
        <f t="shared" si="164"/>
        <v>0</v>
      </c>
      <c r="O318" s="458">
        <f t="shared" si="165"/>
        <v>0</v>
      </c>
      <c r="P318" s="458">
        <f t="shared" si="166"/>
        <v>0</v>
      </c>
      <c r="Q318" s="459">
        <f t="shared" si="167"/>
        <v>0</v>
      </c>
      <c r="R318" s="460">
        <f t="shared" si="168"/>
        <v>0</v>
      </c>
      <c r="S318" s="461">
        <f t="shared" si="169"/>
        <v>0</v>
      </c>
      <c r="T318" s="461">
        <f t="shared" si="170"/>
        <v>0</v>
      </c>
      <c r="U318" s="454">
        <f t="shared" si="171"/>
        <v>0</v>
      </c>
      <c r="V318" s="454">
        <f t="shared" si="172"/>
        <v>0</v>
      </c>
      <c r="W318" s="454">
        <f t="shared" si="173"/>
        <v>0</v>
      </c>
      <c r="X318" s="454">
        <f t="shared" si="174"/>
        <v>0</v>
      </c>
      <c r="Y318" s="454">
        <f t="shared" si="175"/>
        <v>0</v>
      </c>
      <c r="Z318" s="454">
        <f t="shared" si="176"/>
        <v>0</v>
      </c>
      <c r="AA318" s="456">
        <f t="shared" si="177"/>
        <v>0</v>
      </c>
      <c r="AB318" s="585">
        <f t="shared" si="178"/>
        <v>0</v>
      </c>
      <c r="AC318" s="469" t="s">
        <v>194</v>
      </c>
      <c r="AD318" s="466">
        <f>D345</f>
        <v>0</v>
      </c>
    </row>
    <row r="319" spans="2:30" ht="13.5" customHeight="1" x14ac:dyDescent="0.25">
      <c r="B319" s="467"/>
      <c r="C319" s="468"/>
      <c r="D319" s="454"/>
      <c r="E319" s="454"/>
      <c r="F319" s="584"/>
      <c r="G319" s="454"/>
      <c r="H319" s="584"/>
      <c r="I319" s="584"/>
      <c r="J319" s="584"/>
      <c r="K319" s="584"/>
      <c r="L319" s="456">
        <f t="shared" si="162"/>
        <v>0</v>
      </c>
      <c r="M319" s="457">
        <f t="shared" si="163"/>
        <v>0</v>
      </c>
      <c r="N319" s="458">
        <f t="shared" si="164"/>
        <v>0</v>
      </c>
      <c r="O319" s="458">
        <f t="shared" si="165"/>
        <v>0</v>
      </c>
      <c r="P319" s="458">
        <f t="shared" si="166"/>
        <v>0</v>
      </c>
      <c r="Q319" s="459">
        <f t="shared" si="167"/>
        <v>0</v>
      </c>
      <c r="R319" s="460">
        <f t="shared" si="168"/>
        <v>0</v>
      </c>
      <c r="S319" s="461">
        <f t="shared" si="169"/>
        <v>0</v>
      </c>
      <c r="T319" s="461">
        <f t="shared" si="170"/>
        <v>0</v>
      </c>
      <c r="U319" s="454">
        <f t="shared" si="171"/>
        <v>0</v>
      </c>
      <c r="V319" s="454">
        <f t="shared" si="172"/>
        <v>0</v>
      </c>
      <c r="W319" s="454">
        <f t="shared" si="173"/>
        <v>0</v>
      </c>
      <c r="X319" s="454">
        <f t="shared" si="174"/>
        <v>0</v>
      </c>
      <c r="Y319" s="454">
        <f t="shared" si="175"/>
        <v>0</v>
      </c>
      <c r="Z319" s="454">
        <f t="shared" si="176"/>
        <v>0</v>
      </c>
      <c r="AA319" s="456">
        <f t="shared" si="177"/>
        <v>0</v>
      </c>
      <c r="AB319" s="585">
        <f t="shared" si="178"/>
        <v>0</v>
      </c>
      <c r="AC319" s="469" t="s">
        <v>197</v>
      </c>
      <c r="AD319" s="466">
        <f>E345</f>
        <v>0</v>
      </c>
    </row>
    <row r="320" spans="2:30" ht="13.5" customHeight="1" x14ac:dyDescent="0.25">
      <c r="B320" s="467"/>
      <c r="C320" s="468"/>
      <c r="D320" s="454"/>
      <c r="E320" s="454"/>
      <c r="F320" s="584"/>
      <c r="G320" s="454"/>
      <c r="H320" s="584"/>
      <c r="I320" s="584"/>
      <c r="J320" s="584"/>
      <c r="K320" s="584"/>
      <c r="L320" s="456">
        <f t="shared" si="162"/>
        <v>0</v>
      </c>
      <c r="M320" s="457">
        <f t="shared" si="163"/>
        <v>0</v>
      </c>
      <c r="N320" s="458">
        <f t="shared" si="164"/>
        <v>0</v>
      </c>
      <c r="O320" s="458">
        <f t="shared" si="165"/>
        <v>0</v>
      </c>
      <c r="P320" s="458">
        <f t="shared" si="166"/>
        <v>0</v>
      </c>
      <c r="Q320" s="459">
        <f t="shared" si="167"/>
        <v>0</v>
      </c>
      <c r="R320" s="460">
        <f t="shared" si="168"/>
        <v>0</v>
      </c>
      <c r="S320" s="461">
        <f t="shared" si="169"/>
        <v>0</v>
      </c>
      <c r="T320" s="461">
        <f t="shared" si="170"/>
        <v>0</v>
      </c>
      <c r="U320" s="454">
        <f t="shared" si="171"/>
        <v>0</v>
      </c>
      <c r="V320" s="454">
        <f t="shared" si="172"/>
        <v>0</v>
      </c>
      <c r="W320" s="454">
        <f t="shared" si="173"/>
        <v>0</v>
      </c>
      <c r="X320" s="454">
        <f t="shared" si="174"/>
        <v>0</v>
      </c>
      <c r="Y320" s="454">
        <f t="shared" si="175"/>
        <v>0</v>
      </c>
      <c r="Z320" s="454">
        <f t="shared" si="176"/>
        <v>0</v>
      </c>
      <c r="AA320" s="456">
        <f t="shared" si="177"/>
        <v>0</v>
      </c>
      <c r="AB320" s="585">
        <f t="shared" si="178"/>
        <v>0</v>
      </c>
      <c r="AC320" s="469" t="s">
        <v>211</v>
      </c>
      <c r="AD320" s="466">
        <f>SUM(H345:K345)</f>
        <v>0</v>
      </c>
    </row>
    <row r="321" spans="2:30" ht="13.5" customHeight="1" x14ac:dyDescent="0.25">
      <c r="B321" s="467"/>
      <c r="C321" s="468"/>
      <c r="D321" s="431"/>
      <c r="E321" s="454"/>
      <c r="F321" s="584"/>
      <c r="G321" s="454"/>
      <c r="H321" s="584"/>
      <c r="I321" s="584"/>
      <c r="J321" s="584"/>
      <c r="K321" s="584"/>
      <c r="L321" s="456">
        <f t="shared" si="162"/>
        <v>0</v>
      </c>
      <c r="M321" s="457">
        <f t="shared" si="163"/>
        <v>0</v>
      </c>
      <c r="N321" s="458">
        <f t="shared" si="164"/>
        <v>0</v>
      </c>
      <c r="O321" s="458">
        <f t="shared" si="165"/>
        <v>0</v>
      </c>
      <c r="P321" s="458">
        <f t="shared" si="166"/>
        <v>0</v>
      </c>
      <c r="Q321" s="459">
        <f t="shared" si="167"/>
        <v>0</v>
      </c>
      <c r="R321" s="460">
        <f t="shared" si="168"/>
        <v>0</v>
      </c>
      <c r="S321" s="461">
        <f t="shared" si="169"/>
        <v>0</v>
      </c>
      <c r="T321" s="461">
        <f t="shared" si="170"/>
        <v>0</v>
      </c>
      <c r="U321" s="454">
        <f t="shared" si="171"/>
        <v>0</v>
      </c>
      <c r="V321" s="454">
        <f t="shared" si="172"/>
        <v>0</v>
      </c>
      <c r="W321" s="454">
        <f t="shared" si="173"/>
        <v>0</v>
      </c>
      <c r="X321" s="454">
        <f t="shared" si="174"/>
        <v>0</v>
      </c>
      <c r="Y321" s="454">
        <f t="shared" si="175"/>
        <v>0</v>
      </c>
      <c r="Z321" s="454">
        <f t="shared" si="176"/>
        <v>0</v>
      </c>
      <c r="AA321" s="456">
        <f t="shared" si="177"/>
        <v>0</v>
      </c>
      <c r="AB321" s="585">
        <f t="shared" si="178"/>
        <v>0</v>
      </c>
      <c r="AC321" s="465" t="s">
        <v>209</v>
      </c>
      <c r="AD321" s="466">
        <f>SUM(M345:O345)</f>
        <v>0</v>
      </c>
    </row>
    <row r="322" spans="2:30" ht="13.5" customHeight="1" x14ac:dyDescent="0.25">
      <c r="B322" s="467"/>
      <c r="C322" s="468"/>
      <c r="D322" s="431"/>
      <c r="E322" s="454"/>
      <c r="F322" s="584"/>
      <c r="G322" s="454"/>
      <c r="H322" s="584"/>
      <c r="I322" s="584"/>
      <c r="J322" s="584"/>
      <c r="K322" s="584"/>
      <c r="L322" s="456">
        <f t="shared" si="162"/>
        <v>0</v>
      </c>
      <c r="M322" s="457">
        <f t="shared" si="163"/>
        <v>0</v>
      </c>
      <c r="N322" s="458">
        <f t="shared" si="164"/>
        <v>0</v>
      </c>
      <c r="O322" s="458">
        <f t="shared" si="165"/>
        <v>0</v>
      </c>
      <c r="P322" s="458">
        <f t="shared" si="166"/>
        <v>0</v>
      </c>
      <c r="Q322" s="459">
        <f t="shared" si="167"/>
        <v>0</v>
      </c>
      <c r="R322" s="460">
        <f t="shared" si="168"/>
        <v>0</v>
      </c>
      <c r="S322" s="461">
        <f t="shared" si="169"/>
        <v>0</v>
      </c>
      <c r="T322" s="461">
        <f t="shared" si="170"/>
        <v>0</v>
      </c>
      <c r="U322" s="454">
        <f t="shared" si="171"/>
        <v>0</v>
      </c>
      <c r="V322" s="454">
        <f t="shared" si="172"/>
        <v>0</v>
      </c>
      <c r="W322" s="454">
        <f t="shared" si="173"/>
        <v>0</v>
      </c>
      <c r="X322" s="454">
        <f t="shared" si="174"/>
        <v>0</v>
      </c>
      <c r="Y322" s="454">
        <f t="shared" si="175"/>
        <v>0</v>
      </c>
      <c r="Z322" s="454">
        <f t="shared" si="176"/>
        <v>0</v>
      </c>
      <c r="AA322" s="456">
        <f t="shared" si="177"/>
        <v>0</v>
      </c>
      <c r="AB322" s="585">
        <f t="shared" si="178"/>
        <v>0</v>
      </c>
      <c r="AC322" s="465" t="s">
        <v>36</v>
      </c>
      <c r="AD322" s="466">
        <f>P345</f>
        <v>0</v>
      </c>
    </row>
    <row r="323" spans="2:30" ht="13.5" customHeight="1" x14ac:dyDescent="0.25">
      <c r="B323" s="586"/>
      <c r="C323" s="468"/>
      <c r="D323" s="454"/>
      <c r="E323" s="454"/>
      <c r="F323" s="584"/>
      <c r="G323" s="454"/>
      <c r="H323" s="584"/>
      <c r="I323" s="584"/>
      <c r="J323" s="584"/>
      <c r="K323" s="584"/>
      <c r="L323" s="456">
        <f t="shared" si="162"/>
        <v>0</v>
      </c>
      <c r="M323" s="457">
        <f t="shared" si="163"/>
        <v>0</v>
      </c>
      <c r="N323" s="458">
        <f t="shared" si="164"/>
        <v>0</v>
      </c>
      <c r="O323" s="458">
        <f t="shared" si="165"/>
        <v>0</v>
      </c>
      <c r="P323" s="458">
        <f t="shared" si="166"/>
        <v>0</v>
      </c>
      <c r="Q323" s="459">
        <f t="shared" si="167"/>
        <v>0</v>
      </c>
      <c r="R323" s="460">
        <f t="shared" si="168"/>
        <v>0</v>
      </c>
      <c r="S323" s="461">
        <f t="shared" si="169"/>
        <v>0</v>
      </c>
      <c r="T323" s="461">
        <f t="shared" si="170"/>
        <v>0</v>
      </c>
      <c r="U323" s="454">
        <f t="shared" si="171"/>
        <v>0</v>
      </c>
      <c r="V323" s="454">
        <f t="shared" si="172"/>
        <v>0</v>
      </c>
      <c r="W323" s="454">
        <f t="shared" si="173"/>
        <v>0</v>
      </c>
      <c r="X323" s="454">
        <f t="shared" si="174"/>
        <v>0</v>
      </c>
      <c r="Y323" s="454">
        <f t="shared" si="175"/>
        <v>0</v>
      </c>
      <c r="Z323" s="454">
        <f t="shared" si="176"/>
        <v>0</v>
      </c>
      <c r="AA323" s="456">
        <f t="shared" si="177"/>
        <v>0</v>
      </c>
      <c r="AB323" s="585">
        <f t="shared" si="178"/>
        <v>0</v>
      </c>
      <c r="AC323" s="469" t="s">
        <v>212</v>
      </c>
      <c r="AD323" s="466">
        <f>SUM(R345:Z345)</f>
        <v>0</v>
      </c>
    </row>
    <row r="324" spans="2:30" ht="14.25" customHeight="1" x14ac:dyDescent="0.25">
      <c r="B324" s="586"/>
      <c r="C324" s="468"/>
      <c r="D324" s="454"/>
      <c r="E324" s="454"/>
      <c r="F324" s="584"/>
      <c r="G324" s="454"/>
      <c r="H324" s="584"/>
      <c r="I324" s="584"/>
      <c r="J324" s="584"/>
      <c r="K324" s="584"/>
      <c r="L324" s="456">
        <f t="shared" si="162"/>
        <v>0</v>
      </c>
      <c r="M324" s="457">
        <f t="shared" si="163"/>
        <v>0</v>
      </c>
      <c r="N324" s="458">
        <f t="shared" si="164"/>
        <v>0</v>
      </c>
      <c r="O324" s="458">
        <f t="shared" si="165"/>
        <v>0</v>
      </c>
      <c r="P324" s="458">
        <f t="shared" si="166"/>
        <v>0</v>
      </c>
      <c r="Q324" s="459">
        <f t="shared" si="167"/>
        <v>0</v>
      </c>
      <c r="R324" s="460">
        <f t="shared" si="168"/>
        <v>0</v>
      </c>
      <c r="S324" s="461">
        <f t="shared" si="169"/>
        <v>0</v>
      </c>
      <c r="T324" s="461">
        <f t="shared" si="170"/>
        <v>0</v>
      </c>
      <c r="U324" s="454">
        <f t="shared" si="171"/>
        <v>0</v>
      </c>
      <c r="V324" s="454">
        <f t="shared" si="172"/>
        <v>0</v>
      </c>
      <c r="W324" s="454">
        <f t="shared" si="173"/>
        <v>0</v>
      </c>
      <c r="X324" s="454">
        <f t="shared" si="174"/>
        <v>0</v>
      </c>
      <c r="Y324" s="454">
        <f t="shared" si="175"/>
        <v>0</v>
      </c>
      <c r="Z324" s="454">
        <f t="shared" si="176"/>
        <v>0</v>
      </c>
      <c r="AA324" s="456">
        <f t="shared" si="177"/>
        <v>0</v>
      </c>
      <c r="AB324" s="585">
        <f t="shared" si="178"/>
        <v>0</v>
      </c>
      <c r="AC324" s="483" t="s">
        <v>13</v>
      </c>
      <c r="AD324" s="484">
        <f>SUM(AD315:AD323)</f>
        <v>0</v>
      </c>
    </row>
    <row r="325" spans="2:30" ht="13.5" customHeight="1" x14ac:dyDescent="0.25">
      <c r="B325" s="586"/>
      <c r="C325" s="468"/>
      <c r="D325" s="454"/>
      <c r="E325" s="454"/>
      <c r="F325" s="584"/>
      <c r="G325" s="454"/>
      <c r="H325" s="584"/>
      <c r="I325" s="584"/>
      <c r="J325" s="584"/>
      <c r="K325" s="584"/>
      <c r="L325" s="456">
        <f t="shared" si="162"/>
        <v>0</v>
      </c>
      <c r="M325" s="457">
        <f t="shared" si="163"/>
        <v>0</v>
      </c>
      <c r="N325" s="458">
        <f t="shared" si="164"/>
        <v>0</v>
      </c>
      <c r="O325" s="458">
        <f t="shared" si="165"/>
        <v>0</v>
      </c>
      <c r="P325" s="458">
        <f t="shared" si="166"/>
        <v>0</v>
      </c>
      <c r="Q325" s="459">
        <f t="shared" si="167"/>
        <v>0</v>
      </c>
      <c r="R325" s="460">
        <f t="shared" si="168"/>
        <v>0</v>
      </c>
      <c r="S325" s="461">
        <f t="shared" si="169"/>
        <v>0</v>
      </c>
      <c r="T325" s="461">
        <f t="shared" si="170"/>
        <v>0</v>
      </c>
      <c r="U325" s="454">
        <f t="shared" si="171"/>
        <v>0</v>
      </c>
      <c r="V325" s="454">
        <f t="shared" si="172"/>
        <v>0</v>
      </c>
      <c r="W325" s="454">
        <f t="shared" si="173"/>
        <v>0</v>
      </c>
      <c r="X325" s="454">
        <f t="shared" si="174"/>
        <v>0</v>
      </c>
      <c r="Y325" s="454">
        <f t="shared" si="175"/>
        <v>0</v>
      </c>
      <c r="Z325" s="454">
        <f t="shared" si="176"/>
        <v>0</v>
      </c>
      <c r="AA325" s="456">
        <f t="shared" si="177"/>
        <v>0</v>
      </c>
      <c r="AB325" s="587">
        <f t="shared" si="178"/>
        <v>0</v>
      </c>
    </row>
    <row r="326" spans="2:30" ht="13.5" customHeight="1" x14ac:dyDescent="0.25">
      <c r="B326" s="586"/>
      <c r="C326" s="468"/>
      <c r="D326" s="454"/>
      <c r="E326" s="454"/>
      <c r="F326" s="584"/>
      <c r="G326" s="454"/>
      <c r="H326" s="584"/>
      <c r="I326" s="584"/>
      <c r="J326" s="584"/>
      <c r="K326" s="584"/>
      <c r="L326" s="456">
        <f t="shared" si="162"/>
        <v>0</v>
      </c>
      <c r="M326" s="457">
        <f t="shared" si="163"/>
        <v>0</v>
      </c>
      <c r="N326" s="458">
        <f t="shared" si="164"/>
        <v>0</v>
      </c>
      <c r="O326" s="458">
        <f t="shared" si="165"/>
        <v>0</v>
      </c>
      <c r="P326" s="458">
        <f t="shared" si="166"/>
        <v>0</v>
      </c>
      <c r="Q326" s="459">
        <f t="shared" si="167"/>
        <v>0</v>
      </c>
      <c r="R326" s="460">
        <f t="shared" si="168"/>
        <v>0</v>
      </c>
      <c r="S326" s="461">
        <f t="shared" si="169"/>
        <v>0</v>
      </c>
      <c r="T326" s="461">
        <f t="shared" si="170"/>
        <v>0</v>
      </c>
      <c r="U326" s="454">
        <f t="shared" si="171"/>
        <v>0</v>
      </c>
      <c r="V326" s="454">
        <f t="shared" si="172"/>
        <v>0</v>
      </c>
      <c r="W326" s="454">
        <f t="shared" si="173"/>
        <v>0</v>
      </c>
      <c r="X326" s="454">
        <f t="shared" si="174"/>
        <v>0</v>
      </c>
      <c r="Y326" s="454">
        <f t="shared" si="175"/>
        <v>0</v>
      </c>
      <c r="Z326" s="454">
        <f t="shared" si="176"/>
        <v>0</v>
      </c>
      <c r="AA326" s="456">
        <f t="shared" si="177"/>
        <v>0</v>
      </c>
      <c r="AB326" s="587">
        <f t="shared" si="178"/>
        <v>0</v>
      </c>
    </row>
    <row r="327" spans="2:30" ht="13.5" customHeight="1" x14ac:dyDescent="0.25">
      <c r="B327" s="586"/>
      <c r="C327" s="468"/>
      <c r="D327" s="454"/>
      <c r="E327" s="454"/>
      <c r="F327" s="584"/>
      <c r="G327" s="454"/>
      <c r="H327" s="584"/>
      <c r="I327" s="584"/>
      <c r="J327" s="584"/>
      <c r="K327" s="584"/>
      <c r="L327" s="456">
        <f t="shared" si="162"/>
        <v>0</v>
      </c>
      <c r="M327" s="457">
        <f t="shared" si="163"/>
        <v>0</v>
      </c>
      <c r="N327" s="458">
        <f t="shared" si="164"/>
        <v>0</v>
      </c>
      <c r="O327" s="458">
        <f t="shared" si="165"/>
        <v>0</v>
      </c>
      <c r="P327" s="458">
        <f t="shared" si="166"/>
        <v>0</v>
      </c>
      <c r="Q327" s="459">
        <f t="shared" si="167"/>
        <v>0</v>
      </c>
      <c r="R327" s="460">
        <f t="shared" si="168"/>
        <v>0</v>
      </c>
      <c r="S327" s="461">
        <f t="shared" si="169"/>
        <v>0</v>
      </c>
      <c r="T327" s="461">
        <f t="shared" si="170"/>
        <v>0</v>
      </c>
      <c r="U327" s="454">
        <f t="shared" si="171"/>
        <v>0</v>
      </c>
      <c r="V327" s="454">
        <f t="shared" si="172"/>
        <v>0</v>
      </c>
      <c r="W327" s="454">
        <f t="shared" si="173"/>
        <v>0</v>
      </c>
      <c r="X327" s="454">
        <f t="shared" si="174"/>
        <v>0</v>
      </c>
      <c r="Y327" s="454">
        <f t="shared" si="175"/>
        <v>0</v>
      </c>
      <c r="Z327" s="454">
        <f t="shared" si="176"/>
        <v>0</v>
      </c>
      <c r="AA327" s="456">
        <f t="shared" si="177"/>
        <v>0</v>
      </c>
      <c r="AB327" s="587">
        <f t="shared" si="178"/>
        <v>0</v>
      </c>
    </row>
    <row r="328" spans="2:30" ht="13.5" customHeight="1" x14ac:dyDescent="0.25">
      <c r="B328" s="586"/>
      <c r="C328" s="468"/>
      <c r="D328" s="454"/>
      <c r="E328" s="454"/>
      <c r="F328" s="584"/>
      <c r="G328" s="454"/>
      <c r="H328" s="584"/>
      <c r="I328" s="584"/>
      <c r="J328" s="584"/>
      <c r="K328" s="584"/>
      <c r="L328" s="456">
        <f t="shared" si="162"/>
        <v>0</v>
      </c>
      <c r="M328" s="457">
        <f t="shared" si="163"/>
        <v>0</v>
      </c>
      <c r="N328" s="458">
        <f t="shared" si="164"/>
        <v>0</v>
      </c>
      <c r="O328" s="458">
        <f t="shared" si="165"/>
        <v>0</v>
      </c>
      <c r="P328" s="458">
        <f t="shared" si="166"/>
        <v>0</v>
      </c>
      <c r="Q328" s="459">
        <f t="shared" si="167"/>
        <v>0</v>
      </c>
      <c r="R328" s="460">
        <f t="shared" si="168"/>
        <v>0</v>
      </c>
      <c r="S328" s="461">
        <f t="shared" si="169"/>
        <v>0</v>
      </c>
      <c r="T328" s="461">
        <f t="shared" si="170"/>
        <v>0</v>
      </c>
      <c r="U328" s="454">
        <f t="shared" si="171"/>
        <v>0</v>
      </c>
      <c r="V328" s="454">
        <f t="shared" si="172"/>
        <v>0</v>
      </c>
      <c r="W328" s="454">
        <f t="shared" si="173"/>
        <v>0</v>
      </c>
      <c r="X328" s="454">
        <f t="shared" si="174"/>
        <v>0</v>
      </c>
      <c r="Y328" s="454">
        <f t="shared" si="175"/>
        <v>0</v>
      </c>
      <c r="Z328" s="454">
        <f t="shared" si="176"/>
        <v>0</v>
      </c>
      <c r="AA328" s="456">
        <f t="shared" si="177"/>
        <v>0</v>
      </c>
      <c r="AB328" s="587">
        <f t="shared" si="178"/>
        <v>0</v>
      </c>
    </row>
    <row r="329" spans="2:30" ht="13.5" customHeight="1" x14ac:dyDescent="0.25">
      <c r="B329" s="586"/>
      <c r="C329" s="468"/>
      <c r="D329" s="454"/>
      <c r="E329" s="454"/>
      <c r="F329" s="584"/>
      <c r="G329" s="454"/>
      <c r="H329" s="584"/>
      <c r="I329" s="584"/>
      <c r="J329" s="584"/>
      <c r="K329" s="584"/>
      <c r="L329" s="456">
        <f t="shared" si="162"/>
        <v>0</v>
      </c>
      <c r="M329" s="457">
        <f t="shared" si="163"/>
        <v>0</v>
      </c>
      <c r="N329" s="458">
        <f t="shared" si="164"/>
        <v>0</v>
      </c>
      <c r="O329" s="458">
        <f t="shared" si="165"/>
        <v>0</v>
      </c>
      <c r="P329" s="458">
        <f t="shared" si="166"/>
        <v>0</v>
      </c>
      <c r="Q329" s="459">
        <f t="shared" si="167"/>
        <v>0</v>
      </c>
      <c r="R329" s="460">
        <f t="shared" si="168"/>
        <v>0</v>
      </c>
      <c r="S329" s="461">
        <f t="shared" si="169"/>
        <v>0</v>
      </c>
      <c r="T329" s="461">
        <f t="shared" si="170"/>
        <v>0</v>
      </c>
      <c r="U329" s="454">
        <f t="shared" si="171"/>
        <v>0</v>
      </c>
      <c r="V329" s="454">
        <f t="shared" si="172"/>
        <v>0</v>
      </c>
      <c r="W329" s="454">
        <f t="shared" si="173"/>
        <v>0</v>
      </c>
      <c r="X329" s="454">
        <f t="shared" si="174"/>
        <v>0</v>
      </c>
      <c r="Y329" s="454">
        <f t="shared" si="175"/>
        <v>0</v>
      </c>
      <c r="Z329" s="454">
        <f t="shared" si="176"/>
        <v>0</v>
      </c>
      <c r="AA329" s="456">
        <f t="shared" si="177"/>
        <v>0</v>
      </c>
      <c r="AB329" s="587">
        <f t="shared" si="178"/>
        <v>0</v>
      </c>
    </row>
    <row r="330" spans="2:30" ht="13.5" customHeight="1" x14ac:dyDescent="0.25">
      <c r="B330" s="586"/>
      <c r="C330" s="468"/>
      <c r="D330" s="454"/>
      <c r="E330" s="454"/>
      <c r="F330" s="584"/>
      <c r="G330" s="454"/>
      <c r="H330" s="584"/>
      <c r="I330" s="584"/>
      <c r="J330" s="584"/>
      <c r="K330" s="584"/>
      <c r="L330" s="456">
        <f t="shared" si="162"/>
        <v>0</v>
      </c>
      <c r="M330" s="457">
        <f t="shared" si="163"/>
        <v>0</v>
      </c>
      <c r="N330" s="458">
        <f t="shared" si="164"/>
        <v>0</v>
      </c>
      <c r="O330" s="458">
        <f t="shared" si="165"/>
        <v>0</v>
      </c>
      <c r="P330" s="458">
        <f t="shared" si="166"/>
        <v>0</v>
      </c>
      <c r="Q330" s="459">
        <f t="shared" si="167"/>
        <v>0</v>
      </c>
      <c r="R330" s="460">
        <f t="shared" si="168"/>
        <v>0</v>
      </c>
      <c r="S330" s="461">
        <f t="shared" si="169"/>
        <v>0</v>
      </c>
      <c r="T330" s="461">
        <f t="shared" si="170"/>
        <v>0</v>
      </c>
      <c r="U330" s="454">
        <f t="shared" si="171"/>
        <v>0</v>
      </c>
      <c r="V330" s="454">
        <f t="shared" si="172"/>
        <v>0</v>
      </c>
      <c r="W330" s="454">
        <f t="shared" si="173"/>
        <v>0</v>
      </c>
      <c r="X330" s="454">
        <f t="shared" si="174"/>
        <v>0</v>
      </c>
      <c r="Y330" s="454">
        <f t="shared" si="175"/>
        <v>0</v>
      </c>
      <c r="Z330" s="454">
        <f t="shared" si="176"/>
        <v>0</v>
      </c>
      <c r="AA330" s="456">
        <f t="shared" si="177"/>
        <v>0</v>
      </c>
      <c r="AB330" s="587">
        <f t="shared" si="178"/>
        <v>0</v>
      </c>
    </row>
    <row r="331" spans="2:30" ht="13.5" customHeight="1" x14ac:dyDescent="0.25">
      <c r="B331" s="586"/>
      <c r="C331" s="468"/>
      <c r="D331" s="454"/>
      <c r="E331" s="454"/>
      <c r="F331" s="584"/>
      <c r="G331" s="454"/>
      <c r="H331" s="584"/>
      <c r="I331" s="584"/>
      <c r="J331" s="584"/>
      <c r="K331" s="584"/>
      <c r="L331" s="456">
        <f t="shared" si="162"/>
        <v>0</v>
      </c>
      <c r="M331" s="457">
        <f t="shared" si="163"/>
        <v>0</v>
      </c>
      <c r="N331" s="458">
        <f t="shared" si="164"/>
        <v>0</v>
      </c>
      <c r="O331" s="458">
        <f t="shared" si="165"/>
        <v>0</v>
      </c>
      <c r="P331" s="458">
        <f t="shared" si="166"/>
        <v>0</v>
      </c>
      <c r="Q331" s="459">
        <f t="shared" si="167"/>
        <v>0</v>
      </c>
      <c r="R331" s="460">
        <f t="shared" si="168"/>
        <v>0</v>
      </c>
      <c r="S331" s="461">
        <f t="shared" si="169"/>
        <v>0</v>
      </c>
      <c r="T331" s="461">
        <f t="shared" si="170"/>
        <v>0</v>
      </c>
      <c r="U331" s="454">
        <f t="shared" si="171"/>
        <v>0</v>
      </c>
      <c r="V331" s="454">
        <f t="shared" si="172"/>
        <v>0</v>
      </c>
      <c r="W331" s="454">
        <f t="shared" si="173"/>
        <v>0</v>
      </c>
      <c r="X331" s="454">
        <f t="shared" si="174"/>
        <v>0</v>
      </c>
      <c r="Y331" s="454">
        <f t="shared" si="175"/>
        <v>0</v>
      </c>
      <c r="Z331" s="454">
        <f t="shared" si="176"/>
        <v>0</v>
      </c>
      <c r="AA331" s="456">
        <f t="shared" si="177"/>
        <v>0</v>
      </c>
      <c r="AB331" s="587">
        <f t="shared" si="178"/>
        <v>0</v>
      </c>
    </row>
    <row r="332" spans="2:30" ht="13.5" customHeight="1" x14ac:dyDescent="0.25">
      <c r="B332" s="586"/>
      <c r="C332" s="468"/>
      <c r="D332" s="454"/>
      <c r="E332" s="454"/>
      <c r="F332" s="584"/>
      <c r="G332" s="454"/>
      <c r="H332" s="584"/>
      <c r="I332" s="584"/>
      <c r="J332" s="584"/>
      <c r="K332" s="584"/>
      <c r="L332" s="456">
        <f t="shared" si="162"/>
        <v>0</v>
      </c>
      <c r="M332" s="457">
        <f t="shared" si="163"/>
        <v>0</v>
      </c>
      <c r="N332" s="458">
        <f t="shared" si="164"/>
        <v>0</v>
      </c>
      <c r="O332" s="458">
        <f t="shared" si="165"/>
        <v>0</v>
      </c>
      <c r="P332" s="458">
        <f t="shared" si="166"/>
        <v>0</v>
      </c>
      <c r="Q332" s="459">
        <f t="shared" si="167"/>
        <v>0</v>
      </c>
      <c r="R332" s="460">
        <f t="shared" si="168"/>
        <v>0</v>
      </c>
      <c r="S332" s="461">
        <f t="shared" si="169"/>
        <v>0</v>
      </c>
      <c r="T332" s="461">
        <f t="shared" si="170"/>
        <v>0</v>
      </c>
      <c r="U332" s="454">
        <f t="shared" si="171"/>
        <v>0</v>
      </c>
      <c r="V332" s="454">
        <f t="shared" si="172"/>
        <v>0</v>
      </c>
      <c r="W332" s="454">
        <f t="shared" si="173"/>
        <v>0</v>
      </c>
      <c r="X332" s="454">
        <f t="shared" si="174"/>
        <v>0</v>
      </c>
      <c r="Y332" s="454">
        <f t="shared" si="175"/>
        <v>0</v>
      </c>
      <c r="Z332" s="454">
        <f t="shared" si="176"/>
        <v>0</v>
      </c>
      <c r="AA332" s="456">
        <f t="shared" si="177"/>
        <v>0</v>
      </c>
      <c r="AB332" s="587">
        <f t="shared" si="178"/>
        <v>0</v>
      </c>
    </row>
    <row r="333" spans="2:30" ht="13.5" customHeight="1" x14ac:dyDescent="0.25">
      <c r="B333" s="586"/>
      <c r="C333" s="468"/>
      <c r="D333" s="454"/>
      <c r="E333" s="454"/>
      <c r="F333" s="588"/>
      <c r="G333" s="454"/>
      <c r="H333" s="584"/>
      <c r="I333" s="584"/>
      <c r="J333" s="584"/>
      <c r="K333" s="584"/>
      <c r="L333" s="456">
        <f t="shared" si="162"/>
        <v>0</v>
      </c>
      <c r="M333" s="457">
        <f t="shared" si="163"/>
        <v>0</v>
      </c>
      <c r="N333" s="458">
        <f t="shared" si="164"/>
        <v>0</v>
      </c>
      <c r="O333" s="458">
        <f t="shared" si="165"/>
        <v>0</v>
      </c>
      <c r="P333" s="458">
        <f t="shared" si="166"/>
        <v>0</v>
      </c>
      <c r="Q333" s="459">
        <f t="shared" si="167"/>
        <v>0</v>
      </c>
      <c r="R333" s="460">
        <f t="shared" si="168"/>
        <v>0</v>
      </c>
      <c r="S333" s="461">
        <f t="shared" si="169"/>
        <v>0</v>
      </c>
      <c r="T333" s="461">
        <f t="shared" si="170"/>
        <v>0</v>
      </c>
      <c r="U333" s="454">
        <f t="shared" si="171"/>
        <v>0</v>
      </c>
      <c r="V333" s="454">
        <f t="shared" si="172"/>
        <v>0</v>
      </c>
      <c r="W333" s="454">
        <f t="shared" si="173"/>
        <v>0</v>
      </c>
      <c r="X333" s="454">
        <f t="shared" si="174"/>
        <v>0</v>
      </c>
      <c r="Y333" s="454">
        <f t="shared" si="175"/>
        <v>0</v>
      </c>
      <c r="Z333" s="454">
        <f t="shared" si="176"/>
        <v>0</v>
      </c>
      <c r="AA333" s="456">
        <f t="shared" si="177"/>
        <v>0</v>
      </c>
      <c r="AB333" s="587">
        <f t="shared" si="178"/>
        <v>0</v>
      </c>
    </row>
    <row r="334" spans="2:30" ht="13.5" customHeight="1" x14ac:dyDescent="0.25">
      <c r="B334" s="586"/>
      <c r="C334" s="468"/>
      <c r="D334" s="454"/>
      <c r="E334" s="454"/>
      <c r="F334" s="584"/>
      <c r="G334" s="454"/>
      <c r="H334" s="584"/>
      <c r="I334" s="584"/>
      <c r="J334" s="584"/>
      <c r="K334" s="584"/>
      <c r="L334" s="456">
        <f t="shared" si="162"/>
        <v>0</v>
      </c>
      <c r="M334" s="457">
        <f t="shared" si="163"/>
        <v>0</v>
      </c>
      <c r="N334" s="458">
        <f t="shared" si="164"/>
        <v>0</v>
      </c>
      <c r="O334" s="458">
        <f t="shared" si="165"/>
        <v>0</v>
      </c>
      <c r="P334" s="458">
        <f t="shared" si="166"/>
        <v>0</v>
      </c>
      <c r="Q334" s="459">
        <f t="shared" si="167"/>
        <v>0</v>
      </c>
      <c r="R334" s="460">
        <f t="shared" si="168"/>
        <v>0</v>
      </c>
      <c r="S334" s="461">
        <f t="shared" si="169"/>
        <v>0</v>
      </c>
      <c r="T334" s="461">
        <f t="shared" si="170"/>
        <v>0</v>
      </c>
      <c r="U334" s="454">
        <f t="shared" si="171"/>
        <v>0</v>
      </c>
      <c r="V334" s="454">
        <f t="shared" si="172"/>
        <v>0</v>
      </c>
      <c r="W334" s="454">
        <f t="shared" si="173"/>
        <v>0</v>
      </c>
      <c r="X334" s="454">
        <f t="shared" si="174"/>
        <v>0</v>
      </c>
      <c r="Y334" s="454">
        <f t="shared" si="175"/>
        <v>0</v>
      </c>
      <c r="Z334" s="454">
        <f t="shared" si="176"/>
        <v>0</v>
      </c>
      <c r="AA334" s="456">
        <f t="shared" si="177"/>
        <v>0</v>
      </c>
      <c r="AB334" s="587">
        <f t="shared" si="178"/>
        <v>0</v>
      </c>
    </row>
    <row r="335" spans="2:30" ht="13.5" customHeight="1" x14ac:dyDescent="0.25">
      <c r="B335" s="586"/>
      <c r="C335" s="468"/>
      <c r="D335" s="454"/>
      <c r="E335" s="454"/>
      <c r="F335" s="584"/>
      <c r="G335" s="454"/>
      <c r="H335" s="584"/>
      <c r="I335" s="584"/>
      <c r="J335" s="584"/>
      <c r="K335" s="584"/>
      <c r="L335" s="456">
        <f t="shared" si="162"/>
        <v>0</v>
      </c>
      <c r="M335" s="457">
        <f t="shared" si="163"/>
        <v>0</v>
      </c>
      <c r="N335" s="458">
        <f t="shared" si="164"/>
        <v>0</v>
      </c>
      <c r="O335" s="458">
        <f t="shared" si="165"/>
        <v>0</v>
      </c>
      <c r="P335" s="458">
        <f t="shared" si="166"/>
        <v>0</v>
      </c>
      <c r="Q335" s="459">
        <f t="shared" si="167"/>
        <v>0</v>
      </c>
      <c r="R335" s="460">
        <f t="shared" si="168"/>
        <v>0</v>
      </c>
      <c r="S335" s="461">
        <f t="shared" si="169"/>
        <v>0</v>
      </c>
      <c r="T335" s="461">
        <f t="shared" si="170"/>
        <v>0</v>
      </c>
      <c r="U335" s="454">
        <f t="shared" si="171"/>
        <v>0</v>
      </c>
      <c r="V335" s="454">
        <f t="shared" si="172"/>
        <v>0</v>
      </c>
      <c r="W335" s="454">
        <f t="shared" si="173"/>
        <v>0</v>
      </c>
      <c r="X335" s="454">
        <f t="shared" si="174"/>
        <v>0</v>
      </c>
      <c r="Y335" s="454">
        <f t="shared" si="175"/>
        <v>0</v>
      </c>
      <c r="Z335" s="454">
        <f t="shared" si="176"/>
        <v>0</v>
      </c>
      <c r="AA335" s="456">
        <f t="shared" si="177"/>
        <v>0</v>
      </c>
      <c r="AB335" s="587">
        <f t="shared" si="178"/>
        <v>0</v>
      </c>
    </row>
    <row r="336" spans="2:30" ht="13.5" customHeight="1" x14ac:dyDescent="0.25">
      <c r="B336" s="586"/>
      <c r="C336" s="468"/>
      <c r="D336" s="454"/>
      <c r="E336" s="454"/>
      <c r="F336" s="584"/>
      <c r="G336" s="454"/>
      <c r="H336" s="584"/>
      <c r="I336" s="584"/>
      <c r="J336" s="584"/>
      <c r="K336" s="584"/>
      <c r="L336" s="456">
        <f t="shared" si="162"/>
        <v>0</v>
      </c>
      <c r="M336" s="457">
        <f t="shared" si="163"/>
        <v>0</v>
      </c>
      <c r="N336" s="458">
        <f t="shared" si="164"/>
        <v>0</v>
      </c>
      <c r="O336" s="458">
        <f t="shared" si="165"/>
        <v>0</v>
      </c>
      <c r="P336" s="458">
        <f t="shared" si="166"/>
        <v>0</v>
      </c>
      <c r="Q336" s="459">
        <f t="shared" si="167"/>
        <v>0</v>
      </c>
      <c r="R336" s="460">
        <f t="shared" si="168"/>
        <v>0</v>
      </c>
      <c r="S336" s="461">
        <f t="shared" si="169"/>
        <v>0</v>
      </c>
      <c r="T336" s="461">
        <f t="shared" si="170"/>
        <v>0</v>
      </c>
      <c r="U336" s="454">
        <f t="shared" si="171"/>
        <v>0</v>
      </c>
      <c r="V336" s="454">
        <f t="shared" si="172"/>
        <v>0</v>
      </c>
      <c r="W336" s="454">
        <f t="shared" si="173"/>
        <v>0</v>
      </c>
      <c r="X336" s="454">
        <f t="shared" si="174"/>
        <v>0</v>
      </c>
      <c r="Y336" s="454">
        <f t="shared" si="175"/>
        <v>0</v>
      </c>
      <c r="Z336" s="454">
        <f t="shared" si="176"/>
        <v>0</v>
      </c>
      <c r="AA336" s="456">
        <f t="shared" si="177"/>
        <v>0</v>
      </c>
      <c r="AB336" s="587">
        <f t="shared" si="178"/>
        <v>0</v>
      </c>
    </row>
    <row r="337" spans="2:30" ht="13.5" customHeight="1" x14ac:dyDescent="0.25">
      <c r="B337" s="586"/>
      <c r="C337" s="468"/>
      <c r="D337" s="454"/>
      <c r="E337" s="454"/>
      <c r="F337" s="584"/>
      <c r="G337" s="454"/>
      <c r="H337" s="584"/>
      <c r="I337" s="584"/>
      <c r="J337" s="584"/>
      <c r="K337" s="584"/>
      <c r="L337" s="456">
        <f t="shared" si="162"/>
        <v>0</v>
      </c>
      <c r="M337" s="457">
        <f t="shared" si="163"/>
        <v>0</v>
      </c>
      <c r="N337" s="458">
        <f t="shared" si="164"/>
        <v>0</v>
      </c>
      <c r="O337" s="458">
        <f t="shared" si="165"/>
        <v>0</v>
      </c>
      <c r="P337" s="458">
        <f t="shared" si="166"/>
        <v>0</v>
      </c>
      <c r="Q337" s="459">
        <f t="shared" si="167"/>
        <v>0</v>
      </c>
      <c r="R337" s="460">
        <f t="shared" si="168"/>
        <v>0</v>
      </c>
      <c r="S337" s="461">
        <f t="shared" si="169"/>
        <v>0</v>
      </c>
      <c r="T337" s="461">
        <f t="shared" si="170"/>
        <v>0</v>
      </c>
      <c r="U337" s="454">
        <f t="shared" si="171"/>
        <v>0</v>
      </c>
      <c r="V337" s="454">
        <f t="shared" si="172"/>
        <v>0</v>
      </c>
      <c r="W337" s="454">
        <f t="shared" si="173"/>
        <v>0</v>
      </c>
      <c r="X337" s="454">
        <f t="shared" si="174"/>
        <v>0</v>
      </c>
      <c r="Y337" s="454">
        <f t="shared" si="175"/>
        <v>0</v>
      </c>
      <c r="Z337" s="454">
        <f t="shared" si="176"/>
        <v>0</v>
      </c>
      <c r="AA337" s="456">
        <f t="shared" si="177"/>
        <v>0</v>
      </c>
      <c r="AB337" s="587">
        <f t="shared" si="178"/>
        <v>0</v>
      </c>
    </row>
    <row r="338" spans="2:30" ht="13.5" customHeight="1" x14ac:dyDescent="0.25">
      <c r="B338" s="586"/>
      <c r="C338" s="468"/>
      <c r="D338" s="454"/>
      <c r="E338" s="454"/>
      <c r="F338" s="584"/>
      <c r="G338" s="454"/>
      <c r="H338" s="584"/>
      <c r="I338" s="584"/>
      <c r="J338" s="584"/>
      <c r="K338" s="584"/>
      <c r="L338" s="456">
        <f t="shared" si="162"/>
        <v>0</v>
      </c>
      <c r="M338" s="457">
        <f t="shared" si="163"/>
        <v>0</v>
      </c>
      <c r="N338" s="458">
        <f t="shared" si="164"/>
        <v>0</v>
      </c>
      <c r="O338" s="458">
        <f t="shared" si="165"/>
        <v>0</v>
      </c>
      <c r="P338" s="458">
        <f t="shared" si="166"/>
        <v>0</v>
      </c>
      <c r="Q338" s="459">
        <f t="shared" si="167"/>
        <v>0</v>
      </c>
      <c r="R338" s="460">
        <f t="shared" si="168"/>
        <v>0</v>
      </c>
      <c r="S338" s="461">
        <f t="shared" si="169"/>
        <v>0</v>
      </c>
      <c r="T338" s="461">
        <f t="shared" si="170"/>
        <v>0</v>
      </c>
      <c r="U338" s="454">
        <f t="shared" si="171"/>
        <v>0</v>
      </c>
      <c r="V338" s="454">
        <f t="shared" si="172"/>
        <v>0</v>
      </c>
      <c r="W338" s="454">
        <f t="shared" si="173"/>
        <v>0</v>
      </c>
      <c r="X338" s="454">
        <f t="shared" si="174"/>
        <v>0</v>
      </c>
      <c r="Y338" s="454">
        <f t="shared" si="175"/>
        <v>0</v>
      </c>
      <c r="Z338" s="454">
        <f t="shared" si="176"/>
        <v>0</v>
      </c>
      <c r="AA338" s="456">
        <f t="shared" si="177"/>
        <v>0</v>
      </c>
      <c r="AB338" s="587">
        <f t="shared" si="178"/>
        <v>0</v>
      </c>
    </row>
    <row r="339" spans="2:30" ht="13.5" customHeight="1" x14ac:dyDescent="0.25">
      <c r="B339" s="586"/>
      <c r="C339" s="468"/>
      <c r="D339" s="454"/>
      <c r="E339" s="454"/>
      <c r="F339" s="584"/>
      <c r="G339" s="454"/>
      <c r="H339" s="584"/>
      <c r="I339" s="584"/>
      <c r="J339" s="584"/>
      <c r="K339" s="584"/>
      <c r="L339" s="456">
        <f t="shared" si="162"/>
        <v>0</v>
      </c>
      <c r="M339" s="457">
        <f t="shared" si="163"/>
        <v>0</v>
      </c>
      <c r="N339" s="458">
        <f t="shared" si="164"/>
        <v>0</v>
      </c>
      <c r="O339" s="458">
        <f t="shared" si="165"/>
        <v>0</v>
      </c>
      <c r="P339" s="458">
        <f t="shared" si="166"/>
        <v>0</v>
      </c>
      <c r="Q339" s="459">
        <f t="shared" si="167"/>
        <v>0</v>
      </c>
      <c r="R339" s="460">
        <f t="shared" si="168"/>
        <v>0</v>
      </c>
      <c r="S339" s="461">
        <f t="shared" si="169"/>
        <v>0</v>
      </c>
      <c r="T339" s="461">
        <f t="shared" si="170"/>
        <v>0</v>
      </c>
      <c r="U339" s="454">
        <f t="shared" si="171"/>
        <v>0</v>
      </c>
      <c r="V339" s="454">
        <f t="shared" si="172"/>
        <v>0</v>
      </c>
      <c r="W339" s="454">
        <f t="shared" si="173"/>
        <v>0</v>
      </c>
      <c r="X339" s="454">
        <f t="shared" si="174"/>
        <v>0</v>
      </c>
      <c r="Y339" s="454">
        <f t="shared" si="175"/>
        <v>0</v>
      </c>
      <c r="Z339" s="454">
        <f t="shared" si="176"/>
        <v>0</v>
      </c>
      <c r="AA339" s="456">
        <f t="shared" si="177"/>
        <v>0</v>
      </c>
      <c r="AB339" s="587">
        <f t="shared" si="178"/>
        <v>0</v>
      </c>
    </row>
    <row r="340" spans="2:30" ht="13.5" customHeight="1" x14ac:dyDescent="0.25">
      <c r="B340" s="586"/>
      <c r="C340" s="468"/>
      <c r="D340" s="454"/>
      <c r="E340" s="454"/>
      <c r="F340" s="584"/>
      <c r="G340" s="454"/>
      <c r="H340" s="584"/>
      <c r="I340" s="584"/>
      <c r="J340" s="584"/>
      <c r="K340" s="584"/>
      <c r="L340" s="456">
        <f t="shared" si="162"/>
        <v>0</v>
      </c>
      <c r="M340" s="457">
        <f t="shared" si="163"/>
        <v>0</v>
      </c>
      <c r="N340" s="458">
        <f t="shared" si="164"/>
        <v>0</v>
      </c>
      <c r="O340" s="458">
        <f t="shared" si="165"/>
        <v>0</v>
      </c>
      <c r="P340" s="458">
        <f t="shared" si="166"/>
        <v>0</v>
      </c>
      <c r="Q340" s="459">
        <f t="shared" si="167"/>
        <v>0</v>
      </c>
      <c r="R340" s="460">
        <f t="shared" si="168"/>
        <v>0</v>
      </c>
      <c r="S340" s="461">
        <f t="shared" si="169"/>
        <v>0</v>
      </c>
      <c r="T340" s="461">
        <f t="shared" si="170"/>
        <v>0</v>
      </c>
      <c r="U340" s="454">
        <f t="shared" si="171"/>
        <v>0</v>
      </c>
      <c r="V340" s="454">
        <f t="shared" si="172"/>
        <v>0</v>
      </c>
      <c r="W340" s="454">
        <f t="shared" si="173"/>
        <v>0</v>
      </c>
      <c r="X340" s="454">
        <f t="shared" si="174"/>
        <v>0</v>
      </c>
      <c r="Y340" s="454">
        <f t="shared" si="175"/>
        <v>0</v>
      </c>
      <c r="Z340" s="454">
        <f t="shared" si="176"/>
        <v>0</v>
      </c>
      <c r="AA340" s="456">
        <f t="shared" si="177"/>
        <v>0</v>
      </c>
      <c r="AB340" s="587">
        <f t="shared" si="178"/>
        <v>0</v>
      </c>
    </row>
    <row r="341" spans="2:30" ht="13.5" customHeight="1" x14ac:dyDescent="0.25">
      <c r="B341" s="586"/>
      <c r="C341" s="468"/>
      <c r="D341" s="454"/>
      <c r="E341" s="454"/>
      <c r="F341" s="584"/>
      <c r="G341" s="454"/>
      <c r="H341" s="584"/>
      <c r="I341" s="584"/>
      <c r="J341" s="584"/>
      <c r="K341" s="584"/>
      <c r="L341" s="456">
        <f t="shared" si="162"/>
        <v>0</v>
      </c>
      <c r="M341" s="457">
        <f t="shared" si="163"/>
        <v>0</v>
      </c>
      <c r="N341" s="458">
        <f t="shared" si="164"/>
        <v>0</v>
      </c>
      <c r="O341" s="458">
        <f t="shared" si="165"/>
        <v>0</v>
      </c>
      <c r="P341" s="458">
        <f t="shared" si="166"/>
        <v>0</v>
      </c>
      <c r="Q341" s="459">
        <f t="shared" si="167"/>
        <v>0</v>
      </c>
      <c r="R341" s="460">
        <f t="shared" si="168"/>
        <v>0</v>
      </c>
      <c r="S341" s="461">
        <f t="shared" si="169"/>
        <v>0</v>
      </c>
      <c r="T341" s="461">
        <f t="shared" si="170"/>
        <v>0</v>
      </c>
      <c r="U341" s="454">
        <f t="shared" si="171"/>
        <v>0</v>
      </c>
      <c r="V341" s="454">
        <f t="shared" si="172"/>
        <v>0</v>
      </c>
      <c r="W341" s="454">
        <f t="shared" si="173"/>
        <v>0</v>
      </c>
      <c r="X341" s="454">
        <f t="shared" si="174"/>
        <v>0</v>
      </c>
      <c r="Y341" s="454">
        <f t="shared" si="175"/>
        <v>0</v>
      </c>
      <c r="Z341" s="454">
        <f t="shared" si="176"/>
        <v>0</v>
      </c>
      <c r="AA341" s="456">
        <f t="shared" si="177"/>
        <v>0</v>
      </c>
      <c r="AB341" s="587">
        <f t="shared" si="178"/>
        <v>0</v>
      </c>
    </row>
    <row r="342" spans="2:30" ht="13.5" customHeight="1" x14ac:dyDescent="0.25">
      <c r="B342" s="586"/>
      <c r="C342" s="468"/>
      <c r="D342" s="454"/>
      <c r="E342" s="454"/>
      <c r="F342" s="584"/>
      <c r="G342" s="454"/>
      <c r="H342" s="584"/>
      <c r="I342" s="584"/>
      <c r="J342" s="584"/>
      <c r="K342" s="584"/>
      <c r="L342" s="456">
        <f t="shared" si="162"/>
        <v>0</v>
      </c>
      <c r="M342" s="457">
        <f t="shared" si="163"/>
        <v>0</v>
      </c>
      <c r="N342" s="458">
        <f t="shared" si="164"/>
        <v>0</v>
      </c>
      <c r="O342" s="458">
        <f t="shared" si="165"/>
        <v>0</v>
      </c>
      <c r="P342" s="458">
        <f t="shared" si="166"/>
        <v>0</v>
      </c>
      <c r="Q342" s="459">
        <f t="shared" si="167"/>
        <v>0</v>
      </c>
      <c r="R342" s="460">
        <f t="shared" si="168"/>
        <v>0</v>
      </c>
      <c r="S342" s="461">
        <f t="shared" si="169"/>
        <v>0</v>
      </c>
      <c r="T342" s="461">
        <f t="shared" si="170"/>
        <v>0</v>
      </c>
      <c r="U342" s="454">
        <f t="shared" si="171"/>
        <v>0</v>
      </c>
      <c r="V342" s="454">
        <f t="shared" si="172"/>
        <v>0</v>
      </c>
      <c r="W342" s="454">
        <f t="shared" si="173"/>
        <v>0</v>
      </c>
      <c r="X342" s="454">
        <f t="shared" si="174"/>
        <v>0</v>
      </c>
      <c r="Y342" s="454">
        <f t="shared" si="175"/>
        <v>0</v>
      </c>
      <c r="Z342" s="454">
        <f t="shared" si="176"/>
        <v>0</v>
      </c>
      <c r="AA342" s="456">
        <f t="shared" si="177"/>
        <v>0</v>
      </c>
      <c r="AB342" s="587">
        <f t="shared" si="178"/>
        <v>0</v>
      </c>
    </row>
    <row r="343" spans="2:30" ht="13.5" customHeight="1" x14ac:dyDescent="0.25">
      <c r="B343" s="586" t="s">
        <v>348</v>
      </c>
      <c r="C343" s="468"/>
      <c r="D343" s="454"/>
      <c r="E343" s="454"/>
      <c r="F343" s="584"/>
      <c r="G343" s="454"/>
      <c r="H343" s="584"/>
      <c r="I343" s="584"/>
      <c r="J343" s="584"/>
      <c r="K343" s="584"/>
      <c r="L343" s="456">
        <f t="shared" si="162"/>
        <v>0</v>
      </c>
      <c r="M343" s="457"/>
      <c r="N343" s="458"/>
      <c r="O343" s="458"/>
      <c r="P343" s="458"/>
      <c r="Q343" s="459">
        <f t="shared" si="167"/>
        <v>0</v>
      </c>
      <c r="R343" s="460"/>
      <c r="S343" s="461"/>
      <c r="T343" s="461"/>
      <c r="U343" s="454"/>
      <c r="V343" s="454"/>
      <c r="W343" s="454"/>
      <c r="X343" s="454"/>
      <c r="Y343" s="454"/>
      <c r="Z343" s="454"/>
      <c r="AA343" s="456"/>
      <c r="AB343" s="587">
        <f t="shared" si="178"/>
        <v>0</v>
      </c>
    </row>
    <row r="344" spans="2:30" ht="13.5" customHeight="1" x14ac:dyDescent="0.25">
      <c r="B344" s="586" t="s">
        <v>349</v>
      </c>
      <c r="C344" s="468"/>
      <c r="D344" s="589"/>
      <c r="E344" s="454"/>
      <c r="F344" s="584"/>
      <c r="G344" s="454"/>
      <c r="H344" s="584"/>
      <c r="I344" s="584"/>
      <c r="J344" s="584"/>
      <c r="K344" s="584"/>
      <c r="L344" s="456">
        <f t="shared" si="162"/>
        <v>0</v>
      </c>
      <c r="M344" s="490"/>
      <c r="N344" s="458"/>
      <c r="O344" s="458"/>
      <c r="P344" s="458"/>
      <c r="Q344" s="459">
        <f t="shared" si="167"/>
        <v>0</v>
      </c>
      <c r="R344" s="460"/>
      <c r="S344" s="461"/>
      <c r="T344" s="461"/>
      <c r="U344" s="454"/>
      <c r="V344" s="454"/>
      <c r="W344" s="454"/>
      <c r="X344" s="454"/>
      <c r="Y344" s="454"/>
      <c r="Z344" s="454"/>
      <c r="AA344" s="456">
        <f>SUM(R344:Z344)</f>
        <v>0</v>
      </c>
      <c r="AB344" s="587">
        <f t="shared" si="178"/>
        <v>0</v>
      </c>
    </row>
    <row r="345" spans="2:30" ht="14.25" customHeight="1" x14ac:dyDescent="0.25">
      <c r="B345" s="590"/>
      <c r="C345" s="591">
        <f t="shared" ref="C345:AB345" si="179">SUM(C315:C344)</f>
        <v>0</v>
      </c>
      <c r="D345" s="592">
        <f t="shared" si="179"/>
        <v>0</v>
      </c>
      <c r="E345" s="592">
        <f t="shared" si="179"/>
        <v>0</v>
      </c>
      <c r="F345" s="592">
        <f t="shared" si="179"/>
        <v>0</v>
      </c>
      <c r="G345" s="592">
        <f t="shared" si="179"/>
        <v>0</v>
      </c>
      <c r="H345" s="592">
        <f t="shared" si="179"/>
        <v>0</v>
      </c>
      <c r="I345" s="592">
        <f t="shared" si="179"/>
        <v>0</v>
      </c>
      <c r="J345" s="592">
        <f t="shared" si="179"/>
        <v>0</v>
      </c>
      <c r="K345" s="592">
        <f t="shared" si="179"/>
        <v>0</v>
      </c>
      <c r="L345" s="593">
        <f t="shared" si="179"/>
        <v>0</v>
      </c>
      <c r="M345" s="591">
        <f t="shared" si="179"/>
        <v>0</v>
      </c>
      <c r="N345" s="592">
        <f t="shared" si="179"/>
        <v>0</v>
      </c>
      <c r="O345" s="592">
        <f t="shared" si="179"/>
        <v>0</v>
      </c>
      <c r="P345" s="592">
        <f t="shared" si="179"/>
        <v>0</v>
      </c>
      <c r="Q345" s="593">
        <f t="shared" si="179"/>
        <v>0</v>
      </c>
      <c r="R345" s="591">
        <f t="shared" si="179"/>
        <v>0</v>
      </c>
      <c r="S345" s="592">
        <f t="shared" si="179"/>
        <v>0</v>
      </c>
      <c r="T345" s="592">
        <f t="shared" si="179"/>
        <v>0</v>
      </c>
      <c r="U345" s="592">
        <f t="shared" si="179"/>
        <v>0</v>
      </c>
      <c r="V345" s="592">
        <f t="shared" si="179"/>
        <v>0</v>
      </c>
      <c r="W345" s="592">
        <f t="shared" si="179"/>
        <v>0</v>
      </c>
      <c r="X345" s="592">
        <f t="shared" si="179"/>
        <v>0</v>
      </c>
      <c r="Y345" s="592">
        <f t="shared" si="179"/>
        <v>0</v>
      </c>
      <c r="Z345" s="592">
        <f t="shared" si="179"/>
        <v>0</v>
      </c>
      <c r="AA345" s="593">
        <f t="shared" si="179"/>
        <v>0</v>
      </c>
      <c r="AB345" s="594">
        <f t="shared" si="179"/>
        <v>0</v>
      </c>
    </row>
    <row r="346" spans="2:30" ht="13.5" customHeight="1" x14ac:dyDescent="0.25"/>
    <row r="347" spans="2:30" ht="12.75" customHeight="1" x14ac:dyDescent="0.25">
      <c r="B347" s="438" t="s">
        <v>158</v>
      </c>
      <c r="C347" s="439" t="s">
        <v>190</v>
      </c>
      <c r="D347" s="440" t="s">
        <v>194</v>
      </c>
      <c r="E347" s="440" t="s">
        <v>197</v>
      </c>
      <c r="F347" s="440" t="s">
        <v>306</v>
      </c>
      <c r="G347" s="440" t="s">
        <v>307</v>
      </c>
      <c r="H347" s="440" t="s">
        <v>308</v>
      </c>
      <c r="I347" s="440" t="s">
        <v>309</v>
      </c>
      <c r="J347" s="440" t="s">
        <v>310</v>
      </c>
      <c r="K347" s="440" t="s">
        <v>311</v>
      </c>
      <c r="L347" s="441" t="s">
        <v>199</v>
      </c>
      <c r="M347" s="442" t="s">
        <v>168</v>
      </c>
      <c r="N347" s="443" t="s">
        <v>200</v>
      </c>
      <c r="O347" s="443" t="s">
        <v>201</v>
      </c>
      <c r="P347" s="444" t="s">
        <v>36</v>
      </c>
      <c r="Q347" s="445" t="s">
        <v>202</v>
      </c>
      <c r="R347" s="446" t="s">
        <v>40</v>
      </c>
      <c r="S347" s="447" t="s">
        <v>169</v>
      </c>
      <c r="T347" s="447" t="s">
        <v>203</v>
      </c>
      <c r="U347" s="447" t="s">
        <v>204</v>
      </c>
      <c r="V347" s="447" t="s">
        <v>205</v>
      </c>
      <c r="W347" s="447" t="s">
        <v>206</v>
      </c>
      <c r="X347" s="447" t="s">
        <v>207</v>
      </c>
      <c r="Y347" s="447" t="s">
        <v>208</v>
      </c>
      <c r="Z347" s="447" t="s">
        <v>209</v>
      </c>
      <c r="AA347" s="448" t="s">
        <v>210</v>
      </c>
      <c r="AB347" s="583" t="s">
        <v>13</v>
      </c>
      <c r="AC347" s="450" t="s">
        <v>189</v>
      </c>
      <c r="AD347" s="451">
        <v>46327</v>
      </c>
    </row>
    <row r="348" spans="2:30" ht="13.5" customHeight="1" x14ac:dyDescent="0.25">
      <c r="B348" s="489"/>
      <c r="C348" s="490"/>
      <c r="D348" s="454"/>
      <c r="E348" s="454"/>
      <c r="F348" s="584"/>
      <c r="G348" s="454"/>
      <c r="H348" s="584"/>
      <c r="I348" s="584"/>
      <c r="J348" s="584"/>
      <c r="K348" s="584"/>
      <c r="L348" s="456">
        <f t="shared" ref="L348:L377" si="180">SUM(C348:K348)</f>
        <v>0</v>
      </c>
      <c r="M348" s="457">
        <f t="shared" ref="M348:M375" si="181">(C348+F348+G348)*20%</f>
        <v>0</v>
      </c>
      <c r="N348" s="458">
        <f t="shared" ref="N348:N375" si="182">(C348+F348+G348)*1.5%</f>
        <v>0</v>
      </c>
      <c r="O348" s="458">
        <f t="shared" ref="O348:O375" si="183">(C348+F348+G348)*5.8%</f>
        <v>0</v>
      </c>
      <c r="P348" s="458">
        <f t="shared" ref="P348:P375" si="184">(C348+F348+G348)*8%</f>
        <v>0</v>
      </c>
      <c r="Q348" s="459">
        <f t="shared" ref="Q348:Q377" si="185">SUM(M348:P348)</f>
        <v>0</v>
      </c>
      <c r="R348" s="460">
        <f t="shared" ref="R348:R375" si="186">(C348+F348+G348)/12</f>
        <v>0</v>
      </c>
      <c r="S348" s="461">
        <f t="shared" ref="S348:S375" si="187">R348/3</f>
        <v>0</v>
      </c>
      <c r="T348" s="461">
        <f t="shared" ref="T348:T375" si="188">(R348+S348)*8%</f>
        <v>0</v>
      </c>
      <c r="U348" s="454">
        <f t="shared" ref="U348:U375" si="189">(C348+F348+G348)/12</f>
        <v>0</v>
      </c>
      <c r="V348" s="454">
        <f t="shared" ref="V348:V375" si="190">U348*8%</f>
        <v>0</v>
      </c>
      <c r="W348" s="454">
        <f t="shared" ref="W348:W375" si="191">(C348+F348+G348)/12</f>
        <v>0</v>
      </c>
      <c r="X348" s="454">
        <f t="shared" ref="X348:X375" si="192">W348*8%</f>
        <v>0</v>
      </c>
      <c r="Y348" s="454">
        <f t="shared" ref="Y348:Y375" si="193">(P348+T348+V348+X348)*50%</f>
        <v>0</v>
      </c>
      <c r="Z348" s="454">
        <f t="shared" ref="Z348:Z375" si="194">(R348+S348+U348+W348)*27.3%</f>
        <v>0</v>
      </c>
      <c r="AA348" s="456">
        <f t="shared" ref="AA348:AA375" si="195">SUM(R348:Z348)</f>
        <v>0</v>
      </c>
      <c r="AB348" s="585">
        <f t="shared" ref="AB348:AB377" si="196">L348+Q348+AA348</f>
        <v>0</v>
      </c>
      <c r="AC348" s="465" t="s">
        <v>89</v>
      </c>
      <c r="AD348" s="466">
        <f>C378</f>
        <v>0</v>
      </c>
    </row>
    <row r="349" spans="2:30" ht="13.5" customHeight="1" x14ac:dyDescent="0.25">
      <c r="B349" s="467"/>
      <c r="C349" s="468"/>
      <c r="D349" s="454"/>
      <c r="E349" s="454"/>
      <c r="F349" s="584"/>
      <c r="G349" s="454"/>
      <c r="H349" s="584"/>
      <c r="I349" s="584"/>
      <c r="J349" s="584"/>
      <c r="K349" s="584"/>
      <c r="L349" s="456">
        <f t="shared" si="180"/>
        <v>0</v>
      </c>
      <c r="M349" s="457">
        <f t="shared" si="181"/>
        <v>0</v>
      </c>
      <c r="N349" s="458">
        <f t="shared" si="182"/>
        <v>0</v>
      </c>
      <c r="O349" s="458">
        <f t="shared" si="183"/>
        <v>0</v>
      </c>
      <c r="P349" s="458">
        <f t="shared" si="184"/>
        <v>0</v>
      </c>
      <c r="Q349" s="459">
        <f t="shared" si="185"/>
        <v>0</v>
      </c>
      <c r="R349" s="460">
        <f t="shared" si="186"/>
        <v>0</v>
      </c>
      <c r="S349" s="461">
        <f t="shared" si="187"/>
        <v>0</v>
      </c>
      <c r="T349" s="461">
        <f t="shared" si="188"/>
        <v>0</v>
      </c>
      <c r="U349" s="454">
        <f t="shared" si="189"/>
        <v>0</v>
      </c>
      <c r="V349" s="454">
        <f t="shared" si="190"/>
        <v>0</v>
      </c>
      <c r="W349" s="454">
        <f t="shared" si="191"/>
        <v>0</v>
      </c>
      <c r="X349" s="454">
        <f t="shared" si="192"/>
        <v>0</v>
      </c>
      <c r="Y349" s="454">
        <f t="shared" si="193"/>
        <v>0</v>
      </c>
      <c r="Z349" s="454">
        <f t="shared" si="194"/>
        <v>0</v>
      </c>
      <c r="AA349" s="456">
        <f t="shared" si="195"/>
        <v>0</v>
      </c>
      <c r="AB349" s="585">
        <f t="shared" si="196"/>
        <v>0</v>
      </c>
      <c r="AC349" s="465" t="s">
        <v>306</v>
      </c>
      <c r="AD349" s="466">
        <f>F378</f>
        <v>0</v>
      </c>
    </row>
    <row r="350" spans="2:30" ht="13.5" customHeight="1" x14ac:dyDescent="0.25">
      <c r="B350" s="467"/>
      <c r="C350" s="468"/>
      <c r="D350" s="454"/>
      <c r="E350" s="454"/>
      <c r="F350" s="584"/>
      <c r="G350" s="454"/>
      <c r="H350" s="584"/>
      <c r="I350" s="584"/>
      <c r="J350" s="584"/>
      <c r="K350" s="584"/>
      <c r="L350" s="456">
        <f t="shared" si="180"/>
        <v>0</v>
      </c>
      <c r="M350" s="457">
        <f t="shared" si="181"/>
        <v>0</v>
      </c>
      <c r="N350" s="458">
        <f t="shared" si="182"/>
        <v>0</v>
      </c>
      <c r="O350" s="458">
        <f t="shared" si="183"/>
        <v>0</v>
      </c>
      <c r="P350" s="458">
        <f t="shared" si="184"/>
        <v>0</v>
      </c>
      <c r="Q350" s="459">
        <f t="shared" si="185"/>
        <v>0</v>
      </c>
      <c r="R350" s="460">
        <f t="shared" si="186"/>
        <v>0</v>
      </c>
      <c r="S350" s="461">
        <f t="shared" si="187"/>
        <v>0</v>
      </c>
      <c r="T350" s="461">
        <f t="shared" si="188"/>
        <v>0</v>
      </c>
      <c r="U350" s="454">
        <f t="shared" si="189"/>
        <v>0</v>
      </c>
      <c r="V350" s="454">
        <f t="shared" si="190"/>
        <v>0</v>
      </c>
      <c r="W350" s="454">
        <f t="shared" si="191"/>
        <v>0</v>
      </c>
      <c r="X350" s="454">
        <f t="shared" si="192"/>
        <v>0</v>
      </c>
      <c r="Y350" s="454">
        <f t="shared" si="193"/>
        <v>0</v>
      </c>
      <c r="Z350" s="454">
        <f t="shared" si="194"/>
        <v>0</v>
      </c>
      <c r="AA350" s="456">
        <f t="shared" si="195"/>
        <v>0</v>
      </c>
      <c r="AB350" s="585">
        <f t="shared" si="196"/>
        <v>0</v>
      </c>
      <c r="AC350" s="465" t="s">
        <v>315</v>
      </c>
      <c r="AD350" s="466">
        <v>0</v>
      </c>
    </row>
    <row r="351" spans="2:30" ht="13.5" customHeight="1" x14ac:dyDescent="0.25">
      <c r="B351" s="467"/>
      <c r="C351" s="468"/>
      <c r="D351" s="454"/>
      <c r="E351" s="454"/>
      <c r="F351" s="584"/>
      <c r="G351" s="454"/>
      <c r="H351" s="584"/>
      <c r="I351" s="584"/>
      <c r="J351" s="584"/>
      <c r="K351" s="584"/>
      <c r="L351" s="456">
        <f t="shared" si="180"/>
        <v>0</v>
      </c>
      <c r="M351" s="457">
        <f t="shared" si="181"/>
        <v>0</v>
      </c>
      <c r="N351" s="458">
        <f t="shared" si="182"/>
        <v>0</v>
      </c>
      <c r="O351" s="458">
        <f t="shared" si="183"/>
        <v>0</v>
      </c>
      <c r="P351" s="458">
        <f t="shared" si="184"/>
        <v>0</v>
      </c>
      <c r="Q351" s="459">
        <f t="shared" si="185"/>
        <v>0</v>
      </c>
      <c r="R351" s="460">
        <f t="shared" si="186"/>
        <v>0</v>
      </c>
      <c r="S351" s="461">
        <f t="shared" si="187"/>
        <v>0</v>
      </c>
      <c r="T351" s="461">
        <f t="shared" si="188"/>
        <v>0</v>
      </c>
      <c r="U351" s="454">
        <f t="shared" si="189"/>
        <v>0</v>
      </c>
      <c r="V351" s="454">
        <f t="shared" si="190"/>
        <v>0</v>
      </c>
      <c r="W351" s="454">
        <f t="shared" si="191"/>
        <v>0</v>
      </c>
      <c r="X351" s="454">
        <f t="shared" si="192"/>
        <v>0</v>
      </c>
      <c r="Y351" s="454">
        <f t="shared" si="193"/>
        <v>0</v>
      </c>
      <c r="Z351" s="454">
        <f t="shared" si="194"/>
        <v>0</v>
      </c>
      <c r="AA351" s="456">
        <f t="shared" si="195"/>
        <v>0</v>
      </c>
      <c r="AB351" s="585">
        <f t="shared" si="196"/>
        <v>0</v>
      </c>
      <c r="AC351" s="469" t="s">
        <v>194</v>
      </c>
      <c r="AD351" s="466">
        <f>D378</f>
        <v>0</v>
      </c>
    </row>
    <row r="352" spans="2:30" ht="13.5" customHeight="1" x14ac:dyDescent="0.25">
      <c r="B352" s="467"/>
      <c r="C352" s="468"/>
      <c r="D352" s="454"/>
      <c r="E352" s="454"/>
      <c r="F352" s="584"/>
      <c r="G352" s="454"/>
      <c r="H352" s="584"/>
      <c r="I352" s="584"/>
      <c r="J352" s="584"/>
      <c r="K352" s="584"/>
      <c r="L352" s="456">
        <f t="shared" si="180"/>
        <v>0</v>
      </c>
      <c r="M352" s="457">
        <f t="shared" si="181"/>
        <v>0</v>
      </c>
      <c r="N352" s="458">
        <f t="shared" si="182"/>
        <v>0</v>
      </c>
      <c r="O352" s="458">
        <f t="shared" si="183"/>
        <v>0</v>
      </c>
      <c r="P352" s="458">
        <f t="shared" si="184"/>
        <v>0</v>
      </c>
      <c r="Q352" s="459">
        <f t="shared" si="185"/>
        <v>0</v>
      </c>
      <c r="R352" s="460">
        <f t="shared" si="186"/>
        <v>0</v>
      </c>
      <c r="S352" s="461">
        <f t="shared" si="187"/>
        <v>0</v>
      </c>
      <c r="T352" s="461">
        <f t="shared" si="188"/>
        <v>0</v>
      </c>
      <c r="U352" s="454">
        <f t="shared" si="189"/>
        <v>0</v>
      </c>
      <c r="V352" s="454">
        <f t="shared" si="190"/>
        <v>0</v>
      </c>
      <c r="W352" s="454">
        <f t="shared" si="191"/>
        <v>0</v>
      </c>
      <c r="X352" s="454">
        <f t="shared" si="192"/>
        <v>0</v>
      </c>
      <c r="Y352" s="454">
        <f t="shared" si="193"/>
        <v>0</v>
      </c>
      <c r="Z352" s="454">
        <f t="shared" si="194"/>
        <v>0</v>
      </c>
      <c r="AA352" s="456">
        <f t="shared" si="195"/>
        <v>0</v>
      </c>
      <c r="AB352" s="585">
        <f t="shared" si="196"/>
        <v>0</v>
      </c>
      <c r="AC352" s="469" t="s">
        <v>197</v>
      </c>
      <c r="AD352" s="466">
        <f>E378</f>
        <v>0</v>
      </c>
    </row>
    <row r="353" spans="2:30" ht="13.5" customHeight="1" x14ac:dyDescent="0.25">
      <c r="B353" s="467"/>
      <c r="C353" s="468"/>
      <c r="D353" s="454"/>
      <c r="E353" s="454"/>
      <c r="F353" s="584"/>
      <c r="G353" s="454"/>
      <c r="H353" s="584"/>
      <c r="I353" s="584"/>
      <c r="J353" s="584"/>
      <c r="K353" s="584"/>
      <c r="L353" s="456">
        <f t="shared" si="180"/>
        <v>0</v>
      </c>
      <c r="M353" s="457">
        <f t="shared" si="181"/>
        <v>0</v>
      </c>
      <c r="N353" s="458">
        <f t="shared" si="182"/>
        <v>0</v>
      </c>
      <c r="O353" s="458">
        <f t="shared" si="183"/>
        <v>0</v>
      </c>
      <c r="P353" s="458">
        <f t="shared" si="184"/>
        <v>0</v>
      </c>
      <c r="Q353" s="459">
        <f t="shared" si="185"/>
        <v>0</v>
      </c>
      <c r="R353" s="460">
        <f t="shared" si="186"/>
        <v>0</v>
      </c>
      <c r="S353" s="461">
        <f t="shared" si="187"/>
        <v>0</v>
      </c>
      <c r="T353" s="461">
        <f t="shared" si="188"/>
        <v>0</v>
      </c>
      <c r="U353" s="454">
        <f t="shared" si="189"/>
        <v>0</v>
      </c>
      <c r="V353" s="454">
        <f t="shared" si="190"/>
        <v>0</v>
      </c>
      <c r="W353" s="454">
        <f t="shared" si="191"/>
        <v>0</v>
      </c>
      <c r="X353" s="454">
        <f t="shared" si="192"/>
        <v>0</v>
      </c>
      <c r="Y353" s="454">
        <f t="shared" si="193"/>
        <v>0</v>
      </c>
      <c r="Z353" s="454">
        <f t="shared" si="194"/>
        <v>0</v>
      </c>
      <c r="AA353" s="456">
        <f t="shared" si="195"/>
        <v>0</v>
      </c>
      <c r="AB353" s="585">
        <f t="shared" si="196"/>
        <v>0</v>
      </c>
      <c r="AC353" s="469" t="s">
        <v>211</v>
      </c>
      <c r="AD353" s="466">
        <f>SUM(H378:K378)</f>
        <v>0</v>
      </c>
    </row>
    <row r="354" spans="2:30" ht="13.5" customHeight="1" x14ac:dyDescent="0.25">
      <c r="B354" s="467"/>
      <c r="C354" s="468"/>
      <c r="D354" s="431"/>
      <c r="E354" s="454"/>
      <c r="F354" s="584"/>
      <c r="G354" s="454"/>
      <c r="H354" s="584"/>
      <c r="I354" s="584"/>
      <c r="J354" s="584"/>
      <c r="K354" s="584"/>
      <c r="L354" s="456">
        <f t="shared" si="180"/>
        <v>0</v>
      </c>
      <c r="M354" s="457">
        <f t="shared" si="181"/>
        <v>0</v>
      </c>
      <c r="N354" s="458">
        <f t="shared" si="182"/>
        <v>0</v>
      </c>
      <c r="O354" s="458">
        <f t="shared" si="183"/>
        <v>0</v>
      </c>
      <c r="P354" s="458">
        <f t="shared" si="184"/>
        <v>0</v>
      </c>
      <c r="Q354" s="459">
        <f t="shared" si="185"/>
        <v>0</v>
      </c>
      <c r="R354" s="460">
        <f t="shared" si="186"/>
        <v>0</v>
      </c>
      <c r="S354" s="461">
        <f t="shared" si="187"/>
        <v>0</v>
      </c>
      <c r="T354" s="461">
        <f t="shared" si="188"/>
        <v>0</v>
      </c>
      <c r="U354" s="454">
        <f t="shared" si="189"/>
        <v>0</v>
      </c>
      <c r="V354" s="454">
        <f t="shared" si="190"/>
        <v>0</v>
      </c>
      <c r="W354" s="454">
        <f t="shared" si="191"/>
        <v>0</v>
      </c>
      <c r="X354" s="454">
        <f t="shared" si="192"/>
        <v>0</v>
      </c>
      <c r="Y354" s="454">
        <f t="shared" si="193"/>
        <v>0</v>
      </c>
      <c r="Z354" s="454">
        <f t="shared" si="194"/>
        <v>0</v>
      </c>
      <c r="AA354" s="456">
        <f t="shared" si="195"/>
        <v>0</v>
      </c>
      <c r="AB354" s="585">
        <f t="shared" si="196"/>
        <v>0</v>
      </c>
      <c r="AC354" s="465" t="s">
        <v>209</v>
      </c>
      <c r="AD354" s="466">
        <f>SUM(M378:O378)</f>
        <v>0</v>
      </c>
    </row>
    <row r="355" spans="2:30" ht="13.5" customHeight="1" x14ac:dyDescent="0.25">
      <c r="B355" s="467"/>
      <c r="C355" s="468"/>
      <c r="D355" s="431"/>
      <c r="E355" s="454"/>
      <c r="F355" s="584"/>
      <c r="G355" s="454"/>
      <c r="H355" s="584"/>
      <c r="I355" s="584"/>
      <c r="J355" s="584"/>
      <c r="K355" s="584"/>
      <c r="L355" s="456">
        <f t="shared" si="180"/>
        <v>0</v>
      </c>
      <c r="M355" s="457">
        <f t="shared" si="181"/>
        <v>0</v>
      </c>
      <c r="N355" s="458">
        <f t="shared" si="182"/>
        <v>0</v>
      </c>
      <c r="O355" s="458">
        <f t="shared" si="183"/>
        <v>0</v>
      </c>
      <c r="P355" s="458">
        <f t="shared" si="184"/>
        <v>0</v>
      </c>
      <c r="Q355" s="459">
        <f t="shared" si="185"/>
        <v>0</v>
      </c>
      <c r="R355" s="460">
        <f t="shared" si="186"/>
        <v>0</v>
      </c>
      <c r="S355" s="461">
        <f t="shared" si="187"/>
        <v>0</v>
      </c>
      <c r="T355" s="461">
        <f t="shared" si="188"/>
        <v>0</v>
      </c>
      <c r="U355" s="454">
        <f t="shared" si="189"/>
        <v>0</v>
      </c>
      <c r="V355" s="454">
        <f t="shared" si="190"/>
        <v>0</v>
      </c>
      <c r="W355" s="454">
        <f t="shared" si="191"/>
        <v>0</v>
      </c>
      <c r="X355" s="454">
        <f t="shared" si="192"/>
        <v>0</v>
      </c>
      <c r="Y355" s="454">
        <f t="shared" si="193"/>
        <v>0</v>
      </c>
      <c r="Z355" s="454">
        <f t="shared" si="194"/>
        <v>0</v>
      </c>
      <c r="AA355" s="456">
        <f t="shared" si="195"/>
        <v>0</v>
      </c>
      <c r="AB355" s="585">
        <f t="shared" si="196"/>
        <v>0</v>
      </c>
      <c r="AC355" s="465" t="s">
        <v>36</v>
      </c>
      <c r="AD355" s="466">
        <f>P378</f>
        <v>0</v>
      </c>
    </row>
    <row r="356" spans="2:30" ht="13.5" customHeight="1" x14ac:dyDescent="0.25">
      <c r="B356" s="586"/>
      <c r="C356" s="468"/>
      <c r="D356" s="454"/>
      <c r="E356" s="454"/>
      <c r="F356" s="584"/>
      <c r="G356" s="454"/>
      <c r="H356" s="584"/>
      <c r="I356" s="584"/>
      <c r="J356" s="584"/>
      <c r="K356" s="584"/>
      <c r="L356" s="456">
        <f t="shared" si="180"/>
        <v>0</v>
      </c>
      <c r="M356" s="457">
        <f t="shared" si="181"/>
        <v>0</v>
      </c>
      <c r="N356" s="458">
        <f t="shared" si="182"/>
        <v>0</v>
      </c>
      <c r="O356" s="458">
        <f t="shared" si="183"/>
        <v>0</v>
      </c>
      <c r="P356" s="458">
        <f t="shared" si="184"/>
        <v>0</v>
      </c>
      <c r="Q356" s="459">
        <f t="shared" si="185"/>
        <v>0</v>
      </c>
      <c r="R356" s="460">
        <f t="shared" si="186"/>
        <v>0</v>
      </c>
      <c r="S356" s="461">
        <f t="shared" si="187"/>
        <v>0</v>
      </c>
      <c r="T356" s="461">
        <f t="shared" si="188"/>
        <v>0</v>
      </c>
      <c r="U356" s="454">
        <f t="shared" si="189"/>
        <v>0</v>
      </c>
      <c r="V356" s="454">
        <f t="shared" si="190"/>
        <v>0</v>
      </c>
      <c r="W356" s="454">
        <f t="shared" si="191"/>
        <v>0</v>
      </c>
      <c r="X356" s="454">
        <f t="shared" si="192"/>
        <v>0</v>
      </c>
      <c r="Y356" s="454">
        <f t="shared" si="193"/>
        <v>0</v>
      </c>
      <c r="Z356" s="454">
        <f t="shared" si="194"/>
        <v>0</v>
      </c>
      <c r="AA356" s="456">
        <f t="shared" si="195"/>
        <v>0</v>
      </c>
      <c r="AB356" s="585">
        <f t="shared" si="196"/>
        <v>0</v>
      </c>
      <c r="AC356" s="469" t="s">
        <v>212</v>
      </c>
      <c r="AD356" s="466">
        <f>SUM(R378:Z378)</f>
        <v>0</v>
      </c>
    </row>
    <row r="357" spans="2:30" ht="14.25" customHeight="1" x14ac:dyDescent="0.25">
      <c r="B357" s="586"/>
      <c r="C357" s="468"/>
      <c r="D357" s="454"/>
      <c r="E357" s="454"/>
      <c r="F357" s="584"/>
      <c r="G357" s="454"/>
      <c r="H357" s="584"/>
      <c r="I357" s="584"/>
      <c r="J357" s="584"/>
      <c r="K357" s="584"/>
      <c r="L357" s="456">
        <f t="shared" si="180"/>
        <v>0</v>
      </c>
      <c r="M357" s="457">
        <f t="shared" si="181"/>
        <v>0</v>
      </c>
      <c r="N357" s="458">
        <f t="shared" si="182"/>
        <v>0</v>
      </c>
      <c r="O357" s="458">
        <f t="shared" si="183"/>
        <v>0</v>
      </c>
      <c r="P357" s="458">
        <f t="shared" si="184"/>
        <v>0</v>
      </c>
      <c r="Q357" s="459">
        <f t="shared" si="185"/>
        <v>0</v>
      </c>
      <c r="R357" s="460">
        <f t="shared" si="186"/>
        <v>0</v>
      </c>
      <c r="S357" s="461">
        <f t="shared" si="187"/>
        <v>0</v>
      </c>
      <c r="T357" s="461">
        <f t="shared" si="188"/>
        <v>0</v>
      </c>
      <c r="U357" s="454">
        <f t="shared" si="189"/>
        <v>0</v>
      </c>
      <c r="V357" s="454">
        <f t="shared" si="190"/>
        <v>0</v>
      </c>
      <c r="W357" s="454">
        <f t="shared" si="191"/>
        <v>0</v>
      </c>
      <c r="X357" s="454">
        <f t="shared" si="192"/>
        <v>0</v>
      </c>
      <c r="Y357" s="454">
        <f t="shared" si="193"/>
        <v>0</v>
      </c>
      <c r="Z357" s="454">
        <f t="shared" si="194"/>
        <v>0</v>
      </c>
      <c r="AA357" s="456">
        <f t="shared" si="195"/>
        <v>0</v>
      </c>
      <c r="AB357" s="585">
        <f t="shared" si="196"/>
        <v>0</v>
      </c>
      <c r="AC357" s="483" t="s">
        <v>13</v>
      </c>
      <c r="AD357" s="484">
        <f>SUM(AD348:AD356)</f>
        <v>0</v>
      </c>
    </row>
    <row r="358" spans="2:30" ht="13.5" customHeight="1" x14ac:dyDescent="0.25">
      <c r="B358" s="586"/>
      <c r="C358" s="468"/>
      <c r="D358" s="454"/>
      <c r="E358" s="454"/>
      <c r="F358" s="584"/>
      <c r="G358" s="454"/>
      <c r="H358" s="584"/>
      <c r="I358" s="584"/>
      <c r="J358" s="584"/>
      <c r="K358" s="584"/>
      <c r="L358" s="456">
        <f t="shared" si="180"/>
        <v>0</v>
      </c>
      <c r="M358" s="457">
        <f t="shared" si="181"/>
        <v>0</v>
      </c>
      <c r="N358" s="458">
        <f t="shared" si="182"/>
        <v>0</v>
      </c>
      <c r="O358" s="458">
        <f t="shared" si="183"/>
        <v>0</v>
      </c>
      <c r="P358" s="458">
        <f t="shared" si="184"/>
        <v>0</v>
      </c>
      <c r="Q358" s="459">
        <f t="shared" si="185"/>
        <v>0</v>
      </c>
      <c r="R358" s="460">
        <f t="shared" si="186"/>
        <v>0</v>
      </c>
      <c r="S358" s="461">
        <f t="shared" si="187"/>
        <v>0</v>
      </c>
      <c r="T358" s="461">
        <f t="shared" si="188"/>
        <v>0</v>
      </c>
      <c r="U358" s="454">
        <f t="shared" si="189"/>
        <v>0</v>
      </c>
      <c r="V358" s="454">
        <f t="shared" si="190"/>
        <v>0</v>
      </c>
      <c r="W358" s="454">
        <f t="shared" si="191"/>
        <v>0</v>
      </c>
      <c r="X358" s="454">
        <f t="shared" si="192"/>
        <v>0</v>
      </c>
      <c r="Y358" s="454">
        <f t="shared" si="193"/>
        <v>0</v>
      </c>
      <c r="Z358" s="454">
        <f t="shared" si="194"/>
        <v>0</v>
      </c>
      <c r="AA358" s="456">
        <f t="shared" si="195"/>
        <v>0</v>
      </c>
      <c r="AB358" s="587">
        <f t="shared" si="196"/>
        <v>0</v>
      </c>
    </row>
    <row r="359" spans="2:30" ht="13.5" customHeight="1" x14ac:dyDescent="0.25">
      <c r="B359" s="586"/>
      <c r="C359" s="468"/>
      <c r="D359" s="454"/>
      <c r="E359" s="454"/>
      <c r="F359" s="584"/>
      <c r="G359" s="454"/>
      <c r="H359" s="584"/>
      <c r="I359" s="584"/>
      <c r="J359" s="584"/>
      <c r="K359" s="584"/>
      <c r="L359" s="456">
        <f t="shared" si="180"/>
        <v>0</v>
      </c>
      <c r="M359" s="457">
        <f t="shared" si="181"/>
        <v>0</v>
      </c>
      <c r="N359" s="458">
        <f t="shared" si="182"/>
        <v>0</v>
      </c>
      <c r="O359" s="458">
        <f t="shared" si="183"/>
        <v>0</v>
      </c>
      <c r="P359" s="458">
        <f t="shared" si="184"/>
        <v>0</v>
      </c>
      <c r="Q359" s="459">
        <f t="shared" si="185"/>
        <v>0</v>
      </c>
      <c r="R359" s="460">
        <f t="shared" si="186"/>
        <v>0</v>
      </c>
      <c r="S359" s="461">
        <f t="shared" si="187"/>
        <v>0</v>
      </c>
      <c r="T359" s="461">
        <f t="shared" si="188"/>
        <v>0</v>
      </c>
      <c r="U359" s="454">
        <f t="shared" si="189"/>
        <v>0</v>
      </c>
      <c r="V359" s="454">
        <f t="shared" si="190"/>
        <v>0</v>
      </c>
      <c r="W359" s="454">
        <f t="shared" si="191"/>
        <v>0</v>
      </c>
      <c r="X359" s="454">
        <f t="shared" si="192"/>
        <v>0</v>
      </c>
      <c r="Y359" s="454">
        <f t="shared" si="193"/>
        <v>0</v>
      </c>
      <c r="Z359" s="454">
        <f t="shared" si="194"/>
        <v>0</v>
      </c>
      <c r="AA359" s="456">
        <f t="shared" si="195"/>
        <v>0</v>
      </c>
      <c r="AB359" s="587">
        <f t="shared" si="196"/>
        <v>0</v>
      </c>
    </row>
    <row r="360" spans="2:30" ht="13.5" customHeight="1" x14ac:dyDescent="0.25">
      <c r="B360" s="586"/>
      <c r="C360" s="468"/>
      <c r="D360" s="454"/>
      <c r="E360" s="454"/>
      <c r="F360" s="584"/>
      <c r="G360" s="454"/>
      <c r="H360" s="584"/>
      <c r="I360" s="584"/>
      <c r="J360" s="584"/>
      <c r="K360" s="584"/>
      <c r="L360" s="456">
        <f t="shared" si="180"/>
        <v>0</v>
      </c>
      <c r="M360" s="457">
        <f t="shared" si="181"/>
        <v>0</v>
      </c>
      <c r="N360" s="458">
        <f t="shared" si="182"/>
        <v>0</v>
      </c>
      <c r="O360" s="458">
        <f t="shared" si="183"/>
        <v>0</v>
      </c>
      <c r="P360" s="458">
        <f t="shared" si="184"/>
        <v>0</v>
      </c>
      <c r="Q360" s="459">
        <f t="shared" si="185"/>
        <v>0</v>
      </c>
      <c r="R360" s="460">
        <f t="shared" si="186"/>
        <v>0</v>
      </c>
      <c r="S360" s="461">
        <f t="shared" si="187"/>
        <v>0</v>
      </c>
      <c r="T360" s="461">
        <f t="shared" si="188"/>
        <v>0</v>
      </c>
      <c r="U360" s="454">
        <f t="shared" si="189"/>
        <v>0</v>
      </c>
      <c r="V360" s="454">
        <f t="shared" si="190"/>
        <v>0</v>
      </c>
      <c r="W360" s="454">
        <f t="shared" si="191"/>
        <v>0</v>
      </c>
      <c r="X360" s="454">
        <f t="shared" si="192"/>
        <v>0</v>
      </c>
      <c r="Y360" s="454">
        <f t="shared" si="193"/>
        <v>0</v>
      </c>
      <c r="Z360" s="454">
        <f t="shared" si="194"/>
        <v>0</v>
      </c>
      <c r="AA360" s="456">
        <f t="shared" si="195"/>
        <v>0</v>
      </c>
      <c r="AB360" s="587">
        <f t="shared" si="196"/>
        <v>0</v>
      </c>
    </row>
    <row r="361" spans="2:30" ht="13.5" customHeight="1" x14ac:dyDescent="0.25">
      <c r="B361" s="586"/>
      <c r="C361" s="468"/>
      <c r="D361" s="454"/>
      <c r="E361" s="454"/>
      <c r="F361" s="584"/>
      <c r="G361" s="454"/>
      <c r="H361" s="584"/>
      <c r="I361" s="584"/>
      <c r="J361" s="584"/>
      <c r="K361" s="584"/>
      <c r="L361" s="456">
        <f t="shared" si="180"/>
        <v>0</v>
      </c>
      <c r="M361" s="457">
        <f t="shared" si="181"/>
        <v>0</v>
      </c>
      <c r="N361" s="458">
        <f t="shared" si="182"/>
        <v>0</v>
      </c>
      <c r="O361" s="458">
        <f t="shared" si="183"/>
        <v>0</v>
      </c>
      <c r="P361" s="458">
        <f t="shared" si="184"/>
        <v>0</v>
      </c>
      <c r="Q361" s="459">
        <f t="shared" si="185"/>
        <v>0</v>
      </c>
      <c r="R361" s="460">
        <f t="shared" si="186"/>
        <v>0</v>
      </c>
      <c r="S361" s="461">
        <f t="shared" si="187"/>
        <v>0</v>
      </c>
      <c r="T361" s="461">
        <f t="shared" si="188"/>
        <v>0</v>
      </c>
      <c r="U361" s="454">
        <f t="shared" si="189"/>
        <v>0</v>
      </c>
      <c r="V361" s="454">
        <f t="shared" si="190"/>
        <v>0</v>
      </c>
      <c r="W361" s="454">
        <f t="shared" si="191"/>
        <v>0</v>
      </c>
      <c r="X361" s="454">
        <f t="shared" si="192"/>
        <v>0</v>
      </c>
      <c r="Y361" s="454">
        <f t="shared" si="193"/>
        <v>0</v>
      </c>
      <c r="Z361" s="454">
        <f t="shared" si="194"/>
        <v>0</v>
      </c>
      <c r="AA361" s="456">
        <f t="shared" si="195"/>
        <v>0</v>
      </c>
      <c r="AB361" s="587">
        <f t="shared" si="196"/>
        <v>0</v>
      </c>
    </row>
    <row r="362" spans="2:30" ht="13.5" customHeight="1" x14ac:dyDescent="0.25">
      <c r="B362" s="586"/>
      <c r="C362" s="468"/>
      <c r="D362" s="454"/>
      <c r="E362" s="454"/>
      <c r="F362" s="584"/>
      <c r="G362" s="454"/>
      <c r="H362" s="584"/>
      <c r="I362" s="584"/>
      <c r="J362" s="584"/>
      <c r="K362" s="584"/>
      <c r="L362" s="456">
        <f t="shared" si="180"/>
        <v>0</v>
      </c>
      <c r="M362" s="457">
        <f t="shared" si="181"/>
        <v>0</v>
      </c>
      <c r="N362" s="458">
        <f t="shared" si="182"/>
        <v>0</v>
      </c>
      <c r="O362" s="458">
        <f t="shared" si="183"/>
        <v>0</v>
      </c>
      <c r="P362" s="458">
        <f t="shared" si="184"/>
        <v>0</v>
      </c>
      <c r="Q362" s="459">
        <f t="shared" si="185"/>
        <v>0</v>
      </c>
      <c r="R362" s="460">
        <f t="shared" si="186"/>
        <v>0</v>
      </c>
      <c r="S362" s="461">
        <f t="shared" si="187"/>
        <v>0</v>
      </c>
      <c r="T362" s="461">
        <f t="shared" si="188"/>
        <v>0</v>
      </c>
      <c r="U362" s="454">
        <f t="shared" si="189"/>
        <v>0</v>
      </c>
      <c r="V362" s="454">
        <f t="shared" si="190"/>
        <v>0</v>
      </c>
      <c r="W362" s="454">
        <f t="shared" si="191"/>
        <v>0</v>
      </c>
      <c r="X362" s="454">
        <f t="shared" si="192"/>
        <v>0</v>
      </c>
      <c r="Y362" s="454">
        <f t="shared" si="193"/>
        <v>0</v>
      </c>
      <c r="Z362" s="454">
        <f t="shared" si="194"/>
        <v>0</v>
      </c>
      <c r="AA362" s="456">
        <f t="shared" si="195"/>
        <v>0</v>
      </c>
      <c r="AB362" s="587">
        <f t="shared" si="196"/>
        <v>0</v>
      </c>
    </row>
    <row r="363" spans="2:30" ht="13.5" customHeight="1" x14ac:dyDescent="0.25">
      <c r="B363" s="586"/>
      <c r="C363" s="468"/>
      <c r="D363" s="454"/>
      <c r="E363" s="454"/>
      <c r="F363" s="584"/>
      <c r="G363" s="454"/>
      <c r="H363" s="584"/>
      <c r="I363" s="584"/>
      <c r="J363" s="584"/>
      <c r="K363" s="584"/>
      <c r="L363" s="456">
        <f t="shared" si="180"/>
        <v>0</v>
      </c>
      <c r="M363" s="457">
        <f t="shared" si="181"/>
        <v>0</v>
      </c>
      <c r="N363" s="458">
        <f t="shared" si="182"/>
        <v>0</v>
      </c>
      <c r="O363" s="458">
        <f t="shared" si="183"/>
        <v>0</v>
      </c>
      <c r="P363" s="458">
        <f t="shared" si="184"/>
        <v>0</v>
      </c>
      <c r="Q363" s="459">
        <f t="shared" si="185"/>
        <v>0</v>
      </c>
      <c r="R363" s="460">
        <f t="shared" si="186"/>
        <v>0</v>
      </c>
      <c r="S363" s="461">
        <f t="shared" si="187"/>
        <v>0</v>
      </c>
      <c r="T363" s="461">
        <f t="shared" si="188"/>
        <v>0</v>
      </c>
      <c r="U363" s="454">
        <f t="shared" si="189"/>
        <v>0</v>
      </c>
      <c r="V363" s="454">
        <f t="shared" si="190"/>
        <v>0</v>
      </c>
      <c r="W363" s="454">
        <f t="shared" si="191"/>
        <v>0</v>
      </c>
      <c r="X363" s="454">
        <f t="shared" si="192"/>
        <v>0</v>
      </c>
      <c r="Y363" s="454">
        <f t="shared" si="193"/>
        <v>0</v>
      </c>
      <c r="Z363" s="454">
        <f t="shared" si="194"/>
        <v>0</v>
      </c>
      <c r="AA363" s="456">
        <f t="shared" si="195"/>
        <v>0</v>
      </c>
      <c r="AB363" s="587">
        <f t="shared" si="196"/>
        <v>0</v>
      </c>
    </row>
    <row r="364" spans="2:30" ht="13.5" customHeight="1" x14ac:dyDescent="0.25">
      <c r="B364" s="586"/>
      <c r="C364" s="468"/>
      <c r="D364" s="454"/>
      <c r="E364" s="454"/>
      <c r="F364" s="584"/>
      <c r="G364" s="454"/>
      <c r="H364" s="584"/>
      <c r="I364" s="584"/>
      <c r="J364" s="584"/>
      <c r="K364" s="584"/>
      <c r="L364" s="456">
        <f t="shared" si="180"/>
        <v>0</v>
      </c>
      <c r="M364" s="457">
        <f t="shared" si="181"/>
        <v>0</v>
      </c>
      <c r="N364" s="458">
        <f t="shared" si="182"/>
        <v>0</v>
      </c>
      <c r="O364" s="458">
        <f t="shared" si="183"/>
        <v>0</v>
      </c>
      <c r="P364" s="458">
        <f t="shared" si="184"/>
        <v>0</v>
      </c>
      <c r="Q364" s="459">
        <f t="shared" si="185"/>
        <v>0</v>
      </c>
      <c r="R364" s="460">
        <f t="shared" si="186"/>
        <v>0</v>
      </c>
      <c r="S364" s="461">
        <f t="shared" si="187"/>
        <v>0</v>
      </c>
      <c r="T364" s="461">
        <f t="shared" si="188"/>
        <v>0</v>
      </c>
      <c r="U364" s="454">
        <f t="shared" si="189"/>
        <v>0</v>
      </c>
      <c r="V364" s="454">
        <f t="shared" si="190"/>
        <v>0</v>
      </c>
      <c r="W364" s="454">
        <f t="shared" si="191"/>
        <v>0</v>
      </c>
      <c r="X364" s="454">
        <f t="shared" si="192"/>
        <v>0</v>
      </c>
      <c r="Y364" s="454">
        <f t="shared" si="193"/>
        <v>0</v>
      </c>
      <c r="Z364" s="454">
        <f t="shared" si="194"/>
        <v>0</v>
      </c>
      <c r="AA364" s="456">
        <f t="shared" si="195"/>
        <v>0</v>
      </c>
      <c r="AB364" s="587">
        <f t="shared" si="196"/>
        <v>0</v>
      </c>
    </row>
    <row r="365" spans="2:30" ht="13.5" customHeight="1" x14ac:dyDescent="0.25">
      <c r="B365" s="586"/>
      <c r="C365" s="468"/>
      <c r="D365" s="454"/>
      <c r="E365" s="454"/>
      <c r="F365" s="584"/>
      <c r="G365" s="454"/>
      <c r="H365" s="584"/>
      <c r="I365" s="584"/>
      <c r="J365" s="584"/>
      <c r="K365" s="584"/>
      <c r="L365" s="456">
        <f t="shared" si="180"/>
        <v>0</v>
      </c>
      <c r="M365" s="457">
        <f t="shared" si="181"/>
        <v>0</v>
      </c>
      <c r="N365" s="458">
        <f t="shared" si="182"/>
        <v>0</v>
      </c>
      <c r="O365" s="458">
        <f t="shared" si="183"/>
        <v>0</v>
      </c>
      <c r="P365" s="458">
        <f t="shared" si="184"/>
        <v>0</v>
      </c>
      <c r="Q365" s="459">
        <f t="shared" si="185"/>
        <v>0</v>
      </c>
      <c r="R365" s="460">
        <f t="shared" si="186"/>
        <v>0</v>
      </c>
      <c r="S365" s="461">
        <f t="shared" si="187"/>
        <v>0</v>
      </c>
      <c r="T365" s="461">
        <f t="shared" si="188"/>
        <v>0</v>
      </c>
      <c r="U365" s="454">
        <f t="shared" si="189"/>
        <v>0</v>
      </c>
      <c r="V365" s="454">
        <f t="shared" si="190"/>
        <v>0</v>
      </c>
      <c r="W365" s="454">
        <f t="shared" si="191"/>
        <v>0</v>
      </c>
      <c r="X365" s="454">
        <f t="shared" si="192"/>
        <v>0</v>
      </c>
      <c r="Y365" s="454">
        <f t="shared" si="193"/>
        <v>0</v>
      </c>
      <c r="Z365" s="454">
        <f t="shared" si="194"/>
        <v>0</v>
      </c>
      <c r="AA365" s="456">
        <f t="shared" si="195"/>
        <v>0</v>
      </c>
      <c r="AB365" s="587">
        <f t="shared" si="196"/>
        <v>0</v>
      </c>
    </row>
    <row r="366" spans="2:30" ht="13.5" customHeight="1" x14ac:dyDescent="0.25">
      <c r="B366" s="586"/>
      <c r="C366" s="468"/>
      <c r="D366" s="454"/>
      <c r="E366" s="454"/>
      <c r="F366" s="588"/>
      <c r="G366" s="454"/>
      <c r="H366" s="584"/>
      <c r="I366" s="584"/>
      <c r="J366" s="584"/>
      <c r="K366" s="584"/>
      <c r="L366" s="456">
        <f t="shared" si="180"/>
        <v>0</v>
      </c>
      <c r="M366" s="457">
        <f t="shared" si="181"/>
        <v>0</v>
      </c>
      <c r="N366" s="458">
        <f t="shared" si="182"/>
        <v>0</v>
      </c>
      <c r="O366" s="458">
        <f t="shared" si="183"/>
        <v>0</v>
      </c>
      <c r="P366" s="458">
        <f t="shared" si="184"/>
        <v>0</v>
      </c>
      <c r="Q366" s="459">
        <f t="shared" si="185"/>
        <v>0</v>
      </c>
      <c r="R366" s="460">
        <f t="shared" si="186"/>
        <v>0</v>
      </c>
      <c r="S366" s="461">
        <f t="shared" si="187"/>
        <v>0</v>
      </c>
      <c r="T366" s="461">
        <f t="shared" si="188"/>
        <v>0</v>
      </c>
      <c r="U366" s="454">
        <f t="shared" si="189"/>
        <v>0</v>
      </c>
      <c r="V366" s="454">
        <f t="shared" si="190"/>
        <v>0</v>
      </c>
      <c r="W366" s="454">
        <f t="shared" si="191"/>
        <v>0</v>
      </c>
      <c r="X366" s="454">
        <f t="shared" si="192"/>
        <v>0</v>
      </c>
      <c r="Y366" s="454">
        <f t="shared" si="193"/>
        <v>0</v>
      </c>
      <c r="Z366" s="454">
        <f t="shared" si="194"/>
        <v>0</v>
      </c>
      <c r="AA366" s="456">
        <f t="shared" si="195"/>
        <v>0</v>
      </c>
      <c r="AB366" s="587">
        <f t="shared" si="196"/>
        <v>0</v>
      </c>
    </row>
    <row r="367" spans="2:30" ht="13.5" customHeight="1" x14ac:dyDescent="0.25">
      <c r="B367" s="586"/>
      <c r="C367" s="468"/>
      <c r="D367" s="454"/>
      <c r="E367" s="454"/>
      <c r="F367" s="584"/>
      <c r="G367" s="454"/>
      <c r="H367" s="584"/>
      <c r="I367" s="584"/>
      <c r="J367" s="584"/>
      <c r="K367" s="584"/>
      <c r="L367" s="456">
        <f t="shared" si="180"/>
        <v>0</v>
      </c>
      <c r="M367" s="457">
        <f t="shared" si="181"/>
        <v>0</v>
      </c>
      <c r="N367" s="458">
        <f t="shared" si="182"/>
        <v>0</v>
      </c>
      <c r="O367" s="458">
        <f t="shared" si="183"/>
        <v>0</v>
      </c>
      <c r="P367" s="458">
        <f t="shared" si="184"/>
        <v>0</v>
      </c>
      <c r="Q367" s="459">
        <f t="shared" si="185"/>
        <v>0</v>
      </c>
      <c r="R367" s="460">
        <f t="shared" si="186"/>
        <v>0</v>
      </c>
      <c r="S367" s="461">
        <f t="shared" si="187"/>
        <v>0</v>
      </c>
      <c r="T367" s="461">
        <f t="shared" si="188"/>
        <v>0</v>
      </c>
      <c r="U367" s="454">
        <f t="shared" si="189"/>
        <v>0</v>
      </c>
      <c r="V367" s="454">
        <f t="shared" si="190"/>
        <v>0</v>
      </c>
      <c r="W367" s="454">
        <f t="shared" si="191"/>
        <v>0</v>
      </c>
      <c r="X367" s="454">
        <f t="shared" si="192"/>
        <v>0</v>
      </c>
      <c r="Y367" s="454">
        <f t="shared" si="193"/>
        <v>0</v>
      </c>
      <c r="Z367" s="454">
        <f t="shared" si="194"/>
        <v>0</v>
      </c>
      <c r="AA367" s="456">
        <f t="shared" si="195"/>
        <v>0</v>
      </c>
      <c r="AB367" s="587">
        <f t="shared" si="196"/>
        <v>0</v>
      </c>
    </row>
    <row r="368" spans="2:30" ht="13.5" customHeight="1" x14ac:dyDescent="0.25">
      <c r="B368" s="586"/>
      <c r="C368" s="468"/>
      <c r="D368" s="454"/>
      <c r="E368" s="454"/>
      <c r="F368" s="584"/>
      <c r="G368" s="454"/>
      <c r="H368" s="584"/>
      <c r="I368" s="584"/>
      <c r="J368" s="584"/>
      <c r="K368" s="584"/>
      <c r="L368" s="456">
        <f t="shared" si="180"/>
        <v>0</v>
      </c>
      <c r="M368" s="457">
        <f t="shared" si="181"/>
        <v>0</v>
      </c>
      <c r="N368" s="458">
        <f t="shared" si="182"/>
        <v>0</v>
      </c>
      <c r="O368" s="458">
        <f t="shared" si="183"/>
        <v>0</v>
      </c>
      <c r="P368" s="458">
        <f t="shared" si="184"/>
        <v>0</v>
      </c>
      <c r="Q368" s="459">
        <f t="shared" si="185"/>
        <v>0</v>
      </c>
      <c r="R368" s="460">
        <f t="shared" si="186"/>
        <v>0</v>
      </c>
      <c r="S368" s="461">
        <f t="shared" si="187"/>
        <v>0</v>
      </c>
      <c r="T368" s="461">
        <f t="shared" si="188"/>
        <v>0</v>
      </c>
      <c r="U368" s="454">
        <f t="shared" si="189"/>
        <v>0</v>
      </c>
      <c r="V368" s="454">
        <f t="shared" si="190"/>
        <v>0</v>
      </c>
      <c r="W368" s="454">
        <f t="shared" si="191"/>
        <v>0</v>
      </c>
      <c r="X368" s="454">
        <f t="shared" si="192"/>
        <v>0</v>
      </c>
      <c r="Y368" s="454">
        <f t="shared" si="193"/>
        <v>0</v>
      </c>
      <c r="Z368" s="454">
        <f t="shared" si="194"/>
        <v>0</v>
      </c>
      <c r="AA368" s="456">
        <f t="shared" si="195"/>
        <v>0</v>
      </c>
      <c r="AB368" s="587">
        <f t="shared" si="196"/>
        <v>0</v>
      </c>
    </row>
    <row r="369" spans="2:30" ht="13.5" customHeight="1" x14ac:dyDescent="0.25">
      <c r="B369" s="586"/>
      <c r="C369" s="468"/>
      <c r="D369" s="454"/>
      <c r="E369" s="454"/>
      <c r="F369" s="584"/>
      <c r="G369" s="454"/>
      <c r="H369" s="584"/>
      <c r="I369" s="584"/>
      <c r="J369" s="584"/>
      <c r="K369" s="584"/>
      <c r="L369" s="456">
        <f t="shared" si="180"/>
        <v>0</v>
      </c>
      <c r="M369" s="457">
        <f t="shared" si="181"/>
        <v>0</v>
      </c>
      <c r="N369" s="458">
        <f t="shared" si="182"/>
        <v>0</v>
      </c>
      <c r="O369" s="458">
        <f t="shared" si="183"/>
        <v>0</v>
      </c>
      <c r="P369" s="458">
        <f t="shared" si="184"/>
        <v>0</v>
      </c>
      <c r="Q369" s="459">
        <f t="shared" si="185"/>
        <v>0</v>
      </c>
      <c r="R369" s="460">
        <f t="shared" si="186"/>
        <v>0</v>
      </c>
      <c r="S369" s="461">
        <f t="shared" si="187"/>
        <v>0</v>
      </c>
      <c r="T369" s="461">
        <f t="shared" si="188"/>
        <v>0</v>
      </c>
      <c r="U369" s="454">
        <f t="shared" si="189"/>
        <v>0</v>
      </c>
      <c r="V369" s="454">
        <f t="shared" si="190"/>
        <v>0</v>
      </c>
      <c r="W369" s="454">
        <f t="shared" si="191"/>
        <v>0</v>
      </c>
      <c r="X369" s="454">
        <f t="shared" si="192"/>
        <v>0</v>
      </c>
      <c r="Y369" s="454">
        <f t="shared" si="193"/>
        <v>0</v>
      </c>
      <c r="Z369" s="454">
        <f t="shared" si="194"/>
        <v>0</v>
      </c>
      <c r="AA369" s="456">
        <f t="shared" si="195"/>
        <v>0</v>
      </c>
      <c r="AB369" s="587">
        <f t="shared" si="196"/>
        <v>0</v>
      </c>
    </row>
    <row r="370" spans="2:30" ht="13.5" customHeight="1" x14ac:dyDescent="0.25">
      <c r="B370" s="586"/>
      <c r="C370" s="468"/>
      <c r="D370" s="454"/>
      <c r="E370" s="454"/>
      <c r="F370" s="584"/>
      <c r="G370" s="454"/>
      <c r="H370" s="584"/>
      <c r="I370" s="584"/>
      <c r="J370" s="584"/>
      <c r="K370" s="584"/>
      <c r="L370" s="456">
        <f t="shared" si="180"/>
        <v>0</v>
      </c>
      <c r="M370" s="457">
        <f t="shared" si="181"/>
        <v>0</v>
      </c>
      <c r="N370" s="458">
        <f t="shared" si="182"/>
        <v>0</v>
      </c>
      <c r="O370" s="458">
        <f t="shared" si="183"/>
        <v>0</v>
      </c>
      <c r="P370" s="458">
        <f t="shared" si="184"/>
        <v>0</v>
      </c>
      <c r="Q370" s="459">
        <f t="shared" si="185"/>
        <v>0</v>
      </c>
      <c r="R370" s="460">
        <f t="shared" si="186"/>
        <v>0</v>
      </c>
      <c r="S370" s="461">
        <f t="shared" si="187"/>
        <v>0</v>
      </c>
      <c r="T370" s="461">
        <f t="shared" si="188"/>
        <v>0</v>
      </c>
      <c r="U370" s="454">
        <f t="shared" si="189"/>
        <v>0</v>
      </c>
      <c r="V370" s="454">
        <f t="shared" si="190"/>
        <v>0</v>
      </c>
      <c r="W370" s="454">
        <f t="shared" si="191"/>
        <v>0</v>
      </c>
      <c r="X370" s="454">
        <f t="shared" si="192"/>
        <v>0</v>
      </c>
      <c r="Y370" s="454">
        <f t="shared" si="193"/>
        <v>0</v>
      </c>
      <c r="Z370" s="454">
        <f t="shared" si="194"/>
        <v>0</v>
      </c>
      <c r="AA370" s="456">
        <f t="shared" si="195"/>
        <v>0</v>
      </c>
      <c r="AB370" s="587">
        <f t="shared" si="196"/>
        <v>0</v>
      </c>
    </row>
    <row r="371" spans="2:30" ht="13.5" customHeight="1" x14ac:dyDescent="0.25">
      <c r="B371" s="586"/>
      <c r="C371" s="468"/>
      <c r="D371" s="454"/>
      <c r="E371" s="454"/>
      <c r="F371" s="584"/>
      <c r="G371" s="454"/>
      <c r="H371" s="584"/>
      <c r="I371" s="584"/>
      <c r="J371" s="584"/>
      <c r="K371" s="584"/>
      <c r="L371" s="456">
        <f t="shared" si="180"/>
        <v>0</v>
      </c>
      <c r="M371" s="457">
        <f t="shared" si="181"/>
        <v>0</v>
      </c>
      <c r="N371" s="458">
        <f t="shared" si="182"/>
        <v>0</v>
      </c>
      <c r="O371" s="458">
        <f t="shared" si="183"/>
        <v>0</v>
      </c>
      <c r="P371" s="458">
        <f t="shared" si="184"/>
        <v>0</v>
      </c>
      <c r="Q371" s="459">
        <f t="shared" si="185"/>
        <v>0</v>
      </c>
      <c r="R371" s="460">
        <f t="shared" si="186"/>
        <v>0</v>
      </c>
      <c r="S371" s="461">
        <f t="shared" si="187"/>
        <v>0</v>
      </c>
      <c r="T371" s="461">
        <f t="shared" si="188"/>
        <v>0</v>
      </c>
      <c r="U371" s="454">
        <f t="shared" si="189"/>
        <v>0</v>
      </c>
      <c r="V371" s="454">
        <f t="shared" si="190"/>
        <v>0</v>
      </c>
      <c r="W371" s="454">
        <f t="shared" si="191"/>
        <v>0</v>
      </c>
      <c r="X371" s="454">
        <f t="shared" si="192"/>
        <v>0</v>
      </c>
      <c r="Y371" s="454">
        <f t="shared" si="193"/>
        <v>0</v>
      </c>
      <c r="Z371" s="454">
        <f t="shared" si="194"/>
        <v>0</v>
      </c>
      <c r="AA371" s="456">
        <f t="shared" si="195"/>
        <v>0</v>
      </c>
      <c r="AB371" s="587">
        <f t="shared" si="196"/>
        <v>0</v>
      </c>
    </row>
    <row r="372" spans="2:30" ht="13.5" customHeight="1" x14ac:dyDescent="0.25">
      <c r="B372" s="586"/>
      <c r="C372" s="468"/>
      <c r="D372" s="454"/>
      <c r="E372" s="454"/>
      <c r="F372" s="584"/>
      <c r="G372" s="454"/>
      <c r="H372" s="584"/>
      <c r="I372" s="584"/>
      <c r="J372" s="584"/>
      <c r="K372" s="584"/>
      <c r="L372" s="456">
        <f t="shared" si="180"/>
        <v>0</v>
      </c>
      <c r="M372" s="457">
        <f t="shared" si="181"/>
        <v>0</v>
      </c>
      <c r="N372" s="458">
        <f t="shared" si="182"/>
        <v>0</v>
      </c>
      <c r="O372" s="458">
        <f t="shared" si="183"/>
        <v>0</v>
      </c>
      <c r="P372" s="458">
        <f t="shared" si="184"/>
        <v>0</v>
      </c>
      <c r="Q372" s="459">
        <f t="shared" si="185"/>
        <v>0</v>
      </c>
      <c r="R372" s="460">
        <f t="shared" si="186"/>
        <v>0</v>
      </c>
      <c r="S372" s="461">
        <f t="shared" si="187"/>
        <v>0</v>
      </c>
      <c r="T372" s="461">
        <f t="shared" si="188"/>
        <v>0</v>
      </c>
      <c r="U372" s="454">
        <f t="shared" si="189"/>
        <v>0</v>
      </c>
      <c r="V372" s="454">
        <f t="shared" si="190"/>
        <v>0</v>
      </c>
      <c r="W372" s="454">
        <f t="shared" si="191"/>
        <v>0</v>
      </c>
      <c r="X372" s="454">
        <f t="shared" si="192"/>
        <v>0</v>
      </c>
      <c r="Y372" s="454">
        <f t="shared" si="193"/>
        <v>0</v>
      </c>
      <c r="Z372" s="454">
        <f t="shared" si="194"/>
        <v>0</v>
      </c>
      <c r="AA372" s="456">
        <f t="shared" si="195"/>
        <v>0</v>
      </c>
      <c r="AB372" s="587">
        <f t="shared" si="196"/>
        <v>0</v>
      </c>
    </row>
    <row r="373" spans="2:30" ht="13.5" customHeight="1" x14ac:dyDescent="0.25">
      <c r="B373" s="586"/>
      <c r="C373" s="468"/>
      <c r="D373" s="454"/>
      <c r="E373" s="454"/>
      <c r="F373" s="584"/>
      <c r="G373" s="454"/>
      <c r="H373" s="584"/>
      <c r="I373" s="584"/>
      <c r="J373" s="584"/>
      <c r="K373" s="584"/>
      <c r="L373" s="456">
        <f t="shared" si="180"/>
        <v>0</v>
      </c>
      <c r="M373" s="457">
        <f t="shared" si="181"/>
        <v>0</v>
      </c>
      <c r="N373" s="458">
        <f t="shared" si="182"/>
        <v>0</v>
      </c>
      <c r="O373" s="458">
        <f t="shared" si="183"/>
        <v>0</v>
      </c>
      <c r="P373" s="458">
        <f t="shared" si="184"/>
        <v>0</v>
      </c>
      <c r="Q373" s="459">
        <f t="shared" si="185"/>
        <v>0</v>
      </c>
      <c r="R373" s="460">
        <f t="shared" si="186"/>
        <v>0</v>
      </c>
      <c r="S373" s="461">
        <f t="shared" si="187"/>
        <v>0</v>
      </c>
      <c r="T373" s="461">
        <f t="shared" si="188"/>
        <v>0</v>
      </c>
      <c r="U373" s="454">
        <f t="shared" si="189"/>
        <v>0</v>
      </c>
      <c r="V373" s="454">
        <f t="shared" si="190"/>
        <v>0</v>
      </c>
      <c r="W373" s="454">
        <f t="shared" si="191"/>
        <v>0</v>
      </c>
      <c r="X373" s="454">
        <f t="shared" si="192"/>
        <v>0</v>
      </c>
      <c r="Y373" s="454">
        <f t="shared" si="193"/>
        <v>0</v>
      </c>
      <c r="Z373" s="454">
        <f t="shared" si="194"/>
        <v>0</v>
      </c>
      <c r="AA373" s="456">
        <f t="shared" si="195"/>
        <v>0</v>
      </c>
      <c r="AB373" s="587">
        <f t="shared" si="196"/>
        <v>0</v>
      </c>
    </row>
    <row r="374" spans="2:30" ht="13.5" customHeight="1" x14ac:dyDescent="0.25">
      <c r="B374" s="586"/>
      <c r="C374" s="468"/>
      <c r="D374" s="454"/>
      <c r="E374" s="454"/>
      <c r="F374" s="584"/>
      <c r="G374" s="454"/>
      <c r="H374" s="584"/>
      <c r="I374" s="584"/>
      <c r="J374" s="584"/>
      <c r="K374" s="584"/>
      <c r="L374" s="456">
        <f t="shared" si="180"/>
        <v>0</v>
      </c>
      <c r="M374" s="457">
        <f t="shared" si="181"/>
        <v>0</v>
      </c>
      <c r="N374" s="458">
        <f t="shared" si="182"/>
        <v>0</v>
      </c>
      <c r="O374" s="458">
        <f t="shared" si="183"/>
        <v>0</v>
      </c>
      <c r="P374" s="458">
        <f t="shared" si="184"/>
        <v>0</v>
      </c>
      <c r="Q374" s="459">
        <f t="shared" si="185"/>
        <v>0</v>
      </c>
      <c r="R374" s="460">
        <f t="shared" si="186"/>
        <v>0</v>
      </c>
      <c r="S374" s="461">
        <f t="shared" si="187"/>
        <v>0</v>
      </c>
      <c r="T374" s="461">
        <f t="shared" si="188"/>
        <v>0</v>
      </c>
      <c r="U374" s="454">
        <f t="shared" si="189"/>
        <v>0</v>
      </c>
      <c r="V374" s="454">
        <f t="shared" si="190"/>
        <v>0</v>
      </c>
      <c r="W374" s="454">
        <f t="shared" si="191"/>
        <v>0</v>
      </c>
      <c r="X374" s="454">
        <f t="shared" si="192"/>
        <v>0</v>
      </c>
      <c r="Y374" s="454">
        <f t="shared" si="193"/>
        <v>0</v>
      </c>
      <c r="Z374" s="454">
        <f t="shared" si="194"/>
        <v>0</v>
      </c>
      <c r="AA374" s="456">
        <f t="shared" si="195"/>
        <v>0</v>
      </c>
      <c r="AB374" s="587">
        <f t="shared" si="196"/>
        <v>0</v>
      </c>
    </row>
    <row r="375" spans="2:30" ht="13.5" customHeight="1" x14ac:dyDescent="0.25">
      <c r="B375" s="586"/>
      <c r="C375" s="468"/>
      <c r="D375" s="454"/>
      <c r="E375" s="454"/>
      <c r="F375" s="584"/>
      <c r="G375" s="454"/>
      <c r="H375" s="584"/>
      <c r="I375" s="584"/>
      <c r="J375" s="584"/>
      <c r="K375" s="584"/>
      <c r="L375" s="456">
        <f t="shared" si="180"/>
        <v>0</v>
      </c>
      <c r="M375" s="457">
        <f t="shared" si="181"/>
        <v>0</v>
      </c>
      <c r="N375" s="458">
        <f t="shared" si="182"/>
        <v>0</v>
      </c>
      <c r="O375" s="458">
        <f t="shared" si="183"/>
        <v>0</v>
      </c>
      <c r="P375" s="458">
        <f t="shared" si="184"/>
        <v>0</v>
      </c>
      <c r="Q375" s="459">
        <f t="shared" si="185"/>
        <v>0</v>
      </c>
      <c r="R375" s="460">
        <f t="shared" si="186"/>
        <v>0</v>
      </c>
      <c r="S375" s="461">
        <f t="shared" si="187"/>
        <v>0</v>
      </c>
      <c r="T375" s="461">
        <f t="shared" si="188"/>
        <v>0</v>
      </c>
      <c r="U375" s="454">
        <f t="shared" si="189"/>
        <v>0</v>
      </c>
      <c r="V375" s="454">
        <f t="shared" si="190"/>
        <v>0</v>
      </c>
      <c r="W375" s="454">
        <f t="shared" si="191"/>
        <v>0</v>
      </c>
      <c r="X375" s="454">
        <f t="shared" si="192"/>
        <v>0</v>
      </c>
      <c r="Y375" s="454">
        <f t="shared" si="193"/>
        <v>0</v>
      </c>
      <c r="Z375" s="454">
        <f t="shared" si="194"/>
        <v>0</v>
      </c>
      <c r="AA375" s="456">
        <f t="shared" si="195"/>
        <v>0</v>
      </c>
      <c r="AB375" s="587">
        <f t="shared" si="196"/>
        <v>0</v>
      </c>
    </row>
    <row r="376" spans="2:30" ht="13.5" customHeight="1" x14ac:dyDescent="0.25">
      <c r="B376" s="586" t="s">
        <v>348</v>
      </c>
      <c r="C376" s="468"/>
      <c r="D376" s="454"/>
      <c r="E376" s="454"/>
      <c r="F376" s="584"/>
      <c r="G376" s="454"/>
      <c r="H376" s="584"/>
      <c r="I376" s="584"/>
      <c r="J376" s="584"/>
      <c r="K376" s="584"/>
      <c r="L376" s="456">
        <f t="shared" si="180"/>
        <v>0</v>
      </c>
      <c r="M376" s="457"/>
      <c r="N376" s="458"/>
      <c r="O376" s="458"/>
      <c r="P376" s="458"/>
      <c r="Q376" s="459">
        <f t="shared" si="185"/>
        <v>0</v>
      </c>
      <c r="R376" s="460"/>
      <c r="S376" s="461"/>
      <c r="T376" s="461"/>
      <c r="U376" s="454"/>
      <c r="V376" s="454"/>
      <c r="W376" s="454"/>
      <c r="X376" s="454"/>
      <c r="Y376" s="454"/>
      <c r="Z376" s="454"/>
      <c r="AA376" s="456"/>
      <c r="AB376" s="587">
        <f t="shared" si="196"/>
        <v>0</v>
      </c>
    </row>
    <row r="377" spans="2:30" ht="13.5" customHeight="1" x14ac:dyDescent="0.25">
      <c r="B377" s="586" t="s">
        <v>349</v>
      </c>
      <c r="C377" s="468"/>
      <c r="D377" s="589"/>
      <c r="E377" s="454"/>
      <c r="F377" s="584"/>
      <c r="G377" s="454"/>
      <c r="H377" s="584"/>
      <c r="I377" s="584"/>
      <c r="J377" s="584"/>
      <c r="K377" s="584"/>
      <c r="L377" s="456">
        <f t="shared" si="180"/>
        <v>0</v>
      </c>
      <c r="M377" s="490"/>
      <c r="N377" s="458"/>
      <c r="O377" s="458"/>
      <c r="P377" s="458"/>
      <c r="Q377" s="459">
        <f t="shared" si="185"/>
        <v>0</v>
      </c>
      <c r="R377" s="460"/>
      <c r="S377" s="461"/>
      <c r="T377" s="461"/>
      <c r="U377" s="454"/>
      <c r="V377" s="454"/>
      <c r="W377" s="454"/>
      <c r="X377" s="454"/>
      <c r="Y377" s="454"/>
      <c r="Z377" s="454"/>
      <c r="AA377" s="456">
        <f>SUM(R377:Z377)</f>
        <v>0</v>
      </c>
      <c r="AB377" s="587">
        <f t="shared" si="196"/>
        <v>0</v>
      </c>
    </row>
    <row r="378" spans="2:30" ht="14.25" customHeight="1" x14ac:dyDescent="0.25">
      <c r="B378" s="590"/>
      <c r="C378" s="591">
        <f t="shared" ref="C378:AB378" si="197">SUM(C348:C377)</f>
        <v>0</v>
      </c>
      <c r="D378" s="592">
        <f t="shared" si="197"/>
        <v>0</v>
      </c>
      <c r="E378" s="592">
        <f t="shared" si="197"/>
        <v>0</v>
      </c>
      <c r="F378" s="592">
        <f t="shared" si="197"/>
        <v>0</v>
      </c>
      <c r="G378" s="592">
        <f t="shared" si="197"/>
        <v>0</v>
      </c>
      <c r="H378" s="592">
        <f t="shared" si="197"/>
        <v>0</v>
      </c>
      <c r="I378" s="592">
        <f t="shared" si="197"/>
        <v>0</v>
      </c>
      <c r="J378" s="592">
        <f t="shared" si="197"/>
        <v>0</v>
      </c>
      <c r="K378" s="592">
        <f t="shared" si="197"/>
        <v>0</v>
      </c>
      <c r="L378" s="593">
        <f t="shared" si="197"/>
        <v>0</v>
      </c>
      <c r="M378" s="591">
        <f t="shared" si="197"/>
        <v>0</v>
      </c>
      <c r="N378" s="592">
        <f t="shared" si="197"/>
        <v>0</v>
      </c>
      <c r="O378" s="592">
        <f t="shared" si="197"/>
        <v>0</v>
      </c>
      <c r="P378" s="592">
        <f t="shared" si="197"/>
        <v>0</v>
      </c>
      <c r="Q378" s="593">
        <f t="shared" si="197"/>
        <v>0</v>
      </c>
      <c r="R378" s="591">
        <f t="shared" si="197"/>
        <v>0</v>
      </c>
      <c r="S378" s="592">
        <f t="shared" si="197"/>
        <v>0</v>
      </c>
      <c r="T378" s="592">
        <f t="shared" si="197"/>
        <v>0</v>
      </c>
      <c r="U378" s="592">
        <f t="shared" si="197"/>
        <v>0</v>
      </c>
      <c r="V378" s="592">
        <f t="shared" si="197"/>
        <v>0</v>
      </c>
      <c r="W378" s="592">
        <f t="shared" si="197"/>
        <v>0</v>
      </c>
      <c r="X378" s="592">
        <f t="shared" si="197"/>
        <v>0</v>
      </c>
      <c r="Y378" s="592">
        <f t="shared" si="197"/>
        <v>0</v>
      </c>
      <c r="Z378" s="592">
        <f t="shared" si="197"/>
        <v>0</v>
      </c>
      <c r="AA378" s="593">
        <f t="shared" si="197"/>
        <v>0</v>
      </c>
      <c r="AB378" s="594">
        <f t="shared" si="197"/>
        <v>0</v>
      </c>
    </row>
    <row r="379" spans="2:30" ht="13.5" customHeight="1" x14ac:dyDescent="0.25"/>
    <row r="380" spans="2:30" ht="12.75" customHeight="1" x14ac:dyDescent="0.25">
      <c r="B380" s="438" t="s">
        <v>158</v>
      </c>
      <c r="C380" s="439" t="s">
        <v>190</v>
      </c>
      <c r="D380" s="440" t="s">
        <v>194</v>
      </c>
      <c r="E380" s="440" t="s">
        <v>197</v>
      </c>
      <c r="F380" s="440" t="s">
        <v>306</v>
      </c>
      <c r="G380" s="440" t="s">
        <v>307</v>
      </c>
      <c r="H380" s="440" t="s">
        <v>308</v>
      </c>
      <c r="I380" s="440" t="s">
        <v>309</v>
      </c>
      <c r="J380" s="440" t="s">
        <v>310</v>
      </c>
      <c r="K380" s="440" t="s">
        <v>311</v>
      </c>
      <c r="L380" s="441" t="s">
        <v>199</v>
      </c>
      <c r="M380" s="442" t="s">
        <v>168</v>
      </c>
      <c r="N380" s="443" t="s">
        <v>200</v>
      </c>
      <c r="O380" s="443" t="s">
        <v>201</v>
      </c>
      <c r="P380" s="444" t="s">
        <v>36</v>
      </c>
      <c r="Q380" s="445" t="s">
        <v>202</v>
      </c>
      <c r="R380" s="446" t="s">
        <v>40</v>
      </c>
      <c r="S380" s="447" t="s">
        <v>169</v>
      </c>
      <c r="T380" s="447" t="s">
        <v>203</v>
      </c>
      <c r="U380" s="447" t="s">
        <v>204</v>
      </c>
      <c r="V380" s="447" t="s">
        <v>205</v>
      </c>
      <c r="W380" s="447" t="s">
        <v>206</v>
      </c>
      <c r="X380" s="447" t="s">
        <v>207</v>
      </c>
      <c r="Y380" s="447" t="s">
        <v>208</v>
      </c>
      <c r="Z380" s="447" t="s">
        <v>209</v>
      </c>
      <c r="AA380" s="448" t="s">
        <v>210</v>
      </c>
      <c r="AB380" s="583" t="s">
        <v>13</v>
      </c>
      <c r="AC380" s="450" t="s">
        <v>189</v>
      </c>
      <c r="AD380" s="451">
        <v>46357</v>
      </c>
    </row>
    <row r="381" spans="2:30" ht="13.5" customHeight="1" x14ac:dyDescent="0.25">
      <c r="B381" s="489"/>
      <c r="C381" s="490"/>
      <c r="D381" s="454"/>
      <c r="E381" s="454"/>
      <c r="F381" s="584"/>
      <c r="G381" s="454"/>
      <c r="H381" s="584"/>
      <c r="I381" s="584"/>
      <c r="J381" s="584"/>
      <c r="K381" s="584"/>
      <c r="L381" s="456">
        <f t="shared" ref="L381:L410" si="198">SUM(C381:K381)</f>
        <v>0</v>
      </c>
      <c r="M381" s="457">
        <f t="shared" ref="M381:M408" si="199">(C381+F381+G381)*20%</f>
        <v>0</v>
      </c>
      <c r="N381" s="458">
        <f t="shared" ref="N381:N408" si="200">(C381+F381+G381)*1.5%</f>
        <v>0</v>
      </c>
      <c r="O381" s="458">
        <f t="shared" ref="O381:O408" si="201">(C381+F381+G381)*5.8%</f>
        <v>0</v>
      </c>
      <c r="P381" s="458">
        <f t="shared" ref="P381:P408" si="202">(C381+F381+G381)*8%</f>
        <v>0</v>
      </c>
      <c r="Q381" s="459">
        <f t="shared" ref="Q381:Q410" si="203">SUM(M381:P381)</f>
        <v>0</v>
      </c>
      <c r="R381" s="460">
        <f t="shared" ref="R381:R408" si="204">(C381+F381+G381)/12</f>
        <v>0</v>
      </c>
      <c r="S381" s="461">
        <f t="shared" ref="S381:S408" si="205">R381/3</f>
        <v>0</v>
      </c>
      <c r="T381" s="461">
        <f t="shared" ref="T381:T408" si="206">(R381+S381)*8%</f>
        <v>0</v>
      </c>
      <c r="U381" s="454">
        <f t="shared" ref="U381:U408" si="207">(C381+F381+G381)/12</f>
        <v>0</v>
      </c>
      <c r="V381" s="454">
        <f t="shared" ref="V381:V408" si="208">U381*8%</f>
        <v>0</v>
      </c>
      <c r="W381" s="454">
        <f t="shared" ref="W381:W408" si="209">(C381+F381+G381)/12</f>
        <v>0</v>
      </c>
      <c r="X381" s="454">
        <f t="shared" ref="X381:X408" si="210">W381*8%</f>
        <v>0</v>
      </c>
      <c r="Y381" s="454">
        <f t="shared" ref="Y381:Y408" si="211">(P381+T381+V381+X381)*50%</f>
        <v>0</v>
      </c>
      <c r="Z381" s="454">
        <f t="shared" ref="Z381:Z408" si="212">(R381+S381+U381+W381)*27.3%</f>
        <v>0</v>
      </c>
      <c r="AA381" s="456">
        <f t="shared" ref="AA381:AA408" si="213">SUM(R381:Z381)</f>
        <v>0</v>
      </c>
      <c r="AB381" s="585">
        <f t="shared" ref="AB381:AB410" si="214">L381+Q381+AA381</f>
        <v>0</v>
      </c>
      <c r="AC381" s="465" t="s">
        <v>89</v>
      </c>
      <c r="AD381" s="466">
        <f>C411</f>
        <v>0</v>
      </c>
    </row>
    <row r="382" spans="2:30" ht="13.5" customHeight="1" x14ac:dyDescent="0.25">
      <c r="B382" s="467"/>
      <c r="C382" s="468"/>
      <c r="D382" s="454"/>
      <c r="E382" s="454"/>
      <c r="F382" s="584"/>
      <c r="G382" s="454"/>
      <c r="H382" s="584"/>
      <c r="I382" s="584"/>
      <c r="J382" s="584"/>
      <c r="K382" s="584"/>
      <c r="L382" s="456">
        <f t="shared" si="198"/>
        <v>0</v>
      </c>
      <c r="M382" s="457">
        <f t="shared" si="199"/>
        <v>0</v>
      </c>
      <c r="N382" s="458">
        <f t="shared" si="200"/>
        <v>0</v>
      </c>
      <c r="O382" s="458">
        <f t="shared" si="201"/>
        <v>0</v>
      </c>
      <c r="P382" s="458">
        <f t="shared" si="202"/>
        <v>0</v>
      </c>
      <c r="Q382" s="459">
        <f t="shared" si="203"/>
        <v>0</v>
      </c>
      <c r="R382" s="460">
        <f t="shared" si="204"/>
        <v>0</v>
      </c>
      <c r="S382" s="461">
        <f t="shared" si="205"/>
        <v>0</v>
      </c>
      <c r="T382" s="461">
        <f t="shared" si="206"/>
        <v>0</v>
      </c>
      <c r="U382" s="454">
        <f t="shared" si="207"/>
        <v>0</v>
      </c>
      <c r="V382" s="454">
        <f t="shared" si="208"/>
        <v>0</v>
      </c>
      <c r="W382" s="454">
        <f t="shared" si="209"/>
        <v>0</v>
      </c>
      <c r="X382" s="454">
        <f t="shared" si="210"/>
        <v>0</v>
      </c>
      <c r="Y382" s="454">
        <f t="shared" si="211"/>
        <v>0</v>
      </c>
      <c r="Z382" s="454">
        <f t="shared" si="212"/>
        <v>0</v>
      </c>
      <c r="AA382" s="456">
        <f t="shared" si="213"/>
        <v>0</v>
      </c>
      <c r="AB382" s="585">
        <f t="shared" si="214"/>
        <v>0</v>
      </c>
      <c r="AC382" s="465" t="s">
        <v>306</v>
      </c>
      <c r="AD382" s="466">
        <f>F411</f>
        <v>0</v>
      </c>
    </row>
    <row r="383" spans="2:30" ht="13.5" customHeight="1" x14ac:dyDescent="0.25">
      <c r="B383" s="467"/>
      <c r="C383" s="468"/>
      <c r="D383" s="454"/>
      <c r="E383" s="454"/>
      <c r="F383" s="584"/>
      <c r="G383" s="454"/>
      <c r="H383" s="584"/>
      <c r="I383" s="584"/>
      <c r="J383" s="584"/>
      <c r="K383" s="584"/>
      <c r="L383" s="456">
        <f t="shared" si="198"/>
        <v>0</v>
      </c>
      <c r="M383" s="457">
        <f t="shared" si="199"/>
        <v>0</v>
      </c>
      <c r="N383" s="458">
        <f t="shared" si="200"/>
        <v>0</v>
      </c>
      <c r="O383" s="458">
        <f t="shared" si="201"/>
        <v>0</v>
      </c>
      <c r="P383" s="458">
        <f t="shared" si="202"/>
        <v>0</v>
      </c>
      <c r="Q383" s="459">
        <f t="shared" si="203"/>
        <v>0</v>
      </c>
      <c r="R383" s="460">
        <f t="shared" si="204"/>
        <v>0</v>
      </c>
      <c r="S383" s="461">
        <f t="shared" si="205"/>
        <v>0</v>
      </c>
      <c r="T383" s="461">
        <f t="shared" si="206"/>
        <v>0</v>
      </c>
      <c r="U383" s="454">
        <f t="shared" si="207"/>
        <v>0</v>
      </c>
      <c r="V383" s="454">
        <f t="shared" si="208"/>
        <v>0</v>
      </c>
      <c r="W383" s="454">
        <f t="shared" si="209"/>
        <v>0</v>
      </c>
      <c r="X383" s="454">
        <f t="shared" si="210"/>
        <v>0</v>
      </c>
      <c r="Y383" s="454">
        <f t="shared" si="211"/>
        <v>0</v>
      </c>
      <c r="Z383" s="454">
        <f t="shared" si="212"/>
        <v>0</v>
      </c>
      <c r="AA383" s="456">
        <f t="shared" si="213"/>
        <v>0</v>
      </c>
      <c r="AB383" s="585">
        <f t="shared" si="214"/>
        <v>0</v>
      </c>
      <c r="AC383" s="465" t="s">
        <v>315</v>
      </c>
      <c r="AD383" s="466">
        <v>0</v>
      </c>
    </row>
    <row r="384" spans="2:30" ht="13.5" customHeight="1" x14ac:dyDescent="0.25">
      <c r="B384" s="467"/>
      <c r="C384" s="468"/>
      <c r="D384" s="454"/>
      <c r="E384" s="454"/>
      <c r="F384" s="584"/>
      <c r="G384" s="454"/>
      <c r="H384" s="584"/>
      <c r="I384" s="584"/>
      <c r="J384" s="584"/>
      <c r="K384" s="584"/>
      <c r="L384" s="456">
        <f t="shared" si="198"/>
        <v>0</v>
      </c>
      <c r="M384" s="457">
        <f t="shared" si="199"/>
        <v>0</v>
      </c>
      <c r="N384" s="458">
        <f t="shared" si="200"/>
        <v>0</v>
      </c>
      <c r="O384" s="458">
        <f t="shared" si="201"/>
        <v>0</v>
      </c>
      <c r="P384" s="458">
        <f t="shared" si="202"/>
        <v>0</v>
      </c>
      <c r="Q384" s="459">
        <f t="shared" si="203"/>
        <v>0</v>
      </c>
      <c r="R384" s="460">
        <f t="shared" si="204"/>
        <v>0</v>
      </c>
      <c r="S384" s="461">
        <f t="shared" si="205"/>
        <v>0</v>
      </c>
      <c r="T384" s="461">
        <f t="shared" si="206"/>
        <v>0</v>
      </c>
      <c r="U384" s="454">
        <f t="shared" si="207"/>
        <v>0</v>
      </c>
      <c r="V384" s="454">
        <f t="shared" si="208"/>
        <v>0</v>
      </c>
      <c r="W384" s="454">
        <f t="shared" si="209"/>
        <v>0</v>
      </c>
      <c r="X384" s="454">
        <f t="shared" si="210"/>
        <v>0</v>
      </c>
      <c r="Y384" s="454">
        <f t="shared" si="211"/>
        <v>0</v>
      </c>
      <c r="Z384" s="454">
        <f t="shared" si="212"/>
        <v>0</v>
      </c>
      <c r="AA384" s="456">
        <f t="shared" si="213"/>
        <v>0</v>
      </c>
      <c r="AB384" s="585">
        <f t="shared" si="214"/>
        <v>0</v>
      </c>
      <c r="AC384" s="469" t="s">
        <v>194</v>
      </c>
      <c r="AD384" s="466">
        <f>D411</f>
        <v>0</v>
      </c>
    </row>
    <row r="385" spans="2:30" ht="13.5" customHeight="1" x14ac:dyDescent="0.25">
      <c r="B385" s="467"/>
      <c r="C385" s="468"/>
      <c r="D385" s="454"/>
      <c r="E385" s="454"/>
      <c r="F385" s="584"/>
      <c r="G385" s="454"/>
      <c r="H385" s="584"/>
      <c r="I385" s="584"/>
      <c r="J385" s="584"/>
      <c r="K385" s="584"/>
      <c r="L385" s="456">
        <f t="shared" si="198"/>
        <v>0</v>
      </c>
      <c r="M385" s="457">
        <f t="shared" si="199"/>
        <v>0</v>
      </c>
      <c r="N385" s="458">
        <f t="shared" si="200"/>
        <v>0</v>
      </c>
      <c r="O385" s="458">
        <f t="shared" si="201"/>
        <v>0</v>
      </c>
      <c r="P385" s="458">
        <f t="shared" si="202"/>
        <v>0</v>
      </c>
      <c r="Q385" s="459">
        <f t="shared" si="203"/>
        <v>0</v>
      </c>
      <c r="R385" s="460">
        <f t="shared" si="204"/>
        <v>0</v>
      </c>
      <c r="S385" s="461">
        <f t="shared" si="205"/>
        <v>0</v>
      </c>
      <c r="T385" s="461">
        <f t="shared" si="206"/>
        <v>0</v>
      </c>
      <c r="U385" s="454">
        <f t="shared" si="207"/>
        <v>0</v>
      </c>
      <c r="V385" s="454">
        <f t="shared" si="208"/>
        <v>0</v>
      </c>
      <c r="W385" s="454">
        <f t="shared" si="209"/>
        <v>0</v>
      </c>
      <c r="X385" s="454">
        <f t="shared" si="210"/>
        <v>0</v>
      </c>
      <c r="Y385" s="454">
        <f t="shared" si="211"/>
        <v>0</v>
      </c>
      <c r="Z385" s="454">
        <f t="shared" si="212"/>
        <v>0</v>
      </c>
      <c r="AA385" s="456">
        <f t="shared" si="213"/>
        <v>0</v>
      </c>
      <c r="AB385" s="585">
        <f t="shared" si="214"/>
        <v>0</v>
      </c>
      <c r="AC385" s="469" t="s">
        <v>197</v>
      </c>
      <c r="AD385" s="466">
        <f>E411</f>
        <v>0</v>
      </c>
    </row>
    <row r="386" spans="2:30" ht="13.5" customHeight="1" x14ac:dyDescent="0.25">
      <c r="B386" s="467"/>
      <c r="C386" s="468"/>
      <c r="D386" s="454"/>
      <c r="E386" s="454"/>
      <c r="F386" s="584"/>
      <c r="G386" s="454"/>
      <c r="H386" s="584"/>
      <c r="I386" s="584"/>
      <c r="J386" s="584"/>
      <c r="K386" s="584"/>
      <c r="L386" s="456">
        <f t="shared" si="198"/>
        <v>0</v>
      </c>
      <c r="M386" s="457">
        <f t="shared" si="199"/>
        <v>0</v>
      </c>
      <c r="N386" s="458">
        <f t="shared" si="200"/>
        <v>0</v>
      </c>
      <c r="O386" s="458">
        <f t="shared" si="201"/>
        <v>0</v>
      </c>
      <c r="P386" s="458">
        <f t="shared" si="202"/>
        <v>0</v>
      </c>
      <c r="Q386" s="459">
        <f t="shared" si="203"/>
        <v>0</v>
      </c>
      <c r="R386" s="460">
        <f t="shared" si="204"/>
        <v>0</v>
      </c>
      <c r="S386" s="461">
        <f t="shared" si="205"/>
        <v>0</v>
      </c>
      <c r="T386" s="461">
        <f t="shared" si="206"/>
        <v>0</v>
      </c>
      <c r="U386" s="454">
        <f t="shared" si="207"/>
        <v>0</v>
      </c>
      <c r="V386" s="454">
        <f t="shared" si="208"/>
        <v>0</v>
      </c>
      <c r="W386" s="454">
        <f t="shared" si="209"/>
        <v>0</v>
      </c>
      <c r="X386" s="454">
        <f t="shared" si="210"/>
        <v>0</v>
      </c>
      <c r="Y386" s="454">
        <f t="shared" si="211"/>
        <v>0</v>
      </c>
      <c r="Z386" s="454">
        <f t="shared" si="212"/>
        <v>0</v>
      </c>
      <c r="AA386" s="456">
        <f t="shared" si="213"/>
        <v>0</v>
      </c>
      <c r="AB386" s="585">
        <f t="shared" si="214"/>
        <v>0</v>
      </c>
      <c r="AC386" s="469" t="s">
        <v>211</v>
      </c>
      <c r="AD386" s="466">
        <f>SUM(H411:K411)</f>
        <v>0</v>
      </c>
    </row>
    <row r="387" spans="2:30" ht="13.5" customHeight="1" x14ac:dyDescent="0.25">
      <c r="B387" s="467"/>
      <c r="C387" s="468"/>
      <c r="D387" s="431"/>
      <c r="E387" s="454"/>
      <c r="F387" s="584"/>
      <c r="G387" s="454"/>
      <c r="H387" s="584"/>
      <c r="I387" s="584"/>
      <c r="J387" s="584"/>
      <c r="K387" s="584"/>
      <c r="L387" s="456">
        <f t="shared" si="198"/>
        <v>0</v>
      </c>
      <c r="M387" s="457">
        <f t="shared" si="199"/>
        <v>0</v>
      </c>
      <c r="N387" s="458">
        <f t="shared" si="200"/>
        <v>0</v>
      </c>
      <c r="O387" s="458">
        <f t="shared" si="201"/>
        <v>0</v>
      </c>
      <c r="P387" s="458">
        <f t="shared" si="202"/>
        <v>0</v>
      </c>
      <c r="Q387" s="459">
        <f t="shared" si="203"/>
        <v>0</v>
      </c>
      <c r="R387" s="460">
        <f t="shared" si="204"/>
        <v>0</v>
      </c>
      <c r="S387" s="461">
        <f t="shared" si="205"/>
        <v>0</v>
      </c>
      <c r="T387" s="461">
        <f t="shared" si="206"/>
        <v>0</v>
      </c>
      <c r="U387" s="454">
        <f t="shared" si="207"/>
        <v>0</v>
      </c>
      <c r="V387" s="454">
        <f t="shared" si="208"/>
        <v>0</v>
      </c>
      <c r="W387" s="454">
        <f t="shared" si="209"/>
        <v>0</v>
      </c>
      <c r="X387" s="454">
        <f t="shared" si="210"/>
        <v>0</v>
      </c>
      <c r="Y387" s="454">
        <f t="shared" si="211"/>
        <v>0</v>
      </c>
      <c r="Z387" s="454">
        <f t="shared" si="212"/>
        <v>0</v>
      </c>
      <c r="AA387" s="456">
        <f t="shared" si="213"/>
        <v>0</v>
      </c>
      <c r="AB387" s="585">
        <f t="shared" si="214"/>
        <v>0</v>
      </c>
      <c r="AC387" s="465" t="s">
        <v>209</v>
      </c>
      <c r="AD387" s="466">
        <f>SUM(M411:O411)</f>
        <v>0</v>
      </c>
    </row>
    <row r="388" spans="2:30" ht="13.5" customHeight="1" x14ac:dyDescent="0.25">
      <c r="B388" s="467"/>
      <c r="C388" s="468"/>
      <c r="D388" s="431"/>
      <c r="E388" s="454"/>
      <c r="F388" s="584"/>
      <c r="G388" s="454"/>
      <c r="H388" s="584"/>
      <c r="I388" s="584"/>
      <c r="J388" s="584"/>
      <c r="K388" s="584"/>
      <c r="L388" s="456">
        <f t="shared" si="198"/>
        <v>0</v>
      </c>
      <c r="M388" s="457">
        <f t="shared" si="199"/>
        <v>0</v>
      </c>
      <c r="N388" s="458">
        <f t="shared" si="200"/>
        <v>0</v>
      </c>
      <c r="O388" s="458">
        <f t="shared" si="201"/>
        <v>0</v>
      </c>
      <c r="P388" s="458">
        <f t="shared" si="202"/>
        <v>0</v>
      </c>
      <c r="Q388" s="459">
        <f t="shared" si="203"/>
        <v>0</v>
      </c>
      <c r="R388" s="460">
        <f t="shared" si="204"/>
        <v>0</v>
      </c>
      <c r="S388" s="461">
        <f t="shared" si="205"/>
        <v>0</v>
      </c>
      <c r="T388" s="461">
        <f t="shared" si="206"/>
        <v>0</v>
      </c>
      <c r="U388" s="454">
        <f t="shared" si="207"/>
        <v>0</v>
      </c>
      <c r="V388" s="454">
        <f t="shared" si="208"/>
        <v>0</v>
      </c>
      <c r="W388" s="454">
        <f t="shared" si="209"/>
        <v>0</v>
      </c>
      <c r="X388" s="454">
        <f t="shared" si="210"/>
        <v>0</v>
      </c>
      <c r="Y388" s="454">
        <f t="shared" si="211"/>
        <v>0</v>
      </c>
      <c r="Z388" s="454">
        <f t="shared" si="212"/>
        <v>0</v>
      </c>
      <c r="AA388" s="456">
        <f t="shared" si="213"/>
        <v>0</v>
      </c>
      <c r="AB388" s="585">
        <f t="shared" si="214"/>
        <v>0</v>
      </c>
      <c r="AC388" s="465" t="s">
        <v>36</v>
      </c>
      <c r="AD388" s="466">
        <f>P411</f>
        <v>0</v>
      </c>
    </row>
    <row r="389" spans="2:30" ht="13.5" customHeight="1" x14ac:dyDescent="0.25">
      <c r="B389" s="586"/>
      <c r="C389" s="468"/>
      <c r="D389" s="454"/>
      <c r="E389" s="454"/>
      <c r="F389" s="584"/>
      <c r="G389" s="454"/>
      <c r="H389" s="584"/>
      <c r="I389" s="584"/>
      <c r="J389" s="584"/>
      <c r="K389" s="584"/>
      <c r="L389" s="456">
        <f t="shared" si="198"/>
        <v>0</v>
      </c>
      <c r="M389" s="457">
        <f t="shared" si="199"/>
        <v>0</v>
      </c>
      <c r="N389" s="458">
        <f t="shared" si="200"/>
        <v>0</v>
      </c>
      <c r="O389" s="458">
        <f t="shared" si="201"/>
        <v>0</v>
      </c>
      <c r="P389" s="458">
        <f t="shared" si="202"/>
        <v>0</v>
      </c>
      <c r="Q389" s="459">
        <f t="shared" si="203"/>
        <v>0</v>
      </c>
      <c r="R389" s="460">
        <f t="shared" si="204"/>
        <v>0</v>
      </c>
      <c r="S389" s="461">
        <f t="shared" si="205"/>
        <v>0</v>
      </c>
      <c r="T389" s="461">
        <f t="shared" si="206"/>
        <v>0</v>
      </c>
      <c r="U389" s="454">
        <f t="shared" si="207"/>
        <v>0</v>
      </c>
      <c r="V389" s="454">
        <f t="shared" si="208"/>
        <v>0</v>
      </c>
      <c r="W389" s="454">
        <f t="shared" si="209"/>
        <v>0</v>
      </c>
      <c r="X389" s="454">
        <f t="shared" si="210"/>
        <v>0</v>
      </c>
      <c r="Y389" s="454">
        <f t="shared" si="211"/>
        <v>0</v>
      </c>
      <c r="Z389" s="454">
        <f t="shared" si="212"/>
        <v>0</v>
      </c>
      <c r="AA389" s="456">
        <f t="shared" si="213"/>
        <v>0</v>
      </c>
      <c r="AB389" s="585">
        <f t="shared" si="214"/>
        <v>0</v>
      </c>
      <c r="AC389" s="469" t="s">
        <v>212</v>
      </c>
      <c r="AD389" s="466">
        <f>SUM(R411:Z411)</f>
        <v>0</v>
      </c>
    </row>
    <row r="390" spans="2:30" ht="14.25" customHeight="1" x14ac:dyDescent="0.25">
      <c r="B390" s="586"/>
      <c r="C390" s="468"/>
      <c r="D390" s="454"/>
      <c r="E390" s="454"/>
      <c r="F390" s="584"/>
      <c r="G390" s="454"/>
      <c r="H390" s="584"/>
      <c r="I390" s="584"/>
      <c r="J390" s="584"/>
      <c r="K390" s="584"/>
      <c r="L390" s="456">
        <f t="shared" si="198"/>
        <v>0</v>
      </c>
      <c r="M390" s="457">
        <f t="shared" si="199"/>
        <v>0</v>
      </c>
      <c r="N390" s="458">
        <f t="shared" si="200"/>
        <v>0</v>
      </c>
      <c r="O390" s="458">
        <f t="shared" si="201"/>
        <v>0</v>
      </c>
      <c r="P390" s="458">
        <f t="shared" si="202"/>
        <v>0</v>
      </c>
      <c r="Q390" s="459">
        <f t="shared" si="203"/>
        <v>0</v>
      </c>
      <c r="R390" s="460">
        <f t="shared" si="204"/>
        <v>0</v>
      </c>
      <c r="S390" s="461">
        <f t="shared" si="205"/>
        <v>0</v>
      </c>
      <c r="T390" s="461">
        <f t="shared" si="206"/>
        <v>0</v>
      </c>
      <c r="U390" s="454">
        <f t="shared" si="207"/>
        <v>0</v>
      </c>
      <c r="V390" s="454">
        <f t="shared" si="208"/>
        <v>0</v>
      </c>
      <c r="W390" s="454">
        <f t="shared" si="209"/>
        <v>0</v>
      </c>
      <c r="X390" s="454">
        <f t="shared" si="210"/>
        <v>0</v>
      </c>
      <c r="Y390" s="454">
        <f t="shared" si="211"/>
        <v>0</v>
      </c>
      <c r="Z390" s="454">
        <f t="shared" si="212"/>
        <v>0</v>
      </c>
      <c r="AA390" s="456">
        <f t="shared" si="213"/>
        <v>0</v>
      </c>
      <c r="AB390" s="585">
        <f t="shared" si="214"/>
        <v>0</v>
      </c>
      <c r="AC390" s="483" t="s">
        <v>13</v>
      </c>
      <c r="AD390" s="484">
        <f>SUM(AD381:AD389)</f>
        <v>0</v>
      </c>
    </row>
    <row r="391" spans="2:30" ht="13.5" customHeight="1" x14ac:dyDescent="0.25">
      <c r="B391" s="586"/>
      <c r="C391" s="468"/>
      <c r="D391" s="454"/>
      <c r="E391" s="454"/>
      <c r="F391" s="584"/>
      <c r="G391" s="454"/>
      <c r="H391" s="584"/>
      <c r="I391" s="584"/>
      <c r="J391" s="584"/>
      <c r="K391" s="584"/>
      <c r="L391" s="456">
        <f t="shared" si="198"/>
        <v>0</v>
      </c>
      <c r="M391" s="457">
        <f t="shared" si="199"/>
        <v>0</v>
      </c>
      <c r="N391" s="458">
        <f t="shared" si="200"/>
        <v>0</v>
      </c>
      <c r="O391" s="458">
        <f t="shared" si="201"/>
        <v>0</v>
      </c>
      <c r="P391" s="458">
        <f t="shared" si="202"/>
        <v>0</v>
      </c>
      <c r="Q391" s="459">
        <f t="shared" si="203"/>
        <v>0</v>
      </c>
      <c r="R391" s="460">
        <f t="shared" si="204"/>
        <v>0</v>
      </c>
      <c r="S391" s="461">
        <f t="shared" si="205"/>
        <v>0</v>
      </c>
      <c r="T391" s="461">
        <f t="shared" si="206"/>
        <v>0</v>
      </c>
      <c r="U391" s="454">
        <f t="shared" si="207"/>
        <v>0</v>
      </c>
      <c r="V391" s="454">
        <f t="shared" si="208"/>
        <v>0</v>
      </c>
      <c r="W391" s="454">
        <f t="shared" si="209"/>
        <v>0</v>
      </c>
      <c r="X391" s="454">
        <f t="shared" si="210"/>
        <v>0</v>
      </c>
      <c r="Y391" s="454">
        <f t="shared" si="211"/>
        <v>0</v>
      </c>
      <c r="Z391" s="454">
        <f t="shared" si="212"/>
        <v>0</v>
      </c>
      <c r="AA391" s="456">
        <f t="shared" si="213"/>
        <v>0</v>
      </c>
      <c r="AB391" s="587">
        <f t="shared" si="214"/>
        <v>0</v>
      </c>
    </row>
    <row r="392" spans="2:30" ht="13.5" customHeight="1" x14ac:dyDescent="0.25">
      <c r="B392" s="586"/>
      <c r="C392" s="468"/>
      <c r="D392" s="454"/>
      <c r="E392" s="454"/>
      <c r="F392" s="584"/>
      <c r="G392" s="454"/>
      <c r="H392" s="584"/>
      <c r="I392" s="584"/>
      <c r="J392" s="584"/>
      <c r="K392" s="584"/>
      <c r="L392" s="456">
        <f t="shared" si="198"/>
        <v>0</v>
      </c>
      <c r="M392" s="457">
        <f t="shared" si="199"/>
        <v>0</v>
      </c>
      <c r="N392" s="458">
        <f t="shared" si="200"/>
        <v>0</v>
      </c>
      <c r="O392" s="458">
        <f t="shared" si="201"/>
        <v>0</v>
      </c>
      <c r="P392" s="458">
        <f t="shared" si="202"/>
        <v>0</v>
      </c>
      <c r="Q392" s="459">
        <f t="shared" si="203"/>
        <v>0</v>
      </c>
      <c r="R392" s="460">
        <f t="shared" si="204"/>
        <v>0</v>
      </c>
      <c r="S392" s="461">
        <f t="shared" si="205"/>
        <v>0</v>
      </c>
      <c r="T392" s="461">
        <f t="shared" si="206"/>
        <v>0</v>
      </c>
      <c r="U392" s="454">
        <f t="shared" si="207"/>
        <v>0</v>
      </c>
      <c r="V392" s="454">
        <f t="shared" si="208"/>
        <v>0</v>
      </c>
      <c r="W392" s="454">
        <f t="shared" si="209"/>
        <v>0</v>
      </c>
      <c r="X392" s="454">
        <f t="shared" si="210"/>
        <v>0</v>
      </c>
      <c r="Y392" s="454">
        <f t="shared" si="211"/>
        <v>0</v>
      </c>
      <c r="Z392" s="454">
        <f t="shared" si="212"/>
        <v>0</v>
      </c>
      <c r="AA392" s="456">
        <f t="shared" si="213"/>
        <v>0</v>
      </c>
      <c r="AB392" s="587">
        <f t="shared" si="214"/>
        <v>0</v>
      </c>
    </row>
    <row r="393" spans="2:30" ht="13.5" customHeight="1" x14ac:dyDescent="0.25">
      <c r="B393" s="586"/>
      <c r="C393" s="468"/>
      <c r="D393" s="454"/>
      <c r="E393" s="454"/>
      <c r="F393" s="584"/>
      <c r="G393" s="454"/>
      <c r="H393" s="584"/>
      <c r="I393" s="584"/>
      <c r="J393" s="584"/>
      <c r="K393" s="584"/>
      <c r="L393" s="456">
        <f t="shared" si="198"/>
        <v>0</v>
      </c>
      <c r="M393" s="457">
        <f t="shared" si="199"/>
        <v>0</v>
      </c>
      <c r="N393" s="458">
        <f t="shared" si="200"/>
        <v>0</v>
      </c>
      <c r="O393" s="458">
        <f t="shared" si="201"/>
        <v>0</v>
      </c>
      <c r="P393" s="458">
        <f t="shared" si="202"/>
        <v>0</v>
      </c>
      <c r="Q393" s="459">
        <f t="shared" si="203"/>
        <v>0</v>
      </c>
      <c r="R393" s="460">
        <f t="shared" si="204"/>
        <v>0</v>
      </c>
      <c r="S393" s="461">
        <f t="shared" si="205"/>
        <v>0</v>
      </c>
      <c r="T393" s="461">
        <f t="shared" si="206"/>
        <v>0</v>
      </c>
      <c r="U393" s="454">
        <f t="shared" si="207"/>
        <v>0</v>
      </c>
      <c r="V393" s="454">
        <f t="shared" si="208"/>
        <v>0</v>
      </c>
      <c r="W393" s="454">
        <f t="shared" si="209"/>
        <v>0</v>
      </c>
      <c r="X393" s="454">
        <f t="shared" si="210"/>
        <v>0</v>
      </c>
      <c r="Y393" s="454">
        <f t="shared" si="211"/>
        <v>0</v>
      </c>
      <c r="Z393" s="454">
        <f t="shared" si="212"/>
        <v>0</v>
      </c>
      <c r="AA393" s="456">
        <f t="shared" si="213"/>
        <v>0</v>
      </c>
      <c r="AB393" s="587">
        <f t="shared" si="214"/>
        <v>0</v>
      </c>
    </row>
    <row r="394" spans="2:30" ht="13.5" customHeight="1" x14ac:dyDescent="0.25">
      <c r="B394" s="586"/>
      <c r="C394" s="468"/>
      <c r="D394" s="454"/>
      <c r="E394" s="454"/>
      <c r="F394" s="584"/>
      <c r="G394" s="454"/>
      <c r="H394" s="584"/>
      <c r="I394" s="584"/>
      <c r="J394" s="584"/>
      <c r="K394" s="584"/>
      <c r="L394" s="456">
        <f t="shared" si="198"/>
        <v>0</v>
      </c>
      <c r="M394" s="457">
        <f t="shared" si="199"/>
        <v>0</v>
      </c>
      <c r="N394" s="458">
        <f t="shared" si="200"/>
        <v>0</v>
      </c>
      <c r="O394" s="458">
        <f t="shared" si="201"/>
        <v>0</v>
      </c>
      <c r="P394" s="458">
        <f t="shared" si="202"/>
        <v>0</v>
      </c>
      <c r="Q394" s="459">
        <f t="shared" si="203"/>
        <v>0</v>
      </c>
      <c r="R394" s="460">
        <f t="shared" si="204"/>
        <v>0</v>
      </c>
      <c r="S394" s="461">
        <f t="shared" si="205"/>
        <v>0</v>
      </c>
      <c r="T394" s="461">
        <f t="shared" si="206"/>
        <v>0</v>
      </c>
      <c r="U394" s="454">
        <f t="shared" si="207"/>
        <v>0</v>
      </c>
      <c r="V394" s="454">
        <f t="shared" si="208"/>
        <v>0</v>
      </c>
      <c r="W394" s="454">
        <f t="shared" si="209"/>
        <v>0</v>
      </c>
      <c r="X394" s="454">
        <f t="shared" si="210"/>
        <v>0</v>
      </c>
      <c r="Y394" s="454">
        <f t="shared" si="211"/>
        <v>0</v>
      </c>
      <c r="Z394" s="454">
        <f t="shared" si="212"/>
        <v>0</v>
      </c>
      <c r="AA394" s="456">
        <f t="shared" si="213"/>
        <v>0</v>
      </c>
      <c r="AB394" s="587">
        <f t="shared" si="214"/>
        <v>0</v>
      </c>
    </row>
    <row r="395" spans="2:30" ht="13.5" customHeight="1" x14ac:dyDescent="0.25">
      <c r="B395" s="586"/>
      <c r="C395" s="468"/>
      <c r="D395" s="454"/>
      <c r="E395" s="454"/>
      <c r="F395" s="584"/>
      <c r="G395" s="454"/>
      <c r="H395" s="584"/>
      <c r="I395" s="584"/>
      <c r="J395" s="584"/>
      <c r="K395" s="584"/>
      <c r="L395" s="456">
        <f t="shared" si="198"/>
        <v>0</v>
      </c>
      <c r="M395" s="457">
        <f t="shared" si="199"/>
        <v>0</v>
      </c>
      <c r="N395" s="458">
        <f t="shared" si="200"/>
        <v>0</v>
      </c>
      <c r="O395" s="458">
        <f t="shared" si="201"/>
        <v>0</v>
      </c>
      <c r="P395" s="458">
        <f t="shared" si="202"/>
        <v>0</v>
      </c>
      <c r="Q395" s="459">
        <f t="shared" si="203"/>
        <v>0</v>
      </c>
      <c r="R395" s="460">
        <f t="shared" si="204"/>
        <v>0</v>
      </c>
      <c r="S395" s="461">
        <f t="shared" si="205"/>
        <v>0</v>
      </c>
      <c r="T395" s="461">
        <f t="shared" si="206"/>
        <v>0</v>
      </c>
      <c r="U395" s="454">
        <f t="shared" si="207"/>
        <v>0</v>
      </c>
      <c r="V395" s="454">
        <f t="shared" si="208"/>
        <v>0</v>
      </c>
      <c r="W395" s="454">
        <f t="shared" si="209"/>
        <v>0</v>
      </c>
      <c r="X395" s="454">
        <f t="shared" si="210"/>
        <v>0</v>
      </c>
      <c r="Y395" s="454">
        <f t="shared" si="211"/>
        <v>0</v>
      </c>
      <c r="Z395" s="454">
        <f t="shared" si="212"/>
        <v>0</v>
      </c>
      <c r="AA395" s="456">
        <f t="shared" si="213"/>
        <v>0</v>
      </c>
      <c r="AB395" s="587">
        <f t="shared" si="214"/>
        <v>0</v>
      </c>
    </row>
    <row r="396" spans="2:30" ht="13.5" customHeight="1" x14ac:dyDescent="0.25">
      <c r="B396" s="586"/>
      <c r="C396" s="468"/>
      <c r="D396" s="454"/>
      <c r="E396" s="454"/>
      <c r="F396" s="584"/>
      <c r="G396" s="454"/>
      <c r="H396" s="584"/>
      <c r="I396" s="584"/>
      <c r="J396" s="584"/>
      <c r="K396" s="584"/>
      <c r="L396" s="456">
        <f t="shared" si="198"/>
        <v>0</v>
      </c>
      <c r="M396" s="457">
        <f t="shared" si="199"/>
        <v>0</v>
      </c>
      <c r="N396" s="458">
        <f t="shared" si="200"/>
        <v>0</v>
      </c>
      <c r="O396" s="458">
        <f t="shared" si="201"/>
        <v>0</v>
      </c>
      <c r="P396" s="458">
        <f t="shared" si="202"/>
        <v>0</v>
      </c>
      <c r="Q396" s="459">
        <f t="shared" si="203"/>
        <v>0</v>
      </c>
      <c r="R396" s="460">
        <f t="shared" si="204"/>
        <v>0</v>
      </c>
      <c r="S396" s="461">
        <f t="shared" si="205"/>
        <v>0</v>
      </c>
      <c r="T396" s="461">
        <f t="shared" si="206"/>
        <v>0</v>
      </c>
      <c r="U396" s="454">
        <f t="shared" si="207"/>
        <v>0</v>
      </c>
      <c r="V396" s="454">
        <f t="shared" si="208"/>
        <v>0</v>
      </c>
      <c r="W396" s="454">
        <f t="shared" si="209"/>
        <v>0</v>
      </c>
      <c r="X396" s="454">
        <f t="shared" si="210"/>
        <v>0</v>
      </c>
      <c r="Y396" s="454">
        <f t="shared" si="211"/>
        <v>0</v>
      </c>
      <c r="Z396" s="454">
        <f t="shared" si="212"/>
        <v>0</v>
      </c>
      <c r="AA396" s="456">
        <f t="shared" si="213"/>
        <v>0</v>
      </c>
      <c r="AB396" s="587">
        <f t="shared" si="214"/>
        <v>0</v>
      </c>
    </row>
    <row r="397" spans="2:30" ht="13.5" customHeight="1" x14ac:dyDescent="0.25">
      <c r="B397" s="586"/>
      <c r="C397" s="468"/>
      <c r="D397" s="454"/>
      <c r="E397" s="454"/>
      <c r="F397" s="584"/>
      <c r="G397" s="454"/>
      <c r="H397" s="584"/>
      <c r="I397" s="584"/>
      <c r="J397" s="584"/>
      <c r="K397" s="584"/>
      <c r="L397" s="456">
        <f t="shared" si="198"/>
        <v>0</v>
      </c>
      <c r="M397" s="457">
        <f t="shared" si="199"/>
        <v>0</v>
      </c>
      <c r="N397" s="458">
        <f t="shared" si="200"/>
        <v>0</v>
      </c>
      <c r="O397" s="458">
        <f t="shared" si="201"/>
        <v>0</v>
      </c>
      <c r="P397" s="458">
        <f t="shared" si="202"/>
        <v>0</v>
      </c>
      <c r="Q397" s="459">
        <f t="shared" si="203"/>
        <v>0</v>
      </c>
      <c r="R397" s="460">
        <f t="shared" si="204"/>
        <v>0</v>
      </c>
      <c r="S397" s="461">
        <f t="shared" si="205"/>
        <v>0</v>
      </c>
      <c r="T397" s="461">
        <f t="shared" si="206"/>
        <v>0</v>
      </c>
      <c r="U397" s="454">
        <f t="shared" si="207"/>
        <v>0</v>
      </c>
      <c r="V397" s="454">
        <f t="shared" si="208"/>
        <v>0</v>
      </c>
      <c r="W397" s="454">
        <f t="shared" si="209"/>
        <v>0</v>
      </c>
      <c r="X397" s="454">
        <f t="shared" si="210"/>
        <v>0</v>
      </c>
      <c r="Y397" s="454">
        <f t="shared" si="211"/>
        <v>0</v>
      </c>
      <c r="Z397" s="454">
        <f t="shared" si="212"/>
        <v>0</v>
      </c>
      <c r="AA397" s="456">
        <f t="shared" si="213"/>
        <v>0</v>
      </c>
      <c r="AB397" s="587">
        <f t="shared" si="214"/>
        <v>0</v>
      </c>
    </row>
    <row r="398" spans="2:30" ht="13.5" customHeight="1" x14ac:dyDescent="0.25">
      <c r="B398" s="586"/>
      <c r="C398" s="468"/>
      <c r="D398" s="454"/>
      <c r="E398" s="454"/>
      <c r="F398" s="584"/>
      <c r="G398" s="454"/>
      <c r="H398" s="584"/>
      <c r="I398" s="584"/>
      <c r="J398" s="584"/>
      <c r="K398" s="584"/>
      <c r="L398" s="456">
        <f t="shared" si="198"/>
        <v>0</v>
      </c>
      <c r="M398" s="457">
        <f t="shared" si="199"/>
        <v>0</v>
      </c>
      <c r="N398" s="458">
        <f t="shared" si="200"/>
        <v>0</v>
      </c>
      <c r="O398" s="458">
        <f t="shared" si="201"/>
        <v>0</v>
      </c>
      <c r="P398" s="458">
        <f t="shared" si="202"/>
        <v>0</v>
      </c>
      <c r="Q398" s="459">
        <f t="shared" si="203"/>
        <v>0</v>
      </c>
      <c r="R398" s="460">
        <f t="shared" si="204"/>
        <v>0</v>
      </c>
      <c r="S398" s="461">
        <f t="shared" si="205"/>
        <v>0</v>
      </c>
      <c r="T398" s="461">
        <f t="shared" si="206"/>
        <v>0</v>
      </c>
      <c r="U398" s="454">
        <f t="shared" si="207"/>
        <v>0</v>
      </c>
      <c r="V398" s="454">
        <f t="shared" si="208"/>
        <v>0</v>
      </c>
      <c r="W398" s="454">
        <f t="shared" si="209"/>
        <v>0</v>
      </c>
      <c r="X398" s="454">
        <f t="shared" si="210"/>
        <v>0</v>
      </c>
      <c r="Y398" s="454">
        <f t="shared" si="211"/>
        <v>0</v>
      </c>
      <c r="Z398" s="454">
        <f t="shared" si="212"/>
        <v>0</v>
      </c>
      <c r="AA398" s="456">
        <f t="shared" si="213"/>
        <v>0</v>
      </c>
      <c r="AB398" s="587">
        <f t="shared" si="214"/>
        <v>0</v>
      </c>
    </row>
    <row r="399" spans="2:30" ht="13.5" customHeight="1" x14ac:dyDescent="0.25">
      <c r="B399" s="586"/>
      <c r="C399" s="468"/>
      <c r="D399" s="454"/>
      <c r="E399" s="454"/>
      <c r="F399" s="588"/>
      <c r="G399" s="454"/>
      <c r="H399" s="584"/>
      <c r="I399" s="584"/>
      <c r="J399" s="584"/>
      <c r="K399" s="584"/>
      <c r="L399" s="456">
        <f t="shared" si="198"/>
        <v>0</v>
      </c>
      <c r="M399" s="457">
        <f t="shared" si="199"/>
        <v>0</v>
      </c>
      <c r="N399" s="458">
        <f t="shared" si="200"/>
        <v>0</v>
      </c>
      <c r="O399" s="458">
        <f t="shared" si="201"/>
        <v>0</v>
      </c>
      <c r="P399" s="458">
        <f t="shared" si="202"/>
        <v>0</v>
      </c>
      <c r="Q399" s="459">
        <f t="shared" si="203"/>
        <v>0</v>
      </c>
      <c r="R399" s="460">
        <f t="shared" si="204"/>
        <v>0</v>
      </c>
      <c r="S399" s="461">
        <f t="shared" si="205"/>
        <v>0</v>
      </c>
      <c r="T399" s="461">
        <f t="shared" si="206"/>
        <v>0</v>
      </c>
      <c r="U399" s="454">
        <f t="shared" si="207"/>
        <v>0</v>
      </c>
      <c r="V399" s="454">
        <f t="shared" si="208"/>
        <v>0</v>
      </c>
      <c r="W399" s="454">
        <f t="shared" si="209"/>
        <v>0</v>
      </c>
      <c r="X399" s="454">
        <f t="shared" si="210"/>
        <v>0</v>
      </c>
      <c r="Y399" s="454">
        <f t="shared" si="211"/>
        <v>0</v>
      </c>
      <c r="Z399" s="454">
        <f t="shared" si="212"/>
        <v>0</v>
      </c>
      <c r="AA399" s="456">
        <f t="shared" si="213"/>
        <v>0</v>
      </c>
      <c r="AB399" s="587">
        <f t="shared" si="214"/>
        <v>0</v>
      </c>
    </row>
    <row r="400" spans="2:30" ht="13.5" customHeight="1" x14ac:dyDescent="0.25">
      <c r="B400" s="586"/>
      <c r="C400" s="468"/>
      <c r="D400" s="454"/>
      <c r="E400" s="454"/>
      <c r="F400" s="584"/>
      <c r="G400" s="454"/>
      <c r="H400" s="584"/>
      <c r="I400" s="584"/>
      <c r="J400" s="584"/>
      <c r="K400" s="584"/>
      <c r="L400" s="456">
        <f t="shared" si="198"/>
        <v>0</v>
      </c>
      <c r="M400" s="457">
        <f t="shared" si="199"/>
        <v>0</v>
      </c>
      <c r="N400" s="458">
        <f t="shared" si="200"/>
        <v>0</v>
      </c>
      <c r="O400" s="458">
        <f t="shared" si="201"/>
        <v>0</v>
      </c>
      <c r="P400" s="458">
        <f t="shared" si="202"/>
        <v>0</v>
      </c>
      <c r="Q400" s="459">
        <f t="shared" si="203"/>
        <v>0</v>
      </c>
      <c r="R400" s="460">
        <f t="shared" si="204"/>
        <v>0</v>
      </c>
      <c r="S400" s="461">
        <f t="shared" si="205"/>
        <v>0</v>
      </c>
      <c r="T400" s="461">
        <f t="shared" si="206"/>
        <v>0</v>
      </c>
      <c r="U400" s="454">
        <f t="shared" si="207"/>
        <v>0</v>
      </c>
      <c r="V400" s="454">
        <f t="shared" si="208"/>
        <v>0</v>
      </c>
      <c r="W400" s="454">
        <f t="shared" si="209"/>
        <v>0</v>
      </c>
      <c r="X400" s="454">
        <f t="shared" si="210"/>
        <v>0</v>
      </c>
      <c r="Y400" s="454">
        <f t="shared" si="211"/>
        <v>0</v>
      </c>
      <c r="Z400" s="454">
        <f t="shared" si="212"/>
        <v>0</v>
      </c>
      <c r="AA400" s="456">
        <f t="shared" si="213"/>
        <v>0</v>
      </c>
      <c r="AB400" s="587">
        <f t="shared" si="214"/>
        <v>0</v>
      </c>
    </row>
    <row r="401" spans="2:28" ht="13.5" customHeight="1" x14ac:dyDescent="0.25">
      <c r="B401" s="586"/>
      <c r="C401" s="468"/>
      <c r="D401" s="454"/>
      <c r="E401" s="454"/>
      <c r="F401" s="584"/>
      <c r="G401" s="454"/>
      <c r="H401" s="584"/>
      <c r="I401" s="584"/>
      <c r="J401" s="584"/>
      <c r="K401" s="584"/>
      <c r="L401" s="456">
        <f t="shared" si="198"/>
        <v>0</v>
      </c>
      <c r="M401" s="457">
        <f t="shared" si="199"/>
        <v>0</v>
      </c>
      <c r="N401" s="458">
        <f t="shared" si="200"/>
        <v>0</v>
      </c>
      <c r="O401" s="458">
        <f t="shared" si="201"/>
        <v>0</v>
      </c>
      <c r="P401" s="458">
        <f t="shared" si="202"/>
        <v>0</v>
      </c>
      <c r="Q401" s="459">
        <f t="shared" si="203"/>
        <v>0</v>
      </c>
      <c r="R401" s="460">
        <f t="shared" si="204"/>
        <v>0</v>
      </c>
      <c r="S401" s="461">
        <f t="shared" si="205"/>
        <v>0</v>
      </c>
      <c r="T401" s="461">
        <f t="shared" si="206"/>
        <v>0</v>
      </c>
      <c r="U401" s="454">
        <f t="shared" si="207"/>
        <v>0</v>
      </c>
      <c r="V401" s="454">
        <f t="shared" si="208"/>
        <v>0</v>
      </c>
      <c r="W401" s="454">
        <f t="shared" si="209"/>
        <v>0</v>
      </c>
      <c r="X401" s="454">
        <f t="shared" si="210"/>
        <v>0</v>
      </c>
      <c r="Y401" s="454">
        <f t="shared" si="211"/>
        <v>0</v>
      </c>
      <c r="Z401" s="454">
        <f t="shared" si="212"/>
        <v>0</v>
      </c>
      <c r="AA401" s="456">
        <f t="shared" si="213"/>
        <v>0</v>
      </c>
      <c r="AB401" s="587">
        <f t="shared" si="214"/>
        <v>0</v>
      </c>
    </row>
    <row r="402" spans="2:28" ht="13.5" customHeight="1" x14ac:dyDescent="0.25">
      <c r="B402" s="586"/>
      <c r="C402" s="468"/>
      <c r="D402" s="454"/>
      <c r="E402" s="454"/>
      <c r="F402" s="584"/>
      <c r="G402" s="454"/>
      <c r="H402" s="584"/>
      <c r="I402" s="584"/>
      <c r="J402" s="584"/>
      <c r="K402" s="584"/>
      <c r="L402" s="456">
        <f t="shared" si="198"/>
        <v>0</v>
      </c>
      <c r="M402" s="457">
        <f t="shared" si="199"/>
        <v>0</v>
      </c>
      <c r="N402" s="458">
        <f t="shared" si="200"/>
        <v>0</v>
      </c>
      <c r="O402" s="458">
        <f t="shared" si="201"/>
        <v>0</v>
      </c>
      <c r="P402" s="458">
        <f t="shared" si="202"/>
        <v>0</v>
      </c>
      <c r="Q402" s="459">
        <f t="shared" si="203"/>
        <v>0</v>
      </c>
      <c r="R402" s="460">
        <f t="shared" si="204"/>
        <v>0</v>
      </c>
      <c r="S402" s="461">
        <f t="shared" si="205"/>
        <v>0</v>
      </c>
      <c r="T402" s="461">
        <f t="shared" si="206"/>
        <v>0</v>
      </c>
      <c r="U402" s="454">
        <f t="shared" si="207"/>
        <v>0</v>
      </c>
      <c r="V402" s="454">
        <f t="shared" si="208"/>
        <v>0</v>
      </c>
      <c r="W402" s="454">
        <f t="shared" si="209"/>
        <v>0</v>
      </c>
      <c r="X402" s="454">
        <f t="shared" si="210"/>
        <v>0</v>
      </c>
      <c r="Y402" s="454">
        <f t="shared" si="211"/>
        <v>0</v>
      </c>
      <c r="Z402" s="454">
        <f t="shared" si="212"/>
        <v>0</v>
      </c>
      <c r="AA402" s="456">
        <f t="shared" si="213"/>
        <v>0</v>
      </c>
      <c r="AB402" s="587">
        <f t="shared" si="214"/>
        <v>0</v>
      </c>
    </row>
    <row r="403" spans="2:28" ht="13.5" customHeight="1" x14ac:dyDescent="0.25">
      <c r="B403" s="586"/>
      <c r="C403" s="468"/>
      <c r="D403" s="454"/>
      <c r="E403" s="454"/>
      <c r="F403" s="584"/>
      <c r="G403" s="454"/>
      <c r="H403" s="584"/>
      <c r="I403" s="584"/>
      <c r="J403" s="584"/>
      <c r="K403" s="584"/>
      <c r="L403" s="456">
        <f t="shared" si="198"/>
        <v>0</v>
      </c>
      <c r="M403" s="457">
        <f t="shared" si="199"/>
        <v>0</v>
      </c>
      <c r="N403" s="458">
        <f t="shared" si="200"/>
        <v>0</v>
      </c>
      <c r="O403" s="458">
        <f t="shared" si="201"/>
        <v>0</v>
      </c>
      <c r="P403" s="458">
        <f t="shared" si="202"/>
        <v>0</v>
      </c>
      <c r="Q403" s="459">
        <f t="shared" si="203"/>
        <v>0</v>
      </c>
      <c r="R403" s="460">
        <f t="shared" si="204"/>
        <v>0</v>
      </c>
      <c r="S403" s="461">
        <f t="shared" si="205"/>
        <v>0</v>
      </c>
      <c r="T403" s="461">
        <f t="shared" si="206"/>
        <v>0</v>
      </c>
      <c r="U403" s="454">
        <f t="shared" si="207"/>
        <v>0</v>
      </c>
      <c r="V403" s="454">
        <f t="shared" si="208"/>
        <v>0</v>
      </c>
      <c r="W403" s="454">
        <f t="shared" si="209"/>
        <v>0</v>
      </c>
      <c r="X403" s="454">
        <f t="shared" si="210"/>
        <v>0</v>
      </c>
      <c r="Y403" s="454">
        <f t="shared" si="211"/>
        <v>0</v>
      </c>
      <c r="Z403" s="454">
        <f t="shared" si="212"/>
        <v>0</v>
      </c>
      <c r="AA403" s="456">
        <f t="shared" si="213"/>
        <v>0</v>
      </c>
      <c r="AB403" s="587">
        <f t="shared" si="214"/>
        <v>0</v>
      </c>
    </row>
    <row r="404" spans="2:28" ht="13.5" customHeight="1" x14ac:dyDescent="0.25">
      <c r="B404" s="586"/>
      <c r="C404" s="468"/>
      <c r="D404" s="454"/>
      <c r="E404" s="454"/>
      <c r="F404" s="584"/>
      <c r="G404" s="454"/>
      <c r="H404" s="584"/>
      <c r="I404" s="584"/>
      <c r="J404" s="584"/>
      <c r="K404" s="584"/>
      <c r="L404" s="456">
        <f t="shared" si="198"/>
        <v>0</v>
      </c>
      <c r="M404" s="457">
        <f t="shared" si="199"/>
        <v>0</v>
      </c>
      <c r="N404" s="458">
        <f t="shared" si="200"/>
        <v>0</v>
      </c>
      <c r="O404" s="458">
        <f t="shared" si="201"/>
        <v>0</v>
      </c>
      <c r="P404" s="458">
        <f t="shared" si="202"/>
        <v>0</v>
      </c>
      <c r="Q404" s="459">
        <f t="shared" si="203"/>
        <v>0</v>
      </c>
      <c r="R404" s="460">
        <f t="shared" si="204"/>
        <v>0</v>
      </c>
      <c r="S404" s="461">
        <f t="shared" si="205"/>
        <v>0</v>
      </c>
      <c r="T404" s="461">
        <f t="shared" si="206"/>
        <v>0</v>
      </c>
      <c r="U404" s="454">
        <f t="shared" si="207"/>
        <v>0</v>
      </c>
      <c r="V404" s="454">
        <f t="shared" si="208"/>
        <v>0</v>
      </c>
      <c r="W404" s="454">
        <f t="shared" si="209"/>
        <v>0</v>
      </c>
      <c r="X404" s="454">
        <f t="shared" si="210"/>
        <v>0</v>
      </c>
      <c r="Y404" s="454">
        <f t="shared" si="211"/>
        <v>0</v>
      </c>
      <c r="Z404" s="454">
        <f t="shared" si="212"/>
        <v>0</v>
      </c>
      <c r="AA404" s="456">
        <f t="shared" si="213"/>
        <v>0</v>
      </c>
      <c r="AB404" s="587">
        <f t="shared" si="214"/>
        <v>0</v>
      </c>
    </row>
    <row r="405" spans="2:28" ht="13.5" customHeight="1" x14ac:dyDescent="0.25">
      <c r="B405" s="586"/>
      <c r="C405" s="468"/>
      <c r="D405" s="454"/>
      <c r="E405" s="454"/>
      <c r="F405" s="584"/>
      <c r="G405" s="454"/>
      <c r="H405" s="584"/>
      <c r="I405" s="584"/>
      <c r="J405" s="584"/>
      <c r="K405" s="584"/>
      <c r="L405" s="456">
        <f t="shared" si="198"/>
        <v>0</v>
      </c>
      <c r="M405" s="457">
        <f t="shared" si="199"/>
        <v>0</v>
      </c>
      <c r="N405" s="458">
        <f t="shared" si="200"/>
        <v>0</v>
      </c>
      <c r="O405" s="458">
        <f t="shared" si="201"/>
        <v>0</v>
      </c>
      <c r="P405" s="458">
        <f t="shared" si="202"/>
        <v>0</v>
      </c>
      <c r="Q405" s="459">
        <f t="shared" si="203"/>
        <v>0</v>
      </c>
      <c r="R405" s="460">
        <f t="shared" si="204"/>
        <v>0</v>
      </c>
      <c r="S405" s="461">
        <f t="shared" si="205"/>
        <v>0</v>
      </c>
      <c r="T405" s="461">
        <f t="shared" si="206"/>
        <v>0</v>
      </c>
      <c r="U405" s="454">
        <f t="shared" si="207"/>
        <v>0</v>
      </c>
      <c r="V405" s="454">
        <f t="shared" si="208"/>
        <v>0</v>
      </c>
      <c r="W405" s="454">
        <f t="shared" si="209"/>
        <v>0</v>
      </c>
      <c r="X405" s="454">
        <f t="shared" si="210"/>
        <v>0</v>
      </c>
      <c r="Y405" s="454">
        <f t="shared" si="211"/>
        <v>0</v>
      </c>
      <c r="Z405" s="454">
        <f t="shared" si="212"/>
        <v>0</v>
      </c>
      <c r="AA405" s="456">
        <f t="shared" si="213"/>
        <v>0</v>
      </c>
      <c r="AB405" s="587">
        <f t="shared" si="214"/>
        <v>0</v>
      </c>
    </row>
    <row r="406" spans="2:28" ht="13.5" customHeight="1" x14ac:dyDescent="0.25">
      <c r="B406" s="586"/>
      <c r="C406" s="468"/>
      <c r="D406" s="454"/>
      <c r="E406" s="454"/>
      <c r="F406" s="584"/>
      <c r="G406" s="454"/>
      <c r="H406" s="584"/>
      <c r="I406" s="584"/>
      <c r="J406" s="584"/>
      <c r="K406" s="584"/>
      <c r="L406" s="456">
        <f t="shared" si="198"/>
        <v>0</v>
      </c>
      <c r="M406" s="457">
        <f t="shared" si="199"/>
        <v>0</v>
      </c>
      <c r="N406" s="458">
        <f t="shared" si="200"/>
        <v>0</v>
      </c>
      <c r="O406" s="458">
        <f t="shared" si="201"/>
        <v>0</v>
      </c>
      <c r="P406" s="458">
        <f t="shared" si="202"/>
        <v>0</v>
      </c>
      <c r="Q406" s="459">
        <f t="shared" si="203"/>
        <v>0</v>
      </c>
      <c r="R406" s="460">
        <f t="shared" si="204"/>
        <v>0</v>
      </c>
      <c r="S406" s="461">
        <f t="shared" si="205"/>
        <v>0</v>
      </c>
      <c r="T406" s="461">
        <f t="shared" si="206"/>
        <v>0</v>
      </c>
      <c r="U406" s="454">
        <f t="shared" si="207"/>
        <v>0</v>
      </c>
      <c r="V406" s="454">
        <f t="shared" si="208"/>
        <v>0</v>
      </c>
      <c r="W406" s="454">
        <f t="shared" si="209"/>
        <v>0</v>
      </c>
      <c r="X406" s="454">
        <f t="shared" si="210"/>
        <v>0</v>
      </c>
      <c r="Y406" s="454">
        <f t="shared" si="211"/>
        <v>0</v>
      </c>
      <c r="Z406" s="454">
        <f t="shared" si="212"/>
        <v>0</v>
      </c>
      <c r="AA406" s="456">
        <f t="shared" si="213"/>
        <v>0</v>
      </c>
      <c r="AB406" s="587">
        <f t="shared" si="214"/>
        <v>0</v>
      </c>
    </row>
    <row r="407" spans="2:28" ht="13.5" customHeight="1" x14ac:dyDescent="0.25">
      <c r="B407" s="586"/>
      <c r="C407" s="468"/>
      <c r="D407" s="454"/>
      <c r="E407" s="454"/>
      <c r="F407" s="584"/>
      <c r="G407" s="454"/>
      <c r="H407" s="584"/>
      <c r="I407" s="584"/>
      <c r="J407" s="584"/>
      <c r="K407" s="584"/>
      <c r="L407" s="456">
        <f t="shared" si="198"/>
        <v>0</v>
      </c>
      <c r="M407" s="457">
        <f t="shared" si="199"/>
        <v>0</v>
      </c>
      <c r="N407" s="458">
        <f t="shared" si="200"/>
        <v>0</v>
      </c>
      <c r="O407" s="458">
        <f t="shared" si="201"/>
        <v>0</v>
      </c>
      <c r="P407" s="458">
        <f t="shared" si="202"/>
        <v>0</v>
      </c>
      <c r="Q407" s="459">
        <f t="shared" si="203"/>
        <v>0</v>
      </c>
      <c r="R407" s="460">
        <f t="shared" si="204"/>
        <v>0</v>
      </c>
      <c r="S407" s="461">
        <f t="shared" si="205"/>
        <v>0</v>
      </c>
      <c r="T407" s="461">
        <f t="shared" si="206"/>
        <v>0</v>
      </c>
      <c r="U407" s="454">
        <f t="shared" si="207"/>
        <v>0</v>
      </c>
      <c r="V407" s="454">
        <f t="shared" si="208"/>
        <v>0</v>
      </c>
      <c r="W407" s="454">
        <f t="shared" si="209"/>
        <v>0</v>
      </c>
      <c r="X407" s="454">
        <f t="shared" si="210"/>
        <v>0</v>
      </c>
      <c r="Y407" s="454">
        <f t="shared" si="211"/>
        <v>0</v>
      </c>
      <c r="Z407" s="454">
        <f t="shared" si="212"/>
        <v>0</v>
      </c>
      <c r="AA407" s="456">
        <f t="shared" si="213"/>
        <v>0</v>
      </c>
      <c r="AB407" s="587">
        <f t="shared" si="214"/>
        <v>0</v>
      </c>
    </row>
    <row r="408" spans="2:28" ht="13.5" customHeight="1" x14ac:dyDescent="0.25">
      <c r="B408" s="586"/>
      <c r="C408" s="468"/>
      <c r="D408" s="454"/>
      <c r="E408" s="454"/>
      <c r="F408" s="584"/>
      <c r="G408" s="454"/>
      <c r="H408" s="584"/>
      <c r="I408" s="584"/>
      <c r="J408" s="584"/>
      <c r="K408" s="584"/>
      <c r="L408" s="456">
        <f t="shared" si="198"/>
        <v>0</v>
      </c>
      <c r="M408" s="457">
        <f t="shared" si="199"/>
        <v>0</v>
      </c>
      <c r="N408" s="458">
        <f t="shared" si="200"/>
        <v>0</v>
      </c>
      <c r="O408" s="458">
        <f t="shared" si="201"/>
        <v>0</v>
      </c>
      <c r="P408" s="458">
        <f t="shared" si="202"/>
        <v>0</v>
      </c>
      <c r="Q408" s="459">
        <f t="shared" si="203"/>
        <v>0</v>
      </c>
      <c r="R408" s="460">
        <f t="shared" si="204"/>
        <v>0</v>
      </c>
      <c r="S408" s="461">
        <f t="shared" si="205"/>
        <v>0</v>
      </c>
      <c r="T408" s="461">
        <f t="shared" si="206"/>
        <v>0</v>
      </c>
      <c r="U408" s="454">
        <f t="shared" si="207"/>
        <v>0</v>
      </c>
      <c r="V408" s="454">
        <f t="shared" si="208"/>
        <v>0</v>
      </c>
      <c r="W408" s="454">
        <f t="shared" si="209"/>
        <v>0</v>
      </c>
      <c r="X408" s="454">
        <f t="shared" si="210"/>
        <v>0</v>
      </c>
      <c r="Y408" s="454">
        <f t="shared" si="211"/>
        <v>0</v>
      </c>
      <c r="Z408" s="454">
        <f t="shared" si="212"/>
        <v>0</v>
      </c>
      <c r="AA408" s="456">
        <f t="shared" si="213"/>
        <v>0</v>
      </c>
      <c r="AB408" s="587">
        <f t="shared" si="214"/>
        <v>0</v>
      </c>
    </row>
    <row r="409" spans="2:28" ht="13.5" customHeight="1" x14ac:dyDescent="0.25">
      <c r="B409" s="586" t="s">
        <v>348</v>
      </c>
      <c r="C409" s="468"/>
      <c r="D409" s="454"/>
      <c r="E409" s="454"/>
      <c r="F409" s="584"/>
      <c r="G409" s="454"/>
      <c r="H409" s="584"/>
      <c r="I409" s="584"/>
      <c r="J409" s="584"/>
      <c r="K409" s="584"/>
      <c r="L409" s="456">
        <f t="shared" si="198"/>
        <v>0</v>
      </c>
      <c r="M409" s="457"/>
      <c r="N409" s="458"/>
      <c r="O409" s="458"/>
      <c r="P409" s="458"/>
      <c r="Q409" s="459">
        <f t="shared" si="203"/>
        <v>0</v>
      </c>
      <c r="R409" s="460"/>
      <c r="S409" s="461"/>
      <c r="T409" s="461"/>
      <c r="U409" s="454"/>
      <c r="V409" s="454"/>
      <c r="W409" s="454"/>
      <c r="X409" s="454"/>
      <c r="Y409" s="454"/>
      <c r="Z409" s="454"/>
      <c r="AA409" s="456"/>
      <c r="AB409" s="587">
        <f t="shared" si="214"/>
        <v>0</v>
      </c>
    </row>
    <row r="410" spans="2:28" ht="13.5" customHeight="1" x14ac:dyDescent="0.25">
      <c r="B410" s="586" t="s">
        <v>349</v>
      </c>
      <c r="C410" s="468"/>
      <c r="D410" s="589"/>
      <c r="E410" s="454"/>
      <c r="F410" s="584"/>
      <c r="G410" s="454"/>
      <c r="H410" s="584"/>
      <c r="I410" s="584"/>
      <c r="J410" s="584"/>
      <c r="K410" s="584"/>
      <c r="L410" s="456">
        <f t="shared" si="198"/>
        <v>0</v>
      </c>
      <c r="M410" s="490"/>
      <c r="N410" s="458"/>
      <c r="O410" s="458"/>
      <c r="P410" s="458"/>
      <c r="Q410" s="459">
        <f t="shared" si="203"/>
        <v>0</v>
      </c>
      <c r="R410" s="460"/>
      <c r="S410" s="461"/>
      <c r="T410" s="461"/>
      <c r="U410" s="454"/>
      <c r="V410" s="454"/>
      <c r="W410" s="454"/>
      <c r="X410" s="454"/>
      <c r="Y410" s="454"/>
      <c r="Z410" s="454"/>
      <c r="AA410" s="456">
        <f>SUM(R410:Z410)</f>
        <v>0</v>
      </c>
      <c r="AB410" s="587">
        <f t="shared" si="214"/>
        <v>0</v>
      </c>
    </row>
    <row r="411" spans="2:28" ht="14.25" customHeight="1" x14ac:dyDescent="0.25">
      <c r="B411" s="590"/>
      <c r="C411" s="591">
        <f t="shared" ref="C411:AB411" si="215">SUM(C381:C410)</f>
        <v>0</v>
      </c>
      <c r="D411" s="592">
        <f t="shared" si="215"/>
        <v>0</v>
      </c>
      <c r="E411" s="592">
        <f t="shared" si="215"/>
        <v>0</v>
      </c>
      <c r="F411" s="592">
        <f t="shared" si="215"/>
        <v>0</v>
      </c>
      <c r="G411" s="592">
        <f t="shared" si="215"/>
        <v>0</v>
      </c>
      <c r="H411" s="592">
        <f t="shared" si="215"/>
        <v>0</v>
      </c>
      <c r="I411" s="592">
        <f t="shared" si="215"/>
        <v>0</v>
      </c>
      <c r="J411" s="592">
        <f t="shared" si="215"/>
        <v>0</v>
      </c>
      <c r="K411" s="592">
        <f t="shared" si="215"/>
        <v>0</v>
      </c>
      <c r="L411" s="593">
        <f t="shared" si="215"/>
        <v>0</v>
      </c>
      <c r="M411" s="591">
        <f t="shared" si="215"/>
        <v>0</v>
      </c>
      <c r="N411" s="592">
        <f t="shared" si="215"/>
        <v>0</v>
      </c>
      <c r="O411" s="592">
        <f t="shared" si="215"/>
        <v>0</v>
      </c>
      <c r="P411" s="592">
        <f t="shared" si="215"/>
        <v>0</v>
      </c>
      <c r="Q411" s="593">
        <f t="shared" si="215"/>
        <v>0</v>
      </c>
      <c r="R411" s="591">
        <f t="shared" si="215"/>
        <v>0</v>
      </c>
      <c r="S411" s="592">
        <f t="shared" si="215"/>
        <v>0</v>
      </c>
      <c r="T411" s="592">
        <f t="shared" si="215"/>
        <v>0</v>
      </c>
      <c r="U411" s="592">
        <f t="shared" si="215"/>
        <v>0</v>
      </c>
      <c r="V411" s="592">
        <f t="shared" si="215"/>
        <v>0</v>
      </c>
      <c r="W411" s="592">
        <f t="shared" si="215"/>
        <v>0</v>
      </c>
      <c r="X411" s="592">
        <f t="shared" si="215"/>
        <v>0</v>
      </c>
      <c r="Y411" s="592">
        <f t="shared" si="215"/>
        <v>0</v>
      </c>
      <c r="Z411" s="592">
        <f t="shared" si="215"/>
        <v>0</v>
      </c>
      <c r="AA411" s="593">
        <f t="shared" si="215"/>
        <v>0</v>
      </c>
      <c r="AB411" s="594">
        <f t="shared" si="215"/>
        <v>0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0070C0"/>
  </sheetPr>
  <dimension ref="A2:AC60"/>
  <sheetViews>
    <sheetView showGridLines="0" tabSelected="1" zoomScale="90" zoomScaleNormal="90" workbookViewId="0">
      <selection activeCell="G18" sqref="G18"/>
    </sheetView>
  </sheetViews>
  <sheetFormatPr defaultColWidth="9.140625" defaultRowHeight="15" x14ac:dyDescent="0.25"/>
  <cols>
    <col min="1" max="1" width="4.42578125" style="174" customWidth="1"/>
    <col min="2" max="2" width="10.28515625" style="174" customWidth="1"/>
    <col min="3" max="3" width="10" style="174" customWidth="1"/>
    <col min="4" max="4" width="13.140625" style="174" customWidth="1"/>
    <col min="5" max="5" width="12.7109375" style="174" customWidth="1"/>
    <col min="6" max="6" width="9.5703125" style="174" customWidth="1"/>
    <col min="7" max="7" width="8.7109375" style="174" customWidth="1"/>
    <col min="8" max="9" width="10.5703125" style="174" customWidth="1"/>
    <col min="10" max="10" width="8.5703125" style="174" customWidth="1"/>
    <col min="11" max="11" width="11.140625" style="174" customWidth="1"/>
    <col min="12" max="12" width="9.85546875" style="174" customWidth="1"/>
    <col min="13" max="13" width="11.85546875" style="174" customWidth="1"/>
    <col min="14" max="14" width="11.5703125" style="174" customWidth="1"/>
    <col min="15" max="15" width="9.5703125" style="174" customWidth="1"/>
    <col min="16" max="16" width="6.7109375" style="174" customWidth="1"/>
    <col min="17" max="17" width="23.28515625" style="174" customWidth="1"/>
    <col min="18" max="21" width="8.85546875" style="174" customWidth="1"/>
    <col min="22" max="22" width="5.85546875" style="174" customWidth="1"/>
    <col min="23" max="23" width="5.42578125" style="174" customWidth="1"/>
    <col min="24" max="24" width="4.85546875" style="174" customWidth="1"/>
    <col min="25" max="25" width="5.85546875" style="174" customWidth="1"/>
    <col min="26" max="26" width="5.28515625" style="174" customWidth="1"/>
    <col min="27" max="27" width="5.7109375" style="174" customWidth="1"/>
    <col min="28" max="28" width="6" style="174" customWidth="1"/>
    <col min="29" max="29" width="5.7109375" style="174" customWidth="1"/>
    <col min="30" max="30" width="9.140625" style="174"/>
    <col min="31" max="31" width="4.42578125" style="174" customWidth="1"/>
    <col min="32" max="32" width="10" style="174" customWidth="1"/>
    <col min="33" max="33" width="13.140625" style="174" customWidth="1"/>
    <col min="34" max="34" width="12.7109375" style="174" customWidth="1"/>
    <col min="35" max="35" width="7.85546875" style="174" customWidth="1"/>
    <col min="36" max="36" width="11.85546875" style="174" customWidth="1"/>
    <col min="37" max="37" width="7.85546875" style="174" customWidth="1"/>
    <col min="38" max="38" width="9.140625" style="174"/>
    <col min="39" max="41" width="10.140625" style="174" customWidth="1"/>
    <col min="42" max="42" width="11.5703125" style="174" customWidth="1"/>
    <col min="43" max="44" width="10.140625" style="174" customWidth="1"/>
    <col min="45" max="16384" width="9.140625" style="174"/>
  </cols>
  <sheetData>
    <row r="2" spans="1:29" ht="15" customHeight="1" x14ac:dyDescent="0.25">
      <c r="A2" s="793" t="s">
        <v>214</v>
      </c>
      <c r="B2" s="175" t="s">
        <v>360</v>
      </c>
      <c r="C2" s="176" t="s">
        <v>70</v>
      </c>
      <c r="D2" s="176" t="s">
        <v>71</v>
      </c>
      <c r="E2" s="176" t="s">
        <v>72</v>
      </c>
      <c r="F2" s="176" t="s">
        <v>73</v>
      </c>
      <c r="G2" s="176" t="s">
        <v>74</v>
      </c>
      <c r="H2" s="176" t="s">
        <v>75</v>
      </c>
      <c r="I2" s="176" t="s">
        <v>76</v>
      </c>
      <c r="J2" s="176" t="s">
        <v>77</v>
      </c>
      <c r="K2" s="176" t="s">
        <v>78</v>
      </c>
      <c r="L2" s="176" t="s">
        <v>79</v>
      </c>
      <c r="M2" s="176" t="s">
        <v>80</v>
      </c>
      <c r="N2" s="176" t="s">
        <v>81</v>
      </c>
      <c r="O2" s="177" t="s">
        <v>13</v>
      </c>
      <c r="Q2" s="494" t="s">
        <v>360</v>
      </c>
      <c r="R2" s="495" t="s">
        <v>1</v>
      </c>
      <c r="S2" s="495" t="s">
        <v>2</v>
      </c>
      <c r="T2" s="495" t="s">
        <v>3</v>
      </c>
      <c r="U2" s="495" t="s">
        <v>4</v>
      </c>
      <c r="V2" s="495" t="s">
        <v>5</v>
      </c>
      <c r="W2" s="495" t="s">
        <v>6</v>
      </c>
      <c r="X2" s="495" t="s">
        <v>7</v>
      </c>
      <c r="Y2" s="495" t="s">
        <v>8</v>
      </c>
      <c r="Z2" s="495" t="s">
        <v>9</v>
      </c>
      <c r="AA2" s="495" t="s">
        <v>10</v>
      </c>
      <c r="AB2" s="495" t="s">
        <v>11</v>
      </c>
      <c r="AC2" s="495" t="s">
        <v>12</v>
      </c>
    </row>
    <row r="3" spans="1:29" ht="15" customHeight="1" x14ac:dyDescent="0.25">
      <c r="A3" s="793"/>
      <c r="B3" s="179" t="s">
        <v>89</v>
      </c>
      <c r="C3" s="180">
        <f>IND_Fopag!C40</f>
        <v>78662</v>
      </c>
      <c r="D3" s="180">
        <f>IND_Fopag!C80</f>
        <v>73062</v>
      </c>
      <c r="E3" s="180">
        <f>IND_Fopag!C114</f>
        <v>65922</v>
      </c>
      <c r="F3" s="180">
        <f>IND_Fopag!C147</f>
        <v>63822</v>
      </c>
      <c r="G3" s="180">
        <f>IND_Fopag!C180</f>
        <v>0</v>
      </c>
      <c r="H3" s="180">
        <f>IND_Fopag!C213</f>
        <v>0</v>
      </c>
      <c r="I3" s="180">
        <f>IND_Fopag!C246</f>
        <v>0</v>
      </c>
      <c r="J3" s="180">
        <f>IND_Fopag!C279</f>
        <v>0</v>
      </c>
      <c r="K3" s="180">
        <f>IND_Fopag!C312</f>
        <v>0</v>
      </c>
      <c r="L3" s="180">
        <f>IND_Fopag!C345</f>
        <v>0</v>
      </c>
      <c r="M3" s="180">
        <f>IND_Fopag!C378</f>
        <v>0</v>
      </c>
      <c r="N3" s="180">
        <f>IND_Fopag!C411</f>
        <v>0</v>
      </c>
      <c r="O3" s="181">
        <f t="shared" ref="O3:O9" si="0">SUM(C3:N3)</f>
        <v>281468</v>
      </c>
      <c r="Q3" s="179" t="s">
        <v>14</v>
      </c>
      <c r="R3" s="496">
        <f>IND_Movimentações!P2</f>
        <v>35</v>
      </c>
      <c r="S3" s="496">
        <f>IND_Movimentações!P40</f>
        <v>34</v>
      </c>
      <c r="T3" s="496">
        <f>IND_Movimentações!P78</f>
        <v>28</v>
      </c>
      <c r="U3" s="496">
        <f>IND_Movimentações!P110</f>
        <v>27</v>
      </c>
      <c r="V3" s="496">
        <f>IND_Movimentações!P154</f>
        <v>0</v>
      </c>
      <c r="W3" s="496">
        <f>IND_Movimentações!P192</f>
        <v>0</v>
      </c>
      <c r="X3" s="496">
        <f>IND_Movimentações!P230</f>
        <v>0</v>
      </c>
      <c r="Y3" s="496">
        <f>IND_Movimentações!P268</f>
        <v>0</v>
      </c>
      <c r="Z3" s="496">
        <f>IND_Movimentações!P306</f>
        <v>0</v>
      </c>
      <c r="AA3" s="496">
        <f>IND_Movimentações!P344</f>
        <v>0</v>
      </c>
      <c r="AB3" s="496">
        <f>IND_Movimentações!P382</f>
        <v>0</v>
      </c>
      <c r="AC3" s="496">
        <f>IND_Movimentações!P420</f>
        <v>0</v>
      </c>
    </row>
    <row r="4" spans="1:29" ht="15" customHeight="1" x14ac:dyDescent="0.25">
      <c r="A4" s="793"/>
      <c r="B4" s="179" t="s">
        <v>194</v>
      </c>
      <c r="C4" s="180">
        <f>IND_Fopag!D40</f>
        <v>3242</v>
      </c>
      <c r="D4" s="180">
        <f>IND_Fopag!D80</f>
        <v>3242</v>
      </c>
      <c r="E4" s="180">
        <f>IND_Fopag!D114</f>
        <v>3242</v>
      </c>
      <c r="F4" s="180">
        <f>IND_Fopag!D147</f>
        <v>3242</v>
      </c>
      <c r="G4" s="180">
        <f>IND_Fopag!D180</f>
        <v>0</v>
      </c>
      <c r="H4" s="180">
        <f>IND_Fopag!D213</f>
        <v>0</v>
      </c>
      <c r="I4" s="180">
        <f>IND_Fopag!D246</f>
        <v>0</v>
      </c>
      <c r="J4" s="180">
        <f>IND_Fopag!D279</f>
        <v>0</v>
      </c>
      <c r="K4" s="180">
        <f>IND_Fopag!D312</f>
        <v>0</v>
      </c>
      <c r="L4" s="180">
        <f>IND_Fopag!D345</f>
        <v>0</v>
      </c>
      <c r="M4" s="180">
        <f>IND_Fopag!D378</f>
        <v>0</v>
      </c>
      <c r="N4" s="180">
        <f>IND_Fopag!D411</f>
        <v>0</v>
      </c>
      <c r="O4" s="181">
        <f t="shared" si="0"/>
        <v>12968</v>
      </c>
      <c r="Q4" s="179" t="s">
        <v>58</v>
      </c>
      <c r="R4" s="496">
        <f>IND_Movimentações!S5+IND_Movimentações!V2+IND_Movimentações!V3</f>
        <v>71</v>
      </c>
      <c r="S4" s="496">
        <f>IND_Movimentações!S43+IND_Movimentações!V40+IND_Movimentações!V41</f>
        <v>29</v>
      </c>
      <c r="T4" s="496">
        <f>IND_Movimentações!S81+IND_Movimentações!V78+IND_Movimentações!V79</f>
        <v>38</v>
      </c>
      <c r="U4" s="496">
        <f>IND_Movimentações!S113+IND_Movimentações!V110+IND_Movimentações!V111</f>
        <v>20</v>
      </c>
      <c r="V4" s="496">
        <f>IND_Movimentações!S157+IND_Movimentações!V154+IND_Movimentações!V155</f>
        <v>0</v>
      </c>
      <c r="W4" s="496">
        <f>IND_Movimentações!S195+IND_Movimentações!V192+IND_Movimentações!V193</f>
        <v>0</v>
      </c>
      <c r="X4" s="496">
        <f>IND_Movimentações!S233+IND_Movimentações!V230+IND_Movimentações!V231</f>
        <v>0</v>
      </c>
      <c r="Y4" s="496">
        <f>IND_Movimentações!S271+IND_Movimentações!V268+IND_Movimentações!V269</f>
        <v>0</v>
      </c>
      <c r="Z4" s="496">
        <f>IND_Movimentações!S309+IND_Movimentações!V306+IND_Movimentações!V307</f>
        <v>0</v>
      </c>
      <c r="AA4" s="496">
        <f>IND_Movimentações!S347+IND_Movimentações!V344+IND_Movimentações!V345</f>
        <v>0</v>
      </c>
      <c r="AB4" s="496">
        <f>IND_Movimentações!S385+IND_Movimentações!V382+IND_Movimentações!V383</f>
        <v>0</v>
      </c>
      <c r="AC4" s="496">
        <f>IND_Movimentações!S423+IND_Movimentações!V420+IND_Movimentações!V421</f>
        <v>0</v>
      </c>
    </row>
    <row r="5" spans="1:29" ht="15" customHeight="1" x14ac:dyDescent="0.25">
      <c r="A5" s="793"/>
      <c r="B5" s="179" t="s">
        <v>197</v>
      </c>
      <c r="C5" s="180">
        <f>IND_Fopag!E40</f>
        <v>10844</v>
      </c>
      <c r="D5" s="180">
        <f>IND_Fopag!E80</f>
        <v>10844</v>
      </c>
      <c r="E5" s="180">
        <f>IND_Fopag!E114</f>
        <v>10844</v>
      </c>
      <c r="F5" s="180">
        <f>IND_Fopag!E147</f>
        <v>10844</v>
      </c>
      <c r="G5" s="180">
        <f>IND_Fopag!E180</f>
        <v>0</v>
      </c>
      <c r="H5" s="180">
        <f>IND_Fopag!E213</f>
        <v>0</v>
      </c>
      <c r="I5" s="180">
        <f>IND_Fopag!E246</f>
        <v>0</v>
      </c>
      <c r="J5" s="180">
        <f>IND_Fopag!E279</f>
        <v>0</v>
      </c>
      <c r="K5" s="180">
        <f>IND_Fopag!E312</f>
        <v>0</v>
      </c>
      <c r="L5" s="180">
        <f>IND_Fopag!E345</f>
        <v>0</v>
      </c>
      <c r="M5" s="180">
        <f>IND_Fopag!E378</f>
        <v>0</v>
      </c>
      <c r="N5" s="180">
        <f>IND_Fopag!E411</f>
        <v>0</v>
      </c>
      <c r="O5" s="181">
        <f t="shared" si="0"/>
        <v>43376</v>
      </c>
      <c r="Q5" s="179" t="s">
        <v>16</v>
      </c>
      <c r="R5" s="496">
        <f>IND_Movimentações!S2</f>
        <v>0</v>
      </c>
      <c r="S5" s="496">
        <f>IND_Movimentações!S40</f>
        <v>1</v>
      </c>
      <c r="T5" s="496">
        <f>IND_Movimentações!S78</f>
        <v>1</v>
      </c>
      <c r="U5" s="496">
        <f>IND_Movimentações!S110</f>
        <v>0</v>
      </c>
      <c r="V5" s="496">
        <f>IND_Movimentações!S154</f>
        <v>0</v>
      </c>
      <c r="W5" s="496">
        <f>IND_Movimentações!S192</f>
        <v>0</v>
      </c>
      <c r="X5" s="496">
        <f>IND_Movimentações!S230</f>
        <v>0</v>
      </c>
      <c r="Y5" s="496">
        <f>IND_Movimentações!S268</f>
        <v>0</v>
      </c>
      <c r="Z5" s="496">
        <f>IND_Movimentações!S306</f>
        <v>0</v>
      </c>
      <c r="AA5" s="496">
        <f>IND_Movimentações!S344</f>
        <v>0</v>
      </c>
      <c r="AB5" s="496">
        <f>IND_Movimentações!S382</f>
        <v>0</v>
      </c>
      <c r="AC5" s="496">
        <f>IND_Movimentações!S420</f>
        <v>0</v>
      </c>
    </row>
    <row r="6" spans="1:29" ht="15" customHeight="1" x14ac:dyDescent="0.25">
      <c r="A6" s="793"/>
      <c r="B6" s="179" t="s">
        <v>211</v>
      </c>
      <c r="C6" s="180">
        <f>SUM(IND_Fopag!F40:K40)</f>
        <v>26869.5</v>
      </c>
      <c r="D6" s="180">
        <f>SUM(IND_Fopag!F80:K80)</f>
        <v>25811.5</v>
      </c>
      <c r="E6" s="180">
        <f>SUM(IND_Fopag!F114:K114)</f>
        <v>24572.46</v>
      </c>
      <c r="F6" s="180">
        <f>SUM(IND_Fopag!F147:K147)</f>
        <v>25003.200000000001</v>
      </c>
      <c r="G6" s="180">
        <f>SUM(IND_Fopag!F180:K180)</f>
        <v>0</v>
      </c>
      <c r="H6" s="180">
        <f>SUM(IND_Fopag!F213:K213)</f>
        <v>0</v>
      </c>
      <c r="I6" s="180">
        <f>SUM(IND_Fopag!F246:K246)</f>
        <v>0</v>
      </c>
      <c r="J6" s="180">
        <f>SUM(IND_Fopag!F279:K279)</f>
        <v>0</v>
      </c>
      <c r="K6" s="180">
        <f>SUM(IND_Fopag!F312:K312)</f>
        <v>0</v>
      </c>
      <c r="L6" s="180">
        <f>SUM(IND_Fopag!F345:K345)</f>
        <v>0</v>
      </c>
      <c r="M6" s="180">
        <f>SUM(IND_Fopag!F378:K378)</f>
        <v>0</v>
      </c>
      <c r="N6" s="180">
        <f>SUM(IND_Fopag!F411:K411)</f>
        <v>0</v>
      </c>
      <c r="O6" s="181">
        <f t="shared" si="0"/>
        <v>102256.65999999999</v>
      </c>
      <c r="Q6" s="179" t="s">
        <v>17</v>
      </c>
      <c r="R6" s="496">
        <f>IND_Movimentações!S3</f>
        <v>1</v>
      </c>
      <c r="S6" s="496">
        <f>IND_Movimentações!S41</f>
        <v>7</v>
      </c>
      <c r="T6" s="496">
        <f>IND_Movimentações!S79</f>
        <v>2</v>
      </c>
      <c r="U6" s="496">
        <f>IND_Movimentações!S111</f>
        <v>0</v>
      </c>
      <c r="V6" s="496">
        <f>IND_Movimentações!S155</f>
        <v>0</v>
      </c>
      <c r="W6" s="496">
        <f>IND_Movimentações!S193</f>
        <v>0</v>
      </c>
      <c r="X6" s="496">
        <f>IND_Movimentações!S231</f>
        <v>0</v>
      </c>
      <c r="Y6" s="496">
        <f>IND_Movimentações!S269</f>
        <v>0</v>
      </c>
      <c r="Z6" s="496">
        <f>IND_Movimentações!S307</f>
        <v>0</v>
      </c>
      <c r="AA6" s="496">
        <f>IND_Movimentações!S345</f>
        <v>0</v>
      </c>
      <c r="AB6" s="496">
        <f>IND_Movimentações!S383</f>
        <v>0</v>
      </c>
      <c r="AC6" s="496">
        <f>IND_Movimentações!S421</f>
        <v>0</v>
      </c>
    </row>
    <row r="7" spans="1:29" ht="15" customHeight="1" x14ac:dyDescent="0.25">
      <c r="A7" s="793"/>
      <c r="B7" s="179" t="s">
        <v>209</v>
      </c>
      <c r="C7" s="180">
        <f>SUM(IND_Fopag!M40:O40)</f>
        <v>22445.596000000005</v>
      </c>
      <c r="D7" s="180">
        <f>SUM(IND_Fopag!M80:O80)</f>
        <v>20712.046000000002</v>
      </c>
      <c r="E7" s="180">
        <f>SUM(IND_Fopag!M114:O114)</f>
        <v>18694.576000000001</v>
      </c>
      <c r="F7" s="180">
        <f>SUM(IND_Fopag!M147:O147)</f>
        <v>18394.276000000002</v>
      </c>
      <c r="G7" s="180">
        <f>SUM(IND_Fopag!M180:O180)</f>
        <v>0</v>
      </c>
      <c r="H7" s="180">
        <f>SUM(IND_Fopag!M213:O213)</f>
        <v>0</v>
      </c>
      <c r="I7" s="180">
        <f>SUM(IND_Fopag!M246:O246)</f>
        <v>0</v>
      </c>
      <c r="J7" s="180">
        <f>SUM(IND_Fopag!M279:O279)</f>
        <v>0</v>
      </c>
      <c r="K7" s="180">
        <f>SUM(IND_Fopag!M312:O312)</f>
        <v>0</v>
      </c>
      <c r="L7" s="180">
        <f>SUM(IND_Fopag!M345:O345)</f>
        <v>0</v>
      </c>
      <c r="M7" s="180">
        <f>SUM(IND_Fopag!M378:O378)</f>
        <v>0</v>
      </c>
      <c r="N7" s="180">
        <f>SUM(IND_Fopag!M411:O411)</f>
        <v>0</v>
      </c>
      <c r="O7" s="181">
        <f t="shared" si="0"/>
        <v>80246.494000000006</v>
      </c>
      <c r="Q7" s="179" t="s">
        <v>26</v>
      </c>
      <c r="R7" s="496">
        <f>IND_Movimentações!AG4</f>
        <v>6283.2000000000007</v>
      </c>
      <c r="S7" s="496">
        <f>IND_Movimentações!AG42</f>
        <v>4435.2000000000007</v>
      </c>
      <c r="T7" s="496">
        <f>IND_Movimentações!AG80</f>
        <v>5227.2000000000007</v>
      </c>
      <c r="U7" s="496">
        <f>IND_Movimentações!AG112</f>
        <v>4752</v>
      </c>
      <c r="V7" s="496">
        <f>IND_Movimentações!AG156</f>
        <v>0</v>
      </c>
      <c r="W7" s="496">
        <f>IND_Movimentações!AG194</f>
        <v>0</v>
      </c>
      <c r="X7" s="496">
        <f>IND_Movimentações!AG232</f>
        <v>0</v>
      </c>
      <c r="Y7" s="496">
        <f>IND_Movimentações!AG270</f>
        <v>0</v>
      </c>
      <c r="Z7" s="496">
        <f>IND_Movimentações!AG308</f>
        <v>0</v>
      </c>
      <c r="AA7" s="496">
        <f>IND_Movimentações!AG346</f>
        <v>0</v>
      </c>
      <c r="AB7" s="496">
        <f>IND_Movimentações!AG384</f>
        <v>0</v>
      </c>
      <c r="AC7" s="496">
        <f>IND_Movimentações!AG422</f>
        <v>0</v>
      </c>
    </row>
    <row r="8" spans="1:29" ht="15" customHeight="1" x14ac:dyDescent="0.25">
      <c r="A8" s="793"/>
      <c r="B8" s="190" t="s">
        <v>36</v>
      </c>
      <c r="C8" s="180">
        <f>IND_Fopag!P40</f>
        <v>6472.9600000000009</v>
      </c>
      <c r="D8" s="180">
        <f>IND_Fopag!P80</f>
        <v>5964.96</v>
      </c>
      <c r="E8" s="180">
        <f>IND_Fopag!P114</f>
        <v>5373.76</v>
      </c>
      <c r="F8" s="180">
        <f>IND_Fopag!P147</f>
        <v>5285.76</v>
      </c>
      <c r="G8" s="180">
        <f>IND_Fopag!P180</f>
        <v>0</v>
      </c>
      <c r="H8" s="180">
        <f>IND_Fopag!P213</f>
        <v>0</v>
      </c>
      <c r="I8" s="180">
        <f>IND_Fopag!P246</f>
        <v>0</v>
      </c>
      <c r="J8" s="180">
        <f>IND_Fopag!P279</f>
        <v>0</v>
      </c>
      <c r="K8" s="180">
        <f>IND_Fopag!P312</f>
        <v>0</v>
      </c>
      <c r="L8" s="180">
        <f>IND_Fopag!P345</f>
        <v>0</v>
      </c>
      <c r="M8" s="180">
        <f>IND_Fopag!P378</f>
        <v>0</v>
      </c>
      <c r="N8" s="180">
        <f>IND_Fopag!P411</f>
        <v>0</v>
      </c>
      <c r="O8" s="181">
        <f t="shared" si="0"/>
        <v>23097.440000000002</v>
      </c>
      <c r="Q8" s="179" t="s">
        <v>27</v>
      </c>
      <c r="R8" s="496">
        <f>IND_Movimentações!AG5</f>
        <v>624.80000000000007</v>
      </c>
      <c r="S8" s="496">
        <f>IND_Movimentações!AG43</f>
        <v>255.20000000000002</v>
      </c>
      <c r="T8" s="496">
        <f>IND_Movimentações!AG81</f>
        <v>334.40000000000003</v>
      </c>
      <c r="U8" s="496">
        <f>IND_Movimentações!AG113</f>
        <v>176</v>
      </c>
      <c r="V8" s="496">
        <f>IND_Movimentações!AG157</f>
        <v>0</v>
      </c>
      <c r="W8" s="496">
        <f>IND_Movimentações!AG195</f>
        <v>0</v>
      </c>
      <c r="X8" s="496">
        <f>IND_Movimentações!AG233</f>
        <v>0</v>
      </c>
      <c r="Y8" s="496">
        <f>IND_Movimentações!AG271</f>
        <v>0</v>
      </c>
      <c r="Z8" s="496">
        <f>IND_Movimentações!AG309</f>
        <v>0</v>
      </c>
      <c r="AA8" s="496">
        <f>IND_Movimentações!AG347</f>
        <v>0</v>
      </c>
      <c r="AB8" s="496">
        <f>IND_Movimentações!AG385</f>
        <v>0</v>
      </c>
      <c r="AC8" s="496">
        <f>IND_Movimentações!AG423</f>
        <v>0</v>
      </c>
    </row>
    <row r="9" spans="1:29" ht="15" customHeight="1" x14ac:dyDescent="0.25">
      <c r="A9" s="793"/>
      <c r="B9" s="190" t="s">
        <v>212</v>
      </c>
      <c r="C9" s="180">
        <f>SUM(IND_Fopag!R40:Z40)</f>
        <v>34544.928888888891</v>
      </c>
      <c r="D9" s="180">
        <f>SUM(IND_Fopag!R80:Z80)</f>
        <v>31833.831666666672</v>
      </c>
      <c r="E9" s="180">
        <f>SUM(IND_Fopag!R114:Z114)</f>
        <v>28678.712222222224</v>
      </c>
      <c r="F9" s="180">
        <f>SUM(IND_Fopag!R147:Z147)</f>
        <v>28209.073333333337</v>
      </c>
      <c r="G9" s="180">
        <f>SUM(IND_Fopag!R180:Z180)</f>
        <v>0</v>
      </c>
      <c r="H9" s="180">
        <f>SUM(IND_Fopag!R213:Z213)</f>
        <v>0</v>
      </c>
      <c r="I9" s="180">
        <f>SUM(IND_Fopag!R246:Z246)</f>
        <v>0</v>
      </c>
      <c r="J9" s="180">
        <f>SUM(IND_Fopag!R279:Z279)</f>
        <v>0</v>
      </c>
      <c r="K9" s="180">
        <f>SUM(IND_Fopag!R312:Z312)</f>
        <v>0</v>
      </c>
      <c r="L9" s="180">
        <f>SUM(IND_Fopag!R345:Z345)</f>
        <v>0</v>
      </c>
      <c r="M9" s="180">
        <f>SUM(IND_Fopag!R378:Z378)</f>
        <v>0</v>
      </c>
      <c r="N9" s="180">
        <f>SUM(IND_Fopag!R411:Z411)</f>
        <v>0</v>
      </c>
      <c r="O9" s="181">
        <f t="shared" si="0"/>
        <v>123266.54611111112</v>
      </c>
      <c r="Q9" s="179" t="s">
        <v>19</v>
      </c>
      <c r="R9" s="496">
        <f>IFERROR(IND_Movimentações!AG6,0)</f>
        <v>30.61904761904762</v>
      </c>
      <c r="S9" s="496">
        <f>IFERROR(IND_Movimentações!AG44,0)</f>
        <v>26.388888888888893</v>
      </c>
      <c r="T9" s="496">
        <f>IFERROR(IND_Movimentações!AG82,0)</f>
        <v>25.272727272727277</v>
      </c>
      <c r="U9" s="496">
        <f>IND_Movimentações!AG114</f>
        <v>26</v>
      </c>
      <c r="V9" s="496">
        <f>IFERROR(IND_Movimentações!AG158,0)</f>
        <v>0</v>
      </c>
      <c r="W9" s="496">
        <f>IFERROR(IND_Movimentações!AG196,0)</f>
        <v>0</v>
      </c>
      <c r="X9" s="496">
        <f>IFERROR(IND_Movimentações!AG234,0)</f>
        <v>0</v>
      </c>
      <c r="Y9" s="496">
        <f>IFERROR(IND_Movimentações!AG272,0)</f>
        <v>0</v>
      </c>
      <c r="Z9" s="496">
        <f>IFERROR(IND_Movimentações!AG310,0)</f>
        <v>0</v>
      </c>
      <c r="AA9" s="496">
        <f>IFERROR(IND_Movimentações!AG348,0)</f>
        <v>0</v>
      </c>
      <c r="AB9" s="496">
        <f>IFERROR(IND_Movimentações!AG386,0)</f>
        <v>0</v>
      </c>
      <c r="AC9" s="496">
        <f>IFERROR(IND_Movimentações!AG424,0)</f>
        <v>0</v>
      </c>
    </row>
    <row r="10" spans="1:29" ht="15" customHeight="1" x14ac:dyDescent="0.25">
      <c r="A10" s="793"/>
      <c r="B10" s="178" t="s">
        <v>13</v>
      </c>
      <c r="C10" s="497">
        <f t="shared" ref="C10:O10" si="1">SUM(C3:C9)</f>
        <v>183080.9848888889</v>
      </c>
      <c r="D10" s="497">
        <f t="shared" si="1"/>
        <v>171470.33766666666</v>
      </c>
      <c r="E10" s="497">
        <f t="shared" si="1"/>
        <v>157327.50822222221</v>
      </c>
      <c r="F10" s="497">
        <f t="shared" si="1"/>
        <v>154800.30933333334</v>
      </c>
      <c r="G10" s="497">
        <f t="shared" si="1"/>
        <v>0</v>
      </c>
      <c r="H10" s="497">
        <f t="shared" si="1"/>
        <v>0</v>
      </c>
      <c r="I10" s="497">
        <f t="shared" si="1"/>
        <v>0</v>
      </c>
      <c r="J10" s="497">
        <f t="shared" si="1"/>
        <v>0</v>
      </c>
      <c r="K10" s="497">
        <f t="shared" si="1"/>
        <v>0</v>
      </c>
      <c r="L10" s="497">
        <f t="shared" si="1"/>
        <v>0</v>
      </c>
      <c r="M10" s="497">
        <f t="shared" si="1"/>
        <v>0</v>
      </c>
      <c r="N10" s="497">
        <f t="shared" si="1"/>
        <v>0</v>
      </c>
      <c r="O10" s="497">
        <f t="shared" si="1"/>
        <v>666679.1401111111</v>
      </c>
      <c r="Q10" s="179" t="s">
        <v>216</v>
      </c>
      <c r="R10" s="496">
        <f>IND_Movimentações!S4</f>
        <v>34</v>
      </c>
      <c r="S10" s="496">
        <f>IND_Movimentações!S42</f>
        <v>28</v>
      </c>
      <c r="T10" s="496">
        <f>IND_Movimentações!S80</f>
        <v>27</v>
      </c>
      <c r="U10" s="496">
        <f>IND_Movimentações!S112</f>
        <v>27</v>
      </c>
      <c r="V10" s="496">
        <f>IND_Movimentações!S156</f>
        <v>0</v>
      </c>
      <c r="W10" s="496">
        <f>IND_Movimentações!S194</f>
        <v>0</v>
      </c>
      <c r="X10" s="496">
        <f>IND_Movimentações!S232</f>
        <v>0</v>
      </c>
      <c r="Y10" s="496">
        <f>IND_Movimentações!S270</f>
        <v>0</v>
      </c>
      <c r="Z10" s="496">
        <f>IND_Movimentações!S308</f>
        <v>0</v>
      </c>
      <c r="AA10" s="496">
        <f>IND_Movimentações!S346</f>
        <v>0</v>
      </c>
      <c r="AB10" s="496">
        <f>IND_Movimentações!S384</f>
        <v>0</v>
      </c>
      <c r="AC10" s="496">
        <f>IND_Movimentações!S422</f>
        <v>0</v>
      </c>
    </row>
    <row r="11" spans="1:29" ht="15" customHeight="1" x14ac:dyDescent="0.25">
      <c r="A11" s="498"/>
      <c r="B11" s="499"/>
    </row>
    <row r="12" spans="1:29" ht="15" customHeight="1" x14ac:dyDescent="0.25">
      <c r="A12" s="498"/>
    </row>
    <row r="13" spans="1:29" ht="15" customHeight="1" x14ac:dyDescent="0.25">
      <c r="A13" s="498"/>
      <c r="B13" s="178" t="s">
        <v>106</v>
      </c>
      <c r="C13" s="178" t="s">
        <v>217</v>
      </c>
      <c r="D13" s="178" t="s">
        <v>84</v>
      </c>
      <c r="E13" s="178" t="s">
        <v>85</v>
      </c>
      <c r="F13" s="178" t="s">
        <v>86</v>
      </c>
      <c r="G13" s="178" t="s">
        <v>361</v>
      </c>
      <c r="H13" s="178" t="s">
        <v>362</v>
      </c>
    </row>
    <row r="14" spans="1:29" ht="15" customHeight="1" x14ac:dyDescent="0.25">
      <c r="A14" s="500"/>
      <c r="B14" s="182" t="s">
        <v>1</v>
      </c>
      <c r="C14" s="183">
        <v>1908972</v>
      </c>
      <c r="D14" s="184">
        <f>C10</f>
        <v>183080.9848888889</v>
      </c>
      <c r="E14" s="185">
        <f t="shared" ref="E14:E25" si="2">D14/C14</f>
        <v>9.5905537058107129E-2</v>
      </c>
      <c r="F14" s="185">
        <v>0.09</v>
      </c>
      <c r="G14" s="595">
        <v>73208</v>
      </c>
      <c r="H14" s="596">
        <f t="shared" ref="H14:H25" si="3">D14/G14</f>
        <v>2.5008330358552193</v>
      </c>
    </row>
    <row r="15" spans="1:29" ht="15" customHeight="1" x14ac:dyDescent="0.25">
      <c r="A15" s="500"/>
      <c r="B15" s="502" t="s">
        <v>2</v>
      </c>
      <c r="C15" s="503">
        <v>1434145</v>
      </c>
      <c r="D15" s="504">
        <f>D10</f>
        <v>171470.33766666666</v>
      </c>
      <c r="E15" s="185">
        <f t="shared" si="2"/>
        <v>0.11956276224974927</v>
      </c>
      <c r="F15" s="194">
        <f t="shared" ref="F15:F25" si="4">F14</f>
        <v>0.09</v>
      </c>
      <c r="G15" s="595">
        <v>45010</v>
      </c>
      <c r="H15" s="596">
        <f t="shared" si="3"/>
        <v>3.8096053691772198</v>
      </c>
    </row>
    <row r="16" spans="1:29" ht="15" customHeight="1" x14ac:dyDescent="0.25">
      <c r="A16" s="500"/>
      <c r="B16" s="182" t="s">
        <v>3</v>
      </c>
      <c r="C16" s="183">
        <v>1661970</v>
      </c>
      <c r="D16" s="184">
        <f>E10</f>
        <v>157327.50822222221</v>
      </c>
      <c r="E16" s="185">
        <f t="shared" si="2"/>
        <v>9.4663266016969144E-2</v>
      </c>
      <c r="F16" s="185">
        <f t="shared" si="4"/>
        <v>0.09</v>
      </c>
      <c r="G16" s="595">
        <v>46908</v>
      </c>
      <c r="H16" s="596">
        <f t="shared" si="3"/>
        <v>3.3539589882796581</v>
      </c>
    </row>
    <row r="17" spans="1:8" ht="15" customHeight="1" x14ac:dyDescent="0.25">
      <c r="A17" s="500"/>
      <c r="B17" s="502" t="s">
        <v>4</v>
      </c>
      <c r="C17" s="193">
        <v>1747250</v>
      </c>
      <c r="D17" s="504">
        <f>F10</f>
        <v>154800.30933333334</v>
      </c>
      <c r="E17" s="185">
        <f t="shared" si="2"/>
        <v>8.8596542757666819E-2</v>
      </c>
      <c r="F17" s="194">
        <f t="shared" si="4"/>
        <v>0.09</v>
      </c>
      <c r="G17" s="595">
        <v>45054</v>
      </c>
      <c r="H17" s="596">
        <f t="shared" si="3"/>
        <v>3.4358838134978766</v>
      </c>
    </row>
    <row r="18" spans="1:8" ht="15" customHeight="1" x14ac:dyDescent="0.25">
      <c r="B18" s="182" t="s">
        <v>5</v>
      </c>
      <c r="C18" s="183"/>
      <c r="D18" s="189">
        <f>G10</f>
        <v>0</v>
      </c>
      <c r="E18" s="185" t="e">
        <f t="shared" si="2"/>
        <v>#DIV/0!</v>
      </c>
      <c r="F18" s="185">
        <f t="shared" si="4"/>
        <v>0.09</v>
      </c>
      <c r="G18" s="595"/>
      <c r="H18" s="596" t="e">
        <f t="shared" si="3"/>
        <v>#DIV/0!</v>
      </c>
    </row>
    <row r="19" spans="1:8" ht="15" customHeight="1" x14ac:dyDescent="0.25">
      <c r="B19" s="502" t="s">
        <v>6</v>
      </c>
      <c r="C19" s="193"/>
      <c r="D19" s="180">
        <f>H10</f>
        <v>0</v>
      </c>
      <c r="E19" s="185" t="e">
        <f t="shared" si="2"/>
        <v>#DIV/0!</v>
      </c>
      <c r="F19" s="194">
        <f t="shared" si="4"/>
        <v>0.09</v>
      </c>
      <c r="G19" s="595"/>
      <c r="H19" s="596" t="e">
        <f t="shared" si="3"/>
        <v>#DIV/0!</v>
      </c>
    </row>
    <row r="20" spans="1:8" ht="15" customHeight="1" x14ac:dyDescent="0.25">
      <c r="B20" s="182" t="s">
        <v>7</v>
      </c>
      <c r="C20" s="188"/>
      <c r="D20" s="187">
        <f>I10</f>
        <v>0</v>
      </c>
      <c r="E20" s="185" t="e">
        <f t="shared" si="2"/>
        <v>#DIV/0!</v>
      </c>
      <c r="F20" s="185">
        <f t="shared" si="4"/>
        <v>0.09</v>
      </c>
      <c r="G20" s="595"/>
      <c r="H20" s="596" t="e">
        <f t="shared" si="3"/>
        <v>#DIV/0!</v>
      </c>
    </row>
    <row r="21" spans="1:8" ht="15" customHeight="1" x14ac:dyDescent="0.25">
      <c r="B21" s="502" t="s">
        <v>8</v>
      </c>
      <c r="C21" s="193"/>
      <c r="D21" s="180">
        <f>J10</f>
        <v>0</v>
      </c>
      <c r="E21" s="185" t="e">
        <f t="shared" si="2"/>
        <v>#DIV/0!</v>
      </c>
      <c r="F21" s="194">
        <f t="shared" si="4"/>
        <v>0.09</v>
      </c>
      <c r="G21" s="595"/>
      <c r="H21" s="596" t="e">
        <f t="shared" si="3"/>
        <v>#DIV/0!</v>
      </c>
    </row>
    <row r="22" spans="1:8" ht="15" customHeight="1" x14ac:dyDescent="0.25">
      <c r="B22" s="182" t="s">
        <v>9</v>
      </c>
      <c r="C22" s="200"/>
      <c r="D22" s="187">
        <f>K10</f>
        <v>0</v>
      </c>
      <c r="E22" s="185" t="e">
        <f t="shared" si="2"/>
        <v>#DIV/0!</v>
      </c>
      <c r="F22" s="185">
        <f t="shared" si="4"/>
        <v>0.09</v>
      </c>
      <c r="G22" s="595"/>
      <c r="H22" s="596" t="e">
        <f t="shared" si="3"/>
        <v>#DIV/0!</v>
      </c>
    </row>
    <row r="23" spans="1:8" ht="15" customHeight="1" x14ac:dyDescent="0.25">
      <c r="B23" s="502" t="s">
        <v>10</v>
      </c>
      <c r="C23" s="196"/>
      <c r="D23" s="180">
        <f>L10</f>
        <v>0</v>
      </c>
      <c r="E23" s="185" t="e">
        <f t="shared" si="2"/>
        <v>#DIV/0!</v>
      </c>
      <c r="F23" s="194">
        <f t="shared" si="4"/>
        <v>0.09</v>
      </c>
      <c r="G23" s="595"/>
      <c r="H23" s="596" t="e">
        <f t="shared" si="3"/>
        <v>#DIV/0!</v>
      </c>
    </row>
    <row r="24" spans="1:8" ht="15" customHeight="1" x14ac:dyDescent="0.25">
      <c r="B24" s="182" t="s">
        <v>11</v>
      </c>
      <c r="C24" s="200"/>
      <c r="D24" s="187">
        <f>M10</f>
        <v>0</v>
      </c>
      <c r="E24" s="185" t="e">
        <f t="shared" si="2"/>
        <v>#DIV/0!</v>
      </c>
      <c r="F24" s="185">
        <f t="shared" si="4"/>
        <v>0.09</v>
      </c>
      <c r="G24" s="595"/>
      <c r="H24" s="596" t="e">
        <f t="shared" si="3"/>
        <v>#DIV/0!</v>
      </c>
    </row>
    <row r="25" spans="1:8" ht="15" customHeight="1" x14ac:dyDescent="0.25">
      <c r="B25" s="502" t="s">
        <v>12</v>
      </c>
      <c r="C25" s="196"/>
      <c r="D25" s="180">
        <f>N10</f>
        <v>0</v>
      </c>
      <c r="E25" s="185" t="e">
        <f t="shared" si="2"/>
        <v>#DIV/0!</v>
      </c>
      <c r="F25" s="194">
        <f t="shared" si="4"/>
        <v>0.09</v>
      </c>
      <c r="G25" s="595"/>
      <c r="H25" s="596" t="e">
        <f t="shared" si="3"/>
        <v>#DIV/0!</v>
      </c>
    </row>
    <row r="29" spans="1:8" ht="15.75" customHeight="1" x14ac:dyDescent="0.25">
      <c r="B29" s="794" t="s">
        <v>102</v>
      </c>
      <c r="C29" s="794"/>
      <c r="D29" s="794"/>
      <c r="E29" s="794"/>
      <c r="F29" s="794"/>
      <c r="G29" s="794"/>
      <c r="H29" s="794"/>
    </row>
    <row r="30" spans="1:8" ht="15.75" customHeight="1" x14ac:dyDescent="0.25">
      <c r="B30" s="795" t="s">
        <v>104</v>
      </c>
      <c r="C30" s="795"/>
      <c r="D30" s="795"/>
      <c r="E30" s="796">
        <v>2026</v>
      </c>
      <c r="F30" s="796"/>
      <c r="G30" s="506" t="s">
        <v>105</v>
      </c>
      <c r="H30" s="507">
        <v>0.05</v>
      </c>
    </row>
    <row r="31" spans="1:8" ht="15" customHeight="1" x14ac:dyDescent="0.25">
      <c r="B31" s="508" t="s">
        <v>106</v>
      </c>
      <c r="C31" s="508" t="s">
        <v>107</v>
      </c>
      <c r="D31" s="508" t="s">
        <v>108</v>
      </c>
      <c r="E31" s="508" t="s">
        <v>59</v>
      </c>
      <c r="F31" s="508" t="s">
        <v>109</v>
      </c>
      <c r="G31" s="508" t="s">
        <v>110</v>
      </c>
      <c r="H31" s="508" t="s">
        <v>86</v>
      </c>
    </row>
    <row r="32" spans="1:8" ht="15" customHeight="1" x14ac:dyDescent="0.25">
      <c r="B32" s="228" t="s">
        <v>1</v>
      </c>
      <c r="C32" s="509">
        <f>$R$5</f>
        <v>0</v>
      </c>
      <c r="D32" s="509">
        <f>$R$6</f>
        <v>1</v>
      </c>
      <c r="E32" s="509">
        <f>$R$10</f>
        <v>34</v>
      </c>
      <c r="F32" s="229">
        <f>((Table_4648[[#This Row],[Desligamentos]]+Table_4648[[#This Row],[Admissões]])/2)/Table_4648[[#This Row],[Colaboradores]]</f>
        <v>1.4705882352941176E-2</v>
      </c>
      <c r="G32" s="229">
        <f>AVERAGE(F32)</f>
        <v>1.4705882352941176E-2</v>
      </c>
      <c r="H32" s="229">
        <f t="shared" ref="H32:H43" si="5">$H$30</f>
        <v>0.05</v>
      </c>
    </row>
    <row r="33" spans="2:8" ht="15" customHeight="1" x14ac:dyDescent="0.25">
      <c r="B33" s="228" t="s">
        <v>2</v>
      </c>
      <c r="C33" s="509">
        <f>$S$5</f>
        <v>1</v>
      </c>
      <c r="D33" s="509">
        <f>$S$6</f>
        <v>7</v>
      </c>
      <c r="E33" s="509">
        <f>$S$10</f>
        <v>28</v>
      </c>
      <c r="F33" s="229">
        <f>((Table_4648[[#This Row],[Desligamentos]]+Table_4648[[#This Row],[Admissões]])/2)/Table_4648[[#This Row],[Colaboradores]]</f>
        <v>0.14285714285714285</v>
      </c>
      <c r="G33" s="229">
        <f>AVERAGE($F$32:$F33)</f>
        <v>7.8781512605042014E-2</v>
      </c>
      <c r="H33" s="229">
        <f t="shared" si="5"/>
        <v>0.05</v>
      </c>
    </row>
    <row r="34" spans="2:8" ht="15" customHeight="1" x14ac:dyDescent="0.25">
      <c r="B34" s="228" t="s">
        <v>3</v>
      </c>
      <c r="C34" s="509">
        <f>$T$5</f>
        <v>1</v>
      </c>
      <c r="D34" s="509">
        <f>$T$6</f>
        <v>2</v>
      </c>
      <c r="E34" s="509">
        <f>$T$10</f>
        <v>27</v>
      </c>
      <c r="F34" s="229">
        <f>((Table_4648[[#This Row],[Desligamentos]]+Table_4648[[#This Row],[Admissões]])/2)/Table_4648[[#This Row],[Colaboradores]]</f>
        <v>5.5555555555555552E-2</v>
      </c>
      <c r="G34" s="229">
        <f>AVERAGE($F$32:$F34)</f>
        <v>7.1039526921879856E-2</v>
      </c>
      <c r="H34" s="229">
        <f t="shared" si="5"/>
        <v>0.05</v>
      </c>
    </row>
    <row r="35" spans="2:8" ht="15" customHeight="1" x14ac:dyDescent="0.25">
      <c r="B35" s="228" t="s">
        <v>4</v>
      </c>
      <c r="C35" s="509">
        <f>$U$5</f>
        <v>0</v>
      </c>
      <c r="D35" s="509">
        <f>$U$6</f>
        <v>0</v>
      </c>
      <c r="E35" s="509">
        <f>$U$10</f>
        <v>27</v>
      </c>
      <c r="F35" s="229">
        <f>((Table_4648[[#This Row],[Desligamentos]]+Table_4648[[#This Row],[Admissões]])/2)/Table_4648[[#This Row],[Colaboradores]]</f>
        <v>0</v>
      </c>
      <c r="G35" s="229">
        <f>AVERAGE($F$32:$F35)</f>
        <v>5.3279645191409895E-2</v>
      </c>
      <c r="H35" s="229">
        <f t="shared" si="5"/>
        <v>0.05</v>
      </c>
    </row>
    <row r="36" spans="2:8" ht="15" customHeight="1" x14ac:dyDescent="0.25">
      <c r="B36" s="228" t="s">
        <v>5</v>
      </c>
      <c r="C36" s="509">
        <f>$V$5</f>
        <v>0</v>
      </c>
      <c r="D36" s="509">
        <f>$V$6</f>
        <v>0</v>
      </c>
      <c r="E36" s="509">
        <f>$V$10</f>
        <v>0</v>
      </c>
      <c r="F36" s="229" t="e">
        <f>((Table_4648[[#This Row],[Desligamentos]]+Table_4648[[#This Row],[Admissões]])/2)/Table_4648[[#This Row],[Colaboradores]]</f>
        <v>#DIV/0!</v>
      </c>
      <c r="G36" s="229" t="e">
        <f>AVERAGE($F$32:$F36)</f>
        <v>#DIV/0!</v>
      </c>
      <c r="H36" s="229">
        <f t="shared" si="5"/>
        <v>0.05</v>
      </c>
    </row>
    <row r="37" spans="2:8" ht="15" customHeight="1" x14ac:dyDescent="0.25">
      <c r="B37" s="228" t="s">
        <v>6</v>
      </c>
      <c r="C37" s="509">
        <f>$W$5</f>
        <v>0</v>
      </c>
      <c r="D37" s="509">
        <f>$W$6</f>
        <v>0</v>
      </c>
      <c r="E37" s="509">
        <f>$W$10</f>
        <v>0</v>
      </c>
      <c r="F37" s="229" t="e">
        <f>((Table_4648[[#This Row],[Desligamentos]]+Table_4648[[#This Row],[Admissões]])/2)/Table_4648[[#This Row],[Colaboradores]]</f>
        <v>#DIV/0!</v>
      </c>
      <c r="G37" s="229" t="e">
        <f>AVERAGE($F$32:$F37)</f>
        <v>#DIV/0!</v>
      </c>
      <c r="H37" s="229">
        <f t="shared" si="5"/>
        <v>0.05</v>
      </c>
    </row>
    <row r="38" spans="2:8" ht="15" customHeight="1" x14ac:dyDescent="0.25">
      <c r="B38" s="228" t="s">
        <v>7</v>
      </c>
      <c r="C38" s="509">
        <f>$X$5</f>
        <v>0</v>
      </c>
      <c r="D38" s="509">
        <f>$X$6</f>
        <v>0</v>
      </c>
      <c r="E38" s="509">
        <f>$X$10</f>
        <v>0</v>
      </c>
      <c r="F38" s="229" t="e">
        <f>((Table_4648[[#This Row],[Desligamentos]]+Table_4648[[#This Row],[Admissões]])/2)/Table_4648[[#This Row],[Colaboradores]]</f>
        <v>#DIV/0!</v>
      </c>
      <c r="G38" s="229" t="e">
        <f>AVERAGE($F$32:$F38)</f>
        <v>#DIV/0!</v>
      </c>
      <c r="H38" s="229">
        <f t="shared" si="5"/>
        <v>0.05</v>
      </c>
    </row>
    <row r="39" spans="2:8" ht="15" customHeight="1" x14ac:dyDescent="0.25">
      <c r="B39" s="228" t="s">
        <v>8</v>
      </c>
      <c r="C39" s="509">
        <f>$Y$5</f>
        <v>0</v>
      </c>
      <c r="D39" s="509">
        <f>$Y$6</f>
        <v>0</v>
      </c>
      <c r="E39" s="509">
        <f>$Y$10</f>
        <v>0</v>
      </c>
      <c r="F39" s="229" t="e">
        <f>((Table_4648[[#This Row],[Desligamentos]]+Table_4648[[#This Row],[Admissões]])/2)/Table_4648[[#This Row],[Colaboradores]]</f>
        <v>#DIV/0!</v>
      </c>
      <c r="G39" s="229" t="e">
        <f>AVERAGE($F$32:$F39)</f>
        <v>#DIV/0!</v>
      </c>
      <c r="H39" s="229">
        <f t="shared" si="5"/>
        <v>0.05</v>
      </c>
    </row>
    <row r="40" spans="2:8" ht="15" customHeight="1" x14ac:dyDescent="0.25">
      <c r="B40" s="228" t="s">
        <v>9</v>
      </c>
      <c r="C40" s="509">
        <f>$Z$5</f>
        <v>0</v>
      </c>
      <c r="D40" s="509">
        <f>$Z$6</f>
        <v>0</v>
      </c>
      <c r="E40" s="509">
        <f>$Z$10</f>
        <v>0</v>
      </c>
      <c r="F40" s="229" t="e">
        <f>((Table_4648[[#This Row],[Desligamentos]]+Table_4648[[#This Row],[Admissões]])/2)/Table_4648[[#This Row],[Colaboradores]]</f>
        <v>#DIV/0!</v>
      </c>
      <c r="G40" s="229" t="e">
        <f>AVERAGE($F$32:$F40)</f>
        <v>#DIV/0!</v>
      </c>
      <c r="H40" s="229">
        <f t="shared" si="5"/>
        <v>0.05</v>
      </c>
    </row>
    <row r="41" spans="2:8" ht="15" customHeight="1" x14ac:dyDescent="0.25">
      <c r="B41" s="228" t="s">
        <v>10</v>
      </c>
      <c r="C41" s="509">
        <f>$AA$5</f>
        <v>0</v>
      </c>
      <c r="D41" s="509">
        <f>$AA$6</f>
        <v>0</v>
      </c>
      <c r="E41" s="509">
        <f>$AA$10</f>
        <v>0</v>
      </c>
      <c r="F41" s="229" t="e">
        <f>((Table_4648[[#This Row],[Desligamentos]]+Table_4648[[#This Row],[Admissões]])/2)/Table_4648[[#This Row],[Colaboradores]]</f>
        <v>#DIV/0!</v>
      </c>
      <c r="G41" s="229" t="e">
        <f>AVERAGE($F$32:$F41)</f>
        <v>#DIV/0!</v>
      </c>
      <c r="H41" s="229">
        <f t="shared" si="5"/>
        <v>0.05</v>
      </c>
    </row>
    <row r="42" spans="2:8" ht="15" customHeight="1" x14ac:dyDescent="0.25">
      <c r="B42" s="228" t="s">
        <v>11</v>
      </c>
      <c r="C42" s="509">
        <f>$AB$5</f>
        <v>0</v>
      </c>
      <c r="D42" s="509">
        <f>$AB$6</f>
        <v>0</v>
      </c>
      <c r="E42" s="509">
        <f>$AB$10</f>
        <v>0</v>
      </c>
      <c r="F42" s="229" t="e">
        <f>((Table_4648[[#This Row],[Desligamentos]]+Table_4648[[#This Row],[Admissões]])/2)/Table_4648[[#This Row],[Colaboradores]]</f>
        <v>#DIV/0!</v>
      </c>
      <c r="G42" s="229" t="e">
        <f>AVERAGE($F$32:$F42)</f>
        <v>#DIV/0!</v>
      </c>
      <c r="H42" s="229">
        <f t="shared" si="5"/>
        <v>0.05</v>
      </c>
    </row>
    <row r="43" spans="2:8" ht="15" customHeight="1" x14ac:dyDescent="0.25">
      <c r="B43" s="228" t="s">
        <v>12</v>
      </c>
      <c r="C43" s="510">
        <f>$AC$5</f>
        <v>0</v>
      </c>
      <c r="D43" s="510">
        <f>$AC$6</f>
        <v>0</v>
      </c>
      <c r="E43" s="511">
        <f>$AC$10</f>
        <v>0</v>
      </c>
      <c r="F43" s="229" t="e">
        <f>((Table_4648[[#This Row],[Desligamentos]]+Table_4648[[#This Row],[Admissões]])/2)/Table_4648[[#This Row],[Colaboradores]]</f>
        <v>#DIV/0!</v>
      </c>
      <c r="G43" s="229" t="e">
        <f>AVERAGE($F$32:$F43)</f>
        <v>#DIV/0!</v>
      </c>
      <c r="H43" s="229">
        <f t="shared" si="5"/>
        <v>0.05</v>
      </c>
    </row>
    <row r="44" spans="2:8" ht="15" customHeight="1" x14ac:dyDescent="0.25">
      <c r="B44" s="785" t="s">
        <v>114</v>
      </c>
      <c r="C44" s="785"/>
      <c r="D44" s="785"/>
      <c r="E44" s="785"/>
      <c r="F44" s="785"/>
      <c r="G44" s="785"/>
      <c r="H44" s="785"/>
    </row>
    <row r="45" spans="2:8" ht="15.75" customHeight="1" x14ac:dyDescent="0.25"/>
    <row r="46" spans="2:8" ht="16.5" customHeight="1" x14ac:dyDescent="0.25">
      <c r="B46" s="786" t="s">
        <v>103</v>
      </c>
      <c r="C46" s="786"/>
      <c r="D46" s="786"/>
      <c r="E46" s="786"/>
      <c r="F46" s="786"/>
      <c r="G46" s="786"/>
    </row>
    <row r="47" spans="2:8" ht="15.75" customHeight="1" x14ac:dyDescent="0.25">
      <c r="B47" s="787" t="s">
        <v>104</v>
      </c>
      <c r="C47" s="787"/>
      <c r="D47" s="787"/>
      <c r="E47" s="222">
        <v>2026</v>
      </c>
      <c r="F47" s="220" t="s">
        <v>105</v>
      </c>
      <c r="G47" s="221">
        <v>0.1</v>
      </c>
    </row>
    <row r="48" spans="2:8" ht="15" customHeight="1" x14ac:dyDescent="0.25">
      <c r="B48" s="512" t="s">
        <v>106</v>
      </c>
      <c r="C48" s="508" t="s">
        <v>111</v>
      </c>
      <c r="D48" s="508" t="s">
        <v>112</v>
      </c>
      <c r="E48" s="508" t="s">
        <v>113</v>
      </c>
      <c r="F48" s="508" t="s">
        <v>110</v>
      </c>
      <c r="G48" s="513" t="s">
        <v>86</v>
      </c>
    </row>
    <row r="49" spans="2:7" ht="15" customHeight="1" x14ac:dyDescent="0.25">
      <c r="B49" s="227" t="s">
        <v>1</v>
      </c>
      <c r="C49" s="232">
        <f>$R$7</f>
        <v>6283.2000000000007</v>
      </c>
      <c r="D49" s="232">
        <f>$R$8</f>
        <v>624.80000000000007</v>
      </c>
      <c r="E49" s="229">
        <f t="shared" ref="E49:E60" si="6">IFERROR(D49/C49,0)</f>
        <v>9.9439775910364139E-2</v>
      </c>
      <c r="F49" s="229">
        <f>IFERROR(AVERAGE($E$49:E49),0)</f>
        <v>9.9439775910364139E-2</v>
      </c>
      <c r="G49" s="230">
        <f t="shared" ref="G49:G60" si="7">$G$47</f>
        <v>0.1</v>
      </c>
    </row>
    <row r="50" spans="2:7" ht="15" customHeight="1" x14ac:dyDescent="0.25">
      <c r="B50" s="227" t="s">
        <v>2</v>
      </c>
      <c r="C50" s="233">
        <f>$S$7</f>
        <v>4435.2000000000007</v>
      </c>
      <c r="D50" s="232">
        <f>$S$8</f>
        <v>255.20000000000002</v>
      </c>
      <c r="E50" s="229">
        <f t="shared" si="6"/>
        <v>5.7539682539682536E-2</v>
      </c>
      <c r="F50" s="229">
        <f>IFERROR(AVERAGE($E$49:E50),0)</f>
        <v>7.8489729225023341E-2</v>
      </c>
      <c r="G50" s="230">
        <f t="shared" si="7"/>
        <v>0.1</v>
      </c>
    </row>
    <row r="51" spans="2:7" ht="15" customHeight="1" x14ac:dyDescent="0.25">
      <c r="B51" s="227" t="s">
        <v>3</v>
      </c>
      <c r="C51" s="232">
        <f>$T$7</f>
        <v>5227.2000000000007</v>
      </c>
      <c r="D51" s="232">
        <f>$T$8</f>
        <v>334.40000000000003</v>
      </c>
      <c r="E51" s="229">
        <f t="shared" si="6"/>
        <v>6.3973063973063973E-2</v>
      </c>
      <c r="F51" s="229">
        <f>IFERROR(AVERAGE($E$49:E51),0)</f>
        <v>7.3650840807703552E-2</v>
      </c>
      <c r="G51" s="230">
        <f t="shared" si="7"/>
        <v>0.1</v>
      </c>
    </row>
    <row r="52" spans="2:7" ht="15" customHeight="1" x14ac:dyDescent="0.25">
      <c r="B52" s="227" t="s">
        <v>4</v>
      </c>
      <c r="C52" s="232">
        <f>$U$7</f>
        <v>4752</v>
      </c>
      <c r="D52" s="232">
        <f>$U$8</f>
        <v>176</v>
      </c>
      <c r="E52" s="229">
        <f t="shared" si="6"/>
        <v>3.7037037037037035E-2</v>
      </c>
      <c r="F52" s="229">
        <f>IFERROR(AVERAGE($E$49:E52),0)</f>
        <v>6.4497389865036919E-2</v>
      </c>
      <c r="G52" s="230">
        <f t="shared" si="7"/>
        <v>0.1</v>
      </c>
    </row>
    <row r="53" spans="2:7" ht="15" customHeight="1" x14ac:dyDescent="0.25">
      <c r="B53" s="227" t="s">
        <v>5</v>
      </c>
      <c r="C53" s="232">
        <f>$V$7</f>
        <v>0</v>
      </c>
      <c r="D53" s="232">
        <f>$V$8</f>
        <v>0</v>
      </c>
      <c r="E53" s="229">
        <f t="shared" si="6"/>
        <v>0</v>
      </c>
      <c r="F53" s="229">
        <f>IFERROR(AVERAGE($E$49:E53),0)</f>
        <v>5.1597911892029537E-2</v>
      </c>
      <c r="G53" s="230">
        <f t="shared" si="7"/>
        <v>0.1</v>
      </c>
    </row>
    <row r="54" spans="2:7" ht="15" customHeight="1" x14ac:dyDescent="0.25">
      <c r="B54" s="227" t="s">
        <v>6</v>
      </c>
      <c r="C54" s="232">
        <f>$W$7</f>
        <v>0</v>
      </c>
      <c r="D54" s="232">
        <f>$W$8</f>
        <v>0</v>
      </c>
      <c r="E54" s="229">
        <f t="shared" si="6"/>
        <v>0</v>
      </c>
      <c r="F54" s="229">
        <f>IFERROR(AVERAGE($E$49:E54),0)</f>
        <v>4.2998259910024615E-2</v>
      </c>
      <c r="G54" s="230">
        <f t="shared" si="7"/>
        <v>0.1</v>
      </c>
    </row>
    <row r="55" spans="2:7" ht="15" customHeight="1" x14ac:dyDescent="0.25">
      <c r="B55" s="227" t="s">
        <v>7</v>
      </c>
      <c r="C55" s="232">
        <f>$X$7</f>
        <v>0</v>
      </c>
      <c r="D55" s="232">
        <f>$X$8</f>
        <v>0</v>
      </c>
      <c r="E55" s="229">
        <f t="shared" si="6"/>
        <v>0</v>
      </c>
      <c r="F55" s="229">
        <f>IFERROR(AVERAGE($E$49:E55),0)</f>
        <v>3.6855651351449671E-2</v>
      </c>
      <c r="G55" s="230">
        <f t="shared" si="7"/>
        <v>0.1</v>
      </c>
    </row>
    <row r="56" spans="2:7" ht="15" customHeight="1" x14ac:dyDescent="0.25">
      <c r="B56" s="227" t="s">
        <v>8</v>
      </c>
      <c r="C56" s="232">
        <f>$Y$7</f>
        <v>0</v>
      </c>
      <c r="D56" s="232">
        <f>$Y$8</f>
        <v>0</v>
      </c>
      <c r="E56" s="229">
        <f t="shared" si="6"/>
        <v>0</v>
      </c>
      <c r="F56" s="229">
        <f>IFERROR(AVERAGE($E$49:E56),0)</f>
        <v>3.224869493251846E-2</v>
      </c>
      <c r="G56" s="230">
        <f t="shared" si="7"/>
        <v>0.1</v>
      </c>
    </row>
    <row r="57" spans="2:7" ht="15" customHeight="1" x14ac:dyDescent="0.25">
      <c r="B57" s="227" t="s">
        <v>9</v>
      </c>
      <c r="C57" s="232">
        <f>$Z$7</f>
        <v>0</v>
      </c>
      <c r="D57" s="232">
        <f>$Z$8</f>
        <v>0</v>
      </c>
      <c r="E57" s="229">
        <f t="shared" si="6"/>
        <v>0</v>
      </c>
      <c r="F57" s="229">
        <f>IFERROR(AVERAGE($E$49:E57),0)</f>
        <v>2.8665506606683076E-2</v>
      </c>
      <c r="G57" s="230">
        <f t="shared" si="7"/>
        <v>0.1</v>
      </c>
    </row>
    <row r="58" spans="2:7" ht="15" customHeight="1" x14ac:dyDescent="0.25">
      <c r="B58" s="227" t="s">
        <v>10</v>
      </c>
      <c r="C58" s="232">
        <f>$AA$7</f>
        <v>0</v>
      </c>
      <c r="D58" s="232">
        <f>$AA$8</f>
        <v>0</v>
      </c>
      <c r="E58" s="229">
        <f t="shared" si="6"/>
        <v>0</v>
      </c>
      <c r="F58" s="229">
        <f>IFERROR(AVERAGE($E$49:E58),0)</f>
        <v>2.5798955946014768E-2</v>
      </c>
      <c r="G58" s="230">
        <f t="shared" si="7"/>
        <v>0.1</v>
      </c>
    </row>
    <row r="59" spans="2:7" ht="15" customHeight="1" x14ac:dyDescent="0.25">
      <c r="B59" s="227" t="s">
        <v>11</v>
      </c>
      <c r="C59" s="232">
        <f>$AB$7</f>
        <v>0</v>
      </c>
      <c r="D59" s="232">
        <f>$AB$8</f>
        <v>0</v>
      </c>
      <c r="E59" s="229">
        <f t="shared" si="6"/>
        <v>0</v>
      </c>
      <c r="F59" s="229">
        <f>IFERROR(AVERAGE($E$49:E59),0)</f>
        <v>2.3453596314558879E-2</v>
      </c>
      <c r="G59" s="230">
        <f t="shared" si="7"/>
        <v>0.1</v>
      </c>
    </row>
    <row r="60" spans="2:7" ht="15.75" customHeight="1" x14ac:dyDescent="0.25">
      <c r="B60" s="237" t="s">
        <v>12</v>
      </c>
      <c r="C60" s="241">
        <f>$AC$7</f>
        <v>0</v>
      </c>
      <c r="D60" s="242">
        <f>$AC$8</f>
        <v>0</v>
      </c>
      <c r="E60" s="229">
        <f t="shared" si="6"/>
        <v>0</v>
      </c>
      <c r="F60" s="229">
        <f>IFERROR(AVERAGE($E$49:E60),0)</f>
        <v>2.1499129955012308E-2</v>
      </c>
      <c r="G60" s="240">
        <f t="shared" si="7"/>
        <v>0.1</v>
      </c>
    </row>
  </sheetData>
  <mergeCells count="7">
    <mergeCell ref="B46:G46"/>
    <mergeCell ref="B47:D47"/>
    <mergeCell ref="A2:A10"/>
    <mergeCell ref="B29:H29"/>
    <mergeCell ref="B30:D30"/>
    <mergeCell ref="E30:F30"/>
    <mergeCell ref="B44:H44"/>
  </mergeCells>
  <conditionalFormatting sqref="B14:H14 C15:D16 B15:B25 E15:H25">
    <cfRule type="expression" dxfId="21" priority="4">
      <formula>ODD(ROW()) = ROW()</formula>
    </cfRule>
  </conditionalFormatting>
  <conditionalFormatting sqref="C18:D18">
    <cfRule type="expression" dxfId="20" priority="2">
      <formula>ODD(ROW()) = ROW()</formula>
    </cfRule>
  </conditionalFormatting>
  <conditionalFormatting sqref="D17">
    <cfRule type="expression" dxfId="19" priority="3">
      <formula>ODD(ROW()) = ROW()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  <legacyDrawing r:id="rId2"/>
  <tableParts count="2">
    <tablePart r:id="rId3"/>
    <tablePart r:id="rId4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FF0000"/>
  </sheetPr>
  <dimension ref="B2:J270"/>
  <sheetViews>
    <sheetView showGridLines="0" zoomScaleNormal="100" workbookViewId="0">
      <pane ySplit="2" topLeftCell="A124" activePane="bottomLeft" state="frozen"/>
      <selection pane="bottomLeft" activeCell="F143" sqref="F143"/>
    </sheetView>
  </sheetViews>
  <sheetFormatPr defaultColWidth="9.140625" defaultRowHeight="15" x14ac:dyDescent="0.25"/>
  <cols>
    <col min="1" max="1" width="9.140625" style="174"/>
    <col min="2" max="2" width="18" style="597" customWidth="1"/>
    <col min="3" max="3" width="9.140625" style="597" bestFit="1" customWidth="1"/>
    <col min="4" max="4" width="16.28515625" style="174" bestFit="1" customWidth="1"/>
    <col min="5" max="5" width="7.5703125" style="174" bestFit="1" customWidth="1"/>
    <col min="6" max="6" width="46.28515625" style="174" bestFit="1" customWidth="1"/>
    <col min="7" max="7" width="10" style="174" bestFit="1" customWidth="1"/>
    <col min="8" max="10" width="12.85546875" style="174" customWidth="1"/>
    <col min="11" max="16384" width="9.140625" style="174"/>
  </cols>
  <sheetData>
    <row r="2" spans="2:10" ht="15" customHeight="1" x14ac:dyDescent="0.25">
      <c r="B2" s="598" t="s">
        <v>218</v>
      </c>
      <c r="C2" s="598" t="s">
        <v>729</v>
      </c>
      <c r="D2" s="598" t="s">
        <v>730</v>
      </c>
      <c r="E2" s="598" t="s">
        <v>731</v>
      </c>
      <c r="F2" s="598" t="s">
        <v>158</v>
      </c>
      <c r="G2" s="598" t="s">
        <v>363</v>
      </c>
      <c r="H2" s="598" t="s">
        <v>364</v>
      </c>
      <c r="I2" s="598" t="s">
        <v>365</v>
      </c>
      <c r="J2" s="598" t="s">
        <v>366</v>
      </c>
    </row>
    <row r="3" spans="2:10" ht="15" customHeight="1" x14ac:dyDescent="0.25">
      <c r="B3" s="831">
        <v>8825915500</v>
      </c>
      <c r="C3" s="523" t="s">
        <v>733</v>
      </c>
      <c r="D3" s="523" t="s">
        <v>377</v>
      </c>
      <c r="E3" s="523" t="s">
        <v>444</v>
      </c>
      <c r="F3" s="523" t="s">
        <v>865</v>
      </c>
      <c r="G3" s="520"/>
      <c r="H3" s="520"/>
      <c r="I3" s="520"/>
      <c r="J3" s="520"/>
    </row>
    <row r="4" spans="2:10" x14ac:dyDescent="0.25">
      <c r="B4" s="831">
        <v>8825915500</v>
      </c>
      <c r="C4" s="523" t="s">
        <v>734</v>
      </c>
      <c r="D4" s="523" t="s">
        <v>780</v>
      </c>
      <c r="E4" s="523" t="s">
        <v>444</v>
      </c>
      <c r="F4" s="523" t="s">
        <v>865</v>
      </c>
      <c r="G4" s="520"/>
      <c r="H4" s="520"/>
      <c r="I4" s="520"/>
      <c r="J4" s="520"/>
    </row>
    <row r="5" spans="2:10" x14ac:dyDescent="0.25">
      <c r="B5" s="831">
        <v>6966521531</v>
      </c>
      <c r="C5" s="523" t="s">
        <v>734</v>
      </c>
      <c r="D5" s="523" t="s">
        <v>780</v>
      </c>
      <c r="E5" s="523" t="s">
        <v>444</v>
      </c>
      <c r="F5" s="523" t="s">
        <v>866</v>
      </c>
      <c r="G5" s="520"/>
      <c r="H5" s="520"/>
      <c r="I5" s="520"/>
      <c r="J5" s="520"/>
    </row>
    <row r="6" spans="2:10" x14ac:dyDescent="0.25">
      <c r="B6" s="831">
        <v>2123570508</v>
      </c>
      <c r="C6" s="523" t="s">
        <v>733</v>
      </c>
      <c r="D6" s="523" t="s">
        <v>377</v>
      </c>
      <c r="E6" s="523" t="s">
        <v>444</v>
      </c>
      <c r="F6" s="523" t="s">
        <v>606</v>
      </c>
      <c r="G6" s="520"/>
      <c r="H6" s="520"/>
      <c r="I6" s="520"/>
      <c r="J6" s="520"/>
    </row>
    <row r="7" spans="2:10" x14ac:dyDescent="0.25">
      <c r="B7" s="831">
        <v>90913590568</v>
      </c>
      <c r="C7" s="832" t="s">
        <v>734</v>
      </c>
      <c r="D7" s="523" t="s">
        <v>369</v>
      </c>
      <c r="E7" s="523" t="s">
        <v>368</v>
      </c>
      <c r="F7" s="523" t="s">
        <v>367</v>
      </c>
      <c r="G7" s="520"/>
      <c r="H7" s="520"/>
      <c r="I7" s="520"/>
      <c r="J7" s="520"/>
    </row>
    <row r="8" spans="2:10" x14ac:dyDescent="0.25">
      <c r="B8" s="831">
        <v>50146051840</v>
      </c>
      <c r="C8" s="523" t="s">
        <v>734</v>
      </c>
      <c r="D8" s="523" t="s">
        <v>369</v>
      </c>
      <c r="E8" s="523" t="s">
        <v>368</v>
      </c>
      <c r="F8" s="523" t="s">
        <v>867</v>
      </c>
      <c r="G8" s="520"/>
      <c r="H8" s="520"/>
      <c r="I8" s="520"/>
      <c r="J8" s="520"/>
    </row>
    <row r="9" spans="2:10" x14ac:dyDescent="0.25">
      <c r="B9" s="831">
        <v>34206919000158</v>
      </c>
      <c r="C9" s="523" t="s">
        <v>378</v>
      </c>
      <c r="D9" s="523" t="s">
        <v>378</v>
      </c>
      <c r="E9" s="523" t="s">
        <v>368</v>
      </c>
      <c r="F9" s="523" t="s">
        <v>874</v>
      </c>
      <c r="G9" s="520"/>
      <c r="H9" s="520"/>
      <c r="I9" s="520"/>
      <c r="J9" s="520"/>
    </row>
    <row r="10" spans="2:10" x14ac:dyDescent="0.25">
      <c r="B10" s="831">
        <v>59915163000147</v>
      </c>
      <c r="C10" s="523" t="s">
        <v>378</v>
      </c>
      <c r="D10" s="523" t="s">
        <v>378</v>
      </c>
      <c r="E10" s="523" t="s">
        <v>368</v>
      </c>
      <c r="F10" s="523" t="s">
        <v>381</v>
      </c>
      <c r="G10" s="520"/>
      <c r="H10" s="520"/>
      <c r="I10" s="520"/>
      <c r="J10" s="520"/>
    </row>
    <row r="11" spans="2:10" x14ac:dyDescent="0.25">
      <c r="B11" s="831">
        <v>57041040000107</v>
      </c>
      <c r="C11" s="523" t="s">
        <v>378</v>
      </c>
      <c r="D11" s="523" t="s">
        <v>378</v>
      </c>
      <c r="E11" s="523" t="s">
        <v>368</v>
      </c>
      <c r="F11" s="523" t="s">
        <v>383</v>
      </c>
      <c r="G11" s="520"/>
      <c r="H11" s="520"/>
      <c r="I11" s="520"/>
      <c r="J11" s="520"/>
    </row>
    <row r="12" spans="2:10" x14ac:dyDescent="0.25">
      <c r="B12" s="831">
        <v>10476450411</v>
      </c>
      <c r="C12" s="523" t="s">
        <v>734</v>
      </c>
      <c r="D12" s="523" t="s">
        <v>780</v>
      </c>
      <c r="E12" s="523" t="s">
        <v>368</v>
      </c>
      <c r="F12" s="523" t="s">
        <v>868</v>
      </c>
      <c r="G12" s="520"/>
      <c r="H12" s="520"/>
      <c r="I12" s="520"/>
      <c r="J12" s="520"/>
    </row>
    <row r="13" spans="2:10" x14ac:dyDescent="0.25">
      <c r="B13" s="831">
        <v>19922820722</v>
      </c>
      <c r="C13" s="523" t="s">
        <v>733</v>
      </c>
      <c r="D13" s="523" t="s">
        <v>377</v>
      </c>
      <c r="E13" s="523" t="s">
        <v>368</v>
      </c>
      <c r="F13" s="523" t="s">
        <v>389</v>
      </c>
      <c r="G13" s="520"/>
      <c r="H13" s="520"/>
      <c r="I13" s="520"/>
      <c r="J13" s="520"/>
    </row>
    <row r="14" spans="2:10" x14ac:dyDescent="0.25">
      <c r="B14" s="831">
        <v>36889410000182</v>
      </c>
      <c r="C14" s="523" t="s">
        <v>378</v>
      </c>
      <c r="D14" s="523" t="s">
        <v>378</v>
      </c>
      <c r="E14" s="523" t="s">
        <v>368</v>
      </c>
      <c r="F14" s="523" t="s">
        <v>393</v>
      </c>
      <c r="G14" s="520"/>
      <c r="H14" s="520"/>
      <c r="I14" s="520"/>
      <c r="J14" s="520"/>
    </row>
    <row r="15" spans="2:10" x14ac:dyDescent="0.25">
      <c r="B15" s="831">
        <v>42628209000144</v>
      </c>
      <c r="C15" s="523" t="s">
        <v>378</v>
      </c>
      <c r="D15" s="523" t="s">
        <v>378</v>
      </c>
      <c r="E15" s="523" t="s">
        <v>368</v>
      </c>
      <c r="F15" s="523" t="s">
        <v>394</v>
      </c>
      <c r="G15" s="520"/>
      <c r="H15" s="520"/>
      <c r="I15" s="520"/>
      <c r="J15" s="520"/>
    </row>
    <row r="16" spans="2:10" x14ac:dyDescent="0.25">
      <c r="B16" s="831">
        <v>50000276000148</v>
      </c>
      <c r="C16" s="523" t="s">
        <v>378</v>
      </c>
      <c r="D16" s="523" t="s">
        <v>378</v>
      </c>
      <c r="E16" s="523" t="s">
        <v>368</v>
      </c>
      <c r="F16" s="523" t="s">
        <v>875</v>
      </c>
      <c r="G16" s="520"/>
      <c r="H16" s="520"/>
      <c r="I16" s="520"/>
      <c r="J16" s="520"/>
    </row>
    <row r="17" spans="2:10" x14ac:dyDescent="0.25">
      <c r="B17" s="831">
        <v>55539909000104</v>
      </c>
      <c r="C17" s="523" t="s">
        <v>378</v>
      </c>
      <c r="D17" s="523" t="s">
        <v>378</v>
      </c>
      <c r="E17" s="523" t="s">
        <v>368</v>
      </c>
      <c r="F17" s="523" t="s">
        <v>398</v>
      </c>
      <c r="G17" s="520"/>
      <c r="H17" s="520"/>
      <c r="I17" s="520"/>
      <c r="J17" s="520"/>
    </row>
    <row r="18" spans="2:10" x14ac:dyDescent="0.25">
      <c r="B18" s="831">
        <v>51883788000162</v>
      </c>
      <c r="C18" s="523" t="s">
        <v>378</v>
      </c>
      <c r="D18" s="523" t="s">
        <v>378</v>
      </c>
      <c r="E18" s="523" t="s">
        <v>368</v>
      </c>
      <c r="F18" s="523" t="s">
        <v>399</v>
      </c>
      <c r="G18" s="520"/>
      <c r="H18" s="520"/>
      <c r="I18" s="520"/>
      <c r="J18" s="520"/>
    </row>
    <row r="19" spans="2:10" x14ac:dyDescent="0.25">
      <c r="B19" s="831">
        <v>62711388000196</v>
      </c>
      <c r="C19" s="523" t="s">
        <v>378</v>
      </c>
      <c r="D19" s="523" t="s">
        <v>378</v>
      </c>
      <c r="E19" s="523" t="s">
        <v>368</v>
      </c>
      <c r="F19" s="523" t="s">
        <v>404</v>
      </c>
      <c r="G19" s="520"/>
      <c r="H19" s="520"/>
      <c r="I19" s="520"/>
      <c r="J19" s="520"/>
    </row>
    <row r="20" spans="2:10" x14ac:dyDescent="0.25">
      <c r="B20" s="831">
        <v>51847767000191</v>
      </c>
      <c r="C20" s="523" t="s">
        <v>378</v>
      </c>
      <c r="D20" s="523" t="s">
        <v>378</v>
      </c>
      <c r="E20" s="523" t="s">
        <v>368</v>
      </c>
      <c r="F20" s="523" t="s">
        <v>413</v>
      </c>
      <c r="G20" s="520"/>
      <c r="H20" s="520"/>
      <c r="I20" s="520"/>
      <c r="J20" s="520"/>
    </row>
    <row r="21" spans="2:10" x14ac:dyDescent="0.25">
      <c r="B21" s="831">
        <v>60312605000140</v>
      </c>
      <c r="C21" s="523" t="s">
        <v>736</v>
      </c>
      <c r="D21" s="523" t="s">
        <v>814</v>
      </c>
      <c r="E21" s="523" t="s">
        <v>368</v>
      </c>
      <c r="F21" s="523" t="s">
        <v>878</v>
      </c>
      <c r="G21" s="520"/>
      <c r="H21" s="520"/>
      <c r="I21" s="520"/>
      <c r="J21" s="520"/>
    </row>
    <row r="22" spans="2:10" x14ac:dyDescent="0.25">
      <c r="B22" s="831">
        <v>26239336858</v>
      </c>
      <c r="C22" s="523" t="s">
        <v>734</v>
      </c>
      <c r="D22" s="523" t="s">
        <v>780</v>
      </c>
      <c r="E22" s="523" t="s">
        <v>368</v>
      </c>
      <c r="F22" s="523" t="s">
        <v>869</v>
      </c>
      <c r="G22" s="520"/>
      <c r="H22" s="520"/>
      <c r="I22" s="520"/>
      <c r="J22" s="520"/>
    </row>
    <row r="23" spans="2:10" x14ac:dyDescent="0.25">
      <c r="B23" s="831">
        <v>17945914780</v>
      </c>
      <c r="C23" s="523" t="s">
        <v>733</v>
      </c>
      <c r="D23" s="523" t="s">
        <v>377</v>
      </c>
      <c r="E23" s="523" t="s">
        <v>368</v>
      </c>
      <c r="F23" s="523" t="s">
        <v>879</v>
      </c>
      <c r="G23" s="520"/>
      <c r="H23" s="520"/>
      <c r="I23" s="520"/>
      <c r="J23" s="520"/>
    </row>
    <row r="24" spans="2:10" x14ac:dyDescent="0.25">
      <c r="B24" s="831">
        <v>52622308000172</v>
      </c>
      <c r="C24" s="523" t="s">
        <v>378</v>
      </c>
      <c r="D24" s="523" t="s">
        <v>378</v>
      </c>
      <c r="E24" s="523" t="s">
        <v>368</v>
      </c>
      <c r="F24" s="523" t="s">
        <v>423</v>
      </c>
      <c r="G24" s="520"/>
      <c r="H24" s="520"/>
      <c r="I24" s="520"/>
      <c r="J24" s="520"/>
    </row>
    <row r="25" spans="2:10" x14ac:dyDescent="0.25">
      <c r="B25" s="831">
        <v>30633373000160</v>
      </c>
      <c r="C25" s="523" t="s">
        <v>378</v>
      </c>
      <c r="D25" s="523" t="s">
        <v>378</v>
      </c>
      <c r="E25" s="523" t="s">
        <v>368</v>
      </c>
      <c r="F25" s="523" t="s">
        <v>425</v>
      </c>
      <c r="G25" s="520"/>
      <c r="H25" s="520"/>
      <c r="I25" s="520"/>
      <c r="J25" s="520"/>
    </row>
    <row r="26" spans="2:10" x14ac:dyDescent="0.25">
      <c r="B26" s="831">
        <v>65415166000114</v>
      </c>
      <c r="C26" s="523" t="s">
        <v>736</v>
      </c>
      <c r="D26" s="523" t="s">
        <v>812</v>
      </c>
      <c r="E26" s="523" t="s">
        <v>368</v>
      </c>
      <c r="F26" s="523" t="s">
        <v>426</v>
      </c>
      <c r="G26" s="520"/>
      <c r="H26" s="520"/>
      <c r="I26" s="520"/>
      <c r="J26" s="520"/>
    </row>
    <row r="27" spans="2:10" x14ac:dyDescent="0.25">
      <c r="B27" s="831">
        <v>9010832759</v>
      </c>
      <c r="C27" s="523" t="s">
        <v>733</v>
      </c>
      <c r="D27" s="523" t="s">
        <v>377</v>
      </c>
      <c r="E27" s="523" t="s">
        <v>368</v>
      </c>
      <c r="F27" s="523" t="s">
        <v>428</v>
      </c>
      <c r="G27" s="520"/>
      <c r="H27" s="520"/>
      <c r="I27" s="520"/>
      <c r="J27" s="520"/>
    </row>
    <row r="28" spans="2:10" x14ac:dyDescent="0.25">
      <c r="B28" s="831">
        <v>51213179000104</v>
      </c>
      <c r="C28" s="523" t="s">
        <v>378</v>
      </c>
      <c r="D28" s="523" t="s">
        <v>378</v>
      </c>
      <c r="E28" s="523" t="s">
        <v>368</v>
      </c>
      <c r="F28" s="523" t="s">
        <v>429</v>
      </c>
      <c r="G28" s="520"/>
      <c r="H28" s="520"/>
      <c r="I28" s="520"/>
      <c r="J28" s="520"/>
    </row>
    <row r="29" spans="2:10" x14ac:dyDescent="0.25">
      <c r="B29" s="831">
        <v>16194986778</v>
      </c>
      <c r="C29" s="523" t="s">
        <v>734</v>
      </c>
      <c r="D29" s="523" t="s">
        <v>780</v>
      </c>
      <c r="E29" s="523" t="s">
        <v>368</v>
      </c>
      <c r="F29" s="523" t="s">
        <v>435</v>
      </c>
      <c r="G29" s="520"/>
      <c r="H29" s="520"/>
      <c r="I29" s="520"/>
      <c r="J29" s="520"/>
    </row>
    <row r="30" spans="2:10" x14ac:dyDescent="0.25">
      <c r="B30" s="831">
        <v>44886329000177</v>
      </c>
      <c r="C30" s="523" t="s">
        <v>378</v>
      </c>
      <c r="D30" s="523" t="s">
        <v>378</v>
      </c>
      <c r="E30" s="523" t="s">
        <v>368</v>
      </c>
      <c r="F30" s="523" t="s">
        <v>436</v>
      </c>
      <c r="G30" s="520"/>
      <c r="H30" s="520"/>
      <c r="I30" s="520"/>
      <c r="J30" s="520"/>
    </row>
    <row r="31" spans="2:10" x14ac:dyDescent="0.25">
      <c r="B31" s="831">
        <v>51319112000140</v>
      </c>
      <c r="C31" s="523" t="s">
        <v>378</v>
      </c>
      <c r="D31" s="523" t="s">
        <v>378</v>
      </c>
      <c r="E31" s="523" t="s">
        <v>368</v>
      </c>
      <c r="F31" s="523" t="s">
        <v>440</v>
      </c>
      <c r="G31" s="520"/>
      <c r="H31" s="520"/>
      <c r="I31" s="520"/>
      <c r="J31" s="520"/>
    </row>
    <row r="32" spans="2:10" x14ac:dyDescent="0.25">
      <c r="B32" s="831">
        <v>55542703000133</v>
      </c>
      <c r="C32" s="523" t="s">
        <v>378</v>
      </c>
      <c r="D32" s="523" t="s">
        <v>378</v>
      </c>
      <c r="E32" s="523" t="s">
        <v>368</v>
      </c>
      <c r="F32" s="523" t="s">
        <v>442</v>
      </c>
      <c r="G32" s="520"/>
      <c r="H32" s="520"/>
      <c r="I32" s="520"/>
      <c r="J32" s="520"/>
    </row>
    <row r="33" spans="2:10" x14ac:dyDescent="0.25">
      <c r="B33" s="831">
        <v>58379821000160</v>
      </c>
      <c r="C33" s="523" t="s">
        <v>378</v>
      </c>
      <c r="D33" s="523" t="s">
        <v>378</v>
      </c>
      <c r="E33" s="523" t="s">
        <v>368</v>
      </c>
      <c r="F33" s="523" t="s">
        <v>445</v>
      </c>
      <c r="G33" s="520"/>
      <c r="H33" s="520"/>
      <c r="I33" s="520"/>
      <c r="J33" s="520"/>
    </row>
    <row r="34" spans="2:10" x14ac:dyDescent="0.25">
      <c r="B34" s="831">
        <v>40743246870</v>
      </c>
      <c r="C34" s="523" t="s">
        <v>733</v>
      </c>
      <c r="D34" s="523" t="s">
        <v>377</v>
      </c>
      <c r="E34" s="523" t="s">
        <v>368</v>
      </c>
      <c r="F34" s="523" t="s">
        <v>876</v>
      </c>
      <c r="G34" s="520"/>
      <c r="H34" s="520"/>
      <c r="I34" s="520"/>
      <c r="J34" s="520"/>
    </row>
    <row r="35" spans="2:10" x14ac:dyDescent="0.25">
      <c r="B35" s="831">
        <v>64978101000114</v>
      </c>
      <c r="C35" s="523" t="s">
        <v>378</v>
      </c>
      <c r="D35" s="523" t="s">
        <v>378</v>
      </c>
      <c r="E35" s="523" t="s">
        <v>368</v>
      </c>
      <c r="F35" s="523" t="s">
        <v>876</v>
      </c>
      <c r="G35" s="520"/>
      <c r="H35" s="520"/>
      <c r="I35" s="520"/>
      <c r="J35" s="520"/>
    </row>
    <row r="36" spans="2:10" x14ac:dyDescent="0.25">
      <c r="B36" s="831">
        <v>59293299000162</v>
      </c>
      <c r="C36" s="523" t="s">
        <v>378</v>
      </c>
      <c r="D36" s="523" t="s">
        <v>378</v>
      </c>
      <c r="E36" s="523" t="s">
        <v>368</v>
      </c>
      <c r="F36" s="523" t="s">
        <v>454</v>
      </c>
      <c r="G36" s="520"/>
      <c r="H36" s="520"/>
      <c r="I36" s="520"/>
      <c r="J36" s="520"/>
    </row>
    <row r="37" spans="2:10" x14ac:dyDescent="0.25">
      <c r="B37" s="831">
        <v>5376997758</v>
      </c>
      <c r="C37" s="523" t="s">
        <v>733</v>
      </c>
      <c r="D37" s="523" t="s">
        <v>377</v>
      </c>
      <c r="E37" s="523" t="s">
        <v>368</v>
      </c>
      <c r="F37" s="523" t="s">
        <v>464</v>
      </c>
      <c r="G37" s="520"/>
      <c r="H37" s="520"/>
      <c r="I37" s="520"/>
      <c r="J37" s="520"/>
    </row>
    <row r="38" spans="2:10" x14ac:dyDescent="0.25">
      <c r="B38" s="831">
        <v>82743800534</v>
      </c>
      <c r="C38" s="523" t="s">
        <v>734</v>
      </c>
      <c r="D38" s="523" t="s">
        <v>780</v>
      </c>
      <c r="E38" s="523" t="s">
        <v>368</v>
      </c>
      <c r="F38" s="523" t="s">
        <v>465</v>
      </c>
      <c r="G38" s="520"/>
      <c r="H38" s="520"/>
      <c r="I38" s="520"/>
      <c r="J38" s="520"/>
    </row>
    <row r="39" spans="2:10" x14ac:dyDescent="0.25">
      <c r="B39" s="831">
        <v>64825968000130</v>
      </c>
      <c r="C39" s="523" t="s">
        <v>378</v>
      </c>
      <c r="D39" s="523" t="s">
        <v>378</v>
      </c>
      <c r="E39" s="523" t="s">
        <v>368</v>
      </c>
      <c r="F39" s="523" t="s">
        <v>469</v>
      </c>
      <c r="G39" s="520"/>
      <c r="H39" s="520"/>
      <c r="I39" s="520"/>
      <c r="J39" s="520"/>
    </row>
    <row r="40" spans="2:10" x14ac:dyDescent="0.25">
      <c r="B40" s="831">
        <v>51952712000141</v>
      </c>
      <c r="C40" s="523" t="s">
        <v>378</v>
      </c>
      <c r="D40" s="523" t="s">
        <v>378</v>
      </c>
      <c r="E40" s="523" t="s">
        <v>368</v>
      </c>
      <c r="F40" s="523" t="s">
        <v>472</v>
      </c>
      <c r="G40" s="520"/>
      <c r="H40" s="520"/>
      <c r="I40" s="520"/>
      <c r="J40" s="520"/>
    </row>
    <row r="41" spans="2:10" x14ac:dyDescent="0.25">
      <c r="B41" s="831">
        <v>52670210000190</v>
      </c>
      <c r="C41" s="523" t="s">
        <v>378</v>
      </c>
      <c r="D41" s="523" t="s">
        <v>378</v>
      </c>
      <c r="E41" s="523" t="s">
        <v>368</v>
      </c>
      <c r="F41" s="523" t="s">
        <v>473</v>
      </c>
      <c r="G41" s="520"/>
      <c r="H41" s="520"/>
      <c r="I41" s="520"/>
      <c r="J41" s="520"/>
    </row>
    <row r="42" spans="2:10" x14ac:dyDescent="0.25">
      <c r="B42" s="831">
        <v>3171048701</v>
      </c>
      <c r="C42" s="523" t="s">
        <v>733</v>
      </c>
      <c r="D42" s="523" t="s">
        <v>377</v>
      </c>
      <c r="E42" s="523" t="s">
        <v>368</v>
      </c>
      <c r="F42" s="523" t="s">
        <v>880</v>
      </c>
      <c r="G42" s="520"/>
      <c r="H42" s="520"/>
      <c r="I42" s="520"/>
      <c r="J42" s="520"/>
    </row>
    <row r="43" spans="2:10" x14ac:dyDescent="0.25">
      <c r="B43" s="831">
        <v>27172275802</v>
      </c>
      <c r="C43" s="523" t="s">
        <v>734</v>
      </c>
      <c r="D43" s="523" t="s">
        <v>780</v>
      </c>
      <c r="E43" s="523" t="s">
        <v>368</v>
      </c>
      <c r="F43" s="523" t="s">
        <v>870</v>
      </c>
      <c r="G43" s="520"/>
      <c r="H43" s="520"/>
      <c r="I43" s="520"/>
      <c r="J43" s="520"/>
    </row>
    <row r="44" spans="2:10" x14ac:dyDescent="0.25">
      <c r="B44" s="831">
        <v>60534299000196</v>
      </c>
      <c r="C44" s="523" t="s">
        <v>378</v>
      </c>
      <c r="D44" s="523" t="s">
        <v>378</v>
      </c>
      <c r="E44" s="523" t="s">
        <v>368</v>
      </c>
      <c r="F44" s="523" t="s">
        <v>478</v>
      </c>
      <c r="G44" s="520"/>
      <c r="H44" s="520"/>
      <c r="I44" s="520"/>
      <c r="J44" s="520"/>
    </row>
    <row r="45" spans="2:10" x14ac:dyDescent="0.25">
      <c r="B45" s="831">
        <v>51389919000150</v>
      </c>
      <c r="C45" s="523" t="s">
        <v>378</v>
      </c>
      <c r="D45" s="523" t="s">
        <v>378</v>
      </c>
      <c r="E45" s="523" t="s">
        <v>368</v>
      </c>
      <c r="F45" s="523" t="s">
        <v>479</v>
      </c>
      <c r="G45" s="520"/>
      <c r="H45" s="520"/>
      <c r="I45" s="520"/>
      <c r="J45" s="520"/>
    </row>
    <row r="46" spans="2:10" x14ac:dyDescent="0.25">
      <c r="B46" s="831">
        <v>16557402706</v>
      </c>
      <c r="C46" s="523" t="s">
        <v>734</v>
      </c>
      <c r="D46" s="523" t="s">
        <v>780</v>
      </c>
      <c r="E46" s="523" t="s">
        <v>368</v>
      </c>
      <c r="F46" s="523" t="s">
        <v>871</v>
      </c>
      <c r="G46" s="520"/>
      <c r="H46" s="520"/>
      <c r="I46" s="520"/>
      <c r="J46" s="520"/>
    </row>
    <row r="47" spans="2:10" x14ac:dyDescent="0.25">
      <c r="B47" s="831">
        <v>62412981000131</v>
      </c>
      <c r="C47" s="523" t="s">
        <v>378</v>
      </c>
      <c r="D47" s="523" t="s">
        <v>378</v>
      </c>
      <c r="E47" s="523" t="s">
        <v>368</v>
      </c>
      <c r="F47" s="523" t="s">
        <v>487</v>
      </c>
      <c r="G47" s="520"/>
      <c r="H47" s="520"/>
      <c r="I47" s="520"/>
      <c r="J47" s="520"/>
    </row>
    <row r="48" spans="2:10" x14ac:dyDescent="0.25">
      <c r="B48" s="831">
        <v>64406378000172</v>
      </c>
      <c r="C48" s="523" t="s">
        <v>378</v>
      </c>
      <c r="D48" s="523" t="s">
        <v>378</v>
      </c>
      <c r="E48" s="523" t="s">
        <v>368</v>
      </c>
      <c r="F48" s="523" t="s">
        <v>489</v>
      </c>
      <c r="G48" s="520"/>
      <c r="H48" s="520"/>
      <c r="I48" s="520"/>
      <c r="J48" s="520"/>
    </row>
    <row r="49" spans="2:10" x14ac:dyDescent="0.25">
      <c r="B49" s="831">
        <v>50045008000142</v>
      </c>
      <c r="C49" s="523" t="s">
        <v>378</v>
      </c>
      <c r="D49" s="523" t="s">
        <v>378</v>
      </c>
      <c r="E49" s="523" t="s">
        <v>368</v>
      </c>
      <c r="F49" s="523" t="s">
        <v>492</v>
      </c>
      <c r="G49" s="520"/>
      <c r="H49" s="520"/>
      <c r="I49" s="520"/>
      <c r="J49" s="520"/>
    </row>
    <row r="50" spans="2:10" x14ac:dyDescent="0.25">
      <c r="B50" s="831">
        <v>63798943000121</v>
      </c>
      <c r="C50" s="523" t="s">
        <v>378</v>
      </c>
      <c r="D50" s="523" t="s">
        <v>378</v>
      </c>
      <c r="E50" s="523" t="s">
        <v>368</v>
      </c>
      <c r="F50" s="523" t="s">
        <v>494</v>
      </c>
      <c r="G50" s="520"/>
      <c r="H50" s="520"/>
      <c r="I50" s="520"/>
      <c r="J50" s="520"/>
    </row>
    <row r="51" spans="2:10" x14ac:dyDescent="0.25">
      <c r="B51" s="831">
        <v>57241423000110</v>
      </c>
      <c r="C51" s="523" t="s">
        <v>378</v>
      </c>
      <c r="D51" s="523" t="s">
        <v>378</v>
      </c>
      <c r="E51" s="523" t="s">
        <v>368</v>
      </c>
      <c r="F51" s="523" t="s">
        <v>496</v>
      </c>
      <c r="G51" s="520"/>
      <c r="H51" s="520"/>
      <c r="I51" s="520"/>
      <c r="J51" s="520"/>
    </row>
    <row r="52" spans="2:10" x14ac:dyDescent="0.25">
      <c r="B52" s="831">
        <v>63798943000121</v>
      </c>
      <c r="C52" s="523" t="s">
        <v>378</v>
      </c>
      <c r="D52" s="523" t="s">
        <v>378</v>
      </c>
      <c r="E52" s="523" t="s">
        <v>368</v>
      </c>
      <c r="F52" s="523" t="s">
        <v>499</v>
      </c>
      <c r="G52" s="520"/>
      <c r="H52" s="520"/>
      <c r="I52" s="520"/>
      <c r="J52" s="520"/>
    </row>
    <row r="53" spans="2:10" x14ac:dyDescent="0.25">
      <c r="B53" s="831">
        <v>12875794779</v>
      </c>
      <c r="C53" s="523" t="s">
        <v>734</v>
      </c>
      <c r="D53" s="523" t="s">
        <v>780</v>
      </c>
      <c r="E53" s="523" t="s">
        <v>368</v>
      </c>
      <c r="F53" s="523" t="s">
        <v>501</v>
      </c>
      <c r="G53" s="520"/>
      <c r="H53" s="520"/>
      <c r="I53" s="520"/>
      <c r="J53" s="520"/>
    </row>
    <row r="54" spans="2:10" x14ac:dyDescent="0.25">
      <c r="B54" s="831">
        <v>60600895000127</v>
      </c>
      <c r="C54" s="523" t="s">
        <v>378</v>
      </c>
      <c r="D54" s="523" t="s">
        <v>378</v>
      </c>
      <c r="E54" s="523" t="s">
        <v>368</v>
      </c>
      <c r="F54" s="523" t="s">
        <v>504</v>
      </c>
      <c r="G54" s="520"/>
      <c r="H54" s="520"/>
      <c r="I54" s="520"/>
      <c r="J54" s="520"/>
    </row>
    <row r="55" spans="2:10" x14ac:dyDescent="0.25">
      <c r="B55" s="831">
        <v>39971764857</v>
      </c>
      <c r="C55" s="523" t="s">
        <v>734</v>
      </c>
      <c r="D55" s="523" t="s">
        <v>780</v>
      </c>
      <c r="E55" s="523" t="s">
        <v>368</v>
      </c>
      <c r="F55" s="523" t="s">
        <v>872</v>
      </c>
      <c r="G55" s="520"/>
      <c r="H55" s="520"/>
      <c r="I55" s="520"/>
      <c r="J55" s="520"/>
    </row>
    <row r="56" spans="2:10" x14ac:dyDescent="0.25">
      <c r="B56" s="831">
        <v>47175876000132</v>
      </c>
      <c r="C56" s="523" t="s">
        <v>378</v>
      </c>
      <c r="D56" s="523" t="s">
        <v>378</v>
      </c>
      <c r="E56" s="523" t="s">
        <v>368</v>
      </c>
      <c r="F56" s="523" t="s">
        <v>877</v>
      </c>
      <c r="G56" s="520"/>
      <c r="H56" s="520"/>
      <c r="I56" s="520"/>
      <c r="J56" s="520"/>
    </row>
    <row r="57" spans="2:10" x14ac:dyDescent="0.25">
      <c r="B57" s="831">
        <v>15704341748</v>
      </c>
      <c r="C57" s="523" t="s">
        <v>733</v>
      </c>
      <c r="D57" s="523" t="s">
        <v>377</v>
      </c>
      <c r="E57" s="523" t="s">
        <v>368</v>
      </c>
      <c r="F57" s="523" t="s">
        <v>516</v>
      </c>
      <c r="G57" s="520"/>
      <c r="H57" s="520"/>
      <c r="I57" s="520"/>
      <c r="J57" s="520"/>
    </row>
    <row r="58" spans="2:10" x14ac:dyDescent="0.25">
      <c r="B58" s="831">
        <v>1602223717</v>
      </c>
      <c r="C58" s="523" t="s">
        <v>733</v>
      </c>
      <c r="D58" s="523" t="s">
        <v>377</v>
      </c>
      <c r="E58" s="523" t="s">
        <v>368</v>
      </c>
      <c r="F58" s="523" t="s">
        <v>517</v>
      </c>
      <c r="G58" s="520"/>
      <c r="H58" s="520"/>
      <c r="I58" s="520"/>
      <c r="J58" s="520"/>
    </row>
    <row r="59" spans="2:10" x14ac:dyDescent="0.25">
      <c r="B59" s="831">
        <v>50422429000145</v>
      </c>
      <c r="C59" s="523" t="s">
        <v>378</v>
      </c>
      <c r="D59" s="523" t="s">
        <v>378</v>
      </c>
      <c r="E59" s="523" t="s">
        <v>368</v>
      </c>
      <c r="F59" s="523" t="s">
        <v>521</v>
      </c>
      <c r="G59" s="520"/>
      <c r="H59" s="520"/>
      <c r="I59" s="520"/>
      <c r="J59" s="520"/>
    </row>
    <row r="60" spans="2:10" x14ac:dyDescent="0.25">
      <c r="B60" s="831">
        <v>51962352000169</v>
      </c>
      <c r="C60" s="523" t="s">
        <v>378</v>
      </c>
      <c r="D60" s="523" t="s">
        <v>378</v>
      </c>
      <c r="E60" s="523" t="s">
        <v>368</v>
      </c>
      <c r="F60" s="523" t="s">
        <v>523</v>
      </c>
      <c r="G60" s="520"/>
      <c r="H60" s="520"/>
      <c r="I60" s="520"/>
      <c r="J60" s="520"/>
    </row>
    <row r="61" spans="2:10" x14ac:dyDescent="0.25">
      <c r="B61" s="831">
        <v>49739443000198</v>
      </c>
      <c r="C61" s="523" t="s">
        <v>378</v>
      </c>
      <c r="D61" s="523" t="s">
        <v>378</v>
      </c>
      <c r="E61" s="523" t="s">
        <v>368</v>
      </c>
      <c r="F61" s="523" t="s">
        <v>527</v>
      </c>
      <c r="G61" s="520"/>
      <c r="H61" s="520"/>
      <c r="I61" s="520"/>
      <c r="J61" s="520"/>
    </row>
    <row r="62" spans="2:10" x14ac:dyDescent="0.25">
      <c r="B62" s="831">
        <v>44910798000184</v>
      </c>
      <c r="C62" s="523" t="s">
        <v>736</v>
      </c>
      <c r="D62" s="523" t="s">
        <v>812</v>
      </c>
      <c r="E62" s="523" t="s">
        <v>368</v>
      </c>
      <c r="F62" s="523" t="s">
        <v>528</v>
      </c>
      <c r="G62" s="520"/>
      <c r="H62" s="520"/>
      <c r="I62" s="520"/>
      <c r="J62" s="520"/>
    </row>
    <row r="63" spans="2:10" x14ac:dyDescent="0.25">
      <c r="B63" s="831">
        <v>52858496000132</v>
      </c>
      <c r="C63" s="523" t="s">
        <v>378</v>
      </c>
      <c r="D63" s="523" t="s">
        <v>378</v>
      </c>
      <c r="E63" s="523" t="s">
        <v>368</v>
      </c>
      <c r="F63" s="523" t="s">
        <v>529</v>
      </c>
      <c r="G63" s="520"/>
      <c r="H63" s="520"/>
      <c r="I63" s="520"/>
      <c r="J63" s="520"/>
    </row>
    <row r="64" spans="2:10" x14ac:dyDescent="0.25">
      <c r="B64" s="831" t="s">
        <v>531</v>
      </c>
      <c r="C64" s="523" t="s">
        <v>378</v>
      </c>
      <c r="D64" s="523" t="s">
        <v>378</v>
      </c>
      <c r="E64" s="523" t="s">
        <v>368</v>
      </c>
      <c r="F64" s="523" t="s">
        <v>532</v>
      </c>
      <c r="G64" s="520"/>
      <c r="H64" s="520"/>
      <c r="I64" s="520"/>
      <c r="J64" s="520"/>
    </row>
    <row r="65" spans="2:10" x14ac:dyDescent="0.25">
      <c r="B65" s="831">
        <v>58620441000176</v>
      </c>
      <c r="C65" s="523" t="s">
        <v>378</v>
      </c>
      <c r="D65" s="523" t="s">
        <v>378</v>
      </c>
      <c r="E65" s="523" t="s">
        <v>368</v>
      </c>
      <c r="F65" s="523" t="s">
        <v>543</v>
      </c>
      <c r="G65" s="520"/>
      <c r="H65" s="520"/>
      <c r="I65" s="520"/>
      <c r="J65" s="520"/>
    </row>
    <row r="66" spans="2:10" x14ac:dyDescent="0.25">
      <c r="B66" s="831">
        <v>3654140505</v>
      </c>
      <c r="C66" s="523" t="s">
        <v>734</v>
      </c>
      <c r="D66" s="523" t="s">
        <v>780</v>
      </c>
      <c r="E66" s="523" t="s">
        <v>368</v>
      </c>
      <c r="F66" s="523" t="s">
        <v>545</v>
      </c>
      <c r="G66" s="520"/>
      <c r="H66" s="520"/>
      <c r="I66" s="520"/>
      <c r="J66" s="520"/>
    </row>
    <row r="67" spans="2:10" x14ac:dyDescent="0.25">
      <c r="B67" s="831">
        <v>14653682720</v>
      </c>
      <c r="C67" s="523" t="s">
        <v>734</v>
      </c>
      <c r="D67" s="523" t="s">
        <v>780</v>
      </c>
      <c r="E67" s="523" t="s">
        <v>368</v>
      </c>
      <c r="F67" s="523" t="s">
        <v>548</v>
      </c>
      <c r="G67" s="520"/>
      <c r="H67" s="520"/>
      <c r="I67" s="520"/>
      <c r="J67" s="520"/>
    </row>
    <row r="68" spans="2:10" x14ac:dyDescent="0.25">
      <c r="B68" s="831">
        <v>36718905000149</v>
      </c>
      <c r="C68" s="523" t="s">
        <v>736</v>
      </c>
      <c r="D68" s="523" t="s">
        <v>812</v>
      </c>
      <c r="E68" s="523" t="s">
        <v>368</v>
      </c>
      <c r="F68" s="523" t="s">
        <v>901</v>
      </c>
      <c r="G68" s="520"/>
      <c r="H68" s="520"/>
      <c r="I68" s="520"/>
      <c r="J68" s="520"/>
    </row>
    <row r="69" spans="2:10" x14ac:dyDescent="0.25">
      <c r="B69" s="831">
        <v>15944191759</v>
      </c>
      <c r="C69" s="523" t="s">
        <v>734</v>
      </c>
      <c r="D69" s="523" t="s">
        <v>780</v>
      </c>
      <c r="E69" s="523" t="s">
        <v>368</v>
      </c>
      <c r="F69" s="523" t="s">
        <v>873</v>
      </c>
      <c r="G69" s="520"/>
      <c r="H69" s="520"/>
      <c r="I69" s="520"/>
      <c r="J69" s="520"/>
    </row>
    <row r="70" spans="2:10" x14ac:dyDescent="0.25">
      <c r="B70" s="831">
        <v>15944191759</v>
      </c>
      <c r="C70" s="523" t="s">
        <v>733</v>
      </c>
      <c r="D70" s="523" t="s">
        <v>377</v>
      </c>
      <c r="E70" s="523" t="s">
        <v>368</v>
      </c>
      <c r="F70" s="523" t="s">
        <v>873</v>
      </c>
      <c r="G70" s="520"/>
      <c r="H70" s="520"/>
      <c r="I70" s="520"/>
      <c r="J70" s="520"/>
    </row>
    <row r="71" spans="2:10" x14ac:dyDescent="0.25">
      <c r="B71" s="831">
        <v>46657696000124</v>
      </c>
      <c r="C71" s="523" t="s">
        <v>378</v>
      </c>
      <c r="D71" s="523" t="s">
        <v>378</v>
      </c>
      <c r="E71" s="523" t="s">
        <v>368</v>
      </c>
      <c r="F71" s="523" t="s">
        <v>559</v>
      </c>
      <c r="G71" s="520"/>
      <c r="H71" s="520"/>
      <c r="I71" s="520"/>
      <c r="J71" s="520"/>
    </row>
    <row r="72" spans="2:10" x14ac:dyDescent="0.25">
      <c r="B72" s="831">
        <v>52597418000121</v>
      </c>
      <c r="C72" s="523" t="s">
        <v>378</v>
      </c>
      <c r="D72" s="523" t="s">
        <v>378</v>
      </c>
      <c r="E72" s="523" t="s">
        <v>368</v>
      </c>
      <c r="F72" s="523" t="s">
        <v>572</v>
      </c>
      <c r="G72" s="520"/>
      <c r="H72" s="520"/>
      <c r="I72" s="520"/>
      <c r="J72" s="520"/>
    </row>
    <row r="73" spans="2:10" x14ac:dyDescent="0.25">
      <c r="B73" s="831">
        <v>44758643000174</v>
      </c>
      <c r="C73" s="523" t="s">
        <v>378</v>
      </c>
      <c r="D73" s="523" t="s">
        <v>378</v>
      </c>
      <c r="E73" s="523" t="s">
        <v>368</v>
      </c>
      <c r="F73" s="523" t="s">
        <v>577</v>
      </c>
      <c r="G73" s="520"/>
      <c r="H73" s="520"/>
      <c r="I73" s="520"/>
      <c r="J73" s="520"/>
    </row>
    <row r="74" spans="2:10" x14ac:dyDescent="0.25">
      <c r="B74" s="831">
        <v>3141647585</v>
      </c>
      <c r="C74" s="523" t="s">
        <v>734</v>
      </c>
      <c r="D74" s="523" t="s">
        <v>780</v>
      </c>
      <c r="E74" s="523" t="s">
        <v>368</v>
      </c>
      <c r="F74" s="523" t="s">
        <v>581</v>
      </c>
      <c r="G74" s="520"/>
      <c r="H74" s="520"/>
      <c r="I74" s="520"/>
      <c r="J74" s="520"/>
    </row>
    <row r="75" spans="2:10" x14ac:dyDescent="0.25">
      <c r="B75" s="831">
        <v>45654582000168</v>
      </c>
      <c r="C75" s="523" t="s">
        <v>378</v>
      </c>
      <c r="D75" s="523" t="s">
        <v>378</v>
      </c>
      <c r="E75" s="523" t="s">
        <v>368</v>
      </c>
      <c r="F75" s="523" t="s">
        <v>583</v>
      </c>
      <c r="G75" s="520"/>
      <c r="H75" s="520"/>
      <c r="I75" s="520"/>
      <c r="J75" s="520"/>
    </row>
    <row r="76" spans="2:10" x14ac:dyDescent="0.25">
      <c r="B76" s="831">
        <v>9149239783</v>
      </c>
      <c r="C76" s="523" t="s">
        <v>378</v>
      </c>
      <c r="D76" s="523" t="s">
        <v>378</v>
      </c>
      <c r="E76" s="523" t="s">
        <v>368</v>
      </c>
      <c r="F76" s="523" t="s">
        <v>585</v>
      </c>
      <c r="G76" s="520"/>
      <c r="H76" s="520"/>
      <c r="I76" s="520"/>
      <c r="J76" s="520"/>
    </row>
    <row r="77" spans="2:10" x14ac:dyDescent="0.25">
      <c r="B77" s="831">
        <v>55088122000173</v>
      </c>
      <c r="C77" s="523" t="s">
        <v>378</v>
      </c>
      <c r="D77" s="523" t="s">
        <v>378</v>
      </c>
      <c r="E77" s="523" t="s">
        <v>368</v>
      </c>
      <c r="F77" s="523" t="s">
        <v>586</v>
      </c>
      <c r="G77" s="520"/>
      <c r="H77" s="520"/>
      <c r="I77" s="520"/>
      <c r="J77" s="520"/>
    </row>
    <row r="78" spans="2:10" x14ac:dyDescent="0.25">
      <c r="B78" s="831">
        <v>59480892000118</v>
      </c>
      <c r="C78" s="523" t="s">
        <v>378</v>
      </c>
      <c r="D78" s="523" t="s">
        <v>378</v>
      </c>
      <c r="E78" s="523" t="s">
        <v>368</v>
      </c>
      <c r="F78" s="523" t="s">
        <v>592</v>
      </c>
      <c r="G78" s="520"/>
      <c r="H78" s="520"/>
      <c r="I78" s="520"/>
      <c r="J78" s="520"/>
    </row>
    <row r="79" spans="2:10" x14ac:dyDescent="0.25">
      <c r="B79" s="831">
        <v>55111711000125</v>
      </c>
      <c r="C79" s="523" t="s">
        <v>378</v>
      </c>
      <c r="D79" s="523" t="s">
        <v>378</v>
      </c>
      <c r="E79" s="523" t="s">
        <v>368</v>
      </c>
      <c r="F79" s="523" t="s">
        <v>594</v>
      </c>
      <c r="G79" s="520"/>
      <c r="H79" s="520"/>
      <c r="I79" s="520"/>
      <c r="J79" s="520"/>
    </row>
    <row r="80" spans="2:10" x14ac:dyDescent="0.25">
      <c r="B80" s="831" t="s">
        <v>900</v>
      </c>
      <c r="C80" s="523" t="s">
        <v>733</v>
      </c>
      <c r="D80" s="523" t="s">
        <v>609</v>
      </c>
      <c r="E80" s="523" t="s">
        <v>368</v>
      </c>
      <c r="F80" s="523" t="s">
        <v>795</v>
      </c>
      <c r="G80" s="520"/>
      <c r="H80" s="520"/>
      <c r="I80" s="520"/>
      <c r="J80" s="520"/>
    </row>
    <row r="81" spans="2:10" x14ac:dyDescent="0.25">
      <c r="B81" s="831">
        <v>11977603777</v>
      </c>
      <c r="C81" s="523" t="s">
        <v>733</v>
      </c>
      <c r="D81" s="523" t="s">
        <v>609</v>
      </c>
      <c r="E81" s="523" t="s">
        <v>368</v>
      </c>
      <c r="F81" s="523" t="s">
        <v>612</v>
      </c>
      <c r="G81" s="520"/>
      <c r="H81" s="520"/>
      <c r="I81" s="520"/>
      <c r="J81" s="520"/>
    </row>
    <row r="82" spans="2:10" x14ac:dyDescent="0.25">
      <c r="B82" s="831"/>
      <c r="C82" s="523" t="s">
        <v>736</v>
      </c>
      <c r="D82" s="523" t="s">
        <v>813</v>
      </c>
      <c r="E82" s="523" t="s">
        <v>368</v>
      </c>
      <c r="F82" s="523" t="s">
        <v>612</v>
      </c>
      <c r="G82" s="520"/>
      <c r="H82" s="520"/>
      <c r="I82" s="520"/>
      <c r="J82" s="520"/>
    </row>
    <row r="83" spans="2:10" x14ac:dyDescent="0.25">
      <c r="B83" s="831">
        <v>5462943679</v>
      </c>
      <c r="C83" s="523" t="s">
        <v>733</v>
      </c>
      <c r="D83" s="523" t="s">
        <v>372</v>
      </c>
      <c r="E83" s="523" t="s">
        <v>371</v>
      </c>
      <c r="F83" s="523" t="s">
        <v>370</v>
      </c>
      <c r="G83" s="520"/>
      <c r="H83" s="520"/>
      <c r="I83" s="520"/>
      <c r="J83" s="520"/>
    </row>
    <row r="84" spans="2:10" x14ac:dyDescent="0.25">
      <c r="B84" s="831">
        <v>19095189805</v>
      </c>
      <c r="C84" s="523" t="s">
        <v>733</v>
      </c>
      <c r="D84" s="523" t="s">
        <v>377</v>
      </c>
      <c r="E84" s="523" t="s">
        <v>371</v>
      </c>
      <c r="F84" s="523" t="s">
        <v>379</v>
      </c>
      <c r="G84" s="520"/>
      <c r="H84" s="520"/>
      <c r="I84" s="520"/>
      <c r="J84" s="520"/>
    </row>
    <row r="85" spans="2:10" x14ac:dyDescent="0.25">
      <c r="B85" s="831">
        <v>13089833603</v>
      </c>
      <c r="C85" s="523" t="s">
        <v>733</v>
      </c>
      <c r="D85" s="523" t="s">
        <v>796</v>
      </c>
      <c r="E85" s="523" t="s">
        <v>371</v>
      </c>
      <c r="F85" s="523" t="s">
        <v>401</v>
      </c>
      <c r="G85" s="520"/>
      <c r="H85" s="520"/>
      <c r="I85" s="520"/>
      <c r="J85" s="520"/>
    </row>
    <row r="86" spans="2:10" x14ac:dyDescent="0.25">
      <c r="B86" s="831">
        <v>59771419000190</v>
      </c>
      <c r="C86" s="523" t="s">
        <v>378</v>
      </c>
      <c r="D86" s="523" t="s">
        <v>378</v>
      </c>
      <c r="E86" s="523" t="s">
        <v>371</v>
      </c>
      <c r="F86" s="523" t="s">
        <v>883</v>
      </c>
      <c r="G86" s="520"/>
      <c r="H86" s="520"/>
      <c r="I86" s="520"/>
      <c r="J86" s="520"/>
    </row>
    <row r="87" spans="2:10" x14ac:dyDescent="0.25">
      <c r="B87" s="831">
        <v>47767490000110</v>
      </c>
      <c r="C87" s="523" t="s">
        <v>378</v>
      </c>
      <c r="D87" s="523" t="s">
        <v>378</v>
      </c>
      <c r="E87" s="523" t="s">
        <v>371</v>
      </c>
      <c r="F87" s="523" t="s">
        <v>403</v>
      </c>
      <c r="G87" s="520"/>
      <c r="H87" s="520"/>
      <c r="I87" s="520"/>
      <c r="J87" s="520"/>
    </row>
    <row r="88" spans="2:10" x14ac:dyDescent="0.25">
      <c r="B88" s="831">
        <v>59754483000162</v>
      </c>
      <c r="C88" s="523" t="s">
        <v>736</v>
      </c>
      <c r="D88" s="523" t="s">
        <v>812</v>
      </c>
      <c r="E88" s="523" t="s">
        <v>371</v>
      </c>
      <c r="F88" s="523" t="s">
        <v>405</v>
      </c>
      <c r="G88" s="520"/>
      <c r="H88" s="520"/>
      <c r="I88" s="520"/>
      <c r="J88" s="520"/>
    </row>
    <row r="89" spans="2:10" x14ac:dyDescent="0.25">
      <c r="B89" s="831" t="s">
        <v>416</v>
      </c>
      <c r="C89" s="523" t="s">
        <v>378</v>
      </c>
      <c r="D89" s="523" t="s">
        <v>378</v>
      </c>
      <c r="E89" s="523" t="s">
        <v>371</v>
      </c>
      <c r="F89" s="523" t="s">
        <v>884</v>
      </c>
      <c r="G89" s="520"/>
      <c r="H89" s="520"/>
      <c r="I89" s="520"/>
      <c r="J89" s="520"/>
    </row>
    <row r="90" spans="2:10" x14ac:dyDescent="0.25">
      <c r="B90" s="831">
        <v>70535732651</v>
      </c>
      <c r="C90" s="523" t="s">
        <v>733</v>
      </c>
      <c r="D90" s="523" t="s">
        <v>796</v>
      </c>
      <c r="E90" s="523" t="s">
        <v>371</v>
      </c>
      <c r="F90" s="523" t="s">
        <v>417</v>
      </c>
      <c r="G90" s="520"/>
      <c r="H90" s="520"/>
      <c r="I90" s="520"/>
      <c r="J90" s="520"/>
    </row>
    <row r="91" spans="2:10" x14ac:dyDescent="0.25">
      <c r="B91" s="831">
        <v>60312605000140</v>
      </c>
      <c r="C91" s="523" t="s">
        <v>378</v>
      </c>
      <c r="D91" s="523" t="s">
        <v>378</v>
      </c>
      <c r="E91" s="523" t="s">
        <v>371</v>
      </c>
      <c r="F91" s="523" t="s">
        <v>419</v>
      </c>
      <c r="G91" s="520"/>
      <c r="H91" s="520"/>
      <c r="I91" s="520"/>
      <c r="J91" s="520"/>
    </row>
    <row r="92" spans="2:10" x14ac:dyDescent="0.25">
      <c r="B92" s="831">
        <v>10517394626</v>
      </c>
      <c r="C92" s="523" t="s">
        <v>733</v>
      </c>
      <c r="D92" s="523" t="s">
        <v>796</v>
      </c>
      <c r="E92" s="523" t="s">
        <v>371</v>
      </c>
      <c r="F92" s="523" t="s">
        <v>887</v>
      </c>
      <c r="G92" s="520"/>
      <c r="H92" s="520"/>
      <c r="I92" s="520"/>
      <c r="J92" s="520"/>
    </row>
    <row r="93" spans="2:10" x14ac:dyDescent="0.25">
      <c r="B93" s="831">
        <v>65415166000114</v>
      </c>
      <c r="C93" s="523" t="s">
        <v>736</v>
      </c>
      <c r="D93" s="523" t="s">
        <v>812</v>
      </c>
      <c r="E93" s="523" t="s">
        <v>371</v>
      </c>
      <c r="F93" s="523" t="s">
        <v>426</v>
      </c>
      <c r="G93" s="520"/>
      <c r="H93" s="520"/>
      <c r="I93" s="520"/>
      <c r="J93" s="520"/>
    </row>
    <row r="94" spans="2:10" x14ac:dyDescent="0.25">
      <c r="B94" s="831">
        <v>53071783876</v>
      </c>
      <c r="C94" s="523" t="s">
        <v>733</v>
      </c>
      <c r="D94" s="523" t="s">
        <v>796</v>
      </c>
      <c r="E94" s="523" t="s">
        <v>371</v>
      </c>
      <c r="F94" s="523" t="s">
        <v>888</v>
      </c>
      <c r="G94" s="520"/>
      <c r="H94" s="520"/>
      <c r="I94" s="520"/>
      <c r="J94" s="520"/>
    </row>
    <row r="95" spans="2:10" x14ac:dyDescent="0.25">
      <c r="B95" s="831">
        <v>9723473640</v>
      </c>
      <c r="C95" s="523" t="s">
        <v>733</v>
      </c>
      <c r="D95" s="523" t="s">
        <v>796</v>
      </c>
      <c r="E95" s="523" t="s">
        <v>371</v>
      </c>
      <c r="F95" s="523" t="s">
        <v>902</v>
      </c>
      <c r="G95" s="520"/>
      <c r="H95" s="520"/>
      <c r="I95" s="520"/>
      <c r="J95" s="520"/>
    </row>
    <row r="96" spans="2:10" x14ac:dyDescent="0.25">
      <c r="B96" s="831">
        <v>60744699000126</v>
      </c>
      <c r="C96" s="523" t="s">
        <v>378</v>
      </c>
      <c r="D96" s="523" t="s">
        <v>378</v>
      </c>
      <c r="E96" s="523" t="s">
        <v>371</v>
      </c>
      <c r="F96" s="523" t="s">
        <v>438</v>
      </c>
      <c r="G96" s="520"/>
      <c r="H96" s="520"/>
      <c r="I96" s="520"/>
      <c r="J96" s="520"/>
    </row>
    <row r="97" spans="2:10" x14ac:dyDescent="0.25">
      <c r="B97" s="831">
        <v>63805020000150</v>
      </c>
      <c r="C97" s="523" t="s">
        <v>378</v>
      </c>
      <c r="D97" s="523" t="s">
        <v>378</v>
      </c>
      <c r="E97" s="523" t="s">
        <v>371</v>
      </c>
      <c r="F97" s="523" t="s">
        <v>885</v>
      </c>
      <c r="G97" s="520"/>
      <c r="H97" s="520"/>
      <c r="I97" s="520"/>
      <c r="J97" s="520"/>
    </row>
    <row r="98" spans="2:10" x14ac:dyDescent="0.25">
      <c r="B98" s="831">
        <v>6085501676</v>
      </c>
      <c r="C98" s="523" t="s">
        <v>734</v>
      </c>
      <c r="D98" s="523" t="s">
        <v>780</v>
      </c>
      <c r="E98" s="523" t="s">
        <v>371</v>
      </c>
      <c r="F98" s="523" t="s">
        <v>881</v>
      </c>
      <c r="G98" s="520"/>
      <c r="H98" s="520"/>
      <c r="I98" s="520"/>
      <c r="J98" s="520"/>
    </row>
    <row r="99" spans="2:10" x14ac:dyDescent="0.25">
      <c r="B99" s="831">
        <v>64978101000114</v>
      </c>
      <c r="C99" s="523" t="s">
        <v>378</v>
      </c>
      <c r="D99" s="523" t="s">
        <v>378</v>
      </c>
      <c r="E99" s="523" t="s">
        <v>371</v>
      </c>
      <c r="F99" s="523" t="s">
        <v>452</v>
      </c>
      <c r="G99" s="520"/>
      <c r="H99" s="520"/>
      <c r="I99" s="520"/>
      <c r="J99" s="520"/>
    </row>
    <row r="100" spans="2:10" x14ac:dyDescent="0.25">
      <c r="B100" s="831">
        <v>14049152657</v>
      </c>
      <c r="C100" s="523" t="s">
        <v>733</v>
      </c>
      <c r="D100" s="523" t="s">
        <v>796</v>
      </c>
      <c r="E100" s="523" t="s">
        <v>371</v>
      </c>
      <c r="F100" s="523" t="s">
        <v>889</v>
      </c>
      <c r="G100" s="520"/>
      <c r="H100" s="520"/>
      <c r="I100" s="520"/>
      <c r="J100" s="520"/>
    </row>
    <row r="101" spans="2:10" x14ac:dyDescent="0.25">
      <c r="B101" s="831">
        <v>1902853628</v>
      </c>
      <c r="C101" s="523" t="s">
        <v>378</v>
      </c>
      <c r="D101" s="523" t="s">
        <v>378</v>
      </c>
      <c r="E101" s="523" t="s">
        <v>371</v>
      </c>
      <c r="F101" s="523" t="s">
        <v>463</v>
      </c>
      <c r="G101" s="520"/>
      <c r="H101" s="520"/>
      <c r="I101" s="520"/>
      <c r="J101" s="520"/>
    </row>
    <row r="102" spans="2:10" x14ac:dyDescent="0.25">
      <c r="B102" s="831">
        <v>65716973000177</v>
      </c>
      <c r="C102" s="523" t="s">
        <v>734</v>
      </c>
      <c r="D102" s="523" t="s">
        <v>780</v>
      </c>
      <c r="E102" s="523" t="s">
        <v>371</v>
      </c>
      <c r="F102" s="523" t="s">
        <v>463</v>
      </c>
      <c r="G102" s="520"/>
      <c r="H102" s="520"/>
      <c r="I102" s="520"/>
      <c r="J102" s="520"/>
    </row>
    <row r="103" spans="2:10" x14ac:dyDescent="0.25">
      <c r="B103" s="831">
        <v>57298067000171</v>
      </c>
      <c r="C103" s="523" t="s">
        <v>378</v>
      </c>
      <c r="D103" s="523" t="s">
        <v>378</v>
      </c>
      <c r="E103" s="523" t="s">
        <v>371</v>
      </c>
      <c r="F103" s="523" t="s">
        <v>466</v>
      </c>
      <c r="G103" s="520"/>
      <c r="H103" s="520"/>
      <c r="I103" s="520"/>
      <c r="J103" s="520"/>
    </row>
    <row r="104" spans="2:10" x14ac:dyDescent="0.25">
      <c r="B104" s="831">
        <v>61203471000191</v>
      </c>
      <c r="C104" s="523" t="s">
        <v>378</v>
      </c>
      <c r="D104" s="523" t="s">
        <v>378</v>
      </c>
      <c r="E104" s="523" t="s">
        <v>371</v>
      </c>
      <c r="F104" s="523" t="s">
        <v>474</v>
      </c>
      <c r="G104" s="520"/>
      <c r="H104" s="520"/>
      <c r="I104" s="520"/>
      <c r="J104" s="520"/>
    </row>
    <row r="105" spans="2:10" x14ac:dyDescent="0.25">
      <c r="B105" s="831">
        <v>43272054000119</v>
      </c>
      <c r="C105" s="523" t="s">
        <v>378</v>
      </c>
      <c r="D105" s="523" t="s">
        <v>378</v>
      </c>
      <c r="E105" s="523" t="s">
        <v>371</v>
      </c>
      <c r="F105" s="523" t="s">
        <v>886</v>
      </c>
      <c r="G105" s="520"/>
      <c r="H105" s="520"/>
      <c r="I105" s="520"/>
      <c r="J105" s="520"/>
    </row>
    <row r="106" spans="2:10" x14ac:dyDescent="0.25">
      <c r="B106" s="831">
        <v>58465008000103</v>
      </c>
      <c r="C106" s="523" t="s">
        <v>378</v>
      </c>
      <c r="D106" s="523" t="s">
        <v>378</v>
      </c>
      <c r="E106" s="523" t="s">
        <v>371</v>
      </c>
      <c r="F106" s="523" t="s">
        <v>483</v>
      </c>
      <c r="G106" s="520"/>
      <c r="H106" s="520"/>
      <c r="I106" s="520"/>
      <c r="J106" s="520"/>
    </row>
    <row r="107" spans="2:10" x14ac:dyDescent="0.25">
      <c r="B107" s="831">
        <v>64611843000107</v>
      </c>
      <c r="C107" s="523" t="s">
        <v>378</v>
      </c>
      <c r="D107" s="523" t="s">
        <v>378</v>
      </c>
      <c r="E107" s="523" t="s">
        <v>371</v>
      </c>
      <c r="F107" s="523" t="s">
        <v>485</v>
      </c>
      <c r="G107" s="520"/>
      <c r="H107" s="520"/>
      <c r="I107" s="520"/>
      <c r="J107" s="520"/>
    </row>
    <row r="108" spans="2:10" x14ac:dyDescent="0.25">
      <c r="B108" s="831">
        <v>62412981000131</v>
      </c>
      <c r="C108" s="523" t="s">
        <v>378</v>
      </c>
      <c r="D108" s="523" t="s">
        <v>378</v>
      </c>
      <c r="E108" s="523" t="s">
        <v>371</v>
      </c>
      <c r="F108" s="523" t="s">
        <v>488</v>
      </c>
      <c r="G108" s="520"/>
      <c r="H108" s="520"/>
      <c r="I108" s="520"/>
      <c r="J108" s="520"/>
    </row>
    <row r="109" spans="2:10" x14ac:dyDescent="0.25">
      <c r="B109" s="831">
        <v>64877539000106</v>
      </c>
      <c r="C109" s="523" t="s">
        <v>378</v>
      </c>
      <c r="D109" s="523" t="s">
        <v>378</v>
      </c>
      <c r="E109" s="523" t="s">
        <v>371</v>
      </c>
      <c r="F109" s="523" t="s">
        <v>491</v>
      </c>
      <c r="G109" s="520"/>
      <c r="H109" s="520"/>
      <c r="I109" s="520"/>
      <c r="J109" s="520"/>
    </row>
    <row r="110" spans="2:10" x14ac:dyDescent="0.25">
      <c r="B110" s="831" t="s">
        <v>497</v>
      </c>
      <c r="C110" s="523" t="s">
        <v>733</v>
      </c>
      <c r="D110" s="523" t="s">
        <v>796</v>
      </c>
      <c r="E110" s="523" t="s">
        <v>371</v>
      </c>
      <c r="F110" s="523" t="s">
        <v>498</v>
      </c>
      <c r="G110" s="520"/>
      <c r="H110" s="520"/>
      <c r="I110" s="520"/>
      <c r="J110" s="520"/>
    </row>
    <row r="111" spans="2:10" x14ac:dyDescent="0.25">
      <c r="B111" s="831">
        <v>5643665603</v>
      </c>
      <c r="C111" s="523" t="s">
        <v>733</v>
      </c>
      <c r="D111" s="523" t="s">
        <v>796</v>
      </c>
      <c r="E111" s="523" t="s">
        <v>371</v>
      </c>
      <c r="F111" s="523" t="s">
        <v>502</v>
      </c>
      <c r="G111" s="520"/>
      <c r="H111" s="520"/>
      <c r="I111" s="520"/>
      <c r="J111" s="520"/>
    </row>
    <row r="112" spans="2:10" x14ac:dyDescent="0.25">
      <c r="B112" s="831">
        <v>10070875600</v>
      </c>
      <c r="C112" s="523" t="s">
        <v>733</v>
      </c>
      <c r="D112" s="523" t="s">
        <v>377</v>
      </c>
      <c r="E112" s="523" t="s">
        <v>371</v>
      </c>
      <c r="F112" s="523" t="s">
        <v>509</v>
      </c>
      <c r="G112" s="520"/>
      <c r="H112" s="520"/>
      <c r="I112" s="520"/>
      <c r="J112" s="520"/>
    </row>
    <row r="113" spans="2:10" x14ac:dyDescent="0.25">
      <c r="B113" s="831">
        <v>60334988000157</v>
      </c>
      <c r="C113" s="523" t="s">
        <v>378</v>
      </c>
      <c r="D113" s="523" t="s">
        <v>378</v>
      </c>
      <c r="E113" s="523" t="s">
        <v>371</v>
      </c>
      <c r="F113" s="523" t="s">
        <v>510</v>
      </c>
      <c r="G113" s="520"/>
      <c r="H113" s="520"/>
      <c r="I113" s="520"/>
      <c r="J113" s="520"/>
    </row>
    <row r="114" spans="2:10" x14ac:dyDescent="0.25">
      <c r="B114" s="831">
        <v>13598158645</v>
      </c>
      <c r="C114" s="523" t="s">
        <v>733</v>
      </c>
      <c r="D114" s="523" t="s">
        <v>377</v>
      </c>
      <c r="E114" s="523" t="s">
        <v>371</v>
      </c>
      <c r="F114" s="523" t="s">
        <v>511</v>
      </c>
      <c r="G114" s="520"/>
      <c r="H114" s="520"/>
      <c r="I114" s="520"/>
      <c r="J114" s="520"/>
    </row>
    <row r="115" spans="2:10" x14ac:dyDescent="0.25">
      <c r="B115" s="831">
        <v>55129376000192</v>
      </c>
      <c r="C115" s="523" t="s">
        <v>378</v>
      </c>
      <c r="D115" s="523" t="s">
        <v>378</v>
      </c>
      <c r="E115" s="523" t="s">
        <v>371</v>
      </c>
      <c r="F115" s="523" t="s">
        <v>525</v>
      </c>
      <c r="G115" s="520"/>
      <c r="H115" s="520"/>
      <c r="I115" s="520"/>
      <c r="J115" s="520"/>
    </row>
    <row r="116" spans="2:10" x14ac:dyDescent="0.25">
      <c r="B116" s="831">
        <v>11057664626</v>
      </c>
      <c r="C116" s="523" t="s">
        <v>733</v>
      </c>
      <c r="D116" s="523" t="s">
        <v>796</v>
      </c>
      <c r="E116" s="523" t="s">
        <v>371</v>
      </c>
      <c r="F116" s="523" t="s">
        <v>526</v>
      </c>
      <c r="G116" s="520"/>
      <c r="H116" s="520"/>
      <c r="I116" s="520"/>
      <c r="J116" s="520"/>
    </row>
    <row r="117" spans="2:10" x14ac:dyDescent="0.25">
      <c r="B117" s="831">
        <v>153059613</v>
      </c>
      <c r="C117" s="523" t="s">
        <v>733</v>
      </c>
      <c r="D117" s="523" t="s">
        <v>796</v>
      </c>
      <c r="E117" s="523" t="s">
        <v>371</v>
      </c>
      <c r="F117" s="523" t="s">
        <v>534</v>
      </c>
      <c r="G117" s="520"/>
      <c r="H117" s="520"/>
      <c r="I117" s="520"/>
      <c r="J117" s="520"/>
    </row>
    <row r="118" spans="2:10" x14ac:dyDescent="0.25">
      <c r="B118" s="831">
        <v>58572379000194</v>
      </c>
      <c r="C118" s="523" t="s">
        <v>378</v>
      </c>
      <c r="D118" s="523" t="s">
        <v>378</v>
      </c>
      <c r="E118" s="523" t="s">
        <v>371</v>
      </c>
      <c r="F118" s="523" t="s">
        <v>540</v>
      </c>
      <c r="G118" s="520"/>
      <c r="H118" s="520"/>
      <c r="I118" s="520"/>
      <c r="J118" s="520"/>
    </row>
    <row r="119" spans="2:10" x14ac:dyDescent="0.25">
      <c r="B119" s="831">
        <v>44544996000171</v>
      </c>
      <c r="C119" s="523" t="s">
        <v>378</v>
      </c>
      <c r="D119" s="523" t="s">
        <v>378</v>
      </c>
      <c r="E119" s="523" t="s">
        <v>371</v>
      </c>
      <c r="F119" s="523" t="s">
        <v>541</v>
      </c>
      <c r="G119" s="520"/>
      <c r="H119" s="520"/>
      <c r="I119" s="520"/>
      <c r="J119" s="520"/>
    </row>
    <row r="120" spans="2:10" x14ac:dyDescent="0.25">
      <c r="B120" s="831">
        <v>63181805000107</v>
      </c>
      <c r="C120" s="523" t="s">
        <v>378</v>
      </c>
      <c r="D120" s="523" t="s">
        <v>378</v>
      </c>
      <c r="E120" s="523" t="s">
        <v>371</v>
      </c>
      <c r="F120" s="523" t="s">
        <v>544</v>
      </c>
      <c r="G120" s="520"/>
      <c r="H120" s="520"/>
      <c r="I120" s="520"/>
      <c r="J120" s="520"/>
    </row>
    <row r="121" spans="2:10" x14ac:dyDescent="0.25">
      <c r="B121" s="831">
        <v>52664168000103</v>
      </c>
      <c r="C121" s="523" t="s">
        <v>378</v>
      </c>
      <c r="D121" s="523" t="s">
        <v>378</v>
      </c>
      <c r="E121" s="523" t="s">
        <v>371</v>
      </c>
      <c r="F121" s="523" t="s">
        <v>556</v>
      </c>
      <c r="G121" s="520"/>
      <c r="H121" s="520"/>
      <c r="I121" s="520"/>
      <c r="J121" s="520"/>
    </row>
    <row r="122" spans="2:10" x14ac:dyDescent="0.25">
      <c r="B122" s="831">
        <v>49227415000191</v>
      </c>
      <c r="C122" s="523" t="s">
        <v>378</v>
      </c>
      <c r="D122" s="523" t="s">
        <v>378</v>
      </c>
      <c r="E122" s="523" t="s">
        <v>371</v>
      </c>
      <c r="F122" s="523" t="s">
        <v>560</v>
      </c>
      <c r="G122" s="520"/>
      <c r="H122" s="520"/>
      <c r="I122" s="520"/>
      <c r="J122" s="520"/>
    </row>
    <row r="123" spans="2:10" x14ac:dyDescent="0.25">
      <c r="B123" s="831">
        <v>9707826673</v>
      </c>
      <c r="C123" s="523" t="s">
        <v>733</v>
      </c>
      <c r="D123" s="523" t="s">
        <v>800</v>
      </c>
      <c r="E123" s="523" t="s">
        <v>371</v>
      </c>
      <c r="F123" s="523" t="s">
        <v>569</v>
      </c>
      <c r="G123" s="520"/>
      <c r="H123" s="520"/>
      <c r="I123" s="520"/>
      <c r="J123" s="520"/>
    </row>
    <row r="124" spans="2:10" x14ac:dyDescent="0.25">
      <c r="B124" s="831">
        <v>63012846000161</v>
      </c>
      <c r="C124" s="523" t="s">
        <v>378</v>
      </c>
      <c r="D124" s="523" t="s">
        <v>378</v>
      </c>
      <c r="E124" s="523" t="s">
        <v>371</v>
      </c>
      <c r="F124" s="523" t="s">
        <v>573</v>
      </c>
      <c r="G124" s="520"/>
      <c r="H124" s="520"/>
      <c r="I124" s="520"/>
      <c r="J124" s="520"/>
    </row>
    <row r="125" spans="2:10" x14ac:dyDescent="0.25">
      <c r="B125" s="831">
        <v>27572035841</v>
      </c>
      <c r="C125" s="523" t="s">
        <v>734</v>
      </c>
      <c r="D125" s="523" t="s">
        <v>780</v>
      </c>
      <c r="E125" s="523" t="s">
        <v>371</v>
      </c>
      <c r="F125" s="523" t="s">
        <v>574</v>
      </c>
      <c r="G125" s="520"/>
      <c r="H125" s="520"/>
      <c r="I125" s="520"/>
      <c r="J125" s="520"/>
    </row>
    <row r="126" spans="2:10" x14ac:dyDescent="0.25">
      <c r="B126" s="831">
        <v>41469736000190</v>
      </c>
      <c r="C126" s="523" t="s">
        <v>378</v>
      </c>
      <c r="D126" s="523" t="s">
        <v>378</v>
      </c>
      <c r="E126" s="523" t="s">
        <v>371</v>
      </c>
      <c r="F126" s="523" t="s">
        <v>587</v>
      </c>
      <c r="G126" s="520"/>
      <c r="H126" s="520"/>
      <c r="I126" s="520"/>
      <c r="J126" s="520"/>
    </row>
    <row r="127" spans="2:10" x14ac:dyDescent="0.25">
      <c r="B127" s="831">
        <v>61585258000191</v>
      </c>
      <c r="C127" s="523" t="s">
        <v>378</v>
      </c>
      <c r="D127" s="523" t="s">
        <v>378</v>
      </c>
      <c r="E127" s="523" t="s">
        <v>371</v>
      </c>
      <c r="F127" s="523" t="s">
        <v>588</v>
      </c>
      <c r="G127" s="520"/>
      <c r="H127" s="520"/>
      <c r="I127" s="520"/>
      <c r="J127" s="520"/>
    </row>
    <row r="128" spans="2:10" x14ac:dyDescent="0.25">
      <c r="B128" s="831">
        <v>65328831000132</v>
      </c>
      <c r="C128" s="523" t="s">
        <v>378</v>
      </c>
      <c r="D128" s="523" t="s">
        <v>378</v>
      </c>
      <c r="E128" s="523" t="s">
        <v>371</v>
      </c>
      <c r="F128" s="523" t="s">
        <v>590</v>
      </c>
      <c r="G128" s="520"/>
      <c r="H128" s="520"/>
      <c r="I128" s="520"/>
      <c r="J128" s="520"/>
    </row>
    <row r="129" spans="2:10" x14ac:dyDescent="0.25">
      <c r="B129" s="831">
        <v>9978285601</v>
      </c>
      <c r="C129" s="523" t="s">
        <v>734</v>
      </c>
      <c r="D129" s="523" t="s">
        <v>780</v>
      </c>
      <c r="E129" s="523" t="s">
        <v>371</v>
      </c>
      <c r="F129" s="523" t="s">
        <v>882</v>
      </c>
      <c r="G129" s="520"/>
      <c r="H129" s="520"/>
      <c r="I129" s="520"/>
      <c r="J129" s="520"/>
    </row>
    <row r="130" spans="2:10" x14ac:dyDescent="0.25">
      <c r="B130" s="831">
        <v>63760195000198</v>
      </c>
      <c r="C130" s="523" t="s">
        <v>378</v>
      </c>
      <c r="D130" s="523" t="s">
        <v>378</v>
      </c>
      <c r="E130" s="523" t="s">
        <v>371</v>
      </c>
      <c r="F130" s="523" t="s">
        <v>597</v>
      </c>
      <c r="G130" s="520"/>
      <c r="H130" s="520"/>
      <c r="I130" s="520"/>
      <c r="J130" s="520"/>
    </row>
    <row r="131" spans="2:10" x14ac:dyDescent="0.25">
      <c r="B131" s="831">
        <v>13792187647</v>
      </c>
      <c r="C131" s="523" t="s">
        <v>733</v>
      </c>
      <c r="D131" s="523" t="s">
        <v>377</v>
      </c>
      <c r="E131" s="523" t="s">
        <v>371</v>
      </c>
      <c r="F131" s="523" t="s">
        <v>598</v>
      </c>
      <c r="G131" s="520"/>
      <c r="H131" s="520"/>
      <c r="I131" s="520"/>
      <c r="J131" s="520"/>
    </row>
    <row r="132" spans="2:10" x14ac:dyDescent="0.25">
      <c r="B132" s="831">
        <v>4779942616</v>
      </c>
      <c r="C132" s="523" t="s">
        <v>733</v>
      </c>
      <c r="D132" s="523" t="s">
        <v>372</v>
      </c>
      <c r="E132" s="523" t="s">
        <v>371</v>
      </c>
      <c r="F132" s="523" t="s">
        <v>601</v>
      </c>
      <c r="G132" s="520"/>
      <c r="H132" s="520"/>
      <c r="I132" s="520"/>
      <c r="J132" s="520"/>
    </row>
    <row r="133" spans="2:10" x14ac:dyDescent="0.25">
      <c r="B133" s="831">
        <v>73405426634</v>
      </c>
      <c r="C133" s="523" t="s">
        <v>733</v>
      </c>
      <c r="D133" s="523" t="s">
        <v>377</v>
      </c>
      <c r="E133" s="523" t="s">
        <v>371</v>
      </c>
      <c r="F133" s="523" t="s">
        <v>602</v>
      </c>
      <c r="G133" s="520"/>
      <c r="H133" s="520"/>
      <c r="I133" s="520"/>
      <c r="J133" s="520"/>
    </row>
    <row r="134" spans="2:10" x14ac:dyDescent="0.25">
      <c r="B134" s="831">
        <v>2197580698</v>
      </c>
      <c r="C134" s="523" t="s">
        <v>733</v>
      </c>
      <c r="D134" s="523" t="s">
        <v>796</v>
      </c>
      <c r="E134" s="523" t="s">
        <v>371</v>
      </c>
      <c r="F134" s="523" t="s">
        <v>610</v>
      </c>
      <c r="G134" s="520"/>
      <c r="H134" s="520"/>
      <c r="I134" s="520"/>
      <c r="J134" s="520"/>
    </row>
    <row r="135" spans="2:10" x14ac:dyDescent="0.25">
      <c r="B135" s="831">
        <v>11331602637</v>
      </c>
      <c r="C135" s="523" t="s">
        <v>733</v>
      </c>
      <c r="D135" s="523" t="s">
        <v>377</v>
      </c>
      <c r="E135" s="523" t="s">
        <v>371</v>
      </c>
      <c r="F135" s="523" t="s">
        <v>611</v>
      </c>
      <c r="G135" s="520"/>
      <c r="H135" s="520"/>
      <c r="I135" s="520"/>
      <c r="J135" s="520"/>
    </row>
    <row r="136" spans="2:10" x14ac:dyDescent="0.25">
      <c r="B136" s="831">
        <v>62435638000102</v>
      </c>
      <c r="C136" s="523" t="s">
        <v>378</v>
      </c>
      <c r="D136" s="523" t="s">
        <v>378</v>
      </c>
      <c r="E136" s="523" t="s">
        <v>371</v>
      </c>
      <c r="F136" s="523" t="s">
        <v>613</v>
      </c>
      <c r="G136" s="520"/>
      <c r="H136" s="520"/>
      <c r="I136" s="520"/>
      <c r="J136" s="520"/>
    </row>
    <row r="137" spans="2:10" x14ac:dyDescent="0.25">
      <c r="B137" s="831">
        <v>65456682000197</v>
      </c>
      <c r="C137" s="523" t="s">
        <v>378</v>
      </c>
      <c r="D137" s="523" t="s">
        <v>378</v>
      </c>
      <c r="E137" s="523" t="s">
        <v>371</v>
      </c>
      <c r="F137" s="523" t="s">
        <v>616</v>
      </c>
      <c r="G137" s="520"/>
      <c r="H137" s="520"/>
      <c r="I137" s="520"/>
      <c r="J137" s="520"/>
    </row>
    <row r="138" spans="2:10" x14ac:dyDescent="0.25">
      <c r="B138" s="831">
        <v>17382143708</v>
      </c>
      <c r="C138" s="523" t="s">
        <v>733</v>
      </c>
      <c r="D138" s="523" t="s">
        <v>377</v>
      </c>
      <c r="E138" s="523" t="s">
        <v>376</v>
      </c>
      <c r="F138" s="523" t="s">
        <v>375</v>
      </c>
      <c r="G138" s="520"/>
      <c r="H138" s="520"/>
      <c r="I138" s="520"/>
      <c r="J138" s="520"/>
    </row>
    <row r="139" spans="2:10" x14ac:dyDescent="0.25">
      <c r="B139" s="831">
        <v>59675824000104</v>
      </c>
      <c r="C139" s="523" t="s">
        <v>378</v>
      </c>
      <c r="D139" s="523" t="s">
        <v>378</v>
      </c>
      <c r="E139" s="523" t="s">
        <v>376</v>
      </c>
      <c r="F139" s="523" t="s">
        <v>890</v>
      </c>
      <c r="G139" s="520"/>
      <c r="H139" s="520"/>
      <c r="I139" s="520"/>
      <c r="J139" s="520"/>
    </row>
    <row r="140" spans="2:10" x14ac:dyDescent="0.25">
      <c r="B140" s="831">
        <v>63054348000181</v>
      </c>
      <c r="C140" s="523" t="s">
        <v>378</v>
      </c>
      <c r="D140" s="523" t="s">
        <v>378</v>
      </c>
      <c r="E140" s="523" t="s">
        <v>376</v>
      </c>
      <c r="F140" s="523" t="s">
        <v>891</v>
      </c>
      <c r="G140" s="520"/>
      <c r="H140" s="520"/>
      <c r="I140" s="520"/>
      <c r="J140" s="520"/>
    </row>
    <row r="141" spans="2:10" x14ac:dyDescent="0.25">
      <c r="B141" s="831">
        <v>14078073743</v>
      </c>
      <c r="C141" s="523" t="s">
        <v>733</v>
      </c>
      <c r="D141" s="523" t="s">
        <v>377</v>
      </c>
      <c r="E141" s="523" t="s">
        <v>376</v>
      </c>
      <c r="F141" s="523" t="s">
        <v>384</v>
      </c>
      <c r="G141" s="520"/>
      <c r="H141" s="520"/>
      <c r="I141" s="520"/>
      <c r="J141" s="520"/>
    </row>
    <row r="142" spans="2:10" x14ac:dyDescent="0.25">
      <c r="B142" s="831">
        <v>85498742720</v>
      </c>
      <c r="C142" s="523" t="s">
        <v>733</v>
      </c>
      <c r="D142" s="523" t="s">
        <v>377</v>
      </c>
      <c r="E142" s="523" t="s">
        <v>376</v>
      </c>
      <c r="F142" s="523" t="s">
        <v>386</v>
      </c>
      <c r="G142" s="520"/>
      <c r="H142" s="520"/>
      <c r="I142" s="520"/>
      <c r="J142" s="520"/>
    </row>
    <row r="143" spans="2:10" x14ac:dyDescent="0.25">
      <c r="B143" s="831">
        <v>10700664785</v>
      </c>
      <c r="C143" s="523" t="s">
        <v>733</v>
      </c>
      <c r="D143" s="523" t="s">
        <v>372</v>
      </c>
      <c r="E143" s="523" t="s">
        <v>376</v>
      </c>
      <c r="F143" s="523" t="s">
        <v>395</v>
      </c>
      <c r="G143" s="520"/>
      <c r="H143" s="520"/>
      <c r="I143" s="520"/>
      <c r="J143" s="520"/>
    </row>
    <row r="144" spans="2:10" x14ac:dyDescent="0.25">
      <c r="B144" s="831">
        <v>63505497000110</v>
      </c>
      <c r="C144" s="523" t="s">
        <v>378</v>
      </c>
      <c r="D144" s="523" t="s">
        <v>378</v>
      </c>
      <c r="E144" s="523" t="s">
        <v>376</v>
      </c>
      <c r="F144" s="523" t="s">
        <v>892</v>
      </c>
      <c r="G144" s="520"/>
      <c r="H144" s="520"/>
      <c r="I144" s="520"/>
      <c r="J144" s="520"/>
    </row>
    <row r="145" spans="2:10" x14ac:dyDescent="0.25">
      <c r="B145" s="831">
        <v>11937603725</v>
      </c>
      <c r="C145" s="523" t="s">
        <v>733</v>
      </c>
      <c r="D145" s="523" t="s">
        <v>377</v>
      </c>
      <c r="E145" s="523" t="s">
        <v>376</v>
      </c>
      <c r="F145" s="523" t="s">
        <v>400</v>
      </c>
      <c r="G145" s="520"/>
      <c r="H145" s="520"/>
      <c r="I145" s="520"/>
      <c r="J145" s="520"/>
    </row>
    <row r="146" spans="2:10" x14ac:dyDescent="0.25">
      <c r="B146" s="831">
        <v>12945406705</v>
      </c>
      <c r="C146" s="523" t="s">
        <v>733</v>
      </c>
      <c r="D146" s="523" t="s">
        <v>377</v>
      </c>
      <c r="E146" s="523" t="s">
        <v>376</v>
      </c>
      <c r="F146" s="523" t="s">
        <v>402</v>
      </c>
      <c r="G146" s="520"/>
      <c r="H146" s="520"/>
      <c r="I146" s="520"/>
      <c r="J146" s="520"/>
    </row>
    <row r="147" spans="2:10" x14ac:dyDescent="0.25">
      <c r="B147" s="831">
        <v>12094789780</v>
      </c>
      <c r="C147" s="523" t="s">
        <v>733</v>
      </c>
      <c r="D147" s="523" t="s">
        <v>377</v>
      </c>
      <c r="E147" s="523" t="s">
        <v>376</v>
      </c>
      <c r="F147" s="523" t="s">
        <v>407</v>
      </c>
      <c r="G147" s="520"/>
      <c r="H147" s="520"/>
      <c r="I147" s="520"/>
      <c r="J147" s="520"/>
    </row>
    <row r="148" spans="2:10" x14ac:dyDescent="0.25">
      <c r="B148" s="831">
        <v>8751479761</v>
      </c>
      <c r="C148" s="523" t="s">
        <v>733</v>
      </c>
      <c r="D148" s="523" t="s">
        <v>377</v>
      </c>
      <c r="E148" s="523" t="s">
        <v>376</v>
      </c>
      <c r="F148" s="523" t="s">
        <v>408</v>
      </c>
      <c r="G148" s="520"/>
      <c r="H148" s="520"/>
      <c r="I148" s="520"/>
      <c r="J148" s="520"/>
    </row>
    <row r="149" spans="2:10" x14ac:dyDescent="0.25">
      <c r="B149" s="831">
        <v>50744240000179</v>
      </c>
      <c r="C149" s="523" t="s">
        <v>378</v>
      </c>
      <c r="D149" s="523" t="s">
        <v>378</v>
      </c>
      <c r="E149" s="523" t="s">
        <v>376</v>
      </c>
      <c r="F149" s="523" t="s">
        <v>410</v>
      </c>
      <c r="G149" s="520"/>
      <c r="H149" s="520"/>
      <c r="I149" s="520"/>
      <c r="J149" s="520"/>
    </row>
    <row r="150" spans="2:10" x14ac:dyDescent="0.25">
      <c r="B150" s="831">
        <v>70118531204</v>
      </c>
      <c r="C150" s="523" t="s">
        <v>733</v>
      </c>
      <c r="D150" s="523" t="s">
        <v>377</v>
      </c>
      <c r="E150" s="523" t="s">
        <v>376</v>
      </c>
      <c r="F150" s="523" t="s">
        <v>424</v>
      </c>
      <c r="G150" s="520"/>
      <c r="H150" s="520"/>
      <c r="I150" s="520"/>
      <c r="J150" s="520"/>
    </row>
    <row r="151" spans="2:10" x14ac:dyDescent="0.25">
      <c r="B151" s="831">
        <v>65415166000114</v>
      </c>
      <c r="C151" s="523" t="s">
        <v>736</v>
      </c>
      <c r="D151" s="523" t="s">
        <v>812</v>
      </c>
      <c r="E151" s="523" t="s">
        <v>376</v>
      </c>
      <c r="F151" s="523" t="s">
        <v>426</v>
      </c>
      <c r="G151" s="520"/>
      <c r="H151" s="520"/>
      <c r="I151" s="520"/>
      <c r="J151" s="520"/>
    </row>
    <row r="152" spans="2:10" x14ac:dyDescent="0.25">
      <c r="B152" s="831">
        <v>10962897760</v>
      </c>
      <c r="C152" s="523" t="s">
        <v>733</v>
      </c>
      <c r="D152" s="523" t="s">
        <v>377</v>
      </c>
      <c r="E152" s="523" t="s">
        <v>376</v>
      </c>
      <c r="F152" s="523" t="s">
        <v>432</v>
      </c>
      <c r="G152" s="520"/>
      <c r="H152" s="520"/>
      <c r="I152" s="520"/>
      <c r="J152" s="520"/>
    </row>
    <row r="153" spans="2:10" x14ac:dyDescent="0.25">
      <c r="B153" s="831">
        <v>59636769249</v>
      </c>
      <c r="C153" s="523" t="s">
        <v>733</v>
      </c>
      <c r="D153" s="523" t="s">
        <v>377</v>
      </c>
      <c r="E153" s="523" t="s">
        <v>376</v>
      </c>
      <c r="F153" s="523" t="s">
        <v>893</v>
      </c>
      <c r="G153" s="520"/>
      <c r="H153" s="520"/>
      <c r="I153" s="520"/>
      <c r="J153" s="520"/>
    </row>
    <row r="154" spans="2:10" x14ac:dyDescent="0.25">
      <c r="B154" s="831">
        <v>59101099000160</v>
      </c>
      <c r="C154" s="523" t="s">
        <v>378</v>
      </c>
      <c r="D154" s="523" t="s">
        <v>378</v>
      </c>
      <c r="E154" s="523" t="s">
        <v>376</v>
      </c>
      <c r="F154" s="523" t="s">
        <v>446</v>
      </c>
      <c r="G154" s="520"/>
      <c r="H154" s="520"/>
      <c r="I154" s="520"/>
      <c r="J154" s="520"/>
    </row>
    <row r="155" spans="2:10" x14ac:dyDescent="0.25">
      <c r="B155" s="831">
        <v>13604423759</v>
      </c>
      <c r="C155" s="523" t="s">
        <v>733</v>
      </c>
      <c r="D155" s="523" t="s">
        <v>377</v>
      </c>
      <c r="E155" s="523" t="s">
        <v>376</v>
      </c>
      <c r="F155" s="523" t="s">
        <v>457</v>
      </c>
      <c r="G155" s="520"/>
      <c r="H155" s="520"/>
      <c r="I155" s="520"/>
      <c r="J155" s="520"/>
    </row>
    <row r="156" spans="2:10" x14ac:dyDescent="0.25">
      <c r="B156" s="831">
        <v>280407713</v>
      </c>
      <c r="C156" s="523" t="s">
        <v>733</v>
      </c>
      <c r="D156" s="523" t="s">
        <v>377</v>
      </c>
      <c r="E156" s="523" t="s">
        <v>376</v>
      </c>
      <c r="F156" s="523" t="s">
        <v>460</v>
      </c>
      <c r="G156" s="520"/>
      <c r="H156" s="520"/>
      <c r="I156" s="520"/>
      <c r="J156" s="520"/>
    </row>
    <row r="157" spans="2:10" x14ac:dyDescent="0.25">
      <c r="B157" s="831">
        <v>50374135000195</v>
      </c>
      <c r="C157" s="523" t="s">
        <v>378</v>
      </c>
      <c r="D157" s="523" t="s">
        <v>378</v>
      </c>
      <c r="E157" s="523" t="s">
        <v>376</v>
      </c>
      <c r="F157" s="523" t="s">
        <v>467</v>
      </c>
      <c r="G157" s="520"/>
      <c r="H157" s="520"/>
      <c r="I157" s="520"/>
      <c r="J157" s="520"/>
    </row>
    <row r="158" spans="2:10" x14ac:dyDescent="0.25">
      <c r="B158" s="831">
        <v>12396235770</v>
      </c>
      <c r="C158" s="523" t="s">
        <v>733</v>
      </c>
      <c r="D158" s="523" t="s">
        <v>377</v>
      </c>
      <c r="E158" s="523" t="s">
        <v>376</v>
      </c>
      <c r="F158" s="523" t="s">
        <v>475</v>
      </c>
      <c r="G158" s="520"/>
      <c r="H158" s="520"/>
      <c r="I158" s="520"/>
      <c r="J158" s="520"/>
    </row>
    <row r="159" spans="2:10" x14ac:dyDescent="0.25">
      <c r="B159" s="831">
        <v>20354300709</v>
      </c>
      <c r="C159" s="523" t="s">
        <v>733</v>
      </c>
      <c r="D159" s="523" t="s">
        <v>377</v>
      </c>
      <c r="E159" s="523" t="s">
        <v>376</v>
      </c>
      <c r="F159" s="523" t="s">
        <v>490</v>
      </c>
      <c r="G159" s="520"/>
      <c r="H159" s="520"/>
      <c r="I159" s="520"/>
      <c r="J159" s="520"/>
    </row>
    <row r="160" spans="2:10" x14ac:dyDescent="0.25">
      <c r="B160" s="831">
        <v>15654791737</v>
      </c>
      <c r="C160" s="523" t="s">
        <v>733</v>
      </c>
      <c r="D160" s="523" t="s">
        <v>377</v>
      </c>
      <c r="E160" s="523" t="s">
        <v>376</v>
      </c>
      <c r="F160" s="523" t="s">
        <v>503</v>
      </c>
      <c r="G160" s="520"/>
      <c r="H160" s="520"/>
      <c r="I160" s="520"/>
      <c r="J160" s="520"/>
    </row>
    <row r="161" spans="2:10" x14ac:dyDescent="0.25">
      <c r="B161" s="831">
        <v>35984452000130</v>
      </c>
      <c r="C161" s="523" t="s">
        <v>736</v>
      </c>
      <c r="D161" s="523" t="s">
        <v>812</v>
      </c>
      <c r="E161" s="523" t="s">
        <v>376</v>
      </c>
      <c r="F161" s="523" t="s">
        <v>515</v>
      </c>
      <c r="G161" s="520"/>
      <c r="H161" s="520"/>
      <c r="I161" s="520"/>
      <c r="J161" s="520"/>
    </row>
    <row r="162" spans="2:10" x14ac:dyDescent="0.25">
      <c r="B162" s="831">
        <v>9743604731</v>
      </c>
      <c r="C162" s="523" t="s">
        <v>733</v>
      </c>
      <c r="D162" s="523" t="s">
        <v>377</v>
      </c>
      <c r="E162" s="523" t="s">
        <v>376</v>
      </c>
      <c r="F162" s="523" t="s">
        <v>522</v>
      </c>
      <c r="G162" s="520"/>
      <c r="H162" s="520"/>
      <c r="I162" s="520"/>
      <c r="J162" s="520"/>
    </row>
    <row r="163" spans="2:10" x14ac:dyDescent="0.25">
      <c r="B163" s="831">
        <v>62993775000162</v>
      </c>
      <c r="C163" s="523" t="s">
        <v>378</v>
      </c>
      <c r="D163" s="523" t="s">
        <v>378</v>
      </c>
      <c r="E163" s="523" t="s">
        <v>376</v>
      </c>
      <c r="F163" s="523" t="s">
        <v>536</v>
      </c>
      <c r="G163" s="520"/>
      <c r="H163" s="520"/>
      <c r="I163" s="520"/>
      <c r="J163" s="520"/>
    </row>
    <row r="164" spans="2:10" x14ac:dyDescent="0.25">
      <c r="B164" s="831">
        <v>11684520746</v>
      </c>
      <c r="C164" s="523" t="s">
        <v>733</v>
      </c>
      <c r="D164" s="523" t="s">
        <v>377</v>
      </c>
      <c r="E164" s="523" t="s">
        <v>376</v>
      </c>
      <c r="F164" s="523" t="s">
        <v>546</v>
      </c>
      <c r="G164" s="520"/>
      <c r="H164" s="520"/>
      <c r="I164" s="520"/>
      <c r="J164" s="520"/>
    </row>
    <row r="165" spans="2:10" x14ac:dyDescent="0.25">
      <c r="B165" s="831">
        <v>6427753703</v>
      </c>
      <c r="C165" s="523" t="s">
        <v>733</v>
      </c>
      <c r="D165" s="523" t="s">
        <v>377</v>
      </c>
      <c r="E165" s="523" t="s">
        <v>376</v>
      </c>
      <c r="F165" s="523" t="s">
        <v>553</v>
      </c>
      <c r="G165" s="520"/>
      <c r="H165" s="520"/>
      <c r="I165" s="520"/>
      <c r="J165" s="520"/>
    </row>
    <row r="166" spans="2:10" x14ac:dyDescent="0.25">
      <c r="B166" s="831">
        <v>18999806790</v>
      </c>
      <c r="C166" s="523" t="s">
        <v>733</v>
      </c>
      <c r="D166" s="523" t="s">
        <v>377</v>
      </c>
      <c r="E166" s="523" t="s">
        <v>376</v>
      </c>
      <c r="F166" s="523" t="s">
        <v>894</v>
      </c>
      <c r="G166" s="520"/>
      <c r="H166" s="520"/>
      <c r="I166" s="520"/>
      <c r="J166" s="520"/>
    </row>
    <row r="167" spans="2:10" x14ac:dyDescent="0.25">
      <c r="B167" s="831">
        <v>15863249773</v>
      </c>
      <c r="C167" s="523" t="s">
        <v>733</v>
      </c>
      <c r="D167" s="523" t="s">
        <v>372</v>
      </c>
      <c r="E167" s="523" t="s">
        <v>376</v>
      </c>
      <c r="F167" s="523" t="s">
        <v>571</v>
      </c>
      <c r="G167" s="520"/>
      <c r="H167" s="520"/>
      <c r="I167" s="520"/>
      <c r="J167" s="520"/>
    </row>
    <row r="168" spans="2:10" x14ac:dyDescent="0.25">
      <c r="B168" s="831">
        <v>7954726762</v>
      </c>
      <c r="C168" s="523" t="s">
        <v>733</v>
      </c>
      <c r="D168" s="523" t="s">
        <v>377</v>
      </c>
      <c r="E168" s="523" t="s">
        <v>376</v>
      </c>
      <c r="F168" s="523" t="s">
        <v>576</v>
      </c>
      <c r="G168" s="520"/>
      <c r="H168" s="520"/>
      <c r="I168" s="520"/>
      <c r="J168" s="520"/>
    </row>
    <row r="169" spans="2:10" x14ac:dyDescent="0.25">
      <c r="B169" s="831">
        <v>15863236795</v>
      </c>
      <c r="C169" s="523" t="s">
        <v>733</v>
      </c>
      <c r="D169" s="523" t="s">
        <v>377</v>
      </c>
      <c r="E169" s="523" t="s">
        <v>376</v>
      </c>
      <c r="F169" s="523" t="s">
        <v>579</v>
      </c>
      <c r="G169" s="520"/>
      <c r="H169" s="520"/>
      <c r="I169" s="520"/>
      <c r="J169" s="520"/>
    </row>
    <row r="170" spans="2:10" x14ac:dyDescent="0.25">
      <c r="B170" s="831">
        <v>9149239783</v>
      </c>
      <c r="C170" s="523" t="s">
        <v>733</v>
      </c>
      <c r="D170" s="523" t="s">
        <v>377</v>
      </c>
      <c r="E170" s="523" t="s">
        <v>376</v>
      </c>
      <c r="F170" s="523" t="s">
        <v>584</v>
      </c>
      <c r="G170" s="520"/>
      <c r="H170" s="520"/>
      <c r="I170" s="520"/>
      <c r="J170" s="520"/>
    </row>
    <row r="171" spans="2:10" x14ac:dyDescent="0.25">
      <c r="B171" s="831">
        <v>99272113768</v>
      </c>
      <c r="C171" s="523" t="s">
        <v>733</v>
      </c>
      <c r="D171" s="523" t="s">
        <v>377</v>
      </c>
      <c r="E171" s="523" t="s">
        <v>376</v>
      </c>
      <c r="F171" s="523" t="s">
        <v>589</v>
      </c>
      <c r="G171" s="520"/>
      <c r="H171" s="520"/>
      <c r="I171" s="520"/>
      <c r="J171" s="520"/>
    </row>
    <row r="172" spans="2:10" x14ac:dyDescent="0.25">
      <c r="B172" s="831">
        <v>14621117777</v>
      </c>
      <c r="C172" s="523" t="s">
        <v>733</v>
      </c>
      <c r="D172" s="523" t="s">
        <v>377</v>
      </c>
      <c r="E172" s="523" t="s">
        <v>376</v>
      </c>
      <c r="F172" s="523" t="s">
        <v>599</v>
      </c>
      <c r="G172" s="520"/>
      <c r="H172" s="520"/>
      <c r="I172" s="520"/>
      <c r="J172" s="520"/>
    </row>
    <row r="173" spans="2:10" x14ac:dyDescent="0.25">
      <c r="B173" s="831">
        <v>12136959700</v>
      </c>
      <c r="C173" s="523" t="s">
        <v>733</v>
      </c>
      <c r="D173" s="523" t="s">
        <v>377</v>
      </c>
      <c r="E173" s="523" t="s">
        <v>376</v>
      </c>
      <c r="F173" s="523" t="s">
        <v>603</v>
      </c>
      <c r="G173" s="520"/>
      <c r="H173" s="520"/>
      <c r="I173" s="520"/>
      <c r="J173" s="520"/>
    </row>
    <row r="174" spans="2:10" x14ac:dyDescent="0.25">
      <c r="B174" s="831">
        <v>39290987847</v>
      </c>
      <c r="C174" s="523" t="s">
        <v>734</v>
      </c>
      <c r="D174" s="523" t="s">
        <v>369</v>
      </c>
      <c r="E174" s="523" t="s">
        <v>374</v>
      </c>
      <c r="F174" s="523" t="s">
        <v>373</v>
      </c>
      <c r="G174" s="520"/>
      <c r="H174" s="520"/>
      <c r="I174" s="520"/>
      <c r="J174" s="520"/>
    </row>
    <row r="175" spans="2:10" x14ac:dyDescent="0.25">
      <c r="B175" s="831">
        <v>57645476000105</v>
      </c>
      <c r="C175" s="523" t="s">
        <v>378</v>
      </c>
      <c r="D175" s="523" t="s">
        <v>378</v>
      </c>
      <c r="E175" s="523" t="s">
        <v>374</v>
      </c>
      <c r="F175" s="523" t="s">
        <v>385</v>
      </c>
      <c r="G175" s="520"/>
      <c r="H175" s="520"/>
      <c r="I175" s="520"/>
      <c r="J175" s="520"/>
    </row>
    <row r="176" spans="2:10" x14ac:dyDescent="0.25">
      <c r="B176" s="831">
        <v>41641163828</v>
      </c>
      <c r="C176" s="523" t="s">
        <v>734</v>
      </c>
      <c r="D176" s="523" t="s">
        <v>780</v>
      </c>
      <c r="E176" s="523" t="s">
        <v>374</v>
      </c>
      <c r="F176" s="523" t="s">
        <v>390</v>
      </c>
      <c r="G176" s="520"/>
      <c r="H176" s="520"/>
      <c r="I176" s="520"/>
      <c r="J176" s="520"/>
    </row>
    <row r="177" spans="2:10" x14ac:dyDescent="0.25">
      <c r="B177" s="831">
        <v>46437272848</v>
      </c>
      <c r="C177" s="523" t="s">
        <v>733</v>
      </c>
      <c r="D177" s="523" t="s">
        <v>377</v>
      </c>
      <c r="E177" s="523" t="s">
        <v>374</v>
      </c>
      <c r="F177" s="523" t="s">
        <v>898</v>
      </c>
      <c r="G177" s="520"/>
      <c r="H177" s="520"/>
      <c r="I177" s="520"/>
      <c r="J177" s="520"/>
    </row>
    <row r="178" spans="2:10" x14ac:dyDescent="0.25">
      <c r="B178" s="831">
        <v>45879909000108</v>
      </c>
      <c r="C178" s="523" t="s">
        <v>378</v>
      </c>
      <c r="D178" s="523" t="s">
        <v>378</v>
      </c>
      <c r="E178" s="523" t="s">
        <v>374</v>
      </c>
      <c r="F178" s="523" t="s">
        <v>897</v>
      </c>
      <c r="G178" s="520"/>
      <c r="H178" s="520"/>
      <c r="I178" s="520"/>
      <c r="J178" s="520"/>
    </row>
    <row r="179" spans="2:10" x14ac:dyDescent="0.25">
      <c r="B179" s="831">
        <v>27716453866</v>
      </c>
      <c r="C179" s="523" t="s">
        <v>734</v>
      </c>
      <c r="D179" s="523" t="s">
        <v>780</v>
      </c>
      <c r="E179" s="523" t="s">
        <v>374</v>
      </c>
      <c r="F179" s="523" t="s">
        <v>409</v>
      </c>
      <c r="G179" s="520"/>
      <c r="H179" s="520"/>
      <c r="I179" s="520"/>
      <c r="J179" s="520"/>
    </row>
    <row r="180" spans="2:10" x14ac:dyDescent="0.25">
      <c r="B180" s="831">
        <v>9797448819</v>
      </c>
      <c r="C180" s="523" t="s">
        <v>733</v>
      </c>
      <c r="D180" s="523" t="s">
        <v>377</v>
      </c>
      <c r="E180" s="523" t="s">
        <v>374</v>
      </c>
      <c r="F180" s="523" t="s">
        <v>411</v>
      </c>
      <c r="G180" s="520"/>
      <c r="H180" s="520"/>
      <c r="I180" s="520"/>
      <c r="J180" s="520"/>
    </row>
    <row r="181" spans="2:10" x14ac:dyDescent="0.25">
      <c r="B181" s="831">
        <v>65415166000114</v>
      </c>
      <c r="C181" s="523" t="s">
        <v>736</v>
      </c>
      <c r="D181" s="523" t="s">
        <v>812</v>
      </c>
      <c r="E181" s="523" t="s">
        <v>374</v>
      </c>
      <c r="F181" s="523" t="s">
        <v>426</v>
      </c>
      <c r="G181" s="520"/>
      <c r="H181" s="520"/>
      <c r="I181" s="520"/>
      <c r="J181" s="520"/>
    </row>
    <row r="182" spans="2:10" x14ac:dyDescent="0.25">
      <c r="B182" s="831">
        <v>42588263836</v>
      </c>
      <c r="C182" s="523" t="s">
        <v>734</v>
      </c>
      <c r="D182" s="523" t="s">
        <v>780</v>
      </c>
      <c r="E182" s="523" t="s">
        <v>374</v>
      </c>
      <c r="F182" s="523" t="s">
        <v>828</v>
      </c>
      <c r="G182" s="520"/>
      <c r="H182" s="520"/>
      <c r="I182" s="520"/>
      <c r="J182" s="520"/>
    </row>
    <row r="183" spans="2:10" x14ac:dyDescent="0.25">
      <c r="B183" s="831">
        <v>61487345321</v>
      </c>
      <c r="C183" s="523" t="s">
        <v>734</v>
      </c>
      <c r="D183" s="523" t="s">
        <v>780</v>
      </c>
      <c r="E183" s="523" t="s">
        <v>374</v>
      </c>
      <c r="F183" s="523" t="s">
        <v>895</v>
      </c>
      <c r="G183" s="520"/>
      <c r="H183" s="520"/>
      <c r="I183" s="520"/>
      <c r="J183" s="520"/>
    </row>
    <row r="184" spans="2:10" x14ac:dyDescent="0.25">
      <c r="B184" s="831">
        <v>61487345321</v>
      </c>
      <c r="C184" s="523" t="s">
        <v>733</v>
      </c>
      <c r="D184" s="523" t="s">
        <v>377</v>
      </c>
      <c r="E184" s="523" t="s">
        <v>374</v>
      </c>
      <c r="F184" s="523" t="s">
        <v>895</v>
      </c>
      <c r="G184" s="520"/>
      <c r="H184" s="520"/>
      <c r="I184" s="520"/>
      <c r="J184" s="520"/>
    </row>
    <row r="185" spans="2:10" x14ac:dyDescent="0.25">
      <c r="B185" s="831">
        <v>11900978776</v>
      </c>
      <c r="C185" s="523" t="s">
        <v>733</v>
      </c>
      <c r="D185" s="523" t="s">
        <v>377</v>
      </c>
      <c r="E185" s="523" t="s">
        <v>374</v>
      </c>
      <c r="F185" s="523" t="s">
        <v>899</v>
      </c>
      <c r="G185" s="520"/>
      <c r="H185" s="520"/>
      <c r="I185" s="520"/>
      <c r="J185" s="520"/>
    </row>
    <row r="186" spans="2:10" x14ac:dyDescent="0.25">
      <c r="B186" s="831">
        <v>42321120000130</v>
      </c>
      <c r="C186" s="523" t="s">
        <v>378</v>
      </c>
      <c r="D186" s="523" t="s">
        <v>378</v>
      </c>
      <c r="E186" s="523" t="s">
        <v>374</v>
      </c>
      <c r="F186" s="523" t="s">
        <v>456</v>
      </c>
      <c r="G186" s="520"/>
      <c r="H186" s="520"/>
      <c r="I186" s="520"/>
      <c r="J186" s="520"/>
    </row>
    <row r="187" spans="2:10" x14ac:dyDescent="0.25">
      <c r="B187" s="831">
        <v>7189891471</v>
      </c>
      <c r="C187" s="523" t="s">
        <v>734</v>
      </c>
      <c r="D187" s="523" t="s">
        <v>780</v>
      </c>
      <c r="E187" s="523" t="s">
        <v>374</v>
      </c>
      <c r="F187" s="523" t="s">
        <v>477</v>
      </c>
      <c r="G187" s="520"/>
      <c r="H187" s="520"/>
      <c r="I187" s="520"/>
      <c r="J187" s="520"/>
    </row>
    <row r="188" spans="2:10" x14ac:dyDescent="0.25">
      <c r="B188" s="831">
        <v>43272054000119</v>
      </c>
      <c r="C188" s="523" t="s">
        <v>378</v>
      </c>
      <c r="D188" s="523" t="s">
        <v>378</v>
      </c>
      <c r="E188" s="523" t="s">
        <v>374</v>
      </c>
      <c r="F188" s="523" t="s">
        <v>480</v>
      </c>
      <c r="G188" s="520"/>
      <c r="H188" s="520"/>
      <c r="I188" s="520"/>
      <c r="J188" s="520"/>
    </row>
    <row r="189" spans="2:10" x14ac:dyDescent="0.25">
      <c r="B189" s="831">
        <v>37034738866</v>
      </c>
      <c r="C189" s="523" t="s">
        <v>734</v>
      </c>
      <c r="D189" s="523" t="s">
        <v>780</v>
      </c>
      <c r="E189" s="523" t="s">
        <v>374</v>
      </c>
      <c r="F189" s="523" t="s">
        <v>512</v>
      </c>
      <c r="G189" s="520"/>
      <c r="H189" s="520"/>
      <c r="I189" s="520"/>
      <c r="J189" s="520"/>
    </row>
    <row r="190" spans="2:10" x14ac:dyDescent="0.25">
      <c r="B190" s="831">
        <v>30733450865</v>
      </c>
      <c r="C190" s="523" t="s">
        <v>733</v>
      </c>
      <c r="D190" s="523" t="s">
        <v>796</v>
      </c>
      <c r="E190" s="523" t="s">
        <v>374</v>
      </c>
      <c r="F190" s="523" t="s">
        <v>520</v>
      </c>
      <c r="G190" s="520"/>
      <c r="H190" s="520"/>
      <c r="I190" s="520"/>
      <c r="J190" s="520"/>
    </row>
    <row r="191" spans="2:10" x14ac:dyDescent="0.25">
      <c r="B191" s="831">
        <v>38435193000186</v>
      </c>
      <c r="C191" s="523" t="s">
        <v>378</v>
      </c>
      <c r="D191" s="523" t="s">
        <v>378</v>
      </c>
      <c r="E191" s="523" t="s">
        <v>374</v>
      </c>
      <c r="F191" s="523" t="s">
        <v>524</v>
      </c>
      <c r="G191" s="520"/>
      <c r="H191" s="520"/>
      <c r="I191" s="520"/>
      <c r="J191" s="520"/>
    </row>
    <row r="192" spans="2:10" x14ac:dyDescent="0.25">
      <c r="B192" s="831">
        <v>13539675817</v>
      </c>
      <c r="C192" s="523" t="s">
        <v>734</v>
      </c>
      <c r="D192" s="523" t="s">
        <v>780</v>
      </c>
      <c r="E192" s="523" t="s">
        <v>374</v>
      </c>
      <c r="F192" s="523" t="s">
        <v>896</v>
      </c>
      <c r="G192" s="520"/>
      <c r="H192" s="520"/>
      <c r="I192" s="520"/>
      <c r="J192" s="520"/>
    </row>
    <row r="193" spans="2:10" x14ac:dyDescent="0.25">
      <c r="B193" s="831">
        <v>53076450824</v>
      </c>
      <c r="C193" s="523" t="s">
        <v>734</v>
      </c>
      <c r="D193" s="523" t="s">
        <v>780</v>
      </c>
      <c r="E193" s="523" t="s">
        <v>374</v>
      </c>
      <c r="F193" s="523" t="s">
        <v>539</v>
      </c>
      <c r="G193" s="520"/>
      <c r="H193" s="520"/>
      <c r="I193" s="520"/>
      <c r="J193" s="520"/>
    </row>
    <row r="194" spans="2:10" x14ac:dyDescent="0.25">
      <c r="B194" s="831">
        <v>50778213803</v>
      </c>
      <c r="C194" s="523" t="s">
        <v>733</v>
      </c>
      <c r="D194" s="523" t="s">
        <v>377</v>
      </c>
      <c r="E194" s="523" t="s">
        <v>374</v>
      </c>
      <c r="F194" s="523" t="s">
        <v>566</v>
      </c>
      <c r="G194" s="520"/>
      <c r="H194" s="520"/>
      <c r="I194" s="520"/>
      <c r="J194" s="520"/>
    </row>
    <row r="195" spans="2:10" x14ac:dyDescent="0.25">
      <c r="B195" s="831">
        <v>34458292000122</v>
      </c>
      <c r="C195" s="523" t="s">
        <v>736</v>
      </c>
      <c r="D195" s="523" t="s">
        <v>812</v>
      </c>
      <c r="E195" s="523" t="s">
        <v>374</v>
      </c>
      <c r="F195" s="523" t="s">
        <v>570</v>
      </c>
      <c r="G195" s="520"/>
      <c r="H195" s="520"/>
      <c r="I195" s="520"/>
      <c r="J195" s="520"/>
    </row>
    <row r="196" spans="2:10" x14ac:dyDescent="0.25">
      <c r="B196" s="831">
        <v>29793757809</v>
      </c>
      <c r="C196" s="523" t="s">
        <v>733</v>
      </c>
      <c r="D196" s="523" t="s">
        <v>800</v>
      </c>
      <c r="E196" s="523" t="s">
        <v>374</v>
      </c>
      <c r="F196" s="523" t="s">
        <v>575</v>
      </c>
      <c r="G196" s="520"/>
      <c r="H196" s="520"/>
      <c r="I196" s="520"/>
      <c r="J196" s="520"/>
    </row>
    <row r="197" spans="2:10" x14ac:dyDescent="0.25">
      <c r="B197" s="831">
        <v>49264565833</v>
      </c>
      <c r="C197" s="523" t="s">
        <v>734</v>
      </c>
      <c r="D197" s="523" t="s">
        <v>780</v>
      </c>
      <c r="E197" s="523" t="s">
        <v>374</v>
      </c>
      <c r="F197" s="523" t="s">
        <v>591</v>
      </c>
      <c r="G197" s="520"/>
      <c r="H197" s="520"/>
      <c r="I197" s="520"/>
      <c r="J197" s="520"/>
    </row>
    <row r="198" spans="2:10" x14ac:dyDescent="0.25">
      <c r="B198" s="831">
        <v>41717722814</v>
      </c>
      <c r="C198" s="523" t="s">
        <v>733</v>
      </c>
      <c r="D198" s="523" t="s">
        <v>377</v>
      </c>
      <c r="E198" s="523" t="s">
        <v>374</v>
      </c>
      <c r="F198" s="523" t="s">
        <v>604</v>
      </c>
      <c r="G198" s="520"/>
      <c r="H198" s="520"/>
      <c r="I198" s="520"/>
      <c r="J198" s="520"/>
    </row>
    <row r="199" spans="2:10" x14ac:dyDescent="0.25">
      <c r="B199" s="831">
        <v>78467829400</v>
      </c>
      <c r="C199" s="523" t="s">
        <v>733</v>
      </c>
      <c r="D199" s="523" t="s">
        <v>377</v>
      </c>
      <c r="E199" s="523" t="s">
        <v>374</v>
      </c>
      <c r="F199" s="523" t="s">
        <v>615</v>
      </c>
      <c r="G199" s="520"/>
      <c r="H199" s="520"/>
      <c r="I199" s="520"/>
      <c r="J199" s="520"/>
    </row>
    <row r="200" spans="2:10" x14ac:dyDescent="0.25">
      <c r="B200" s="830"/>
    </row>
    <row r="201" spans="2:10" x14ac:dyDescent="0.25">
      <c r="B201" s="830"/>
    </row>
    <row r="202" spans="2:10" x14ac:dyDescent="0.25">
      <c r="B202" s="830"/>
    </row>
    <row r="203" spans="2:10" x14ac:dyDescent="0.25">
      <c r="B203" s="830"/>
    </row>
    <row r="204" spans="2:10" x14ac:dyDescent="0.25">
      <c r="B204" s="830"/>
    </row>
    <row r="205" spans="2:10" x14ac:dyDescent="0.25">
      <c r="B205" s="830"/>
    </row>
    <row r="206" spans="2:10" x14ac:dyDescent="0.25">
      <c r="B206" s="830"/>
    </row>
    <row r="207" spans="2:10" x14ac:dyDescent="0.25">
      <c r="B207" s="830"/>
    </row>
    <row r="208" spans="2:10" x14ac:dyDescent="0.25">
      <c r="B208" s="830"/>
    </row>
    <row r="209" spans="2:2" x14ac:dyDescent="0.25">
      <c r="B209" s="830"/>
    </row>
    <row r="210" spans="2:2" x14ac:dyDescent="0.25">
      <c r="B210" s="830"/>
    </row>
    <row r="211" spans="2:2" x14ac:dyDescent="0.25">
      <c r="B211" s="830"/>
    </row>
    <row r="212" spans="2:2" x14ac:dyDescent="0.25">
      <c r="B212" s="830"/>
    </row>
    <row r="213" spans="2:2" x14ac:dyDescent="0.25">
      <c r="B213" s="830"/>
    </row>
    <row r="214" spans="2:2" x14ac:dyDescent="0.25">
      <c r="B214" s="830"/>
    </row>
    <row r="215" spans="2:2" x14ac:dyDescent="0.25">
      <c r="B215" s="830"/>
    </row>
    <row r="216" spans="2:2" x14ac:dyDescent="0.25">
      <c r="B216" s="830"/>
    </row>
    <row r="217" spans="2:2" x14ac:dyDescent="0.25">
      <c r="B217" s="830"/>
    </row>
    <row r="218" spans="2:2" x14ac:dyDescent="0.25">
      <c r="B218" s="830"/>
    </row>
    <row r="219" spans="2:2" x14ac:dyDescent="0.25">
      <c r="B219" s="830"/>
    </row>
    <row r="220" spans="2:2" x14ac:dyDescent="0.25">
      <c r="B220" s="830"/>
    </row>
    <row r="221" spans="2:2" x14ac:dyDescent="0.25">
      <c r="B221" s="830"/>
    </row>
    <row r="222" spans="2:2" x14ac:dyDescent="0.25">
      <c r="B222" s="830"/>
    </row>
    <row r="223" spans="2:2" x14ac:dyDescent="0.25">
      <c r="B223" s="830"/>
    </row>
    <row r="224" spans="2:2" x14ac:dyDescent="0.25">
      <c r="B224" s="830"/>
    </row>
    <row r="225" spans="2:2" x14ac:dyDescent="0.25">
      <c r="B225" s="830"/>
    </row>
    <row r="226" spans="2:2" x14ac:dyDescent="0.25">
      <c r="B226" s="830"/>
    </row>
    <row r="227" spans="2:2" x14ac:dyDescent="0.25">
      <c r="B227" s="830"/>
    </row>
    <row r="228" spans="2:2" x14ac:dyDescent="0.25">
      <c r="B228" s="830"/>
    </row>
    <row r="229" spans="2:2" x14ac:dyDescent="0.25">
      <c r="B229" s="830"/>
    </row>
    <row r="230" spans="2:2" x14ac:dyDescent="0.25">
      <c r="B230" s="830"/>
    </row>
    <row r="231" spans="2:2" x14ac:dyDescent="0.25">
      <c r="B231" s="830"/>
    </row>
    <row r="232" spans="2:2" x14ac:dyDescent="0.25">
      <c r="B232" s="830"/>
    </row>
    <row r="233" spans="2:2" x14ac:dyDescent="0.25">
      <c r="B233" s="830"/>
    </row>
    <row r="234" spans="2:2" x14ac:dyDescent="0.25">
      <c r="B234" s="830"/>
    </row>
    <row r="235" spans="2:2" x14ac:dyDescent="0.25">
      <c r="B235" s="830"/>
    </row>
    <row r="236" spans="2:2" x14ac:dyDescent="0.25">
      <c r="B236" s="830"/>
    </row>
    <row r="237" spans="2:2" x14ac:dyDescent="0.25">
      <c r="B237" s="830"/>
    </row>
    <row r="238" spans="2:2" x14ac:dyDescent="0.25">
      <c r="B238" s="830"/>
    </row>
    <row r="239" spans="2:2" x14ac:dyDescent="0.25">
      <c r="B239" s="830"/>
    </row>
    <row r="240" spans="2:2" x14ac:dyDescent="0.25">
      <c r="B240" s="830"/>
    </row>
    <row r="241" spans="2:2" x14ac:dyDescent="0.25">
      <c r="B241" s="830"/>
    </row>
    <row r="242" spans="2:2" x14ac:dyDescent="0.25">
      <c r="B242" s="830"/>
    </row>
    <row r="243" spans="2:2" x14ac:dyDescent="0.25">
      <c r="B243" s="830"/>
    </row>
    <row r="244" spans="2:2" x14ac:dyDescent="0.25">
      <c r="B244" s="830"/>
    </row>
    <row r="245" spans="2:2" x14ac:dyDescent="0.25">
      <c r="B245" s="830"/>
    </row>
    <row r="246" spans="2:2" x14ac:dyDescent="0.25">
      <c r="B246" s="830"/>
    </row>
    <row r="247" spans="2:2" x14ac:dyDescent="0.25">
      <c r="B247" s="830"/>
    </row>
    <row r="248" spans="2:2" x14ac:dyDescent="0.25">
      <c r="B248" s="830"/>
    </row>
    <row r="249" spans="2:2" x14ac:dyDescent="0.25">
      <c r="B249" s="830"/>
    </row>
    <row r="250" spans="2:2" x14ac:dyDescent="0.25">
      <c r="B250" s="830"/>
    </row>
    <row r="251" spans="2:2" x14ac:dyDescent="0.25">
      <c r="B251" s="830"/>
    </row>
    <row r="252" spans="2:2" x14ac:dyDescent="0.25">
      <c r="B252" s="830"/>
    </row>
    <row r="253" spans="2:2" x14ac:dyDescent="0.25">
      <c r="B253" s="830"/>
    </row>
    <row r="254" spans="2:2" x14ac:dyDescent="0.25">
      <c r="B254" s="830"/>
    </row>
    <row r="255" spans="2:2" x14ac:dyDescent="0.25">
      <c r="B255" s="830"/>
    </row>
    <row r="256" spans="2:2" x14ac:dyDescent="0.25">
      <c r="B256" s="830"/>
    </row>
    <row r="257" spans="2:2" x14ac:dyDescent="0.25">
      <c r="B257" s="830"/>
    </row>
    <row r="258" spans="2:2" x14ac:dyDescent="0.25">
      <c r="B258" s="830"/>
    </row>
    <row r="259" spans="2:2" x14ac:dyDescent="0.25">
      <c r="B259" s="830"/>
    </row>
    <row r="260" spans="2:2" x14ac:dyDescent="0.25">
      <c r="B260" s="830"/>
    </row>
    <row r="261" spans="2:2" x14ac:dyDescent="0.25">
      <c r="B261" s="830"/>
    </row>
    <row r="262" spans="2:2" x14ac:dyDescent="0.25">
      <c r="B262" s="830"/>
    </row>
    <row r="263" spans="2:2" x14ac:dyDescent="0.25">
      <c r="B263" s="830"/>
    </row>
    <row r="264" spans="2:2" x14ac:dyDescent="0.25">
      <c r="B264" s="830"/>
    </row>
    <row r="265" spans="2:2" x14ac:dyDescent="0.25">
      <c r="B265" s="830"/>
    </row>
    <row r="266" spans="2:2" x14ac:dyDescent="0.25">
      <c r="B266" s="830"/>
    </row>
    <row r="267" spans="2:2" x14ac:dyDescent="0.25">
      <c r="B267" s="830"/>
    </row>
    <row r="268" spans="2:2" x14ac:dyDescent="0.25">
      <c r="B268" s="830"/>
    </row>
    <row r="269" spans="2:2" x14ac:dyDescent="0.25">
      <c r="B269" s="830"/>
    </row>
    <row r="270" spans="2:2" x14ac:dyDescent="0.25">
      <c r="B270" s="830"/>
    </row>
  </sheetData>
  <autoFilter ref="B2:J2" xr:uid="{00000000-0009-0000-0000-000028000000}">
    <sortState xmlns:xlrd2="http://schemas.microsoft.com/office/spreadsheetml/2017/richdata2" ref="B3:J199">
      <sortCondition ref="E2"/>
    </sortState>
  </autoFilter>
  <conditionalFormatting sqref="B3:J199">
    <cfRule type="expression" dxfId="18" priority="1">
      <formula>UPPER(TRIM($E3))="BA"</formula>
    </cfRule>
  </conditionalFormatting>
  <conditionalFormatting sqref="B3:J199">
    <cfRule type="expression" dxfId="17" priority="2">
      <formula>UPPER(TRIM($E3))="ES"</formula>
    </cfRule>
  </conditionalFormatting>
  <conditionalFormatting sqref="B3:J199">
    <cfRule type="expression" dxfId="16" priority="3">
      <formula>UPPER(TRIM($E3))="MG"</formula>
    </cfRule>
  </conditionalFormatting>
  <conditionalFormatting sqref="B3:J199">
    <cfRule type="expression" dxfId="15" priority="4">
      <formula>UPPER(TRIM($E3))="RJ"</formula>
    </cfRule>
  </conditionalFormatting>
  <conditionalFormatting sqref="B3:J199">
    <cfRule type="expression" dxfId="14" priority="5">
      <formula>UPPER(TRIM($E3))="SC"</formula>
    </cfRule>
  </conditionalFormatting>
  <conditionalFormatting sqref="B3:J199">
    <cfRule type="expression" dxfId="13" priority="6">
      <formula>UPPER(TRIM($E3))="SP"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FF0000"/>
  </sheetPr>
  <dimension ref="A2:AF291"/>
  <sheetViews>
    <sheetView showGridLines="0" topLeftCell="A252" zoomScale="90" zoomScaleNormal="90" workbookViewId="0">
      <selection activeCell="C223" sqref="C223"/>
    </sheetView>
  </sheetViews>
  <sheetFormatPr defaultColWidth="9.140625" defaultRowHeight="12.75" x14ac:dyDescent="0.2"/>
  <cols>
    <col min="1" max="1" width="2" style="295" customWidth="1"/>
    <col min="2" max="2" width="17.42578125" style="295" bestFit="1" customWidth="1"/>
    <col min="3" max="3" width="41.7109375" style="295" customWidth="1"/>
    <col min="4" max="4" width="20.42578125" style="295" customWidth="1"/>
    <col min="5" max="6" width="10.42578125" style="295" customWidth="1"/>
    <col min="7" max="7" width="15" style="295" customWidth="1"/>
    <col min="8" max="8" width="4.5703125" style="295" customWidth="1"/>
    <col min="9" max="9" width="20.28515625" style="295" customWidth="1"/>
    <col min="10" max="10" width="4.5703125" style="295" customWidth="1"/>
    <col min="11" max="11" width="7" style="295" customWidth="1"/>
    <col min="12" max="12" width="4.5703125" style="295" customWidth="1"/>
    <col min="13" max="13" width="3.140625" style="295" customWidth="1"/>
    <col min="14" max="14" width="10.42578125" style="295" customWidth="1"/>
    <col min="15" max="15" width="3" style="295" customWidth="1"/>
    <col min="16" max="16" width="1.5703125" style="295" customWidth="1"/>
    <col min="17" max="17" width="9.140625" style="295"/>
    <col min="18" max="18" width="4" style="295" customWidth="1"/>
    <col min="19" max="19" width="1.5703125" style="295" customWidth="1"/>
    <col min="20" max="20" width="12.28515625" style="295" customWidth="1"/>
    <col min="21" max="21" width="5.42578125" style="295" customWidth="1"/>
    <col min="22" max="22" width="3" style="295" customWidth="1"/>
    <col min="23" max="23" width="4.85546875" style="295" customWidth="1"/>
    <col min="24" max="24" width="4" style="295" customWidth="1"/>
    <col min="25" max="25" width="3.5703125" style="295" customWidth="1"/>
    <col min="26" max="26" width="4.28515625" style="295" customWidth="1"/>
    <col min="27" max="27" width="3.85546875" style="295" customWidth="1"/>
    <col min="28" max="29" width="4" style="295" customWidth="1"/>
    <col min="30" max="30" width="2" style="295" customWidth="1"/>
    <col min="31" max="31" width="13.28515625" style="295" customWidth="1"/>
    <col min="32" max="32" width="9" style="295" customWidth="1"/>
    <col min="33" max="16384" width="9.140625" style="295"/>
  </cols>
  <sheetData>
    <row r="2" spans="2:32" ht="15" customHeight="1" x14ac:dyDescent="0.2">
      <c r="B2" s="297" t="s">
        <v>218</v>
      </c>
      <c r="C2" s="297" t="s">
        <v>42</v>
      </c>
      <c r="D2" s="297" t="s">
        <v>43</v>
      </c>
      <c r="E2" s="297" t="s">
        <v>44</v>
      </c>
      <c r="F2" s="297" t="s">
        <v>45</v>
      </c>
      <c r="G2" s="297" t="s">
        <v>46</v>
      </c>
      <c r="H2" s="297" t="s">
        <v>49</v>
      </c>
      <c r="I2" s="297" t="s">
        <v>39</v>
      </c>
      <c r="J2" s="297" t="s">
        <v>49</v>
      </c>
      <c r="K2" s="297" t="s">
        <v>40</v>
      </c>
      <c r="L2" s="297" t="s">
        <v>49</v>
      </c>
      <c r="N2" s="298" t="s">
        <v>125</v>
      </c>
      <c r="O2" s="299">
        <v>62</v>
      </c>
      <c r="Q2" s="298" t="s">
        <v>44</v>
      </c>
      <c r="R2" s="300">
        <f>E69</f>
        <v>5</v>
      </c>
      <c r="T2" s="298" t="s">
        <v>39</v>
      </c>
      <c r="U2" s="301">
        <f>J69</f>
        <v>4</v>
      </c>
      <c r="W2" s="797" t="s">
        <v>126</v>
      </c>
      <c r="X2" s="797"/>
      <c r="Y2" s="797"/>
      <c r="Z2" s="797"/>
      <c r="AA2" s="797"/>
      <c r="AB2" s="797"/>
      <c r="AC2" s="797"/>
      <c r="AE2" s="305" t="s">
        <v>127</v>
      </c>
      <c r="AF2" s="306">
        <f>(U8-U3-U2-R5)</f>
        <v>1523</v>
      </c>
    </row>
    <row r="3" spans="2:32" ht="12.75" customHeight="1" x14ac:dyDescent="0.2">
      <c r="B3" s="840" t="str">
        <f>IFERROR(_xlfn.XLOOKUP($C3,COM_Cadastro!$F$3:$F$199,COM_Cadastro!$B$3:$B$199),"")</f>
        <v/>
      </c>
      <c r="C3" s="327" t="s">
        <v>617</v>
      </c>
      <c r="D3" s="327" t="s">
        <v>618</v>
      </c>
      <c r="E3" s="328"/>
      <c r="F3" s="601"/>
      <c r="G3" s="602"/>
      <c r="H3" s="603">
        <v>0</v>
      </c>
      <c r="I3" s="604"/>
      <c r="J3" s="133">
        <v>0</v>
      </c>
      <c r="K3" s="543"/>
      <c r="L3" s="78">
        <v>0</v>
      </c>
      <c r="Q3" s="298" t="s">
        <v>45</v>
      </c>
      <c r="R3" s="301">
        <f>F69</f>
        <v>7</v>
      </c>
      <c r="T3" s="298" t="s">
        <v>40</v>
      </c>
      <c r="U3" s="301">
        <f>L69</f>
        <v>48</v>
      </c>
      <c r="W3" s="312" t="s">
        <v>128</v>
      </c>
      <c r="X3" s="313" t="s">
        <v>129</v>
      </c>
      <c r="Y3" s="313" t="s">
        <v>130</v>
      </c>
      <c r="Z3" s="313" t="s">
        <v>131</v>
      </c>
      <c r="AA3" s="313" t="s">
        <v>132</v>
      </c>
      <c r="AB3" s="313" t="s">
        <v>133</v>
      </c>
      <c r="AC3" s="314" t="s">
        <v>134</v>
      </c>
      <c r="AE3" s="305" t="s">
        <v>135</v>
      </c>
      <c r="AF3" s="315">
        <f>U8-AF2</f>
        <v>63</v>
      </c>
    </row>
    <row r="4" spans="2:32" ht="12.75" customHeight="1" x14ac:dyDescent="0.2">
      <c r="B4" s="840" t="str">
        <f>IFERROR(_xlfn.XLOOKUP($C4,COM_Cadastro!$F$3:$F$199,COM_Cadastro!$B$3:$B$199),"")</f>
        <v/>
      </c>
      <c r="C4" s="327" t="s">
        <v>619</v>
      </c>
      <c r="D4" s="327" t="s">
        <v>618</v>
      </c>
      <c r="E4" s="328">
        <v>46034</v>
      </c>
      <c r="F4" s="605"/>
      <c r="G4" s="602"/>
      <c r="H4" s="603">
        <v>0</v>
      </c>
      <c r="I4" s="604"/>
      <c r="J4" s="133">
        <v>0</v>
      </c>
      <c r="K4" s="543"/>
      <c r="L4" s="78">
        <v>0</v>
      </c>
      <c r="Q4" s="319" t="s">
        <v>56</v>
      </c>
      <c r="R4" s="301">
        <f>O2+R2-R3</f>
        <v>60</v>
      </c>
      <c r="T4" s="298" t="s">
        <v>59</v>
      </c>
      <c r="U4" s="301">
        <f>K69</f>
        <v>2</v>
      </c>
      <c r="W4" s="320"/>
      <c r="X4" s="321"/>
      <c r="Y4" s="321"/>
      <c r="Z4" s="322"/>
      <c r="AA4" s="323">
        <v>46023</v>
      </c>
      <c r="AB4" s="324">
        <v>46024</v>
      </c>
      <c r="AC4" s="606">
        <v>46025</v>
      </c>
      <c r="AE4" s="305" t="s">
        <v>136</v>
      </c>
      <c r="AF4" s="545">
        <f>(R4*8.8)*R7</f>
        <v>13728</v>
      </c>
    </row>
    <row r="5" spans="2:32" ht="12.75" customHeight="1" x14ac:dyDescent="0.2">
      <c r="B5" s="840">
        <f>IFERROR(_xlfn.XLOOKUP($C5,COM_Cadastro!$F$3:$F$199,COM_Cadastro!$B$3:$B$199),"")</f>
        <v>85498742720</v>
      </c>
      <c r="C5" s="327" t="s">
        <v>386</v>
      </c>
      <c r="D5" s="327" t="s">
        <v>618</v>
      </c>
      <c r="E5" s="328"/>
      <c r="F5" s="546"/>
      <c r="G5" s="607"/>
      <c r="H5" s="603">
        <v>0</v>
      </c>
      <c r="I5" s="604"/>
      <c r="J5" s="133">
        <v>0</v>
      </c>
      <c r="K5" s="543"/>
      <c r="L5" s="78">
        <v>0</v>
      </c>
      <c r="Q5" s="298" t="s">
        <v>137</v>
      </c>
      <c r="R5" s="329">
        <f>H69</f>
        <v>11</v>
      </c>
      <c r="T5" s="330"/>
      <c r="U5" s="331"/>
      <c r="W5" s="332">
        <v>46026</v>
      </c>
      <c r="X5" s="333">
        <v>46027</v>
      </c>
      <c r="Y5" s="333">
        <v>46028</v>
      </c>
      <c r="Z5" s="333">
        <v>46029</v>
      </c>
      <c r="AA5" s="333">
        <v>46030</v>
      </c>
      <c r="AB5" s="333">
        <v>46031</v>
      </c>
      <c r="AC5" s="608">
        <v>46032</v>
      </c>
      <c r="AE5" s="305" t="s">
        <v>138</v>
      </c>
      <c r="AF5" s="545">
        <f>AF3*8.8</f>
        <v>554.40000000000009</v>
      </c>
    </row>
    <row r="6" spans="2:32" ht="12.75" customHeight="1" x14ac:dyDescent="0.2">
      <c r="B6" s="840" t="str">
        <f>IFERROR(_xlfn.XLOOKUP($C6,COM_Cadastro!$F$3:$F$199,COM_Cadastro!$B$3:$B$199),"")</f>
        <v/>
      </c>
      <c r="C6" s="327" t="s">
        <v>388</v>
      </c>
      <c r="D6" s="327" t="s">
        <v>618</v>
      </c>
      <c r="E6" s="328">
        <v>46036</v>
      </c>
      <c r="F6" s="548"/>
      <c r="G6" s="607"/>
      <c r="H6" s="603">
        <v>0</v>
      </c>
      <c r="I6" s="604"/>
      <c r="J6" s="133">
        <v>0</v>
      </c>
      <c r="K6" s="543"/>
      <c r="L6" s="78">
        <v>0</v>
      </c>
      <c r="W6" s="338">
        <v>46033</v>
      </c>
      <c r="X6" s="339">
        <v>46034</v>
      </c>
      <c r="Y6" s="339">
        <v>46035</v>
      </c>
      <c r="Z6" s="339">
        <v>46036</v>
      </c>
      <c r="AA6" s="339">
        <v>46037</v>
      </c>
      <c r="AB6" s="339">
        <v>46038</v>
      </c>
      <c r="AC6" s="609">
        <v>46039</v>
      </c>
      <c r="AE6" s="305" t="s">
        <v>140</v>
      </c>
      <c r="AF6" s="545">
        <f>(AF4-AF5)/(8.8*R7)</f>
        <v>57.576923076923073</v>
      </c>
    </row>
    <row r="7" spans="2:32" ht="12.75" customHeight="1" x14ac:dyDescent="0.2">
      <c r="B7" s="840" t="str">
        <f>IFERROR(_xlfn.XLOOKUP($C7,COM_Cadastro!$F$3:$F$199,COM_Cadastro!$B$3:$B$199),"")</f>
        <v/>
      </c>
      <c r="C7" s="373" t="s">
        <v>620</v>
      </c>
      <c r="D7" s="373" t="s">
        <v>618</v>
      </c>
      <c r="E7" s="337"/>
      <c r="F7" s="546">
        <v>46027</v>
      </c>
      <c r="G7" s="610"/>
      <c r="H7" s="603">
        <v>0</v>
      </c>
      <c r="I7" s="604"/>
      <c r="J7" s="133">
        <v>0</v>
      </c>
      <c r="K7" s="543"/>
      <c r="L7" s="78">
        <v>0</v>
      </c>
      <c r="Q7" s="343" t="s">
        <v>22</v>
      </c>
      <c r="R7" s="344">
        <v>26</v>
      </c>
      <c r="T7" s="549" t="s">
        <v>141</v>
      </c>
      <c r="U7" s="550">
        <f>(O2+R4)/2</f>
        <v>61</v>
      </c>
      <c r="W7" s="346">
        <v>46040</v>
      </c>
      <c r="X7" s="347">
        <v>46041</v>
      </c>
      <c r="Y7" s="347">
        <v>46042</v>
      </c>
      <c r="Z7" s="347">
        <v>46043</v>
      </c>
      <c r="AA7" s="347">
        <v>46044</v>
      </c>
      <c r="AB7" s="347">
        <v>46045</v>
      </c>
      <c r="AC7" s="611">
        <v>46046</v>
      </c>
    </row>
    <row r="8" spans="2:32" ht="12.75" customHeight="1" x14ac:dyDescent="0.2">
      <c r="B8" s="840">
        <f>IFERROR(_xlfn.XLOOKUP($C8,COM_Cadastro!$F$3:$F$199,COM_Cadastro!$B$3:$B$199),"")</f>
        <v>10700664785</v>
      </c>
      <c r="C8" s="326" t="s">
        <v>395</v>
      </c>
      <c r="D8" s="581" t="s">
        <v>618</v>
      </c>
      <c r="E8" s="551"/>
      <c r="F8" s="551"/>
      <c r="G8" s="612"/>
      <c r="H8" s="603">
        <v>0</v>
      </c>
      <c r="I8" s="604"/>
      <c r="J8" s="133">
        <v>0</v>
      </c>
      <c r="K8" s="543" t="s">
        <v>301</v>
      </c>
      <c r="L8" s="78">
        <v>24</v>
      </c>
      <c r="Q8" s="343" t="s">
        <v>142</v>
      </c>
      <c r="R8" s="349">
        <v>5</v>
      </c>
      <c r="T8" s="343" t="s">
        <v>143</v>
      </c>
      <c r="U8" s="350">
        <f>R7*U7</f>
        <v>1586</v>
      </c>
      <c r="W8" s="351">
        <v>46047</v>
      </c>
      <c r="X8" s="352">
        <v>46048</v>
      </c>
      <c r="Y8" s="352">
        <v>46049</v>
      </c>
      <c r="Z8" s="352">
        <v>46050</v>
      </c>
      <c r="AA8" s="352">
        <v>46051</v>
      </c>
      <c r="AB8" s="352">
        <v>46052</v>
      </c>
      <c r="AC8" s="613">
        <v>46053</v>
      </c>
    </row>
    <row r="9" spans="2:32" ht="12.75" customHeight="1" x14ac:dyDescent="0.2">
      <c r="B9" s="840" t="str">
        <f>IFERROR(_xlfn.XLOOKUP($C9,COM_Cadastro!$F$3:$F$199,COM_Cadastro!$B$3:$B$199),"")</f>
        <v/>
      </c>
      <c r="C9" s="326" t="s">
        <v>621</v>
      </c>
      <c r="D9" s="581" t="s">
        <v>618</v>
      </c>
      <c r="E9" s="551"/>
      <c r="F9" s="551"/>
      <c r="G9" s="612"/>
      <c r="H9" s="603">
        <v>0</v>
      </c>
      <c r="I9" s="604">
        <v>5</v>
      </c>
      <c r="J9" s="133">
        <v>1</v>
      </c>
      <c r="K9" s="543"/>
      <c r="L9" s="78">
        <v>0</v>
      </c>
    </row>
    <row r="10" spans="2:32" ht="12.75" customHeight="1" x14ac:dyDescent="0.2">
      <c r="B10" s="840">
        <f>IFERROR(_xlfn.XLOOKUP($C10,COM_Cadastro!$F$3:$F$199,COM_Cadastro!$B$3:$B$199),"")</f>
        <v>12945406705</v>
      </c>
      <c r="C10" s="326" t="s">
        <v>402</v>
      </c>
      <c r="D10" s="581" t="s">
        <v>618</v>
      </c>
      <c r="E10" s="551"/>
      <c r="F10" s="551"/>
      <c r="G10" s="612"/>
      <c r="H10" s="603">
        <v>1</v>
      </c>
      <c r="I10" s="604" t="s">
        <v>622</v>
      </c>
      <c r="J10" s="133">
        <v>1</v>
      </c>
      <c r="K10" s="543"/>
      <c r="L10" s="78">
        <v>0</v>
      </c>
    </row>
    <row r="11" spans="2:32" ht="12.75" customHeight="1" x14ac:dyDescent="0.2">
      <c r="B11" s="840">
        <f>IFERROR(_xlfn.XLOOKUP($C11,COM_Cadastro!$F$3:$F$199,COM_Cadastro!$B$3:$B$199),"")</f>
        <v>8751479761</v>
      </c>
      <c r="C11" s="326" t="s">
        <v>408</v>
      </c>
      <c r="D11" s="581" t="s">
        <v>618</v>
      </c>
      <c r="E11" s="551"/>
      <c r="F11" s="551"/>
      <c r="G11" s="612"/>
      <c r="H11" s="603">
        <v>0</v>
      </c>
      <c r="I11" s="604"/>
      <c r="J11" s="133">
        <v>0</v>
      </c>
      <c r="K11" s="543"/>
      <c r="L11" s="78">
        <v>0</v>
      </c>
    </row>
    <row r="12" spans="2:32" ht="12.75" customHeight="1" x14ac:dyDescent="0.2">
      <c r="B12" s="840" t="str">
        <f>IFERROR(_xlfn.XLOOKUP($C12,COM_Cadastro!$F$3:$F$199,COM_Cadastro!$B$3:$B$199),"")</f>
        <v/>
      </c>
      <c r="C12" s="326" t="s">
        <v>623</v>
      </c>
      <c r="D12" s="581" t="s">
        <v>618</v>
      </c>
      <c r="E12" s="551"/>
      <c r="F12" s="551"/>
      <c r="G12" s="612"/>
      <c r="H12" s="603">
        <v>0</v>
      </c>
      <c r="I12" s="604"/>
      <c r="J12" s="133">
        <v>0</v>
      </c>
      <c r="K12" s="543"/>
      <c r="L12" s="78">
        <v>0</v>
      </c>
    </row>
    <row r="13" spans="2:32" ht="12.75" customHeight="1" x14ac:dyDescent="0.2">
      <c r="B13" s="840">
        <f>IFERROR(_xlfn.XLOOKUP($C13,COM_Cadastro!$F$3:$F$199,COM_Cadastro!$B$3:$B$199),"")</f>
        <v>70118531204</v>
      </c>
      <c r="C13" s="326" t="s">
        <v>424</v>
      </c>
      <c r="D13" s="581" t="s">
        <v>618</v>
      </c>
      <c r="E13" s="551"/>
      <c r="F13" s="551"/>
      <c r="G13" s="612"/>
      <c r="H13" s="603">
        <v>0</v>
      </c>
      <c r="I13" s="604"/>
      <c r="J13" s="133">
        <v>0</v>
      </c>
      <c r="K13" s="543"/>
      <c r="L13" s="78">
        <v>0</v>
      </c>
    </row>
    <row r="14" spans="2:32" ht="12.75" customHeight="1" x14ac:dyDescent="0.2">
      <c r="B14" s="840">
        <f>IFERROR(_xlfn.XLOOKUP($C14,COM_Cadastro!$F$3:$F$199,COM_Cadastro!$B$3:$B$199),"")</f>
        <v>10962897760</v>
      </c>
      <c r="C14" s="326" t="s">
        <v>432</v>
      </c>
      <c r="D14" s="581" t="s">
        <v>618</v>
      </c>
      <c r="E14" s="551"/>
      <c r="F14" s="551"/>
      <c r="G14" s="612"/>
      <c r="H14" s="603">
        <v>0</v>
      </c>
      <c r="I14" s="604"/>
      <c r="J14" s="133">
        <v>0</v>
      </c>
      <c r="K14" s="543"/>
      <c r="L14" s="78">
        <v>0</v>
      </c>
    </row>
    <row r="15" spans="2:32" ht="12.75" customHeight="1" x14ac:dyDescent="0.2">
      <c r="B15" s="840" t="str">
        <f>IFERROR(_xlfn.XLOOKUP($C15,COM_Cadastro!$F$3:$F$199,COM_Cadastro!$B$3:$B$199),"")</f>
        <v/>
      </c>
      <c r="C15" s="326" t="s">
        <v>624</v>
      </c>
      <c r="D15" s="581" t="s">
        <v>618</v>
      </c>
      <c r="E15" s="551"/>
      <c r="F15" s="551"/>
      <c r="G15" s="612"/>
      <c r="H15" s="603">
        <v>0</v>
      </c>
      <c r="I15" s="604"/>
      <c r="J15" s="133">
        <v>0</v>
      </c>
      <c r="K15" s="543"/>
      <c r="L15" s="78">
        <v>0</v>
      </c>
    </row>
    <row r="16" spans="2:32" ht="12.75" customHeight="1" x14ac:dyDescent="0.2">
      <c r="B16" s="840" t="str">
        <f>IFERROR(_xlfn.XLOOKUP($C16,COM_Cadastro!$F$3:$F$199,COM_Cadastro!$B$3:$B$199),"")</f>
        <v/>
      </c>
      <c r="C16" s="326" t="s">
        <v>625</v>
      </c>
      <c r="D16" s="581" t="s">
        <v>618</v>
      </c>
      <c r="E16" s="551"/>
      <c r="F16" s="551"/>
      <c r="G16" s="612"/>
      <c r="H16" s="603">
        <v>0</v>
      </c>
      <c r="I16" s="604"/>
      <c r="J16" s="133">
        <v>0</v>
      </c>
      <c r="K16" s="543"/>
      <c r="L16" s="78">
        <v>0</v>
      </c>
    </row>
    <row r="17" spans="2:12" ht="12.75" customHeight="1" x14ac:dyDescent="0.2">
      <c r="B17" s="840" t="str">
        <f>IFERROR(_xlfn.XLOOKUP($C17,COM_Cadastro!$F$3:$F$199,COM_Cadastro!$B$3:$B$199),"")</f>
        <v/>
      </c>
      <c r="C17" s="326" t="s">
        <v>626</v>
      </c>
      <c r="D17" s="581" t="s">
        <v>618</v>
      </c>
      <c r="E17" s="551"/>
      <c r="F17" s="551"/>
      <c r="G17" s="612"/>
      <c r="H17" s="603">
        <v>0</v>
      </c>
      <c r="I17" s="604"/>
      <c r="J17" s="133">
        <v>0</v>
      </c>
      <c r="K17" s="543"/>
      <c r="L17" s="78">
        <v>0</v>
      </c>
    </row>
    <row r="18" spans="2:12" ht="12.75" customHeight="1" x14ac:dyDescent="0.2">
      <c r="B18" s="840" t="str">
        <f>IFERROR(_xlfn.XLOOKUP($C18,COM_Cadastro!$F$3:$F$199,COM_Cadastro!$B$3:$B$199),"")</f>
        <v/>
      </c>
      <c r="C18" s="326" t="s">
        <v>627</v>
      </c>
      <c r="D18" s="581" t="s">
        <v>618</v>
      </c>
      <c r="E18" s="551"/>
      <c r="F18" s="551"/>
      <c r="G18" s="612"/>
      <c r="H18" s="603">
        <v>0</v>
      </c>
      <c r="I18" s="604"/>
      <c r="J18" s="133">
        <v>0</v>
      </c>
      <c r="K18" s="543"/>
      <c r="L18" s="78">
        <v>0</v>
      </c>
    </row>
    <row r="19" spans="2:12" ht="12.75" customHeight="1" x14ac:dyDescent="0.2">
      <c r="B19" s="840" t="str">
        <f>IFERROR(_xlfn.XLOOKUP($C19,COM_Cadastro!$F$3:$F$199,COM_Cadastro!$B$3:$B$199),"")</f>
        <v/>
      </c>
      <c r="C19" s="554" t="s">
        <v>628</v>
      </c>
      <c r="D19" s="599" t="s">
        <v>618</v>
      </c>
      <c r="E19" s="614"/>
      <c r="F19" s="614">
        <v>46036</v>
      </c>
      <c r="G19" s="615"/>
      <c r="H19" s="603">
        <v>0</v>
      </c>
      <c r="I19" s="604"/>
      <c r="J19" s="133">
        <v>0</v>
      </c>
      <c r="K19" s="543"/>
      <c r="L19" s="78">
        <v>0</v>
      </c>
    </row>
    <row r="20" spans="2:12" ht="12.75" customHeight="1" x14ac:dyDescent="0.2">
      <c r="B20" s="840">
        <f>IFERROR(_xlfn.XLOOKUP($C20,COM_Cadastro!$F$3:$F$199,COM_Cadastro!$B$3:$B$199),"")</f>
        <v>6427753703</v>
      </c>
      <c r="C20" s="326" t="s">
        <v>553</v>
      </c>
      <c r="D20" s="581" t="s">
        <v>618</v>
      </c>
      <c r="E20" s="551"/>
      <c r="F20" s="551"/>
      <c r="G20" s="612"/>
      <c r="H20" s="603">
        <v>0</v>
      </c>
      <c r="I20" s="604"/>
      <c r="J20" s="133">
        <v>0</v>
      </c>
      <c r="K20" s="543"/>
      <c r="L20" s="78">
        <v>0</v>
      </c>
    </row>
    <row r="21" spans="2:12" ht="12.75" customHeight="1" x14ac:dyDescent="0.2">
      <c r="B21" s="840" t="str">
        <f>IFERROR(_xlfn.XLOOKUP($C21,COM_Cadastro!$F$3:$F$199,COM_Cadastro!$B$3:$B$199),"")</f>
        <v/>
      </c>
      <c r="C21" s="326" t="s">
        <v>563</v>
      </c>
      <c r="D21" s="581" t="s">
        <v>618</v>
      </c>
      <c r="E21" s="551"/>
      <c r="F21" s="551"/>
      <c r="G21" s="612"/>
      <c r="H21" s="603">
        <v>0</v>
      </c>
      <c r="I21" s="604"/>
      <c r="J21" s="133">
        <v>0</v>
      </c>
      <c r="K21" s="543"/>
      <c r="L21" s="78">
        <v>0</v>
      </c>
    </row>
    <row r="22" spans="2:12" ht="12.75" customHeight="1" x14ac:dyDescent="0.2">
      <c r="B22" s="840" t="str">
        <f>IFERROR(_xlfn.XLOOKUP($C22,COM_Cadastro!$F$3:$F$199,COM_Cadastro!$B$3:$B$199),"")</f>
        <v/>
      </c>
      <c r="C22" s="326" t="s">
        <v>629</v>
      </c>
      <c r="D22" s="581" t="s">
        <v>618</v>
      </c>
      <c r="E22" s="551"/>
      <c r="F22" s="551"/>
      <c r="G22" s="612"/>
      <c r="H22" s="603">
        <v>0</v>
      </c>
      <c r="I22" s="604"/>
      <c r="J22" s="133">
        <v>0</v>
      </c>
      <c r="K22" s="543"/>
      <c r="L22" s="78">
        <v>0</v>
      </c>
    </row>
    <row r="23" spans="2:12" ht="12.75" customHeight="1" x14ac:dyDescent="0.2">
      <c r="B23" s="840">
        <f>IFERROR(_xlfn.XLOOKUP($C23,COM_Cadastro!$F$3:$F$199,COM_Cadastro!$B$3:$B$199),"")</f>
        <v>15863249773</v>
      </c>
      <c r="C23" s="326" t="s">
        <v>571</v>
      </c>
      <c r="D23" s="581" t="s">
        <v>618</v>
      </c>
      <c r="E23" s="551"/>
      <c r="F23" s="551"/>
      <c r="G23" s="612"/>
      <c r="H23" s="603">
        <v>0</v>
      </c>
      <c r="I23" s="604"/>
      <c r="J23" s="133">
        <v>0</v>
      </c>
      <c r="K23" s="543"/>
      <c r="L23" s="78">
        <v>0</v>
      </c>
    </row>
    <row r="24" spans="2:12" ht="12.75" customHeight="1" x14ac:dyDescent="0.2">
      <c r="B24" s="840">
        <f>IFERROR(_xlfn.XLOOKUP($C24,COM_Cadastro!$F$3:$F$199,COM_Cadastro!$B$3:$B$199),"")</f>
        <v>7954726762</v>
      </c>
      <c r="C24" s="326" t="s">
        <v>576</v>
      </c>
      <c r="D24" s="581" t="s">
        <v>618</v>
      </c>
      <c r="E24" s="551"/>
      <c r="F24" s="551"/>
      <c r="G24" s="612"/>
      <c r="H24" s="603">
        <v>0</v>
      </c>
      <c r="I24" s="604"/>
      <c r="J24" s="133">
        <v>0</v>
      </c>
      <c r="K24" s="543"/>
      <c r="L24" s="78">
        <v>0</v>
      </c>
    </row>
    <row r="25" spans="2:12" ht="12.75" customHeight="1" x14ac:dyDescent="0.2">
      <c r="B25" s="840">
        <f>IFERROR(_xlfn.XLOOKUP($C25,COM_Cadastro!$F$3:$F$199,COM_Cadastro!$B$3:$B$199),"")</f>
        <v>15863236795</v>
      </c>
      <c r="C25" s="326" t="s">
        <v>579</v>
      </c>
      <c r="D25" s="581" t="s">
        <v>618</v>
      </c>
      <c r="E25" s="551"/>
      <c r="F25" s="551"/>
      <c r="G25" s="612"/>
      <c r="H25" s="603">
        <v>9</v>
      </c>
      <c r="I25" s="604"/>
      <c r="J25" s="133">
        <v>0</v>
      </c>
      <c r="K25" s="543"/>
      <c r="L25" s="78">
        <v>0</v>
      </c>
    </row>
    <row r="26" spans="2:12" ht="12.75" customHeight="1" x14ac:dyDescent="0.2">
      <c r="B26" s="840" t="str">
        <f>IFERROR(_xlfn.XLOOKUP($C26,COM_Cadastro!$F$3:$F$199,COM_Cadastro!$B$3:$B$199),"")</f>
        <v/>
      </c>
      <c r="C26" s="326" t="s">
        <v>582</v>
      </c>
      <c r="D26" s="581" t="s">
        <v>618</v>
      </c>
      <c r="E26" s="551"/>
      <c r="F26" s="551"/>
      <c r="G26" s="612"/>
      <c r="H26" s="603">
        <v>0</v>
      </c>
      <c r="I26" s="604" t="s">
        <v>630</v>
      </c>
      <c r="J26" s="133">
        <v>1</v>
      </c>
      <c r="K26" s="543"/>
      <c r="L26" s="78">
        <v>0</v>
      </c>
    </row>
    <row r="27" spans="2:12" ht="12.75" customHeight="1" x14ac:dyDescent="0.2">
      <c r="B27" s="840" t="str">
        <f>IFERROR(_xlfn.XLOOKUP($C27,COM_Cadastro!$F$3:$F$199,COM_Cadastro!$B$3:$B$199),"")</f>
        <v/>
      </c>
      <c r="C27" s="554" t="s">
        <v>631</v>
      </c>
      <c r="D27" s="599" t="s">
        <v>618</v>
      </c>
      <c r="E27" s="614"/>
      <c r="F27" s="614">
        <v>46042</v>
      </c>
      <c r="G27" s="615"/>
      <c r="H27" s="603">
        <v>0</v>
      </c>
      <c r="I27" s="604"/>
      <c r="J27" s="133">
        <v>0</v>
      </c>
      <c r="K27" s="543"/>
      <c r="L27" s="78">
        <v>0</v>
      </c>
    </row>
    <row r="28" spans="2:12" ht="12.75" customHeight="1" x14ac:dyDescent="0.2">
      <c r="B28" s="840" t="str">
        <f>IFERROR(_xlfn.XLOOKUP($C28,COM_Cadastro!$F$3:$F$199,COM_Cadastro!$B$3:$B$199),"")</f>
        <v/>
      </c>
      <c r="C28" s="326" t="s">
        <v>632</v>
      </c>
      <c r="D28" s="581" t="s">
        <v>618</v>
      </c>
      <c r="E28" s="551"/>
      <c r="F28" s="551"/>
      <c r="G28" s="612"/>
      <c r="H28" s="603">
        <v>0</v>
      </c>
      <c r="I28" s="604"/>
      <c r="J28" s="133">
        <v>0</v>
      </c>
      <c r="K28" s="543"/>
      <c r="L28" s="78">
        <v>0</v>
      </c>
    </row>
    <row r="29" spans="2:12" ht="12.75" customHeight="1" x14ac:dyDescent="0.2">
      <c r="B29" s="840">
        <f>IFERROR(_xlfn.XLOOKUP($C29,COM_Cadastro!$F$3:$F$199,COM_Cadastro!$B$3:$B$199),"")</f>
        <v>99272113768</v>
      </c>
      <c r="C29" s="326" t="s">
        <v>589</v>
      </c>
      <c r="D29" s="581" t="s">
        <v>618</v>
      </c>
      <c r="E29" s="551"/>
      <c r="F29" s="551"/>
      <c r="G29" s="612"/>
      <c r="H29" s="603">
        <v>0</v>
      </c>
      <c r="I29" s="604"/>
      <c r="J29" s="133">
        <v>0</v>
      </c>
      <c r="K29" s="543"/>
      <c r="L29" s="78">
        <v>0</v>
      </c>
    </row>
    <row r="30" spans="2:12" ht="12.75" customHeight="1" x14ac:dyDescent="0.2">
      <c r="B30" s="840" t="str">
        <f>IFERROR(_xlfn.XLOOKUP($C30,COM_Cadastro!$F$3:$F$199,COM_Cadastro!$B$3:$B$199),"")</f>
        <v/>
      </c>
      <c r="C30" s="554" t="s">
        <v>633</v>
      </c>
      <c r="D30" s="599" t="s">
        <v>618</v>
      </c>
      <c r="E30" s="614"/>
      <c r="F30" s="614">
        <v>46052</v>
      </c>
      <c r="G30" s="615"/>
      <c r="H30" s="603">
        <v>0</v>
      </c>
      <c r="I30" s="604"/>
      <c r="J30" s="133">
        <v>0</v>
      </c>
      <c r="K30" s="543"/>
      <c r="L30" s="78">
        <v>0</v>
      </c>
    </row>
    <row r="31" spans="2:12" ht="12.75" customHeight="1" x14ac:dyDescent="0.2">
      <c r="B31" s="840">
        <f>IFERROR(_xlfn.XLOOKUP($C31,COM_Cadastro!$F$3:$F$199,COM_Cadastro!$B$3:$B$199),"")</f>
        <v>14621117777</v>
      </c>
      <c r="C31" s="326" t="s">
        <v>599</v>
      </c>
      <c r="D31" s="581" t="s">
        <v>618</v>
      </c>
      <c r="E31" s="551"/>
      <c r="F31" s="551"/>
      <c r="G31" s="612"/>
      <c r="H31" s="603">
        <v>0</v>
      </c>
      <c r="I31" s="604"/>
      <c r="J31" s="133">
        <v>0</v>
      </c>
      <c r="K31" s="543"/>
      <c r="L31" s="78">
        <v>0</v>
      </c>
    </row>
    <row r="32" spans="2:12" ht="12.75" customHeight="1" x14ac:dyDescent="0.2">
      <c r="B32" s="840">
        <f>IFERROR(_xlfn.XLOOKUP($C32,COM_Cadastro!$F$3:$F$199,COM_Cadastro!$B$3:$B$199),"")</f>
        <v>12136959700</v>
      </c>
      <c r="C32" s="326" t="s">
        <v>603</v>
      </c>
      <c r="D32" s="581" t="s">
        <v>618</v>
      </c>
      <c r="E32" s="551"/>
      <c r="F32" s="551"/>
      <c r="G32" s="612"/>
      <c r="H32" s="603">
        <v>0</v>
      </c>
      <c r="I32" s="604"/>
      <c r="J32" s="133">
        <v>0</v>
      </c>
      <c r="K32" s="543"/>
      <c r="L32" s="78">
        <v>0</v>
      </c>
    </row>
    <row r="33" spans="2:12" ht="12.75" customHeight="1" x14ac:dyDescent="0.2">
      <c r="B33" s="840" t="str">
        <f>IFERROR(_xlfn.XLOOKUP($C33,COM_Cadastro!$F$3:$F$199,COM_Cadastro!$B$3:$B$199),"")</f>
        <v/>
      </c>
      <c r="C33" s="326" t="s">
        <v>614</v>
      </c>
      <c r="D33" s="581" t="s">
        <v>618</v>
      </c>
      <c r="E33" s="551"/>
      <c r="F33" s="551"/>
      <c r="G33" s="612"/>
      <c r="H33" s="603">
        <v>0</v>
      </c>
      <c r="I33" s="604" t="s">
        <v>634</v>
      </c>
      <c r="J33" s="133">
        <v>1</v>
      </c>
      <c r="K33" s="543"/>
      <c r="L33" s="78">
        <v>0</v>
      </c>
    </row>
    <row r="34" spans="2:12" ht="12.75" customHeight="1" x14ac:dyDescent="0.2">
      <c r="B34" s="840">
        <f>IFERROR(_xlfn.XLOOKUP($C34,COM_Cadastro!$F$3:$F$199,COM_Cadastro!$B$3:$B$199),"")</f>
        <v>5462943679</v>
      </c>
      <c r="C34" s="616" t="s">
        <v>370</v>
      </c>
      <c r="D34" s="600" t="s">
        <v>635</v>
      </c>
      <c r="E34" s="617"/>
      <c r="F34" s="618"/>
      <c r="G34" s="619"/>
      <c r="H34" s="603">
        <v>0</v>
      </c>
      <c r="I34" s="604"/>
      <c r="J34" s="133">
        <v>0</v>
      </c>
      <c r="K34" s="543" t="s">
        <v>636</v>
      </c>
      <c r="L34" s="78">
        <v>24</v>
      </c>
    </row>
    <row r="35" spans="2:12" ht="12.75" customHeight="1" x14ac:dyDescent="0.2">
      <c r="B35" s="840" t="str">
        <f>IFERROR(_xlfn.XLOOKUP($C35,COM_Cadastro!$F$3:$F$199,COM_Cadastro!$B$3:$B$199),"")</f>
        <v/>
      </c>
      <c r="C35" s="616" t="s">
        <v>637</v>
      </c>
      <c r="D35" s="600" t="s">
        <v>638</v>
      </c>
      <c r="E35" s="617">
        <v>46031</v>
      </c>
      <c r="F35" s="617"/>
      <c r="G35" s="619"/>
      <c r="H35" s="603">
        <v>0</v>
      </c>
      <c r="I35" s="604"/>
      <c r="J35" s="133">
        <v>0</v>
      </c>
      <c r="K35" s="543"/>
      <c r="L35" s="78">
        <v>0</v>
      </c>
    </row>
    <row r="36" spans="2:12" ht="12.75" customHeight="1" x14ac:dyDescent="0.2">
      <c r="B36" s="840" t="str">
        <f>IFERROR(_xlfn.XLOOKUP($C36,COM_Cadastro!$F$3:$F$199,COM_Cadastro!$B$3:$B$199),"")</f>
        <v/>
      </c>
      <c r="C36" s="554" t="s">
        <v>639</v>
      </c>
      <c r="D36" s="599" t="s">
        <v>635</v>
      </c>
      <c r="E36" s="614"/>
      <c r="F36" s="614">
        <v>46045</v>
      </c>
      <c r="G36" s="619"/>
      <c r="H36" s="603">
        <v>0</v>
      </c>
      <c r="I36" s="604"/>
      <c r="J36" s="133">
        <v>0</v>
      </c>
      <c r="K36" s="543"/>
      <c r="L36" s="78">
        <v>0</v>
      </c>
    </row>
    <row r="37" spans="2:12" ht="12.75" customHeight="1" x14ac:dyDescent="0.2">
      <c r="B37" s="840" t="str">
        <f>IFERROR(_xlfn.XLOOKUP($C37,COM_Cadastro!$F$3:$F$199,COM_Cadastro!$B$3:$B$199),"")</f>
        <v/>
      </c>
      <c r="C37" s="616" t="s">
        <v>640</v>
      </c>
      <c r="D37" s="600" t="s">
        <v>641</v>
      </c>
      <c r="E37" s="617">
        <v>46028</v>
      </c>
      <c r="F37" s="617"/>
      <c r="G37" s="619"/>
      <c r="H37" s="603">
        <v>0</v>
      </c>
      <c r="I37" s="604"/>
      <c r="J37" s="133">
        <v>0</v>
      </c>
      <c r="K37" s="543"/>
      <c r="L37" s="78">
        <v>0</v>
      </c>
    </row>
    <row r="38" spans="2:12" ht="12.75" customHeight="1" x14ac:dyDescent="0.2">
      <c r="B38" s="840" t="str">
        <f>IFERROR(_xlfn.XLOOKUP($C38,COM_Cadastro!$F$3:$F$199,COM_Cadastro!$B$3:$B$199),"")</f>
        <v/>
      </c>
      <c r="C38" s="554" t="s">
        <v>642</v>
      </c>
      <c r="D38" s="599" t="s">
        <v>643</v>
      </c>
      <c r="E38" s="614"/>
      <c r="F38" s="614">
        <v>46038</v>
      </c>
      <c r="G38" s="620"/>
      <c r="H38" s="603">
        <v>0</v>
      </c>
      <c r="I38" s="604"/>
      <c r="J38" s="133">
        <v>0</v>
      </c>
      <c r="K38" s="543"/>
      <c r="L38" s="78">
        <v>0</v>
      </c>
    </row>
    <row r="39" spans="2:12" ht="12.75" customHeight="1" x14ac:dyDescent="0.2">
      <c r="B39" s="840">
        <f>IFERROR(_xlfn.XLOOKUP($C39,COM_Cadastro!$F$3:$F$199,COM_Cadastro!$B$3:$B$199),"")</f>
        <v>70535732651</v>
      </c>
      <c r="C39" s="616" t="s">
        <v>417</v>
      </c>
      <c r="D39" s="600" t="s">
        <v>644</v>
      </c>
      <c r="E39" s="617"/>
      <c r="F39" s="617"/>
      <c r="G39" s="620"/>
      <c r="H39" s="603">
        <v>0</v>
      </c>
      <c r="I39" s="604"/>
      <c r="J39" s="133">
        <v>0</v>
      </c>
      <c r="K39" s="543"/>
      <c r="L39" s="78">
        <v>0</v>
      </c>
    </row>
    <row r="40" spans="2:12" ht="12.75" customHeight="1" x14ac:dyDescent="0.2">
      <c r="B40" s="840" t="str">
        <f>IFERROR(_xlfn.XLOOKUP($C40,COM_Cadastro!$F$3:$F$199,COM_Cadastro!$B$3:$B$199),"")</f>
        <v/>
      </c>
      <c r="C40" s="616" t="s">
        <v>645</v>
      </c>
      <c r="D40" s="600" t="s">
        <v>635</v>
      </c>
      <c r="E40" s="617"/>
      <c r="F40" s="617"/>
      <c r="G40" s="620"/>
      <c r="H40" s="603">
        <v>0</v>
      </c>
      <c r="I40" s="604"/>
      <c r="J40" s="133">
        <v>0</v>
      </c>
      <c r="K40" s="543"/>
      <c r="L40" s="78">
        <v>0</v>
      </c>
    </row>
    <row r="41" spans="2:12" ht="12.75" customHeight="1" x14ac:dyDescent="0.2">
      <c r="B41" s="840" t="str">
        <f>IFERROR(_xlfn.XLOOKUP($C41,COM_Cadastro!$F$3:$F$199,COM_Cadastro!$B$3:$B$199),"")</f>
        <v/>
      </c>
      <c r="C41" s="616" t="s">
        <v>646</v>
      </c>
      <c r="D41" s="600" t="s">
        <v>647</v>
      </c>
      <c r="E41" s="617"/>
      <c r="F41" s="617"/>
      <c r="G41" s="620"/>
      <c r="H41" s="603">
        <v>0</v>
      </c>
      <c r="I41" s="604"/>
      <c r="J41" s="133">
        <v>0</v>
      </c>
      <c r="K41" s="543"/>
      <c r="L41" s="78">
        <v>0</v>
      </c>
    </row>
    <row r="42" spans="2:12" ht="12.75" customHeight="1" x14ac:dyDescent="0.2">
      <c r="B42" s="840" t="str">
        <f>IFERROR(_xlfn.XLOOKUP($C42,COM_Cadastro!$F$3:$F$199,COM_Cadastro!$B$3:$B$199),"")</f>
        <v/>
      </c>
      <c r="C42" s="616" t="s">
        <v>648</v>
      </c>
      <c r="D42" s="600" t="s">
        <v>649</v>
      </c>
      <c r="E42" s="617"/>
      <c r="F42" s="617"/>
      <c r="G42" s="620"/>
      <c r="H42" s="603">
        <v>0</v>
      </c>
      <c r="I42" s="604"/>
      <c r="J42" s="133">
        <v>0</v>
      </c>
      <c r="K42" s="543"/>
      <c r="L42" s="78">
        <v>0</v>
      </c>
    </row>
    <row r="43" spans="2:12" ht="12.75" customHeight="1" x14ac:dyDescent="0.2">
      <c r="B43" s="840" t="str">
        <f>IFERROR(_xlfn.XLOOKUP($C43,COM_Cadastro!$F$3:$F$199,COM_Cadastro!$B$3:$B$199),"")</f>
        <v/>
      </c>
      <c r="C43" s="616" t="s">
        <v>650</v>
      </c>
      <c r="D43" s="600" t="s">
        <v>635</v>
      </c>
      <c r="E43" s="617"/>
      <c r="F43" s="617"/>
      <c r="G43" s="620"/>
      <c r="H43" s="603">
        <v>0</v>
      </c>
      <c r="I43" s="604"/>
      <c r="J43" s="133">
        <v>0</v>
      </c>
      <c r="K43" s="543"/>
      <c r="L43" s="78">
        <v>0</v>
      </c>
    </row>
    <row r="44" spans="2:12" ht="12.75" customHeight="1" x14ac:dyDescent="0.2">
      <c r="B44" s="840">
        <f>IFERROR(_xlfn.XLOOKUP($C44,COM_Cadastro!$F$3:$F$199,COM_Cadastro!$B$3:$B$199),"")</f>
        <v>10070875600</v>
      </c>
      <c r="C44" s="616" t="s">
        <v>509</v>
      </c>
      <c r="D44" s="600" t="s">
        <v>651</v>
      </c>
      <c r="E44" s="617"/>
      <c r="F44" s="617"/>
      <c r="G44" s="620"/>
      <c r="H44" s="603">
        <v>0</v>
      </c>
      <c r="I44" s="604"/>
      <c r="J44" s="133">
        <v>0</v>
      </c>
      <c r="K44" s="543"/>
      <c r="L44" s="78">
        <v>0</v>
      </c>
    </row>
    <row r="45" spans="2:12" ht="12.75" customHeight="1" x14ac:dyDescent="0.2">
      <c r="B45" s="840">
        <f>IFERROR(_xlfn.XLOOKUP($C45,COM_Cadastro!$F$3:$F$199,COM_Cadastro!$B$3:$B$199),"")</f>
        <v>11057664626</v>
      </c>
      <c r="C45" s="616" t="s">
        <v>526</v>
      </c>
      <c r="D45" s="600" t="s">
        <v>652</v>
      </c>
      <c r="E45" s="617"/>
      <c r="F45" s="617"/>
      <c r="G45" s="620"/>
      <c r="H45" s="603">
        <v>0</v>
      </c>
      <c r="I45" s="604"/>
      <c r="J45" s="133">
        <v>0</v>
      </c>
      <c r="K45" s="543"/>
      <c r="L45" s="78">
        <v>0</v>
      </c>
    </row>
    <row r="46" spans="2:12" ht="12.75" customHeight="1" x14ac:dyDescent="0.2">
      <c r="B46" s="840">
        <f>IFERROR(_xlfn.XLOOKUP($C46,COM_Cadastro!$F$3:$F$199,COM_Cadastro!$B$3:$B$199),"")</f>
        <v>65328831000132</v>
      </c>
      <c r="C46" s="616" t="s">
        <v>590</v>
      </c>
      <c r="D46" s="600" t="s">
        <v>653</v>
      </c>
      <c r="E46" s="617"/>
      <c r="F46" s="617"/>
      <c r="G46" s="620"/>
      <c r="H46" s="603">
        <v>0</v>
      </c>
      <c r="I46" s="604"/>
      <c r="J46" s="133">
        <v>0</v>
      </c>
      <c r="K46" s="543"/>
      <c r="L46" s="78">
        <v>0</v>
      </c>
    </row>
    <row r="47" spans="2:12" ht="12.75" customHeight="1" x14ac:dyDescent="0.2">
      <c r="B47" s="840" t="str">
        <f>IFERROR(_xlfn.XLOOKUP($C47,COM_Cadastro!$F$3:$F$199,COM_Cadastro!$B$3:$B$199),"")</f>
        <v/>
      </c>
      <c r="C47" s="616" t="s">
        <v>654</v>
      </c>
      <c r="D47" s="600" t="s">
        <v>635</v>
      </c>
      <c r="E47" s="617"/>
      <c r="F47" s="617"/>
      <c r="G47" s="620"/>
      <c r="H47" s="603">
        <v>0</v>
      </c>
      <c r="I47" s="604"/>
      <c r="J47" s="133">
        <v>0</v>
      </c>
      <c r="K47" s="543"/>
      <c r="L47" s="78">
        <v>0</v>
      </c>
    </row>
    <row r="48" spans="2:12" ht="12.75" customHeight="1" x14ac:dyDescent="0.2">
      <c r="B48" s="840" t="str">
        <f>IFERROR(_xlfn.XLOOKUP($C48,COM_Cadastro!$F$3:$F$199,COM_Cadastro!$B$3:$B$199),"")</f>
        <v/>
      </c>
      <c r="C48" s="616" t="s">
        <v>655</v>
      </c>
      <c r="D48" s="600" t="s">
        <v>656</v>
      </c>
      <c r="E48" s="617"/>
      <c r="F48" s="617"/>
      <c r="G48" s="620"/>
      <c r="H48" s="603">
        <v>0</v>
      </c>
      <c r="I48" s="604"/>
      <c r="J48" s="133">
        <v>0</v>
      </c>
      <c r="K48" s="543"/>
      <c r="L48" s="78">
        <v>0</v>
      </c>
    </row>
    <row r="49" spans="2:12" ht="12.75" customHeight="1" x14ac:dyDescent="0.2">
      <c r="B49" s="840">
        <f>IFERROR(_xlfn.XLOOKUP($C49,COM_Cadastro!$F$3:$F$199,COM_Cadastro!$B$3:$B$199),"")</f>
        <v>11331602637</v>
      </c>
      <c r="C49" s="616" t="s">
        <v>611</v>
      </c>
      <c r="D49" s="600" t="s">
        <v>657</v>
      </c>
      <c r="E49" s="617"/>
      <c r="F49" s="617"/>
      <c r="G49" s="620"/>
      <c r="H49" s="603">
        <v>0</v>
      </c>
      <c r="I49" s="604"/>
      <c r="J49" s="133">
        <v>0</v>
      </c>
      <c r="K49" s="543"/>
      <c r="L49" s="78">
        <v>0</v>
      </c>
    </row>
    <row r="50" spans="2:12" ht="12.75" customHeight="1" x14ac:dyDescent="0.2">
      <c r="B50" s="840">
        <f>IFERROR(_xlfn.XLOOKUP($C50,COM_Cadastro!$F$3:$F$199,COM_Cadastro!$B$3:$B$199),"")</f>
        <v>4779942616</v>
      </c>
      <c r="C50" s="616" t="s">
        <v>601</v>
      </c>
      <c r="D50" s="600" t="s">
        <v>635</v>
      </c>
      <c r="E50" s="617"/>
      <c r="F50" s="617"/>
      <c r="G50" s="620"/>
      <c r="H50" s="603">
        <v>0</v>
      </c>
      <c r="I50" s="604"/>
      <c r="J50" s="133">
        <v>0</v>
      </c>
      <c r="K50" s="543"/>
      <c r="L50" s="78">
        <v>0</v>
      </c>
    </row>
    <row r="51" spans="2:12" ht="12.75" customHeight="1" x14ac:dyDescent="0.2">
      <c r="B51" s="840" t="str">
        <f>IFERROR(_xlfn.XLOOKUP($C51,COM_Cadastro!$F$3:$F$199,COM_Cadastro!$B$3:$B$199),"")</f>
        <v/>
      </c>
      <c r="C51" s="326" t="s">
        <v>658</v>
      </c>
      <c r="D51" s="326" t="s">
        <v>659</v>
      </c>
      <c r="E51" s="551"/>
      <c r="F51" s="326"/>
      <c r="G51" s="621"/>
      <c r="H51" s="603">
        <v>0</v>
      </c>
      <c r="I51" s="604"/>
      <c r="J51" s="133">
        <v>0</v>
      </c>
      <c r="K51" s="543"/>
      <c r="L51" s="78">
        <v>0</v>
      </c>
    </row>
    <row r="52" spans="2:12" ht="12.75" customHeight="1" x14ac:dyDescent="0.2">
      <c r="B52" s="840" t="str">
        <f>IFERROR(_xlfn.XLOOKUP($C52,COM_Cadastro!$F$3:$F$199,COM_Cadastro!$B$3:$B$199),"")</f>
        <v/>
      </c>
      <c r="C52" s="326" t="s">
        <v>448</v>
      </c>
      <c r="D52" s="326" t="s">
        <v>659</v>
      </c>
      <c r="E52" s="551"/>
      <c r="F52" s="326"/>
      <c r="G52" s="621">
        <v>21</v>
      </c>
      <c r="H52" s="603">
        <v>1</v>
      </c>
      <c r="I52" s="604"/>
      <c r="J52" s="133">
        <v>0</v>
      </c>
      <c r="K52" s="543"/>
      <c r="L52" s="78">
        <v>0</v>
      </c>
    </row>
    <row r="53" spans="2:12" ht="12.75" customHeight="1" x14ac:dyDescent="0.2">
      <c r="B53" s="840" t="str">
        <f>IFERROR(_xlfn.XLOOKUP($C53,COM_Cadastro!$F$3:$F$199,COM_Cadastro!$B$3:$B$199),"")</f>
        <v/>
      </c>
      <c r="C53" s="326" t="s">
        <v>519</v>
      </c>
      <c r="D53" s="326" t="s">
        <v>659</v>
      </c>
      <c r="E53" s="551"/>
      <c r="F53" s="326"/>
      <c r="G53" s="621"/>
      <c r="H53" s="603">
        <v>0</v>
      </c>
      <c r="I53" s="604"/>
      <c r="J53" s="133">
        <v>0</v>
      </c>
      <c r="K53" s="543"/>
      <c r="L53" s="78">
        <v>0</v>
      </c>
    </row>
    <row r="54" spans="2:12" ht="12.75" customHeight="1" x14ac:dyDescent="0.2">
      <c r="B54" s="840" t="str">
        <f>IFERROR(_xlfn.XLOOKUP($C54,COM_Cadastro!$F$3:$F$199,COM_Cadastro!$B$3:$B$199),"")</f>
        <v/>
      </c>
      <c r="C54" s="326" t="s">
        <v>542</v>
      </c>
      <c r="D54" s="326" t="s">
        <v>659</v>
      </c>
      <c r="E54" s="551"/>
      <c r="F54" s="326"/>
      <c r="G54" s="621"/>
      <c r="H54" s="603">
        <v>0</v>
      </c>
      <c r="I54" s="604"/>
      <c r="J54" s="133">
        <v>0</v>
      </c>
      <c r="K54" s="543"/>
      <c r="L54" s="78">
        <v>0</v>
      </c>
    </row>
    <row r="55" spans="2:12" ht="12.75" customHeight="1" x14ac:dyDescent="0.2">
      <c r="B55" s="840" t="str">
        <f>IFERROR(_xlfn.XLOOKUP($C55,COM_Cadastro!$F$3:$F$199,COM_Cadastro!$B$3:$B$199),"")</f>
        <v/>
      </c>
      <c r="C55" s="326" t="s">
        <v>660</v>
      </c>
      <c r="D55" s="326" t="s">
        <v>659</v>
      </c>
      <c r="E55" s="551"/>
      <c r="F55" s="326"/>
      <c r="G55" s="621"/>
      <c r="H55" s="603">
        <v>0</v>
      </c>
      <c r="I55" s="604"/>
      <c r="J55" s="133">
        <v>0</v>
      </c>
      <c r="K55" s="543"/>
      <c r="L55" s="78">
        <v>0</v>
      </c>
    </row>
    <row r="56" spans="2:12" ht="12.75" customHeight="1" x14ac:dyDescent="0.2">
      <c r="B56" s="840" t="str">
        <f>IFERROR(_xlfn.XLOOKUP($C56,COM_Cadastro!$F$3:$F$199,COM_Cadastro!$B$3:$B$199),"")</f>
        <v/>
      </c>
      <c r="C56" s="326" t="s">
        <v>562</v>
      </c>
      <c r="D56" s="326" t="s">
        <v>659</v>
      </c>
      <c r="E56" s="551"/>
      <c r="F56" s="326"/>
      <c r="G56" s="621"/>
      <c r="H56" s="603">
        <v>0</v>
      </c>
      <c r="I56" s="604"/>
      <c r="J56" s="133">
        <v>0</v>
      </c>
      <c r="K56" s="543"/>
      <c r="L56" s="78">
        <v>0</v>
      </c>
    </row>
    <row r="57" spans="2:12" ht="12.75" customHeight="1" x14ac:dyDescent="0.2">
      <c r="B57" s="840">
        <f>IFERROR(_xlfn.XLOOKUP($C57,COM_Cadastro!$F$3:$F$199,COM_Cadastro!$B$3:$B$199),"")</f>
        <v>50778213803</v>
      </c>
      <c r="C57" s="326" t="s">
        <v>566</v>
      </c>
      <c r="D57" s="326" t="s">
        <v>659</v>
      </c>
      <c r="E57" s="551"/>
      <c r="F57" s="326"/>
      <c r="G57" s="621"/>
      <c r="H57" s="603">
        <v>0</v>
      </c>
      <c r="I57" s="604"/>
      <c r="J57" s="133">
        <v>0</v>
      </c>
      <c r="K57" s="543"/>
      <c r="L57" s="78">
        <v>0</v>
      </c>
    </row>
    <row r="58" spans="2:12" ht="12.75" customHeight="1" x14ac:dyDescent="0.2">
      <c r="B58" s="840">
        <f>IFERROR(_xlfn.XLOOKUP($C58,COM_Cadastro!$F$3:$F$199,COM_Cadastro!$B$3:$B$199),"")</f>
        <v>41717722814</v>
      </c>
      <c r="C58" s="326" t="s">
        <v>604</v>
      </c>
      <c r="D58" s="326" t="s">
        <v>659</v>
      </c>
      <c r="E58" s="551"/>
      <c r="F58" s="326"/>
      <c r="G58" s="621"/>
      <c r="H58" s="603">
        <v>0</v>
      </c>
      <c r="I58" s="604"/>
      <c r="J58" s="133">
        <v>0</v>
      </c>
      <c r="K58" s="543"/>
      <c r="L58" s="78">
        <v>0</v>
      </c>
    </row>
    <row r="59" spans="2:12" ht="12.75" customHeight="1" x14ac:dyDescent="0.2">
      <c r="B59" s="840">
        <f>IFERROR(_xlfn.XLOOKUP($C59,COM_Cadastro!$F$3:$F$199,COM_Cadastro!$B$3:$B$199),"")</f>
        <v>78467829400</v>
      </c>
      <c r="C59" s="326" t="s">
        <v>615</v>
      </c>
      <c r="D59" s="326" t="s">
        <v>659</v>
      </c>
      <c r="E59" s="551"/>
      <c r="F59" s="326"/>
      <c r="G59" s="621"/>
      <c r="H59" s="603">
        <v>0</v>
      </c>
      <c r="I59" s="604"/>
      <c r="J59" s="133">
        <v>0</v>
      </c>
      <c r="K59" s="543"/>
      <c r="L59" s="78">
        <v>0</v>
      </c>
    </row>
    <row r="60" spans="2:12" ht="12.75" customHeight="1" x14ac:dyDescent="0.2">
      <c r="B60" s="840" t="str">
        <f>IFERROR(_xlfn.XLOOKUP($C60,COM_Cadastro!$F$3:$F$199,COM_Cadastro!$B$3:$B$199),"")</f>
        <v/>
      </c>
      <c r="C60" s="326" t="s">
        <v>382</v>
      </c>
      <c r="D60" s="326" t="s">
        <v>661</v>
      </c>
      <c r="E60" s="551"/>
      <c r="F60" s="551"/>
      <c r="G60" s="621"/>
      <c r="H60" s="603">
        <v>0</v>
      </c>
      <c r="I60" s="604"/>
      <c r="J60" s="133">
        <v>0</v>
      </c>
      <c r="K60" s="543"/>
      <c r="L60" s="78">
        <v>0</v>
      </c>
    </row>
    <row r="61" spans="2:12" ht="12.75" customHeight="1" x14ac:dyDescent="0.2">
      <c r="B61" s="840" t="str">
        <f>IFERROR(_xlfn.XLOOKUP($C61,COM_Cadastro!$F$3:$F$199,COM_Cadastro!$B$3:$B$199),"")</f>
        <v/>
      </c>
      <c r="C61" s="326" t="s">
        <v>420</v>
      </c>
      <c r="D61" s="326" t="s">
        <v>661</v>
      </c>
      <c r="E61" s="551"/>
      <c r="F61" s="551"/>
      <c r="G61" s="621"/>
      <c r="H61" s="603">
        <v>0</v>
      </c>
      <c r="I61" s="604"/>
      <c r="J61" s="133">
        <v>0</v>
      </c>
      <c r="K61" s="543"/>
      <c r="L61" s="78">
        <v>0</v>
      </c>
    </row>
    <row r="62" spans="2:12" ht="12.75" customHeight="1" x14ac:dyDescent="0.2">
      <c r="B62" s="840" t="str">
        <f>IFERROR(_xlfn.XLOOKUP($C62,COM_Cadastro!$F$3:$F$199,COM_Cadastro!$B$3:$B$199),"")</f>
        <v/>
      </c>
      <c r="C62" s="326" t="s">
        <v>662</v>
      </c>
      <c r="D62" s="326" t="s">
        <v>661</v>
      </c>
      <c r="E62" s="551"/>
      <c r="F62" s="551"/>
      <c r="G62" s="621"/>
      <c r="H62" s="603">
        <v>0</v>
      </c>
      <c r="I62" s="604"/>
      <c r="J62" s="133">
        <v>0</v>
      </c>
      <c r="K62" s="543"/>
      <c r="L62" s="78">
        <v>0</v>
      </c>
    </row>
    <row r="63" spans="2:12" ht="12.75" customHeight="1" x14ac:dyDescent="0.2">
      <c r="B63" s="840" t="str">
        <f>IFERROR(_xlfn.XLOOKUP($C63,COM_Cadastro!$F$3:$F$199,COM_Cadastro!$B$3:$B$199),"")</f>
        <v/>
      </c>
      <c r="C63" s="326" t="s">
        <v>663</v>
      </c>
      <c r="D63" s="326" t="s">
        <v>661</v>
      </c>
      <c r="E63" s="551"/>
      <c r="F63" s="551"/>
      <c r="G63" s="621"/>
      <c r="H63" s="603">
        <v>0</v>
      </c>
      <c r="I63" s="604"/>
      <c r="J63" s="133">
        <v>0</v>
      </c>
      <c r="K63" s="543"/>
      <c r="L63" s="78">
        <v>0</v>
      </c>
    </row>
    <row r="64" spans="2:12" ht="12.75" customHeight="1" x14ac:dyDescent="0.2">
      <c r="B64" s="840">
        <f>IFERROR(_xlfn.XLOOKUP($C64,COM_Cadastro!$F$3:$F$199,COM_Cadastro!$B$3:$B$199),"")</f>
        <v>15704341748</v>
      </c>
      <c r="C64" s="326" t="s">
        <v>516</v>
      </c>
      <c r="D64" s="326" t="s">
        <v>661</v>
      </c>
      <c r="E64" s="551"/>
      <c r="F64" s="551"/>
      <c r="G64" s="621"/>
      <c r="H64" s="603">
        <v>0</v>
      </c>
      <c r="I64" s="604"/>
      <c r="J64" s="133">
        <v>0</v>
      </c>
      <c r="K64" s="543"/>
      <c r="L64" s="78">
        <v>0</v>
      </c>
    </row>
    <row r="65" spans="1:32" ht="12.75" customHeight="1" x14ac:dyDescent="0.2">
      <c r="B65" s="840">
        <f>IFERROR(_xlfn.XLOOKUP($C65,COM_Cadastro!$F$3:$F$199,COM_Cadastro!$B$3:$B$199),"")</f>
        <v>1602223717</v>
      </c>
      <c r="C65" s="326" t="s">
        <v>517</v>
      </c>
      <c r="D65" s="326" t="s">
        <v>661</v>
      </c>
      <c r="E65" s="551"/>
      <c r="F65" s="551"/>
      <c r="G65" s="621"/>
      <c r="H65" s="603">
        <v>0</v>
      </c>
      <c r="I65" s="604"/>
      <c r="J65" s="133">
        <v>0</v>
      </c>
      <c r="K65" s="543"/>
      <c r="L65" s="78">
        <v>0</v>
      </c>
    </row>
    <row r="66" spans="1:32" ht="12.75" customHeight="1" x14ac:dyDescent="0.2">
      <c r="B66" s="840" t="str">
        <f>IFERROR(_xlfn.XLOOKUP($C66,COM_Cadastro!$F$3:$F$199,COM_Cadastro!$B$3:$B$199),"")</f>
        <v/>
      </c>
      <c r="C66" s="554" t="s">
        <v>664</v>
      </c>
      <c r="D66" s="554" t="s">
        <v>665</v>
      </c>
      <c r="E66" s="614"/>
      <c r="F66" s="614">
        <v>46038</v>
      </c>
      <c r="G66" s="621"/>
      <c r="H66" s="603">
        <v>0</v>
      </c>
      <c r="I66" s="604"/>
      <c r="J66" s="133">
        <v>0</v>
      </c>
      <c r="K66" s="543"/>
      <c r="L66" s="78">
        <v>0</v>
      </c>
    </row>
    <row r="67" spans="1:32" ht="12.75" customHeight="1" x14ac:dyDescent="0.2">
      <c r="B67" s="840">
        <f>IFERROR(_xlfn.XLOOKUP($C67,COM_Cadastro!$F$3:$F$199,COM_Cadastro!$B$3:$B$199),"")</f>
        <v>2123570508</v>
      </c>
      <c r="C67" s="326" t="s">
        <v>606</v>
      </c>
      <c r="D67" s="326" t="s">
        <v>665</v>
      </c>
      <c r="E67" s="551"/>
      <c r="F67" s="551"/>
      <c r="G67" s="621"/>
      <c r="H67" s="603">
        <v>0</v>
      </c>
      <c r="I67" s="604"/>
      <c r="J67" s="133">
        <v>0</v>
      </c>
      <c r="K67" s="543"/>
      <c r="L67" s="78">
        <v>0</v>
      </c>
    </row>
    <row r="68" spans="1:32" ht="12.75" customHeight="1" x14ac:dyDescent="0.2">
      <c r="B68" s="840" t="str">
        <f>IFERROR(_xlfn.XLOOKUP($C68,COM_Cadastro!$F$3:$F$199,COM_Cadastro!$B$3:$B$199),"")</f>
        <v/>
      </c>
      <c r="C68" s="326" t="s">
        <v>608</v>
      </c>
      <c r="D68" s="326" t="s">
        <v>661</v>
      </c>
      <c r="E68" s="551">
        <v>46029</v>
      </c>
      <c r="F68" s="551"/>
      <c r="G68" s="621"/>
      <c r="H68" s="603">
        <v>0</v>
      </c>
      <c r="I68" s="604"/>
      <c r="J68" s="133">
        <v>0</v>
      </c>
      <c r="K68" s="543"/>
      <c r="L68" s="78">
        <v>0</v>
      </c>
    </row>
    <row r="69" spans="1:32" ht="12.75" customHeight="1" x14ac:dyDescent="0.2">
      <c r="A69" s="354"/>
      <c r="B69" s="840" t="str">
        <f>IFERROR(_xlfn.XLOOKUP($C69,COM_Cadastro!$F$3:$F$199,COM_Cadastro!$B$3:$B$199),"")</f>
        <v/>
      </c>
      <c r="C69" s="356">
        <v>66</v>
      </c>
      <c r="D69" s="354"/>
      <c r="E69" s="356">
        <f>COUNTA(E3:E68)</f>
        <v>5</v>
      </c>
      <c r="F69" s="356">
        <f>COUNTA(F3:F68)</f>
        <v>7</v>
      </c>
      <c r="G69" s="356">
        <f>COUNTA(G3:G68)</f>
        <v>1</v>
      </c>
      <c r="H69" s="356">
        <f>SUM(H3:H68)</f>
        <v>11</v>
      </c>
      <c r="I69" s="356">
        <f>SUM(I3:I68)</f>
        <v>5</v>
      </c>
      <c r="J69" s="356">
        <f>SUM(J3:J68)</f>
        <v>4</v>
      </c>
      <c r="K69" s="356">
        <f>COUNTA(K3:K68)</f>
        <v>2</v>
      </c>
      <c r="L69" s="356">
        <f>SUM(L3:L68)</f>
        <v>48</v>
      </c>
      <c r="M69" s="354"/>
      <c r="N69" s="354"/>
      <c r="O69" s="354"/>
      <c r="P69" s="354"/>
      <c r="Q69" s="354"/>
      <c r="R69" s="354"/>
      <c r="S69" s="354"/>
      <c r="T69" s="354"/>
      <c r="U69" s="354"/>
      <c r="V69" s="354"/>
      <c r="W69" s="354"/>
      <c r="X69" s="354"/>
      <c r="Y69" s="354"/>
      <c r="Z69" s="354"/>
      <c r="AA69" s="354"/>
      <c r="AB69" s="354"/>
      <c r="AC69" s="354"/>
      <c r="AD69" s="354"/>
      <c r="AE69" s="354"/>
      <c r="AF69" s="354"/>
    </row>
    <row r="70" spans="1:32" x14ac:dyDescent="0.2">
      <c r="B70" s="840" t="str">
        <f>IFERROR(_xlfn.XLOOKUP($C70,COM_Cadastro!$F$3:$F$199,COM_Cadastro!$B$3:$B$199),"")</f>
        <v/>
      </c>
    </row>
    <row r="71" spans="1:32" x14ac:dyDescent="0.2">
      <c r="B71" s="840" t="str">
        <f>IFERROR(_xlfn.XLOOKUP($C71,COM_Cadastro!$F$3:$F$199,COM_Cadastro!$B$3:$B$199),"")</f>
        <v/>
      </c>
    </row>
    <row r="72" spans="1:32" ht="15" customHeight="1" x14ac:dyDescent="0.2">
      <c r="B72" s="840" t="str">
        <f>IFERROR(_xlfn.XLOOKUP($C72,COM_Cadastro!$F$3:$F$199,COM_Cadastro!$B$3:$B$199),"")</f>
        <v/>
      </c>
      <c r="C72" s="297" t="s">
        <v>666</v>
      </c>
      <c r="D72" s="297" t="s">
        <v>43</v>
      </c>
      <c r="E72" s="297" t="s">
        <v>44</v>
      </c>
      <c r="F72" s="297" t="s">
        <v>45</v>
      </c>
      <c r="G72" s="297" t="s">
        <v>46</v>
      </c>
      <c r="H72" s="297" t="s">
        <v>49</v>
      </c>
      <c r="I72" s="297" t="s">
        <v>39</v>
      </c>
      <c r="J72" s="297" t="s">
        <v>49</v>
      </c>
      <c r="K72" s="297" t="s">
        <v>40</v>
      </c>
      <c r="L72" s="297" t="s">
        <v>49</v>
      </c>
      <c r="N72" s="298" t="s">
        <v>125</v>
      </c>
      <c r="O72" s="358">
        <f>R4</f>
        <v>60</v>
      </c>
      <c r="Q72" s="298" t="s">
        <v>44</v>
      </c>
      <c r="R72" s="300">
        <f>E146</f>
        <v>14</v>
      </c>
      <c r="T72" s="298" t="s">
        <v>39</v>
      </c>
      <c r="U72" s="301">
        <f>I146</f>
        <v>4</v>
      </c>
      <c r="W72" s="797" t="s">
        <v>144</v>
      </c>
      <c r="X72" s="797"/>
      <c r="Y72" s="797"/>
      <c r="Z72" s="797"/>
      <c r="AA72" s="797"/>
      <c r="AB72" s="797"/>
      <c r="AC72" s="797"/>
      <c r="AE72" s="305" t="s">
        <v>127</v>
      </c>
      <c r="AF72" s="622">
        <f>(U78-U73-U72-R75)</f>
        <v>1465</v>
      </c>
    </row>
    <row r="73" spans="1:32" ht="12.75" customHeight="1" x14ac:dyDescent="0.2">
      <c r="B73" s="840" t="str">
        <f>IFERROR(_xlfn.XLOOKUP($C73,COM_Cadastro!$F$3:$F$199,COM_Cadastro!$B$3:$B$199),"")</f>
        <v/>
      </c>
      <c r="C73" s="326" t="s">
        <v>617</v>
      </c>
      <c r="D73" s="326" t="s">
        <v>618</v>
      </c>
      <c r="E73" s="551"/>
      <c r="F73" s="551"/>
      <c r="G73" s="602"/>
      <c r="H73" s="603">
        <v>0</v>
      </c>
      <c r="I73" s="604"/>
      <c r="J73" s="133">
        <v>0</v>
      </c>
      <c r="K73" s="543"/>
      <c r="L73" s="78">
        <v>0</v>
      </c>
      <c r="Q73" s="298" t="s">
        <v>45</v>
      </c>
      <c r="R73" s="301">
        <f>F146</f>
        <v>8</v>
      </c>
      <c r="T73" s="298" t="s">
        <v>40</v>
      </c>
      <c r="U73" s="301">
        <f>L146</f>
        <v>17</v>
      </c>
      <c r="W73" s="312" t="s">
        <v>128</v>
      </c>
      <c r="X73" s="313" t="s">
        <v>129</v>
      </c>
      <c r="Y73" s="313" t="s">
        <v>130</v>
      </c>
      <c r="Z73" s="313" t="s">
        <v>131</v>
      </c>
      <c r="AA73" s="313" t="s">
        <v>132</v>
      </c>
      <c r="AB73" s="313" t="s">
        <v>133</v>
      </c>
      <c r="AC73" s="314" t="s">
        <v>134</v>
      </c>
      <c r="AE73" s="305" t="s">
        <v>135</v>
      </c>
      <c r="AF73" s="622">
        <f>U78-AF72</f>
        <v>47</v>
      </c>
    </row>
    <row r="74" spans="1:32" ht="12.75" customHeight="1" x14ac:dyDescent="0.2">
      <c r="B74" s="840" t="str">
        <f>IFERROR(_xlfn.XLOOKUP($C74,COM_Cadastro!$F$3:$F$199,COM_Cadastro!$B$3:$B$199),"")</f>
        <v/>
      </c>
      <c r="C74" s="326" t="s">
        <v>619</v>
      </c>
      <c r="D74" s="326" t="s">
        <v>618</v>
      </c>
      <c r="E74" s="551"/>
      <c r="F74" s="551"/>
      <c r="G74" s="602"/>
      <c r="H74" s="603">
        <v>0</v>
      </c>
      <c r="I74" s="604"/>
      <c r="J74" s="133">
        <v>0</v>
      </c>
      <c r="K74" s="543"/>
      <c r="L74" s="78">
        <v>0</v>
      </c>
      <c r="Q74" s="319" t="s">
        <v>56</v>
      </c>
      <c r="R74" s="301">
        <f>O72+R72-R73</f>
        <v>66</v>
      </c>
      <c r="T74" s="298" t="s">
        <v>59</v>
      </c>
      <c r="U74" s="301">
        <f>K146</f>
        <v>1</v>
      </c>
      <c r="W74" s="360">
        <v>46054</v>
      </c>
      <c r="X74" s="324">
        <v>46055</v>
      </c>
      <c r="Y74" s="324">
        <v>46056</v>
      </c>
      <c r="Z74" s="324">
        <v>46057</v>
      </c>
      <c r="AA74" s="324">
        <v>46058</v>
      </c>
      <c r="AB74" s="324">
        <v>46059</v>
      </c>
      <c r="AC74" s="606">
        <v>46060</v>
      </c>
      <c r="AE74" s="305" t="s">
        <v>136</v>
      </c>
      <c r="AF74" s="623">
        <f>(R74*8.8)*R77</f>
        <v>13939.2</v>
      </c>
    </row>
    <row r="75" spans="1:32" ht="12.75" customHeight="1" x14ac:dyDescent="0.2">
      <c r="B75" s="840">
        <f>IFERROR(_xlfn.XLOOKUP($C75,COM_Cadastro!$F$3:$F$199,COM_Cadastro!$B$3:$B$199),"")</f>
        <v>85498742720</v>
      </c>
      <c r="C75" s="326" t="s">
        <v>386</v>
      </c>
      <c r="D75" s="326" t="s">
        <v>618</v>
      </c>
      <c r="E75" s="551"/>
      <c r="F75" s="551"/>
      <c r="G75" s="607"/>
      <c r="H75" s="603">
        <v>0</v>
      </c>
      <c r="I75" s="604"/>
      <c r="J75" s="133">
        <v>0</v>
      </c>
      <c r="K75" s="543"/>
      <c r="L75" s="78">
        <v>0</v>
      </c>
      <c r="Q75" s="298" t="s">
        <v>137</v>
      </c>
      <c r="R75" s="329">
        <f>H146</f>
        <v>26</v>
      </c>
      <c r="T75" s="330"/>
      <c r="U75" s="331"/>
      <c r="W75" s="332">
        <v>46061</v>
      </c>
      <c r="X75" s="333">
        <v>46062</v>
      </c>
      <c r="Y75" s="333">
        <v>46063</v>
      </c>
      <c r="Z75" s="333">
        <v>46064</v>
      </c>
      <c r="AA75" s="333">
        <v>46065</v>
      </c>
      <c r="AB75" s="333">
        <v>46066</v>
      </c>
      <c r="AC75" s="608">
        <v>46067</v>
      </c>
      <c r="AE75" s="305" t="s">
        <v>138</v>
      </c>
      <c r="AF75" s="623">
        <f>AF73*8.8</f>
        <v>413.6</v>
      </c>
    </row>
    <row r="76" spans="1:32" ht="12.75" customHeight="1" x14ac:dyDescent="0.2">
      <c r="B76" s="840" t="str">
        <f>IFERROR(_xlfn.XLOOKUP($C76,COM_Cadastro!$F$3:$F$199,COM_Cadastro!$B$3:$B$199),"")</f>
        <v/>
      </c>
      <c r="C76" s="326" t="s">
        <v>388</v>
      </c>
      <c r="D76" s="326" t="s">
        <v>618</v>
      </c>
      <c r="E76" s="551"/>
      <c r="F76" s="551">
        <v>46076</v>
      </c>
      <c r="G76" s="607" t="s">
        <v>667</v>
      </c>
      <c r="H76" s="603">
        <v>5</v>
      </c>
      <c r="I76" s="604" t="s">
        <v>668</v>
      </c>
      <c r="J76" s="133">
        <v>6</v>
      </c>
      <c r="K76" s="543"/>
      <c r="L76" s="78">
        <v>0</v>
      </c>
      <c r="W76" s="346">
        <v>46068</v>
      </c>
      <c r="X76" s="333">
        <v>46069</v>
      </c>
      <c r="Y76" s="333">
        <v>46070</v>
      </c>
      <c r="Z76" s="347">
        <v>46071</v>
      </c>
      <c r="AA76" s="347">
        <v>46072</v>
      </c>
      <c r="AB76" s="347">
        <v>46073</v>
      </c>
      <c r="AC76" s="611">
        <v>46074</v>
      </c>
      <c r="AE76" s="305" t="s">
        <v>140</v>
      </c>
      <c r="AF76" s="623">
        <f>(AF74-AF75)/(8.8*R77)</f>
        <v>64.041666666666657</v>
      </c>
    </row>
    <row r="77" spans="1:32" ht="12.75" customHeight="1" x14ac:dyDescent="0.2">
      <c r="B77" s="840">
        <f>IFERROR(_xlfn.XLOOKUP($C77,COM_Cadastro!$F$3:$F$199,COM_Cadastro!$B$3:$B$199),"")</f>
        <v>10700664785</v>
      </c>
      <c r="C77" s="326" t="s">
        <v>395</v>
      </c>
      <c r="D77" s="326" t="s">
        <v>618</v>
      </c>
      <c r="E77" s="551"/>
      <c r="F77" s="551"/>
      <c r="G77" s="602"/>
      <c r="H77" s="603">
        <v>0</v>
      </c>
      <c r="I77" s="604"/>
      <c r="J77" s="133">
        <v>0</v>
      </c>
      <c r="K77" s="543"/>
      <c r="L77" s="78">
        <v>0</v>
      </c>
      <c r="Q77" s="343" t="s">
        <v>22</v>
      </c>
      <c r="R77" s="344">
        <v>24</v>
      </c>
      <c r="T77" s="549" t="s">
        <v>141</v>
      </c>
      <c r="U77" s="550">
        <f>(O72+R74)/2</f>
        <v>63</v>
      </c>
      <c r="W77" s="351">
        <v>46075</v>
      </c>
      <c r="X77" s="352">
        <v>46076</v>
      </c>
      <c r="Y77" s="352">
        <v>46077</v>
      </c>
      <c r="Z77" s="352">
        <v>46078</v>
      </c>
      <c r="AA77" s="352">
        <v>46079</v>
      </c>
      <c r="AB77" s="352">
        <v>46080</v>
      </c>
      <c r="AC77" s="613">
        <v>46081</v>
      </c>
    </row>
    <row r="78" spans="1:32" ht="12.75" customHeight="1" x14ac:dyDescent="0.2">
      <c r="B78" s="840" t="str">
        <f>IFERROR(_xlfn.XLOOKUP($C78,COM_Cadastro!$F$3:$F$199,COM_Cadastro!$B$3:$B$199),"")</f>
        <v/>
      </c>
      <c r="C78" s="326" t="s">
        <v>621</v>
      </c>
      <c r="D78" s="326" t="s">
        <v>618</v>
      </c>
      <c r="E78" s="551"/>
      <c r="F78" s="551"/>
      <c r="G78" s="602"/>
      <c r="H78" s="603">
        <v>0</v>
      </c>
      <c r="I78" s="604"/>
      <c r="J78" s="133">
        <v>0</v>
      </c>
      <c r="K78" s="543"/>
      <c r="L78" s="78">
        <v>0</v>
      </c>
      <c r="Q78" s="343" t="s">
        <v>142</v>
      </c>
      <c r="R78" s="349">
        <v>4</v>
      </c>
      <c r="T78" s="343" t="s">
        <v>143</v>
      </c>
      <c r="U78" s="350">
        <f>R77*U77</f>
        <v>1512</v>
      </c>
    </row>
    <row r="79" spans="1:32" ht="12.75" customHeight="1" x14ac:dyDescent="0.2">
      <c r="B79" s="840">
        <f>IFERROR(_xlfn.XLOOKUP($C79,COM_Cadastro!$F$3:$F$199,COM_Cadastro!$B$3:$B$199),"")</f>
        <v>12945406705</v>
      </c>
      <c r="C79" s="326" t="s">
        <v>402</v>
      </c>
      <c r="D79" s="326" t="s">
        <v>618</v>
      </c>
      <c r="E79" s="551"/>
      <c r="F79" s="551"/>
      <c r="G79" s="607" t="s">
        <v>669</v>
      </c>
      <c r="H79" s="603">
        <v>2</v>
      </c>
      <c r="I79" s="604"/>
      <c r="J79" s="133">
        <v>0</v>
      </c>
      <c r="K79" s="543"/>
      <c r="L79" s="78">
        <v>0</v>
      </c>
    </row>
    <row r="80" spans="1:32" ht="12.75" customHeight="1" x14ac:dyDescent="0.2">
      <c r="B80" s="840">
        <f>IFERROR(_xlfn.XLOOKUP($C80,COM_Cadastro!$F$3:$F$199,COM_Cadastro!$B$3:$B$199),"")</f>
        <v>8751479761</v>
      </c>
      <c r="C80" s="326" t="s">
        <v>408</v>
      </c>
      <c r="D80" s="326" t="s">
        <v>618</v>
      </c>
      <c r="E80" s="551"/>
      <c r="F80" s="551"/>
      <c r="G80" s="607"/>
      <c r="H80" s="603">
        <v>0</v>
      </c>
      <c r="I80" s="604"/>
      <c r="J80" s="133">
        <v>0</v>
      </c>
      <c r="K80" s="543"/>
      <c r="L80" s="78">
        <v>0</v>
      </c>
    </row>
    <row r="81" spans="2:12" ht="12.75" customHeight="1" x14ac:dyDescent="0.2">
      <c r="B81" s="840" t="str">
        <f>IFERROR(_xlfn.XLOOKUP($C81,COM_Cadastro!$F$3:$F$199,COM_Cadastro!$B$3:$B$199),"")</f>
        <v/>
      </c>
      <c r="C81" s="326" t="s">
        <v>623</v>
      </c>
      <c r="D81" s="326" t="s">
        <v>618</v>
      </c>
      <c r="E81" s="551"/>
      <c r="F81" s="551"/>
      <c r="G81" s="602"/>
      <c r="H81" s="603">
        <v>0</v>
      </c>
      <c r="I81" s="604"/>
      <c r="J81" s="133">
        <v>0</v>
      </c>
      <c r="K81" s="543"/>
      <c r="L81" s="78">
        <v>0</v>
      </c>
    </row>
    <row r="82" spans="2:12" ht="12.75" customHeight="1" x14ac:dyDescent="0.2">
      <c r="B82" s="840">
        <f>IFERROR(_xlfn.XLOOKUP($C82,COM_Cadastro!$F$3:$F$199,COM_Cadastro!$B$3:$B$199),"")</f>
        <v>70118531204</v>
      </c>
      <c r="C82" s="326" t="s">
        <v>424</v>
      </c>
      <c r="D82" s="326" t="s">
        <v>618</v>
      </c>
      <c r="E82" s="551"/>
      <c r="F82" s="551"/>
      <c r="G82" s="602"/>
      <c r="H82" s="603">
        <v>0</v>
      </c>
      <c r="I82" s="604"/>
      <c r="J82" s="133">
        <v>0</v>
      </c>
      <c r="K82" s="543"/>
      <c r="L82" s="78">
        <v>0</v>
      </c>
    </row>
    <row r="83" spans="2:12" ht="12.75" customHeight="1" x14ac:dyDescent="0.2">
      <c r="B83" s="840">
        <f>IFERROR(_xlfn.XLOOKUP($C83,COM_Cadastro!$F$3:$F$199,COM_Cadastro!$B$3:$B$199),"")</f>
        <v>10962897760</v>
      </c>
      <c r="C83" s="326" t="s">
        <v>432</v>
      </c>
      <c r="D83" s="326" t="s">
        <v>618</v>
      </c>
      <c r="E83" s="551"/>
      <c r="F83" s="551"/>
      <c r="G83" s="607"/>
      <c r="H83" s="603">
        <v>0</v>
      </c>
      <c r="I83" s="604"/>
      <c r="J83" s="133">
        <v>0</v>
      </c>
      <c r="K83" s="543"/>
      <c r="L83" s="78">
        <v>0</v>
      </c>
    </row>
    <row r="84" spans="2:12" ht="12.75" customHeight="1" x14ac:dyDescent="0.2">
      <c r="B84" s="840" t="str">
        <f>IFERROR(_xlfn.XLOOKUP($C84,COM_Cadastro!$F$3:$F$199,COM_Cadastro!$B$3:$B$199),"")</f>
        <v/>
      </c>
      <c r="C84" s="326" t="s">
        <v>624</v>
      </c>
      <c r="D84" s="326" t="s">
        <v>618</v>
      </c>
      <c r="E84" s="551"/>
      <c r="F84" s="551"/>
      <c r="G84" s="607"/>
      <c r="H84" s="603">
        <v>0</v>
      </c>
      <c r="I84" s="604"/>
      <c r="J84" s="133">
        <v>0</v>
      </c>
      <c r="K84" s="543"/>
      <c r="L84" s="78">
        <v>0</v>
      </c>
    </row>
    <row r="85" spans="2:12" ht="12.75" customHeight="1" x14ac:dyDescent="0.2">
      <c r="B85" s="840" t="str">
        <f>IFERROR(_xlfn.XLOOKUP($C85,COM_Cadastro!$F$3:$F$199,COM_Cadastro!$B$3:$B$199),"")</f>
        <v/>
      </c>
      <c r="C85" s="326" t="s">
        <v>625</v>
      </c>
      <c r="D85" s="326" t="s">
        <v>618</v>
      </c>
      <c r="E85" s="551"/>
      <c r="F85" s="551"/>
      <c r="G85" s="602"/>
      <c r="H85" s="603">
        <v>0</v>
      </c>
      <c r="I85" s="604"/>
      <c r="J85" s="133">
        <v>0</v>
      </c>
      <c r="K85" s="543"/>
      <c r="L85" s="78">
        <v>0</v>
      </c>
    </row>
    <row r="86" spans="2:12" ht="12.75" customHeight="1" x14ac:dyDescent="0.2">
      <c r="B86" s="840" t="str">
        <f>IFERROR(_xlfn.XLOOKUP($C86,COM_Cadastro!$F$3:$F$199,COM_Cadastro!$B$3:$B$199),"")</f>
        <v/>
      </c>
      <c r="C86" s="326" t="s">
        <v>670</v>
      </c>
      <c r="D86" s="326" t="s">
        <v>618</v>
      </c>
      <c r="E86" s="551">
        <v>46055</v>
      </c>
      <c r="F86" s="551"/>
      <c r="G86" s="602"/>
      <c r="H86" s="603">
        <v>0</v>
      </c>
      <c r="I86" s="604"/>
      <c r="J86" s="133">
        <v>0</v>
      </c>
      <c r="K86" s="543"/>
      <c r="L86" s="78">
        <v>0</v>
      </c>
    </row>
    <row r="87" spans="2:12" ht="12.75" customHeight="1" x14ac:dyDescent="0.2">
      <c r="B87" s="840" t="str">
        <f>IFERROR(_xlfn.XLOOKUP($C87,COM_Cadastro!$F$3:$F$199,COM_Cadastro!$B$3:$B$199),"")</f>
        <v/>
      </c>
      <c r="C87" s="326" t="s">
        <v>626</v>
      </c>
      <c r="D87" s="326" t="s">
        <v>618</v>
      </c>
      <c r="E87" s="551"/>
      <c r="F87" s="551"/>
      <c r="G87" s="607" t="s">
        <v>671</v>
      </c>
      <c r="H87" s="603">
        <v>3</v>
      </c>
      <c r="I87" s="604"/>
      <c r="J87" s="133">
        <v>0</v>
      </c>
      <c r="K87" s="543"/>
      <c r="L87" s="78">
        <v>0</v>
      </c>
    </row>
    <row r="88" spans="2:12" ht="12.75" customHeight="1" x14ac:dyDescent="0.2">
      <c r="B88" s="840" t="str">
        <f>IFERROR(_xlfn.XLOOKUP($C88,COM_Cadastro!$F$3:$F$199,COM_Cadastro!$B$3:$B$199),"")</f>
        <v/>
      </c>
      <c r="C88" s="326" t="s">
        <v>672</v>
      </c>
      <c r="D88" s="326" t="s">
        <v>618</v>
      </c>
      <c r="E88" s="551">
        <v>46076</v>
      </c>
      <c r="F88" s="551"/>
      <c r="G88" s="607"/>
      <c r="H88" s="603">
        <v>0</v>
      </c>
      <c r="I88" s="604"/>
      <c r="J88" s="133">
        <v>0</v>
      </c>
      <c r="K88" s="543"/>
      <c r="L88" s="78">
        <v>0</v>
      </c>
    </row>
    <row r="89" spans="2:12" ht="12.75" customHeight="1" x14ac:dyDescent="0.2">
      <c r="B89" s="840" t="str">
        <f>IFERROR(_xlfn.XLOOKUP($C89,COM_Cadastro!$F$3:$F$199,COM_Cadastro!$B$3:$B$199),"")</f>
        <v/>
      </c>
      <c r="C89" s="326" t="s">
        <v>627</v>
      </c>
      <c r="D89" s="326" t="s">
        <v>618</v>
      </c>
      <c r="E89" s="551"/>
      <c r="F89" s="551"/>
      <c r="G89" s="602"/>
      <c r="H89" s="603">
        <v>0</v>
      </c>
      <c r="I89" s="604"/>
      <c r="J89" s="133">
        <v>0</v>
      </c>
      <c r="K89" s="543"/>
      <c r="L89" s="78">
        <v>0</v>
      </c>
    </row>
    <row r="90" spans="2:12" ht="12.75" customHeight="1" x14ac:dyDescent="0.2">
      <c r="B90" s="840" t="str">
        <f>IFERROR(_xlfn.XLOOKUP($C90,COM_Cadastro!$F$3:$F$199,COM_Cadastro!$B$3:$B$199),"")</f>
        <v/>
      </c>
      <c r="C90" s="326" t="s">
        <v>673</v>
      </c>
      <c r="D90" s="326" t="s">
        <v>618</v>
      </c>
      <c r="E90" s="551">
        <v>46076</v>
      </c>
      <c r="F90" s="551"/>
      <c r="G90" s="602"/>
      <c r="H90" s="603">
        <v>0</v>
      </c>
      <c r="I90" s="604"/>
      <c r="J90" s="133">
        <v>0</v>
      </c>
      <c r="K90" s="543"/>
      <c r="L90" s="78">
        <v>0</v>
      </c>
    </row>
    <row r="91" spans="2:12" ht="12.75" customHeight="1" x14ac:dyDescent="0.2">
      <c r="B91" s="840">
        <f>IFERROR(_xlfn.XLOOKUP($C91,COM_Cadastro!$F$3:$F$199,COM_Cadastro!$B$3:$B$199),"")</f>
        <v>6427753703</v>
      </c>
      <c r="C91" s="326" t="s">
        <v>553</v>
      </c>
      <c r="D91" s="326" t="s">
        <v>618</v>
      </c>
      <c r="E91" s="551"/>
      <c r="F91" s="551"/>
      <c r="G91" s="607"/>
      <c r="H91" s="603">
        <v>0</v>
      </c>
      <c r="I91" s="604"/>
      <c r="J91" s="133">
        <v>0</v>
      </c>
      <c r="K91" s="543"/>
      <c r="L91" s="78">
        <v>0</v>
      </c>
    </row>
    <row r="92" spans="2:12" ht="12.75" customHeight="1" x14ac:dyDescent="0.2">
      <c r="B92" s="840" t="str">
        <f>IFERROR(_xlfn.XLOOKUP($C92,COM_Cadastro!$F$3:$F$199,COM_Cadastro!$B$3:$B$199),"")</f>
        <v/>
      </c>
      <c r="C92" s="326" t="s">
        <v>563</v>
      </c>
      <c r="D92" s="326" t="s">
        <v>618</v>
      </c>
      <c r="E92" s="551"/>
      <c r="F92" s="551"/>
      <c r="G92" s="607"/>
      <c r="H92" s="603">
        <v>0</v>
      </c>
      <c r="I92" s="604"/>
      <c r="J92" s="133">
        <v>0</v>
      </c>
      <c r="K92" s="543"/>
      <c r="L92" s="78">
        <v>0</v>
      </c>
    </row>
    <row r="93" spans="2:12" ht="12.75" customHeight="1" x14ac:dyDescent="0.2">
      <c r="B93" s="840" t="str">
        <f>IFERROR(_xlfn.XLOOKUP($C93,COM_Cadastro!$F$3:$F$199,COM_Cadastro!$B$3:$B$199),"")</f>
        <v/>
      </c>
      <c r="C93" s="326" t="s">
        <v>629</v>
      </c>
      <c r="D93" s="326" t="s">
        <v>618</v>
      </c>
      <c r="E93" s="551"/>
      <c r="F93" s="551">
        <v>46059</v>
      </c>
      <c r="G93" s="602"/>
      <c r="H93" s="603">
        <v>0</v>
      </c>
      <c r="I93" s="604"/>
      <c r="J93" s="133">
        <v>0</v>
      </c>
      <c r="K93" s="543"/>
      <c r="L93" s="78">
        <v>0</v>
      </c>
    </row>
    <row r="94" spans="2:12" ht="12.75" customHeight="1" x14ac:dyDescent="0.2">
      <c r="B94" s="840">
        <f>IFERROR(_xlfn.XLOOKUP($C94,COM_Cadastro!$F$3:$F$199,COM_Cadastro!$B$3:$B$199),"")</f>
        <v>15863249773</v>
      </c>
      <c r="C94" s="326" t="s">
        <v>571</v>
      </c>
      <c r="D94" s="326" t="s">
        <v>618</v>
      </c>
      <c r="E94" s="551"/>
      <c r="F94" s="551"/>
      <c r="G94" s="602"/>
      <c r="H94" s="603">
        <v>0</v>
      </c>
      <c r="I94" s="604"/>
      <c r="J94" s="133">
        <v>0</v>
      </c>
      <c r="K94" s="543"/>
      <c r="L94" s="78">
        <v>0</v>
      </c>
    </row>
    <row r="95" spans="2:12" ht="12.75" customHeight="1" x14ac:dyDescent="0.2">
      <c r="B95" s="840">
        <f>IFERROR(_xlfn.XLOOKUP($C95,COM_Cadastro!$F$3:$F$199,COM_Cadastro!$B$3:$B$199),"")</f>
        <v>7954726762</v>
      </c>
      <c r="C95" s="326" t="s">
        <v>576</v>
      </c>
      <c r="D95" s="326" t="s">
        <v>618</v>
      </c>
      <c r="E95" s="551"/>
      <c r="F95" s="551"/>
      <c r="G95" s="607"/>
      <c r="H95" s="603">
        <v>0</v>
      </c>
      <c r="I95" s="604"/>
      <c r="J95" s="133">
        <v>0</v>
      </c>
      <c r="K95" s="543" t="s">
        <v>674</v>
      </c>
      <c r="L95" s="78">
        <v>17</v>
      </c>
    </row>
    <row r="96" spans="2:12" ht="12.75" customHeight="1" x14ac:dyDescent="0.2">
      <c r="B96" s="840">
        <f>IFERROR(_xlfn.XLOOKUP($C96,COM_Cadastro!$F$3:$F$199,COM_Cadastro!$B$3:$B$199),"")</f>
        <v>15863236795</v>
      </c>
      <c r="C96" s="326" t="s">
        <v>579</v>
      </c>
      <c r="D96" s="326" t="s">
        <v>618</v>
      </c>
      <c r="E96" s="551"/>
      <c r="F96" s="551"/>
      <c r="G96" s="607" t="s">
        <v>675</v>
      </c>
      <c r="H96" s="603">
        <v>2</v>
      </c>
      <c r="I96" s="604"/>
      <c r="J96" s="133">
        <v>0</v>
      </c>
      <c r="K96" s="543"/>
      <c r="L96" s="78">
        <v>0</v>
      </c>
    </row>
    <row r="97" spans="2:12" ht="12.75" customHeight="1" x14ac:dyDescent="0.2">
      <c r="B97" s="840" t="str">
        <f>IFERROR(_xlfn.XLOOKUP($C97,COM_Cadastro!$F$3:$F$199,COM_Cadastro!$B$3:$B$199),"")</f>
        <v/>
      </c>
      <c r="C97" s="326" t="s">
        <v>582</v>
      </c>
      <c r="D97" s="326" t="s">
        <v>618</v>
      </c>
      <c r="E97" s="551"/>
      <c r="F97" s="551">
        <v>46059</v>
      </c>
      <c r="G97" s="602"/>
      <c r="H97" s="603">
        <v>0</v>
      </c>
      <c r="I97" s="604"/>
      <c r="J97" s="133">
        <v>0</v>
      </c>
      <c r="K97" s="543"/>
      <c r="L97" s="78">
        <v>0</v>
      </c>
    </row>
    <row r="98" spans="2:12" ht="12.75" customHeight="1" x14ac:dyDescent="0.2">
      <c r="B98" s="840" t="str">
        <f>IFERROR(_xlfn.XLOOKUP($C98,COM_Cadastro!$F$3:$F$199,COM_Cadastro!$B$3:$B$199),"")</f>
        <v/>
      </c>
      <c r="C98" s="326" t="s">
        <v>632</v>
      </c>
      <c r="D98" s="326" t="s">
        <v>618</v>
      </c>
      <c r="E98" s="551"/>
      <c r="F98" s="551"/>
      <c r="G98" s="602"/>
      <c r="H98" s="603">
        <v>0</v>
      </c>
      <c r="I98" s="132">
        <v>4</v>
      </c>
      <c r="J98" s="133">
        <v>1</v>
      </c>
      <c r="K98" s="543"/>
      <c r="L98" s="78">
        <v>0</v>
      </c>
    </row>
    <row r="99" spans="2:12" ht="12.75" customHeight="1" x14ac:dyDescent="0.2">
      <c r="B99" s="840">
        <f>IFERROR(_xlfn.XLOOKUP($C99,COM_Cadastro!$F$3:$F$199,COM_Cadastro!$B$3:$B$199),"")</f>
        <v>99272113768</v>
      </c>
      <c r="C99" s="326" t="s">
        <v>589</v>
      </c>
      <c r="D99" s="326" t="s">
        <v>618</v>
      </c>
      <c r="E99" s="551"/>
      <c r="F99" s="551"/>
      <c r="G99" s="607" t="s">
        <v>676</v>
      </c>
      <c r="H99" s="603">
        <v>6</v>
      </c>
      <c r="I99" s="604"/>
      <c r="J99" s="133">
        <v>0</v>
      </c>
      <c r="K99" s="543"/>
      <c r="L99" s="78">
        <v>0</v>
      </c>
    </row>
    <row r="100" spans="2:12" ht="12.75" customHeight="1" x14ac:dyDescent="0.2">
      <c r="B100" s="840">
        <f>IFERROR(_xlfn.XLOOKUP($C100,COM_Cadastro!$F$3:$F$199,COM_Cadastro!$B$3:$B$199),"")</f>
        <v>14621117777</v>
      </c>
      <c r="C100" s="326" t="s">
        <v>599</v>
      </c>
      <c r="D100" s="326" t="s">
        <v>618</v>
      </c>
      <c r="E100" s="551"/>
      <c r="F100" s="551"/>
      <c r="G100" s="607"/>
      <c r="H100" s="603">
        <v>0</v>
      </c>
      <c r="I100" s="604"/>
      <c r="J100" s="133">
        <v>0</v>
      </c>
      <c r="K100" s="543"/>
      <c r="L100" s="78">
        <v>0</v>
      </c>
    </row>
    <row r="101" spans="2:12" ht="12.75" customHeight="1" x14ac:dyDescent="0.2">
      <c r="B101" s="840">
        <f>IFERROR(_xlfn.XLOOKUP($C101,COM_Cadastro!$F$3:$F$199,COM_Cadastro!$B$3:$B$199),"")</f>
        <v>12136959700</v>
      </c>
      <c r="C101" s="326" t="s">
        <v>603</v>
      </c>
      <c r="D101" s="326" t="s">
        <v>618</v>
      </c>
      <c r="E101" s="551"/>
      <c r="F101" s="551"/>
      <c r="G101" s="602"/>
      <c r="H101" s="603">
        <v>0</v>
      </c>
      <c r="I101" s="604"/>
      <c r="J101" s="133">
        <v>0</v>
      </c>
      <c r="K101" s="543"/>
      <c r="L101" s="78">
        <v>0</v>
      </c>
    </row>
    <row r="102" spans="2:12" ht="12.75" customHeight="1" x14ac:dyDescent="0.2">
      <c r="B102" s="840" t="str">
        <f>IFERROR(_xlfn.XLOOKUP($C102,COM_Cadastro!$F$3:$F$199,COM_Cadastro!$B$3:$B$199),"")</f>
        <v/>
      </c>
      <c r="C102" s="326" t="s">
        <v>614</v>
      </c>
      <c r="D102" s="326" t="s">
        <v>618</v>
      </c>
      <c r="E102" s="551"/>
      <c r="F102" s="551">
        <v>46055</v>
      </c>
      <c r="G102" s="602"/>
      <c r="H102" s="603">
        <v>0</v>
      </c>
      <c r="I102" s="604"/>
      <c r="J102" s="133">
        <v>0</v>
      </c>
      <c r="K102" s="543"/>
      <c r="L102" s="78">
        <v>0</v>
      </c>
    </row>
    <row r="103" spans="2:12" ht="12.75" customHeight="1" x14ac:dyDescent="0.2">
      <c r="B103" s="840">
        <f>IFERROR(_xlfn.XLOOKUP($C103,COM_Cadastro!$F$3:$F$199,COM_Cadastro!$B$3:$B$199),"")</f>
        <v>5462943679</v>
      </c>
      <c r="C103" s="326" t="s">
        <v>370</v>
      </c>
      <c r="D103" s="326" t="s">
        <v>635</v>
      </c>
      <c r="E103" s="551"/>
      <c r="F103" s="551"/>
      <c r="G103" s="607"/>
      <c r="H103" s="603">
        <v>0</v>
      </c>
      <c r="I103" s="604"/>
      <c r="J103" s="133">
        <v>0</v>
      </c>
      <c r="K103" s="543"/>
      <c r="L103" s="78">
        <v>0</v>
      </c>
    </row>
    <row r="104" spans="2:12" ht="12.75" customHeight="1" x14ac:dyDescent="0.2">
      <c r="B104" s="840" t="str">
        <f>IFERROR(_xlfn.XLOOKUP($C104,COM_Cadastro!$F$3:$F$199,COM_Cadastro!$B$3:$B$199),"")</f>
        <v/>
      </c>
      <c r="C104" s="326" t="s">
        <v>637</v>
      </c>
      <c r="D104" s="326" t="s">
        <v>638</v>
      </c>
      <c r="E104" s="551"/>
      <c r="F104" s="551"/>
      <c r="G104" s="607"/>
      <c r="H104" s="603">
        <v>0</v>
      </c>
      <c r="I104" s="604"/>
      <c r="J104" s="133">
        <v>0</v>
      </c>
      <c r="K104" s="543"/>
      <c r="L104" s="78">
        <v>0</v>
      </c>
    </row>
    <row r="105" spans="2:12" ht="12.75" customHeight="1" x14ac:dyDescent="0.2">
      <c r="B105" s="840" t="str">
        <f>IFERROR(_xlfn.XLOOKUP($C105,COM_Cadastro!$F$3:$F$199,COM_Cadastro!$B$3:$B$199),"")</f>
        <v/>
      </c>
      <c r="C105" s="326" t="s">
        <v>640</v>
      </c>
      <c r="D105" s="326" t="s">
        <v>641</v>
      </c>
      <c r="E105" s="551"/>
      <c r="F105" s="551"/>
      <c r="G105" s="602"/>
      <c r="H105" s="603">
        <v>0</v>
      </c>
      <c r="I105" s="604"/>
      <c r="J105" s="133">
        <v>0</v>
      </c>
      <c r="K105" s="543"/>
      <c r="L105" s="78">
        <v>0</v>
      </c>
    </row>
    <row r="106" spans="2:12" ht="12.75" customHeight="1" x14ac:dyDescent="0.2">
      <c r="B106" s="840">
        <f>IFERROR(_xlfn.XLOOKUP($C106,COM_Cadastro!$F$3:$F$199,COM_Cadastro!$B$3:$B$199),"")</f>
        <v>70535732651</v>
      </c>
      <c r="C106" s="326" t="s">
        <v>417</v>
      </c>
      <c r="D106" s="326" t="s">
        <v>644</v>
      </c>
      <c r="E106" s="551"/>
      <c r="F106" s="551"/>
      <c r="G106" s="602"/>
      <c r="H106" s="603">
        <v>0</v>
      </c>
      <c r="I106" s="604"/>
      <c r="J106" s="133">
        <v>0</v>
      </c>
      <c r="K106" s="543"/>
      <c r="L106" s="78">
        <v>0</v>
      </c>
    </row>
    <row r="107" spans="2:12" ht="12.75" customHeight="1" x14ac:dyDescent="0.2">
      <c r="B107" s="840" t="str">
        <f>IFERROR(_xlfn.XLOOKUP($C107,COM_Cadastro!$F$3:$F$199,COM_Cadastro!$B$3:$B$199),"")</f>
        <v/>
      </c>
      <c r="C107" s="326" t="s">
        <v>677</v>
      </c>
      <c r="D107" s="326" t="s">
        <v>635</v>
      </c>
      <c r="E107" s="551">
        <v>46062</v>
      </c>
      <c r="F107" s="551"/>
      <c r="G107" s="607"/>
      <c r="H107" s="603">
        <v>0</v>
      </c>
      <c r="I107" s="604"/>
      <c r="J107" s="133">
        <v>0</v>
      </c>
      <c r="K107" s="543"/>
      <c r="L107" s="78">
        <v>0</v>
      </c>
    </row>
    <row r="108" spans="2:12" ht="12.75" customHeight="1" x14ac:dyDescent="0.2">
      <c r="B108" s="840" t="str">
        <f>IFERROR(_xlfn.XLOOKUP($C108,COM_Cadastro!$F$3:$F$199,COM_Cadastro!$B$3:$B$199),"")</f>
        <v/>
      </c>
      <c r="C108" s="326" t="s">
        <v>678</v>
      </c>
      <c r="D108" s="326" t="s">
        <v>635</v>
      </c>
      <c r="E108" s="551">
        <v>46062</v>
      </c>
      <c r="F108" s="551"/>
      <c r="G108" s="607"/>
      <c r="H108" s="603">
        <v>0</v>
      </c>
      <c r="I108" s="604"/>
      <c r="J108" s="133">
        <v>0</v>
      </c>
      <c r="K108" s="543"/>
      <c r="L108" s="78">
        <v>0</v>
      </c>
    </row>
    <row r="109" spans="2:12" ht="12.75" customHeight="1" x14ac:dyDescent="0.2">
      <c r="B109" s="840" t="str">
        <f>IFERROR(_xlfn.XLOOKUP($C109,COM_Cadastro!$F$3:$F$199,COM_Cadastro!$B$3:$B$199),"")</f>
        <v/>
      </c>
      <c r="C109" s="326" t="s">
        <v>679</v>
      </c>
      <c r="D109" s="326" t="s">
        <v>680</v>
      </c>
      <c r="E109" s="551">
        <v>46063</v>
      </c>
      <c r="F109" s="551"/>
      <c r="G109" s="602"/>
      <c r="H109" s="603">
        <v>0</v>
      </c>
      <c r="I109" s="604" t="s">
        <v>681</v>
      </c>
      <c r="J109" s="133">
        <v>2</v>
      </c>
      <c r="K109" s="543"/>
      <c r="L109" s="78">
        <v>0</v>
      </c>
    </row>
    <row r="110" spans="2:12" ht="12.75" customHeight="1" x14ac:dyDescent="0.2">
      <c r="B110" s="840" t="str">
        <f>IFERROR(_xlfn.XLOOKUP($C110,COM_Cadastro!$F$3:$F$199,COM_Cadastro!$B$3:$B$199),"")</f>
        <v/>
      </c>
      <c r="C110" s="326" t="s">
        <v>682</v>
      </c>
      <c r="D110" s="326" t="s">
        <v>635</v>
      </c>
      <c r="E110" s="551">
        <v>46062</v>
      </c>
      <c r="F110" s="551"/>
      <c r="G110" s="602"/>
      <c r="H110" s="603">
        <v>0</v>
      </c>
      <c r="I110" s="604" t="s">
        <v>683</v>
      </c>
      <c r="J110" s="133">
        <v>1</v>
      </c>
      <c r="K110" s="543"/>
      <c r="L110" s="78">
        <v>0</v>
      </c>
    </row>
    <row r="111" spans="2:12" ht="12.75" customHeight="1" x14ac:dyDescent="0.2">
      <c r="B111" s="840" t="str">
        <f>IFERROR(_xlfn.XLOOKUP($C111,COM_Cadastro!$F$3:$F$199,COM_Cadastro!$B$3:$B$199),"")</f>
        <v/>
      </c>
      <c r="C111" s="326" t="s">
        <v>645</v>
      </c>
      <c r="D111" s="326" t="s">
        <v>635</v>
      </c>
      <c r="E111" s="551"/>
      <c r="F111" s="551">
        <v>46066</v>
      </c>
      <c r="G111" s="624">
        <v>7</v>
      </c>
      <c r="H111" s="603">
        <v>1</v>
      </c>
      <c r="I111" s="604"/>
      <c r="J111" s="133">
        <v>0</v>
      </c>
      <c r="K111" s="543"/>
      <c r="L111" s="78">
        <v>0</v>
      </c>
    </row>
    <row r="112" spans="2:12" ht="12.75" customHeight="1" x14ac:dyDescent="0.2">
      <c r="B112" s="840" t="str">
        <f>IFERROR(_xlfn.XLOOKUP($C112,COM_Cadastro!$F$3:$F$199,COM_Cadastro!$B$3:$B$199),"")</f>
        <v/>
      </c>
      <c r="C112" s="326" t="s">
        <v>646</v>
      </c>
      <c r="D112" s="326" t="s">
        <v>647</v>
      </c>
      <c r="E112" s="551"/>
      <c r="F112" s="551"/>
      <c r="G112" s="607"/>
      <c r="H112" s="603">
        <v>0</v>
      </c>
      <c r="I112" s="604"/>
      <c r="J112" s="133">
        <v>0</v>
      </c>
      <c r="K112" s="543"/>
      <c r="L112" s="78">
        <v>0</v>
      </c>
    </row>
    <row r="113" spans="2:12" ht="12.75" customHeight="1" x14ac:dyDescent="0.2">
      <c r="B113" s="840" t="str">
        <f>IFERROR(_xlfn.XLOOKUP($C113,COM_Cadastro!$F$3:$F$199,COM_Cadastro!$B$3:$B$199),"")</f>
        <v/>
      </c>
      <c r="C113" s="326" t="s">
        <v>648</v>
      </c>
      <c r="D113" s="326" t="s">
        <v>649</v>
      </c>
      <c r="E113" s="551"/>
      <c r="F113" s="551"/>
      <c r="G113" s="602"/>
      <c r="H113" s="603">
        <v>0</v>
      </c>
      <c r="I113" s="604"/>
      <c r="J113" s="133">
        <v>0</v>
      </c>
      <c r="K113" s="543"/>
      <c r="L113" s="78">
        <v>0</v>
      </c>
    </row>
    <row r="114" spans="2:12" ht="12.75" customHeight="1" x14ac:dyDescent="0.2">
      <c r="B114" s="840" t="str">
        <f>IFERROR(_xlfn.XLOOKUP($C114,COM_Cadastro!$F$3:$F$199,COM_Cadastro!$B$3:$B$199),"")</f>
        <v/>
      </c>
      <c r="C114" s="326" t="s">
        <v>650</v>
      </c>
      <c r="D114" s="326" t="s">
        <v>635</v>
      </c>
      <c r="E114" s="551"/>
      <c r="F114" s="551"/>
      <c r="G114" s="602" t="s">
        <v>684</v>
      </c>
      <c r="H114" s="603">
        <v>4</v>
      </c>
      <c r="I114" s="604"/>
      <c r="J114" s="133">
        <v>0</v>
      </c>
      <c r="K114" s="543"/>
      <c r="L114" s="78">
        <v>0</v>
      </c>
    </row>
    <row r="115" spans="2:12" ht="12.75" customHeight="1" x14ac:dyDescent="0.2">
      <c r="B115" s="840">
        <f>IFERROR(_xlfn.XLOOKUP($C115,COM_Cadastro!$F$3:$F$199,COM_Cadastro!$B$3:$B$199),"")</f>
        <v>10070875600</v>
      </c>
      <c r="C115" s="326" t="s">
        <v>509</v>
      </c>
      <c r="D115" s="326" t="s">
        <v>651</v>
      </c>
      <c r="E115" s="551"/>
      <c r="F115" s="551"/>
      <c r="G115" s="607" t="s">
        <v>685</v>
      </c>
      <c r="H115" s="603">
        <v>2</v>
      </c>
      <c r="I115" s="604"/>
      <c r="J115" s="133">
        <v>0</v>
      </c>
      <c r="K115" s="543"/>
      <c r="L115" s="78">
        <v>0</v>
      </c>
    </row>
    <row r="116" spans="2:12" ht="12.75" customHeight="1" x14ac:dyDescent="0.2">
      <c r="B116" s="840">
        <f>IFERROR(_xlfn.XLOOKUP($C116,COM_Cadastro!$F$3:$F$199,COM_Cadastro!$B$3:$B$199),"")</f>
        <v>11057664626</v>
      </c>
      <c r="C116" s="326" t="s">
        <v>526</v>
      </c>
      <c r="D116" s="326" t="s">
        <v>652</v>
      </c>
      <c r="E116" s="551"/>
      <c r="F116" s="551"/>
      <c r="G116" s="607"/>
      <c r="H116" s="603">
        <v>0</v>
      </c>
      <c r="I116" s="604"/>
      <c r="J116" s="133">
        <v>0</v>
      </c>
      <c r="K116" s="543"/>
      <c r="L116" s="78">
        <v>0</v>
      </c>
    </row>
    <row r="117" spans="2:12" ht="12.75" customHeight="1" x14ac:dyDescent="0.2">
      <c r="B117" s="840" t="str">
        <f>IFERROR(_xlfn.XLOOKUP($C117,COM_Cadastro!$F$3:$F$199,COM_Cadastro!$B$3:$B$199),"")</f>
        <v/>
      </c>
      <c r="C117" s="326" t="s">
        <v>686</v>
      </c>
      <c r="D117" s="326" t="s">
        <v>635</v>
      </c>
      <c r="E117" s="551">
        <v>46069</v>
      </c>
      <c r="F117" s="551"/>
      <c r="G117" s="602"/>
      <c r="H117" s="603">
        <v>0</v>
      </c>
      <c r="I117" s="604"/>
      <c r="J117" s="133">
        <v>0</v>
      </c>
      <c r="K117" s="543"/>
      <c r="L117" s="78">
        <v>0</v>
      </c>
    </row>
    <row r="118" spans="2:12" ht="12.75" customHeight="1" x14ac:dyDescent="0.2">
      <c r="B118" s="840" t="str">
        <f>IFERROR(_xlfn.XLOOKUP($C118,COM_Cadastro!$F$3:$F$199,COM_Cadastro!$B$3:$B$199),"")</f>
        <v/>
      </c>
      <c r="C118" s="326" t="s">
        <v>687</v>
      </c>
      <c r="D118" s="326" t="s">
        <v>688</v>
      </c>
      <c r="E118" s="551">
        <v>46064</v>
      </c>
      <c r="F118" s="551"/>
      <c r="G118" s="602"/>
      <c r="H118" s="603">
        <v>0</v>
      </c>
      <c r="I118" s="604"/>
      <c r="J118" s="133">
        <v>0</v>
      </c>
      <c r="K118" s="543"/>
      <c r="L118" s="78">
        <v>0</v>
      </c>
    </row>
    <row r="119" spans="2:12" ht="12.75" customHeight="1" x14ac:dyDescent="0.2">
      <c r="B119" s="840">
        <f>IFERROR(_xlfn.XLOOKUP($C119,COM_Cadastro!$F$3:$F$199,COM_Cadastro!$B$3:$B$199),"")</f>
        <v>65328831000132</v>
      </c>
      <c r="C119" s="326" t="s">
        <v>590</v>
      </c>
      <c r="D119" s="326" t="s">
        <v>653</v>
      </c>
      <c r="E119" s="551"/>
      <c r="F119" s="551"/>
      <c r="G119" s="624">
        <v>24</v>
      </c>
      <c r="H119" s="603">
        <v>1</v>
      </c>
      <c r="I119" s="604"/>
      <c r="J119" s="133">
        <v>0</v>
      </c>
      <c r="K119" s="543"/>
      <c r="L119" s="78">
        <v>0</v>
      </c>
    </row>
    <row r="120" spans="2:12" ht="12.75" customHeight="1" x14ac:dyDescent="0.2">
      <c r="B120" s="840" t="str">
        <f>IFERROR(_xlfn.XLOOKUP($C120,COM_Cadastro!$F$3:$F$199,COM_Cadastro!$B$3:$B$199),"")</f>
        <v/>
      </c>
      <c r="C120" s="326" t="s">
        <v>654</v>
      </c>
      <c r="D120" s="326" t="s">
        <v>635</v>
      </c>
      <c r="E120" s="551"/>
      <c r="F120" s="551"/>
      <c r="G120" s="607"/>
      <c r="H120" s="603">
        <v>0</v>
      </c>
      <c r="I120" s="604"/>
      <c r="J120" s="133">
        <v>0</v>
      </c>
      <c r="K120" s="543"/>
      <c r="L120" s="78">
        <v>0</v>
      </c>
    </row>
    <row r="121" spans="2:12" ht="12.75" customHeight="1" x14ac:dyDescent="0.2">
      <c r="B121" s="840" t="str">
        <f>IFERROR(_xlfn.XLOOKUP($C121,COM_Cadastro!$F$3:$F$199,COM_Cadastro!$B$3:$B$199),"")</f>
        <v/>
      </c>
      <c r="C121" s="326" t="s">
        <v>655</v>
      </c>
      <c r="D121" s="326" t="s">
        <v>656</v>
      </c>
      <c r="E121" s="551"/>
      <c r="F121" s="551"/>
      <c r="G121" s="602"/>
      <c r="H121" s="603">
        <v>0</v>
      </c>
      <c r="I121" s="604"/>
      <c r="J121" s="133">
        <v>0</v>
      </c>
      <c r="K121" s="543"/>
      <c r="L121" s="78">
        <v>0</v>
      </c>
    </row>
    <row r="122" spans="2:12" ht="12.75" customHeight="1" x14ac:dyDescent="0.2">
      <c r="B122" s="840">
        <f>IFERROR(_xlfn.XLOOKUP($C122,COM_Cadastro!$F$3:$F$199,COM_Cadastro!$B$3:$B$199),"")</f>
        <v>11331602637</v>
      </c>
      <c r="C122" s="326" t="s">
        <v>611</v>
      </c>
      <c r="D122" s="326" t="s">
        <v>657</v>
      </c>
      <c r="E122" s="551"/>
      <c r="F122" s="551"/>
      <c r="G122" s="602"/>
      <c r="H122" s="603">
        <v>0</v>
      </c>
      <c r="I122" s="604"/>
      <c r="J122" s="133">
        <v>0</v>
      </c>
      <c r="K122" s="543"/>
      <c r="L122" s="78">
        <v>0</v>
      </c>
    </row>
    <row r="123" spans="2:12" ht="12.75" customHeight="1" x14ac:dyDescent="0.2">
      <c r="B123" s="840">
        <f>IFERROR(_xlfn.XLOOKUP($C123,COM_Cadastro!$F$3:$F$199,COM_Cadastro!$B$3:$B$199),"")</f>
        <v>4779942616</v>
      </c>
      <c r="C123" s="326" t="s">
        <v>601</v>
      </c>
      <c r="D123" s="326" t="s">
        <v>635</v>
      </c>
      <c r="E123" s="551"/>
      <c r="F123" s="551"/>
      <c r="G123" s="607"/>
      <c r="H123" s="603">
        <v>0</v>
      </c>
      <c r="I123" s="604"/>
      <c r="J123" s="133">
        <v>0</v>
      </c>
      <c r="K123" s="543"/>
      <c r="L123" s="78">
        <v>0</v>
      </c>
    </row>
    <row r="124" spans="2:12" ht="12.75" customHeight="1" x14ac:dyDescent="0.2">
      <c r="B124" s="840" t="str">
        <f>IFERROR(_xlfn.XLOOKUP($C124,COM_Cadastro!$F$3:$F$199,COM_Cadastro!$B$3:$B$199),"")</f>
        <v/>
      </c>
      <c r="C124" s="326" t="s">
        <v>658</v>
      </c>
      <c r="D124" s="326" t="s">
        <v>659</v>
      </c>
      <c r="E124" s="551"/>
      <c r="F124" s="551"/>
      <c r="G124" s="607"/>
      <c r="H124" s="603">
        <v>0</v>
      </c>
      <c r="I124" s="604"/>
      <c r="J124" s="133">
        <v>0</v>
      </c>
      <c r="K124" s="543"/>
      <c r="L124" s="78">
        <v>0</v>
      </c>
    </row>
    <row r="125" spans="2:12" ht="12.75" customHeight="1" x14ac:dyDescent="0.2">
      <c r="B125" s="840" t="str">
        <f>IFERROR(_xlfn.XLOOKUP($C125,COM_Cadastro!$F$3:$F$199,COM_Cadastro!$B$3:$B$199),"")</f>
        <v/>
      </c>
      <c r="C125" s="326" t="s">
        <v>448</v>
      </c>
      <c r="D125" s="326" t="s">
        <v>659</v>
      </c>
      <c r="E125" s="551"/>
      <c r="F125" s="551"/>
      <c r="G125" s="602"/>
      <c r="H125" s="603">
        <v>0</v>
      </c>
      <c r="I125" s="604"/>
      <c r="J125" s="133">
        <v>0</v>
      </c>
      <c r="K125" s="543"/>
      <c r="L125" s="78">
        <v>0</v>
      </c>
    </row>
    <row r="126" spans="2:12" ht="12.75" customHeight="1" x14ac:dyDescent="0.2">
      <c r="B126" s="840" t="str">
        <f>IFERROR(_xlfn.XLOOKUP($C126,COM_Cadastro!$F$3:$F$199,COM_Cadastro!$B$3:$B$199),"")</f>
        <v/>
      </c>
      <c r="C126" s="326" t="s">
        <v>519</v>
      </c>
      <c r="D126" s="326" t="s">
        <v>659</v>
      </c>
      <c r="E126" s="551"/>
      <c r="F126" s="551"/>
      <c r="G126" s="602"/>
      <c r="H126" s="603">
        <v>0</v>
      </c>
      <c r="I126" s="604"/>
      <c r="J126" s="133">
        <v>0</v>
      </c>
      <c r="K126" s="543"/>
      <c r="L126" s="78">
        <v>0</v>
      </c>
    </row>
    <row r="127" spans="2:12" ht="12.75" customHeight="1" x14ac:dyDescent="0.2">
      <c r="B127" s="840" t="str">
        <f>IFERROR(_xlfn.XLOOKUP($C127,COM_Cadastro!$F$3:$F$199,COM_Cadastro!$B$3:$B$199),"")</f>
        <v/>
      </c>
      <c r="C127" s="326" t="s">
        <v>542</v>
      </c>
      <c r="D127" s="326" t="s">
        <v>659</v>
      </c>
      <c r="E127" s="551"/>
      <c r="F127" s="551">
        <v>46078</v>
      </c>
      <c r="G127" s="607"/>
      <c r="H127" s="603">
        <v>0</v>
      </c>
      <c r="I127" s="604"/>
      <c r="J127" s="133">
        <v>0</v>
      </c>
      <c r="K127" s="543"/>
      <c r="L127" s="78">
        <v>0</v>
      </c>
    </row>
    <row r="128" spans="2:12" ht="12.75" customHeight="1" x14ac:dyDescent="0.2">
      <c r="B128" s="840" t="str">
        <f>IFERROR(_xlfn.XLOOKUP($C128,COM_Cadastro!$F$3:$F$199,COM_Cadastro!$B$3:$B$199),"")</f>
        <v/>
      </c>
      <c r="C128" s="326" t="s">
        <v>660</v>
      </c>
      <c r="D128" s="326" t="s">
        <v>659</v>
      </c>
      <c r="E128" s="551"/>
      <c r="F128" s="551"/>
      <c r="G128" s="607"/>
      <c r="H128" s="603">
        <v>0</v>
      </c>
      <c r="I128" s="604"/>
      <c r="J128" s="133">
        <v>0</v>
      </c>
      <c r="K128" s="543"/>
      <c r="L128" s="78">
        <v>0</v>
      </c>
    </row>
    <row r="129" spans="2:12" ht="12.75" customHeight="1" x14ac:dyDescent="0.2">
      <c r="B129" s="840" t="str">
        <f>IFERROR(_xlfn.XLOOKUP($C129,COM_Cadastro!$F$3:$F$199,COM_Cadastro!$B$3:$B$199),"")</f>
        <v/>
      </c>
      <c r="C129" s="326" t="s">
        <v>562</v>
      </c>
      <c r="D129" s="326" t="s">
        <v>659</v>
      </c>
      <c r="E129" s="551"/>
      <c r="F129" s="551"/>
      <c r="G129" s="602"/>
      <c r="H129" s="603">
        <v>0</v>
      </c>
      <c r="I129" s="604"/>
      <c r="J129" s="133">
        <v>0</v>
      </c>
      <c r="K129" s="543"/>
      <c r="L129" s="78">
        <v>0</v>
      </c>
    </row>
    <row r="130" spans="2:12" ht="12.75" customHeight="1" x14ac:dyDescent="0.2">
      <c r="B130" s="840">
        <f>IFERROR(_xlfn.XLOOKUP($C130,COM_Cadastro!$F$3:$F$199,COM_Cadastro!$B$3:$B$199),"")</f>
        <v>50778213803</v>
      </c>
      <c r="C130" s="326" t="s">
        <v>566</v>
      </c>
      <c r="D130" s="326" t="s">
        <v>659</v>
      </c>
      <c r="E130" s="551"/>
      <c r="F130" s="551"/>
      <c r="G130" s="602"/>
      <c r="H130" s="603">
        <v>0</v>
      </c>
      <c r="I130" s="604"/>
      <c r="J130" s="133">
        <v>0</v>
      </c>
      <c r="K130" s="543"/>
      <c r="L130" s="78">
        <v>0</v>
      </c>
    </row>
    <row r="131" spans="2:12" ht="12.75" customHeight="1" x14ac:dyDescent="0.2">
      <c r="B131" s="840">
        <f>IFERROR(_xlfn.XLOOKUP($C131,COM_Cadastro!$F$3:$F$199,COM_Cadastro!$B$3:$B$199),"")</f>
        <v>41717722814</v>
      </c>
      <c r="C131" s="326" t="s">
        <v>604</v>
      </c>
      <c r="D131" s="326" t="s">
        <v>659</v>
      </c>
      <c r="E131" s="551"/>
      <c r="F131" s="551"/>
      <c r="G131" s="607"/>
      <c r="H131" s="603">
        <v>0</v>
      </c>
      <c r="I131" s="604"/>
      <c r="J131" s="133">
        <v>0</v>
      </c>
      <c r="K131" s="543"/>
      <c r="L131" s="78">
        <v>0</v>
      </c>
    </row>
    <row r="132" spans="2:12" ht="12.75" customHeight="1" x14ac:dyDescent="0.2">
      <c r="B132" s="840">
        <f>IFERROR(_xlfn.XLOOKUP($C132,COM_Cadastro!$F$3:$F$199,COM_Cadastro!$B$3:$B$199),"")</f>
        <v>78467829400</v>
      </c>
      <c r="C132" s="326" t="s">
        <v>615</v>
      </c>
      <c r="D132" s="326" t="s">
        <v>659</v>
      </c>
      <c r="E132" s="551"/>
      <c r="F132" s="551"/>
      <c r="G132" s="607"/>
      <c r="H132" s="603">
        <v>0</v>
      </c>
      <c r="I132" s="604"/>
      <c r="J132" s="133">
        <v>0</v>
      </c>
      <c r="K132" s="543"/>
      <c r="L132" s="78">
        <v>0</v>
      </c>
    </row>
    <row r="133" spans="2:12" ht="12.75" customHeight="1" x14ac:dyDescent="0.2">
      <c r="B133" s="840" t="str">
        <f>IFERROR(_xlfn.XLOOKUP($C133,COM_Cadastro!$F$3:$F$199,COM_Cadastro!$B$3:$B$199),"")</f>
        <v/>
      </c>
      <c r="C133" s="326" t="s">
        <v>382</v>
      </c>
      <c r="D133" s="326" t="s">
        <v>661</v>
      </c>
      <c r="E133" s="551"/>
      <c r="F133" s="551">
        <v>46054</v>
      </c>
      <c r="G133" s="602"/>
      <c r="H133" s="603">
        <v>0</v>
      </c>
      <c r="I133" s="604"/>
      <c r="J133" s="133">
        <v>0</v>
      </c>
      <c r="K133" s="543"/>
      <c r="L133" s="78">
        <v>0</v>
      </c>
    </row>
    <row r="134" spans="2:12" ht="12.75" customHeight="1" x14ac:dyDescent="0.2">
      <c r="B134" s="840" t="str">
        <f>IFERROR(_xlfn.XLOOKUP($C134,COM_Cadastro!$F$3:$F$199,COM_Cadastro!$B$3:$B$199),"")</f>
        <v/>
      </c>
      <c r="C134" s="326" t="s">
        <v>689</v>
      </c>
      <c r="D134" s="326" t="s">
        <v>661</v>
      </c>
      <c r="E134" s="551">
        <v>46062</v>
      </c>
      <c r="F134" s="551"/>
      <c r="G134" s="602"/>
      <c r="H134" s="603">
        <v>0</v>
      </c>
      <c r="I134" s="604"/>
      <c r="J134" s="133">
        <v>0</v>
      </c>
      <c r="K134" s="543"/>
      <c r="L134" s="78">
        <v>0</v>
      </c>
    </row>
    <row r="135" spans="2:12" ht="12.75" customHeight="1" x14ac:dyDescent="0.2">
      <c r="B135" s="840" t="str">
        <f>IFERROR(_xlfn.XLOOKUP($C135,COM_Cadastro!$F$3:$F$199,COM_Cadastro!$B$3:$B$199),"")</f>
        <v/>
      </c>
      <c r="C135" s="326" t="s">
        <v>690</v>
      </c>
      <c r="D135" s="326" t="s">
        <v>661</v>
      </c>
      <c r="E135" s="551">
        <v>46055</v>
      </c>
      <c r="F135" s="551"/>
      <c r="G135" s="607"/>
      <c r="H135" s="603">
        <v>0</v>
      </c>
      <c r="I135" s="604"/>
      <c r="J135" s="133">
        <v>0</v>
      </c>
      <c r="K135" s="543"/>
      <c r="L135" s="78">
        <v>0</v>
      </c>
    </row>
    <row r="136" spans="2:12" ht="12.75" customHeight="1" x14ac:dyDescent="0.2">
      <c r="B136" s="840" t="str">
        <f>IFERROR(_xlfn.XLOOKUP($C136,COM_Cadastro!$F$3:$F$199,COM_Cadastro!$B$3:$B$199),"")</f>
        <v/>
      </c>
      <c r="C136" s="326" t="s">
        <v>420</v>
      </c>
      <c r="D136" s="326" t="s">
        <v>661</v>
      </c>
      <c r="E136" s="551"/>
      <c r="F136" s="551"/>
      <c r="G136" s="607"/>
      <c r="H136" s="603">
        <v>0</v>
      </c>
      <c r="I136" s="604"/>
      <c r="J136" s="133">
        <v>0</v>
      </c>
      <c r="K136" s="543"/>
      <c r="L136" s="78">
        <v>0</v>
      </c>
    </row>
    <row r="137" spans="2:12" ht="12.75" customHeight="1" x14ac:dyDescent="0.2">
      <c r="B137" s="840" t="str">
        <f>IFERROR(_xlfn.XLOOKUP($C137,COM_Cadastro!$F$3:$F$199,COM_Cadastro!$B$3:$B$199),"")</f>
        <v/>
      </c>
      <c r="C137" s="326" t="s">
        <v>427</v>
      </c>
      <c r="D137" s="326" t="s">
        <v>661</v>
      </c>
      <c r="E137" s="551">
        <v>46076</v>
      </c>
      <c r="F137" s="551"/>
      <c r="G137" s="602"/>
      <c r="H137" s="603">
        <v>0</v>
      </c>
      <c r="I137" s="604"/>
      <c r="J137" s="133">
        <v>0</v>
      </c>
      <c r="K137" s="543"/>
      <c r="L137" s="78">
        <v>0</v>
      </c>
    </row>
    <row r="138" spans="2:12" ht="12.75" customHeight="1" x14ac:dyDescent="0.2">
      <c r="B138" s="840" t="str">
        <f>IFERROR(_xlfn.XLOOKUP($C138,COM_Cadastro!$F$3:$F$199,COM_Cadastro!$B$3:$B$199),"")</f>
        <v/>
      </c>
      <c r="C138" s="326" t="s">
        <v>662</v>
      </c>
      <c r="D138" s="326" t="s">
        <v>661</v>
      </c>
      <c r="E138" s="551"/>
      <c r="F138" s="551">
        <v>46071</v>
      </c>
      <c r="G138" s="602"/>
      <c r="H138" s="603">
        <v>0</v>
      </c>
      <c r="I138" s="604"/>
      <c r="J138" s="133">
        <v>0</v>
      </c>
      <c r="K138" s="543"/>
      <c r="L138" s="78">
        <v>0</v>
      </c>
    </row>
    <row r="139" spans="2:12" ht="12.75" customHeight="1" x14ac:dyDescent="0.2">
      <c r="B139" s="840" t="str">
        <f>IFERROR(_xlfn.XLOOKUP($C139,COM_Cadastro!$F$3:$F$199,COM_Cadastro!$B$3:$B$199),"")</f>
        <v/>
      </c>
      <c r="C139" s="326" t="s">
        <v>663</v>
      </c>
      <c r="D139" s="326" t="s">
        <v>661</v>
      </c>
      <c r="E139" s="551"/>
      <c r="F139" s="551"/>
      <c r="G139" s="607"/>
      <c r="H139" s="603">
        <v>0</v>
      </c>
      <c r="I139" s="604"/>
      <c r="J139" s="133">
        <v>0</v>
      </c>
      <c r="K139" s="543"/>
      <c r="L139" s="78">
        <v>0</v>
      </c>
    </row>
    <row r="140" spans="2:12" ht="12.75" customHeight="1" x14ac:dyDescent="0.2">
      <c r="B140" s="840">
        <f>IFERROR(_xlfn.XLOOKUP($C140,COM_Cadastro!$F$3:$F$199,COM_Cadastro!$B$3:$B$199),"")</f>
        <v>15704341748</v>
      </c>
      <c r="C140" s="326" t="s">
        <v>516</v>
      </c>
      <c r="D140" s="326" t="s">
        <v>661</v>
      </c>
      <c r="E140" s="551"/>
      <c r="F140" s="551"/>
      <c r="G140" s="607"/>
      <c r="H140" s="603">
        <v>0</v>
      </c>
      <c r="I140" s="604"/>
      <c r="J140" s="133">
        <v>0</v>
      </c>
      <c r="K140" s="543"/>
      <c r="L140" s="78">
        <v>0</v>
      </c>
    </row>
    <row r="141" spans="2:12" ht="12.75" customHeight="1" x14ac:dyDescent="0.2">
      <c r="B141" s="840">
        <f>IFERROR(_xlfn.XLOOKUP($C141,COM_Cadastro!$F$3:$F$199,COM_Cadastro!$B$3:$B$199),"")</f>
        <v>1602223717</v>
      </c>
      <c r="C141" s="326" t="s">
        <v>517</v>
      </c>
      <c r="D141" s="326" t="s">
        <v>661</v>
      </c>
      <c r="E141" s="551"/>
      <c r="F141" s="551"/>
      <c r="G141" s="602"/>
      <c r="H141" s="603">
        <v>0</v>
      </c>
      <c r="I141" s="604"/>
      <c r="J141" s="133">
        <v>0</v>
      </c>
      <c r="K141" s="543"/>
      <c r="L141" s="78">
        <v>0</v>
      </c>
    </row>
    <row r="142" spans="2:12" ht="12.75" customHeight="1" x14ac:dyDescent="0.2">
      <c r="B142" s="840" t="str">
        <f>IFERROR(_xlfn.XLOOKUP($C142,COM_Cadastro!$F$3:$F$199,COM_Cadastro!$B$3:$B$199),"")</f>
        <v/>
      </c>
      <c r="C142" s="326" t="s">
        <v>691</v>
      </c>
      <c r="D142" s="326" t="s">
        <v>661</v>
      </c>
      <c r="E142" s="551">
        <v>46055</v>
      </c>
      <c r="F142" s="551"/>
      <c r="G142" s="602"/>
      <c r="H142" s="603">
        <v>0</v>
      </c>
      <c r="I142" s="604"/>
      <c r="J142" s="133">
        <v>0</v>
      </c>
      <c r="K142" s="543"/>
      <c r="L142" s="78">
        <v>0</v>
      </c>
    </row>
    <row r="143" spans="2:12" ht="12.75" customHeight="1" x14ac:dyDescent="0.2">
      <c r="B143" s="840" t="str">
        <f>IFERROR(_xlfn.XLOOKUP($C143,COM_Cadastro!$F$3:$F$199,COM_Cadastro!$B$3:$B$199),"")</f>
        <v/>
      </c>
      <c r="C143" s="326" t="s">
        <v>578</v>
      </c>
      <c r="D143" s="326" t="s">
        <v>665</v>
      </c>
      <c r="E143" s="551">
        <v>46062</v>
      </c>
      <c r="F143" s="551"/>
      <c r="G143" s="607"/>
      <c r="H143" s="603">
        <v>0</v>
      </c>
      <c r="I143" s="604"/>
      <c r="J143" s="133">
        <v>0</v>
      </c>
      <c r="K143" s="543"/>
      <c r="L143" s="78">
        <v>0</v>
      </c>
    </row>
    <row r="144" spans="2:12" ht="12.75" customHeight="1" x14ac:dyDescent="0.2">
      <c r="B144" s="840">
        <f>IFERROR(_xlfn.XLOOKUP($C144,COM_Cadastro!$F$3:$F$199,COM_Cadastro!$B$3:$B$199),"")</f>
        <v>2123570508</v>
      </c>
      <c r="C144" s="326" t="s">
        <v>606</v>
      </c>
      <c r="D144" s="326" t="s">
        <v>665</v>
      </c>
      <c r="E144" s="551"/>
      <c r="F144" s="551"/>
      <c r="G144" s="607"/>
      <c r="H144" s="603">
        <v>0</v>
      </c>
      <c r="I144" s="604"/>
      <c r="J144" s="133">
        <v>0</v>
      </c>
      <c r="K144" s="543"/>
      <c r="L144" s="78">
        <v>0</v>
      </c>
    </row>
    <row r="145" spans="1:32" ht="12.75" customHeight="1" x14ac:dyDescent="0.2">
      <c r="B145" s="840" t="str">
        <f>IFERROR(_xlfn.XLOOKUP($C145,COM_Cadastro!$F$3:$F$199,COM_Cadastro!$B$3:$B$199),"")</f>
        <v/>
      </c>
      <c r="C145" s="326" t="s">
        <v>608</v>
      </c>
      <c r="D145" s="326" t="s">
        <v>661</v>
      </c>
      <c r="E145" s="551"/>
      <c r="F145" s="551"/>
      <c r="G145" s="602"/>
      <c r="H145" s="603">
        <v>0</v>
      </c>
      <c r="I145" s="604"/>
      <c r="J145" s="133">
        <v>0</v>
      </c>
      <c r="K145" s="543"/>
      <c r="L145" s="78">
        <v>0</v>
      </c>
    </row>
    <row r="146" spans="1:32" ht="12.75" customHeight="1" x14ac:dyDescent="0.2">
      <c r="A146" s="354"/>
      <c r="B146" s="840" t="str">
        <f>IFERROR(_xlfn.XLOOKUP($C146,COM_Cadastro!$F$3:$F$199,COM_Cadastro!$B$3:$B$199),"")</f>
        <v/>
      </c>
      <c r="C146" s="356">
        <v>73</v>
      </c>
      <c r="D146" s="354"/>
      <c r="E146" s="356">
        <f>COUNTA(E73:E145)</f>
        <v>14</v>
      </c>
      <c r="F146" s="356">
        <f>COUNTA(F73:F145)</f>
        <v>8</v>
      </c>
      <c r="G146" s="356">
        <f>COUNTA(G73:G145)</f>
        <v>9</v>
      </c>
      <c r="H146" s="356">
        <f>SUM(H73:H145)</f>
        <v>26</v>
      </c>
      <c r="I146" s="356">
        <f>SUM(I73:I145)</f>
        <v>4</v>
      </c>
      <c r="J146" s="356">
        <f>SUM(J73:J145)</f>
        <v>10</v>
      </c>
      <c r="K146" s="356">
        <f>COUNTA(K73:K145)</f>
        <v>1</v>
      </c>
      <c r="L146" s="356">
        <f>SUM(L73:L145)</f>
        <v>17</v>
      </c>
      <c r="M146" s="354"/>
      <c r="N146" s="354"/>
      <c r="O146" s="354"/>
      <c r="P146" s="354"/>
      <c r="Q146" s="354"/>
      <c r="R146" s="354"/>
      <c r="S146" s="354"/>
      <c r="T146" s="354"/>
      <c r="U146" s="354"/>
      <c r="V146" s="354"/>
      <c r="W146" s="354"/>
      <c r="X146" s="354"/>
      <c r="Y146" s="354"/>
      <c r="Z146" s="354"/>
      <c r="AA146" s="354"/>
      <c r="AB146" s="354"/>
      <c r="AC146" s="354"/>
      <c r="AD146" s="354"/>
      <c r="AE146" s="354"/>
      <c r="AF146" s="354"/>
    </row>
    <row r="147" spans="1:32" x14ac:dyDescent="0.2">
      <c r="B147" s="840" t="str">
        <f>IFERROR(_xlfn.XLOOKUP($C147,COM_Cadastro!$F$3:$F$199,COM_Cadastro!$B$3:$B$199),"")</f>
        <v/>
      </c>
    </row>
    <row r="148" spans="1:32" ht="12.75" customHeight="1" x14ac:dyDescent="0.2">
      <c r="B148" s="840" t="str">
        <f>IFERROR(_xlfn.XLOOKUP($C148,COM_Cadastro!$F$3:$F$199,COM_Cadastro!$B$3:$B$199),"")</f>
        <v/>
      </c>
      <c r="C148" s="297" t="s">
        <v>666</v>
      </c>
      <c r="D148" s="297" t="s">
        <v>43</v>
      </c>
      <c r="E148" s="297" t="s">
        <v>44</v>
      </c>
      <c r="F148" s="297" t="s">
        <v>45</v>
      </c>
      <c r="G148" s="297" t="s">
        <v>46</v>
      </c>
      <c r="H148" s="297" t="s">
        <v>49</v>
      </c>
      <c r="I148" s="297" t="s">
        <v>39</v>
      </c>
      <c r="J148" s="297" t="s">
        <v>49</v>
      </c>
      <c r="K148" s="297" t="s">
        <v>40</v>
      </c>
      <c r="L148" s="297" t="s">
        <v>49</v>
      </c>
      <c r="N148" s="298" t="s">
        <v>125</v>
      </c>
      <c r="O148" s="358">
        <f>R74</f>
        <v>66</v>
      </c>
      <c r="Q148" s="298" t="s">
        <v>44</v>
      </c>
      <c r="R148" s="300">
        <f>E219</f>
        <v>5</v>
      </c>
      <c r="T148" s="298" t="s">
        <v>39</v>
      </c>
      <c r="U148" s="301">
        <f>J219</f>
        <v>36</v>
      </c>
      <c r="W148" s="302"/>
      <c r="X148" s="303"/>
      <c r="Y148" s="789" t="s">
        <v>146</v>
      </c>
      <c r="Z148" s="789"/>
      <c r="AA148" s="789"/>
      <c r="AB148" s="303"/>
      <c r="AC148" s="304"/>
      <c r="AE148" s="305" t="s">
        <v>127</v>
      </c>
      <c r="AF148" s="622">
        <f>(U154-U149-U148-R151)</f>
        <v>1549</v>
      </c>
    </row>
    <row r="149" spans="1:32" ht="12.75" customHeight="1" x14ac:dyDescent="0.2">
      <c r="B149" s="840" t="str">
        <f>IFERROR(_xlfn.XLOOKUP($C149,COM_Cadastro!$F$3:$F$199,COM_Cadastro!$B$3:$B$199),"")</f>
        <v/>
      </c>
      <c r="C149" s="326" t="s">
        <v>617</v>
      </c>
      <c r="D149" s="326" t="s">
        <v>618</v>
      </c>
      <c r="E149" s="551"/>
      <c r="F149" s="551"/>
      <c r="G149" s="602"/>
      <c r="H149" s="603">
        <v>0</v>
      </c>
      <c r="I149" s="604"/>
      <c r="J149" s="133">
        <v>0</v>
      </c>
      <c r="K149" s="543"/>
      <c r="L149" s="78">
        <v>0</v>
      </c>
      <c r="Q149" s="298" t="s">
        <v>45</v>
      </c>
      <c r="R149" s="301">
        <f>F219</f>
        <v>8</v>
      </c>
      <c r="T149" s="298" t="s">
        <v>40</v>
      </c>
      <c r="U149" s="301">
        <f>L219</f>
        <v>75</v>
      </c>
      <c r="W149" s="312" t="s">
        <v>128</v>
      </c>
      <c r="X149" s="313" t="s">
        <v>129</v>
      </c>
      <c r="Y149" s="313" t="s">
        <v>130</v>
      </c>
      <c r="Z149" s="313" t="s">
        <v>131</v>
      </c>
      <c r="AA149" s="313" t="s">
        <v>132</v>
      </c>
      <c r="AB149" s="313" t="s">
        <v>133</v>
      </c>
      <c r="AC149" s="314" t="s">
        <v>134</v>
      </c>
      <c r="AE149" s="305" t="s">
        <v>135</v>
      </c>
      <c r="AF149" s="622">
        <f>U154-AF148</f>
        <v>128</v>
      </c>
    </row>
    <row r="150" spans="1:32" ht="12.75" customHeight="1" x14ac:dyDescent="0.2">
      <c r="B150" s="840" t="str">
        <f>IFERROR(_xlfn.XLOOKUP($C150,COM_Cadastro!$F$3:$F$199,COM_Cadastro!$B$3:$B$199),"")</f>
        <v/>
      </c>
      <c r="C150" s="326" t="s">
        <v>619</v>
      </c>
      <c r="D150" s="326" t="s">
        <v>618</v>
      </c>
      <c r="E150" s="551"/>
      <c r="F150" s="551"/>
      <c r="G150" s="602"/>
      <c r="H150" s="603">
        <v>0</v>
      </c>
      <c r="I150" s="604"/>
      <c r="J150" s="133">
        <v>0</v>
      </c>
      <c r="K150" s="543"/>
      <c r="L150" s="78">
        <v>0</v>
      </c>
      <c r="Q150" s="319" t="s">
        <v>56</v>
      </c>
      <c r="R150" s="301">
        <f>O148+R148-R149</f>
        <v>63</v>
      </c>
      <c r="T150" s="298" t="s">
        <v>59</v>
      </c>
      <c r="U150" s="301">
        <f>K219</f>
        <v>3</v>
      </c>
      <c r="W150" s="360">
        <v>46082</v>
      </c>
      <c r="X150" s="324">
        <v>46083</v>
      </c>
      <c r="Y150" s="324">
        <v>46084</v>
      </c>
      <c r="Z150" s="324">
        <v>46085</v>
      </c>
      <c r="AA150" s="324">
        <v>46086</v>
      </c>
      <c r="AB150" s="324">
        <v>46087</v>
      </c>
      <c r="AC150" s="606">
        <v>46088</v>
      </c>
      <c r="AE150" s="305" t="s">
        <v>136</v>
      </c>
      <c r="AF150" s="623">
        <f>(R150*8.8)*R153</f>
        <v>14414.400000000001</v>
      </c>
    </row>
    <row r="151" spans="1:32" ht="12.75" customHeight="1" x14ac:dyDescent="0.2">
      <c r="B151" s="840">
        <f>IFERROR(_xlfn.XLOOKUP($C151,COM_Cadastro!$F$3:$F$199,COM_Cadastro!$B$3:$B$199),"")</f>
        <v>85498742720</v>
      </c>
      <c r="C151" s="326" t="s">
        <v>386</v>
      </c>
      <c r="D151" s="326" t="s">
        <v>618</v>
      </c>
      <c r="E151" s="551"/>
      <c r="F151" s="551"/>
      <c r="G151" s="607"/>
      <c r="H151" s="603">
        <v>0</v>
      </c>
      <c r="I151" s="604"/>
      <c r="J151" s="133">
        <v>0</v>
      </c>
      <c r="K151" s="543"/>
      <c r="L151" s="78">
        <v>0</v>
      </c>
      <c r="Q151" s="298" t="s">
        <v>137</v>
      </c>
      <c r="R151" s="329">
        <f>H219</f>
        <v>17</v>
      </c>
      <c r="T151" s="330"/>
      <c r="U151" s="331"/>
      <c r="W151" s="332">
        <v>46089</v>
      </c>
      <c r="X151" s="333">
        <v>46090</v>
      </c>
      <c r="Y151" s="333">
        <v>46091</v>
      </c>
      <c r="Z151" s="333">
        <v>46092</v>
      </c>
      <c r="AA151" s="333">
        <v>46093</v>
      </c>
      <c r="AB151" s="333">
        <v>46094</v>
      </c>
      <c r="AC151" s="608">
        <v>46095</v>
      </c>
      <c r="AE151" s="305" t="s">
        <v>138</v>
      </c>
      <c r="AF151" s="623">
        <f>AF149*8.8</f>
        <v>1126.4000000000001</v>
      </c>
    </row>
    <row r="152" spans="1:32" ht="12.75" customHeight="1" x14ac:dyDescent="0.2">
      <c r="B152" s="840">
        <f>IFERROR(_xlfn.XLOOKUP($C152,COM_Cadastro!$F$3:$F$199,COM_Cadastro!$B$3:$B$199),"")</f>
        <v>10700664785</v>
      </c>
      <c r="C152" s="326" t="s">
        <v>395</v>
      </c>
      <c r="D152" s="326" t="s">
        <v>618</v>
      </c>
      <c r="E152" s="551"/>
      <c r="F152" s="551"/>
      <c r="G152" s="607"/>
      <c r="H152" s="603">
        <v>0</v>
      </c>
      <c r="I152" s="604"/>
      <c r="J152" s="133">
        <v>0</v>
      </c>
      <c r="K152" s="543"/>
      <c r="L152" s="78">
        <v>0</v>
      </c>
      <c r="W152" s="338">
        <v>46096</v>
      </c>
      <c r="X152" s="339">
        <v>46097</v>
      </c>
      <c r="Y152" s="339">
        <v>46098</v>
      </c>
      <c r="Z152" s="339">
        <v>46099</v>
      </c>
      <c r="AA152" s="339">
        <v>46100</v>
      </c>
      <c r="AB152" s="339">
        <v>46101</v>
      </c>
      <c r="AC152" s="609">
        <v>46102</v>
      </c>
      <c r="AE152" s="305" t="s">
        <v>140</v>
      </c>
      <c r="AF152" s="623">
        <f>(AF150-AF151)/(8.8*R153)</f>
        <v>58.07692307692308</v>
      </c>
    </row>
    <row r="153" spans="1:32" ht="12.75" customHeight="1" x14ac:dyDescent="0.2">
      <c r="B153" s="840" t="str">
        <f>IFERROR(_xlfn.XLOOKUP($C153,COM_Cadastro!$F$3:$F$199,COM_Cadastro!$B$3:$B$199),"")</f>
        <v/>
      </c>
      <c r="C153" s="326" t="s">
        <v>621</v>
      </c>
      <c r="D153" s="326" t="s">
        <v>618</v>
      </c>
      <c r="E153" s="551"/>
      <c r="F153" s="551"/>
      <c r="G153" s="602"/>
      <c r="H153" s="603">
        <v>0</v>
      </c>
      <c r="I153" s="604"/>
      <c r="J153" s="133">
        <v>0</v>
      </c>
      <c r="K153" s="543"/>
      <c r="L153" s="78">
        <v>0</v>
      </c>
      <c r="Q153" s="343" t="s">
        <v>22</v>
      </c>
      <c r="R153" s="344">
        <v>26</v>
      </c>
      <c r="T153" s="549" t="s">
        <v>141</v>
      </c>
      <c r="U153" s="550">
        <f>(O148+R150)/2</f>
        <v>64.5</v>
      </c>
      <c r="W153" s="346">
        <v>46103</v>
      </c>
      <c r="X153" s="347">
        <v>46104</v>
      </c>
      <c r="Y153" s="347">
        <v>46105</v>
      </c>
      <c r="Z153" s="347">
        <v>46106</v>
      </c>
      <c r="AA153" s="347">
        <v>46107</v>
      </c>
      <c r="AB153" s="347">
        <v>46108</v>
      </c>
      <c r="AC153" s="611">
        <v>46109</v>
      </c>
    </row>
    <row r="154" spans="1:32" ht="12.75" customHeight="1" x14ac:dyDescent="0.2">
      <c r="B154" s="840">
        <f>IFERROR(_xlfn.XLOOKUP($C154,COM_Cadastro!$F$3:$F$199,COM_Cadastro!$B$3:$B$199),"")</f>
        <v>12945406705</v>
      </c>
      <c r="C154" s="326" t="s">
        <v>402</v>
      </c>
      <c r="D154" s="326" t="s">
        <v>618</v>
      </c>
      <c r="E154" s="551"/>
      <c r="F154" s="551"/>
      <c r="G154" s="602"/>
      <c r="H154" s="603">
        <v>0</v>
      </c>
      <c r="I154" s="604"/>
      <c r="J154" s="133">
        <v>0</v>
      </c>
      <c r="K154" s="543"/>
      <c r="L154" s="78">
        <v>0</v>
      </c>
      <c r="Q154" s="343" t="s">
        <v>142</v>
      </c>
      <c r="R154" s="349">
        <v>5</v>
      </c>
      <c r="T154" s="343" t="s">
        <v>143</v>
      </c>
      <c r="U154" s="350">
        <f>R153*U153</f>
        <v>1677</v>
      </c>
      <c r="W154" s="351">
        <v>46110</v>
      </c>
      <c r="X154" s="352">
        <v>46111</v>
      </c>
      <c r="Y154" s="364">
        <v>46112</v>
      </c>
      <c r="Z154" s="365"/>
      <c r="AA154" s="366"/>
      <c r="AB154" s="366"/>
      <c r="AC154" s="367"/>
    </row>
    <row r="155" spans="1:32" ht="12.75" customHeight="1" x14ac:dyDescent="0.2">
      <c r="B155" s="840">
        <f>IFERROR(_xlfn.XLOOKUP($C155,COM_Cadastro!$F$3:$F$199,COM_Cadastro!$B$3:$B$199),"")</f>
        <v>8751479761</v>
      </c>
      <c r="C155" s="326" t="s">
        <v>408</v>
      </c>
      <c r="D155" s="326" t="s">
        <v>618</v>
      </c>
      <c r="E155" s="551"/>
      <c r="F155" s="551"/>
      <c r="G155" s="621"/>
      <c r="H155" s="603">
        <v>0</v>
      </c>
      <c r="I155" s="604"/>
      <c r="J155" s="133">
        <v>0</v>
      </c>
      <c r="K155" s="543"/>
      <c r="L155" s="78">
        <v>0</v>
      </c>
    </row>
    <row r="156" spans="1:32" ht="12.75" customHeight="1" x14ac:dyDescent="0.2">
      <c r="B156" s="840" t="str">
        <f>IFERROR(_xlfn.XLOOKUP($C156,COM_Cadastro!$F$3:$F$199,COM_Cadastro!$B$3:$B$199),"")</f>
        <v/>
      </c>
      <c r="C156" s="326" t="s">
        <v>623</v>
      </c>
      <c r="D156" s="326" t="s">
        <v>618</v>
      </c>
      <c r="E156" s="551"/>
      <c r="F156" s="551"/>
      <c r="G156" s="621"/>
      <c r="H156" s="603">
        <v>0</v>
      </c>
      <c r="I156" s="604"/>
      <c r="J156" s="133">
        <v>0</v>
      </c>
      <c r="K156" s="543"/>
      <c r="L156" s="78">
        <v>0</v>
      </c>
    </row>
    <row r="157" spans="1:32" ht="12.75" customHeight="1" x14ac:dyDescent="0.2">
      <c r="B157" s="840">
        <f>IFERROR(_xlfn.XLOOKUP($C157,COM_Cadastro!$F$3:$F$199,COM_Cadastro!$B$3:$B$199),"")</f>
        <v>70118531204</v>
      </c>
      <c r="C157" s="326" t="s">
        <v>424</v>
      </c>
      <c r="D157" s="326" t="s">
        <v>618</v>
      </c>
      <c r="E157" s="551"/>
      <c r="F157" s="551"/>
      <c r="G157" s="621"/>
      <c r="H157" s="603">
        <v>0</v>
      </c>
      <c r="I157" s="604"/>
      <c r="J157" s="133">
        <v>0</v>
      </c>
      <c r="K157" s="543"/>
      <c r="L157" s="78">
        <v>0</v>
      </c>
    </row>
    <row r="158" spans="1:32" ht="12.75" customHeight="1" x14ac:dyDescent="0.2">
      <c r="B158" s="840">
        <f>IFERROR(_xlfn.XLOOKUP($C158,COM_Cadastro!$F$3:$F$199,COM_Cadastro!$B$3:$B$199),"")</f>
        <v>10962897760</v>
      </c>
      <c r="C158" s="326" t="s">
        <v>432</v>
      </c>
      <c r="D158" s="326" t="s">
        <v>618</v>
      </c>
      <c r="E158" s="551"/>
      <c r="F158" s="551"/>
      <c r="G158" s="621"/>
      <c r="H158" s="603">
        <v>0</v>
      </c>
      <c r="I158" s="604"/>
      <c r="J158" s="133">
        <v>0</v>
      </c>
      <c r="K158" s="543" t="s">
        <v>692</v>
      </c>
      <c r="L158" s="78">
        <v>30</v>
      </c>
    </row>
    <row r="159" spans="1:32" ht="12.75" customHeight="1" x14ac:dyDescent="0.2">
      <c r="B159" s="840" t="str">
        <f>IFERROR(_xlfn.XLOOKUP($C159,COM_Cadastro!$F$3:$F$199,COM_Cadastro!$B$3:$B$199),"")</f>
        <v/>
      </c>
      <c r="C159" s="326" t="s">
        <v>693</v>
      </c>
      <c r="D159" s="326" t="s">
        <v>618</v>
      </c>
      <c r="E159" s="551">
        <v>46086</v>
      </c>
      <c r="F159" s="551"/>
      <c r="G159" s="621"/>
      <c r="H159" s="603">
        <v>0</v>
      </c>
      <c r="I159" s="604"/>
      <c r="J159" s="133">
        <v>0</v>
      </c>
      <c r="K159" s="543"/>
      <c r="L159" s="78">
        <v>0</v>
      </c>
    </row>
    <row r="160" spans="1:32" ht="12.75" customHeight="1" x14ac:dyDescent="0.2">
      <c r="B160" s="840" t="str">
        <f>IFERROR(_xlfn.XLOOKUP($C160,COM_Cadastro!$F$3:$F$199,COM_Cadastro!$B$3:$B$199),"")</f>
        <v/>
      </c>
      <c r="C160" s="326" t="s">
        <v>624</v>
      </c>
      <c r="D160" s="326" t="s">
        <v>618</v>
      </c>
      <c r="E160" s="551"/>
      <c r="F160" s="551"/>
      <c r="G160" s="621"/>
      <c r="H160" s="603">
        <v>0</v>
      </c>
      <c r="I160" s="604"/>
      <c r="J160" s="133">
        <v>0</v>
      </c>
      <c r="K160" s="543"/>
      <c r="L160" s="78">
        <v>0</v>
      </c>
    </row>
    <row r="161" spans="2:12" ht="12.75" customHeight="1" x14ac:dyDescent="0.2">
      <c r="B161" s="840" t="str">
        <f>IFERROR(_xlfn.XLOOKUP($C161,COM_Cadastro!$F$3:$F$199,COM_Cadastro!$B$3:$B$199),"")</f>
        <v/>
      </c>
      <c r="C161" s="326" t="s">
        <v>625</v>
      </c>
      <c r="D161" s="326" t="s">
        <v>618</v>
      </c>
      <c r="E161" s="551"/>
      <c r="F161" s="551"/>
      <c r="G161" s="621"/>
      <c r="H161" s="603">
        <v>0</v>
      </c>
      <c r="I161" s="604">
        <v>7</v>
      </c>
      <c r="J161" s="133">
        <v>1</v>
      </c>
      <c r="K161" s="543"/>
      <c r="L161" s="78">
        <v>0</v>
      </c>
    </row>
    <row r="162" spans="2:12" ht="12.75" customHeight="1" x14ac:dyDescent="0.2">
      <c r="B162" s="840" t="str">
        <f>IFERROR(_xlfn.XLOOKUP($C162,COM_Cadastro!$F$3:$F$199,COM_Cadastro!$B$3:$B$199),"")</f>
        <v/>
      </c>
      <c r="C162" s="326" t="s">
        <v>670</v>
      </c>
      <c r="D162" s="326" t="s">
        <v>618</v>
      </c>
      <c r="E162" s="551"/>
      <c r="F162" s="551"/>
      <c r="G162" s="621"/>
      <c r="H162" s="603">
        <v>0</v>
      </c>
      <c r="I162" s="604"/>
      <c r="J162" s="133">
        <v>0</v>
      </c>
      <c r="K162" s="543"/>
      <c r="L162" s="78">
        <v>0</v>
      </c>
    </row>
    <row r="163" spans="2:12" ht="12.75" customHeight="1" x14ac:dyDescent="0.2">
      <c r="B163" s="840" t="str">
        <f>IFERROR(_xlfn.XLOOKUP($C163,COM_Cadastro!$F$3:$F$199,COM_Cadastro!$B$3:$B$199),"")</f>
        <v/>
      </c>
      <c r="C163" s="326" t="s">
        <v>626</v>
      </c>
      <c r="D163" s="326" t="s">
        <v>618</v>
      </c>
      <c r="E163" s="551"/>
      <c r="F163" s="551"/>
      <c r="G163" s="621"/>
      <c r="H163" s="603">
        <v>0</v>
      </c>
      <c r="I163" s="604"/>
      <c r="J163" s="133">
        <v>0</v>
      </c>
      <c r="K163" s="543"/>
      <c r="L163" s="78">
        <v>0</v>
      </c>
    </row>
    <row r="164" spans="2:12" ht="12.75" customHeight="1" x14ac:dyDescent="0.2">
      <c r="B164" s="840" t="str">
        <f>IFERROR(_xlfn.XLOOKUP($C164,COM_Cadastro!$F$3:$F$199,COM_Cadastro!$B$3:$B$199),"")</f>
        <v/>
      </c>
      <c r="C164" s="326" t="s">
        <v>672</v>
      </c>
      <c r="D164" s="326" t="s">
        <v>618</v>
      </c>
      <c r="E164" s="551"/>
      <c r="F164" s="551"/>
      <c r="G164" s="621"/>
      <c r="H164" s="603">
        <v>0</v>
      </c>
      <c r="I164" s="604"/>
      <c r="J164" s="133">
        <v>0</v>
      </c>
      <c r="K164" s="543"/>
      <c r="L164" s="78">
        <v>0</v>
      </c>
    </row>
    <row r="165" spans="2:12" ht="12.75" customHeight="1" x14ac:dyDescent="0.2">
      <c r="B165" s="840" t="str">
        <f>IFERROR(_xlfn.XLOOKUP($C165,COM_Cadastro!$F$3:$F$199,COM_Cadastro!$B$3:$B$199),"")</f>
        <v/>
      </c>
      <c r="C165" s="326" t="s">
        <v>627</v>
      </c>
      <c r="D165" s="326" t="s">
        <v>618</v>
      </c>
      <c r="E165" s="551"/>
      <c r="F165" s="551"/>
      <c r="G165" s="621"/>
      <c r="H165" s="603">
        <v>0</v>
      </c>
      <c r="I165" s="604"/>
      <c r="J165" s="133">
        <v>0</v>
      </c>
      <c r="K165" s="543"/>
      <c r="L165" s="78">
        <v>0</v>
      </c>
    </row>
    <row r="166" spans="2:12" ht="12.75" customHeight="1" x14ac:dyDescent="0.2">
      <c r="B166" s="840" t="str">
        <f>IFERROR(_xlfn.XLOOKUP($C166,COM_Cadastro!$F$3:$F$199,COM_Cadastro!$B$3:$B$199),"")</f>
        <v/>
      </c>
      <c r="C166" s="326" t="s">
        <v>673</v>
      </c>
      <c r="D166" s="326" t="s">
        <v>618</v>
      </c>
      <c r="E166" s="551"/>
      <c r="F166" s="551"/>
      <c r="G166" s="621"/>
      <c r="H166" s="603">
        <v>0</v>
      </c>
      <c r="I166" s="604"/>
      <c r="J166" s="133">
        <v>0</v>
      </c>
      <c r="K166" s="543"/>
      <c r="L166" s="78">
        <v>0</v>
      </c>
    </row>
    <row r="167" spans="2:12" ht="12.75" customHeight="1" x14ac:dyDescent="0.2">
      <c r="B167" s="840">
        <f>IFERROR(_xlfn.XLOOKUP($C167,COM_Cadastro!$F$3:$F$199,COM_Cadastro!$B$3:$B$199),"")</f>
        <v>6427753703</v>
      </c>
      <c r="C167" s="326" t="s">
        <v>553</v>
      </c>
      <c r="D167" s="326" t="s">
        <v>618</v>
      </c>
      <c r="E167" s="551"/>
      <c r="F167" s="551"/>
      <c r="G167" s="621"/>
      <c r="H167" s="603">
        <v>0</v>
      </c>
      <c r="I167" s="604"/>
      <c r="J167" s="133">
        <v>0</v>
      </c>
      <c r="K167" s="543"/>
      <c r="L167" s="78">
        <v>0</v>
      </c>
    </row>
    <row r="168" spans="2:12" ht="12.75" customHeight="1" x14ac:dyDescent="0.2">
      <c r="B168" s="840" t="str">
        <f>IFERROR(_xlfn.XLOOKUP($C168,COM_Cadastro!$F$3:$F$199,COM_Cadastro!$B$3:$B$199),"")</f>
        <v/>
      </c>
      <c r="C168" s="326" t="s">
        <v>563</v>
      </c>
      <c r="D168" s="326" t="s">
        <v>618</v>
      </c>
      <c r="E168" s="551"/>
      <c r="F168" s="551"/>
      <c r="G168" s="621"/>
      <c r="H168" s="603">
        <v>0</v>
      </c>
      <c r="I168" s="604"/>
      <c r="J168" s="133">
        <v>0</v>
      </c>
      <c r="K168" s="543"/>
      <c r="L168" s="78">
        <v>0</v>
      </c>
    </row>
    <row r="169" spans="2:12" ht="12.75" customHeight="1" x14ac:dyDescent="0.2">
      <c r="B169" s="840">
        <f>IFERROR(_xlfn.XLOOKUP($C169,COM_Cadastro!$F$3:$F$199,COM_Cadastro!$B$3:$B$199),"")</f>
        <v>15863249773</v>
      </c>
      <c r="C169" s="326" t="s">
        <v>571</v>
      </c>
      <c r="D169" s="326" t="s">
        <v>618</v>
      </c>
      <c r="E169" s="551"/>
      <c r="F169" s="551"/>
      <c r="G169" s="621"/>
      <c r="H169" s="603">
        <v>0</v>
      </c>
      <c r="I169" s="604"/>
      <c r="J169" s="133">
        <v>0</v>
      </c>
      <c r="K169" s="543"/>
      <c r="L169" s="78">
        <v>0</v>
      </c>
    </row>
    <row r="170" spans="2:12" ht="12.75" customHeight="1" x14ac:dyDescent="0.2">
      <c r="B170" s="840">
        <f>IFERROR(_xlfn.XLOOKUP($C170,COM_Cadastro!$F$3:$F$199,COM_Cadastro!$B$3:$B$199),"")</f>
        <v>7954726762</v>
      </c>
      <c r="C170" s="326" t="s">
        <v>576</v>
      </c>
      <c r="D170" s="326" t="s">
        <v>618</v>
      </c>
      <c r="E170" s="551"/>
      <c r="F170" s="551"/>
      <c r="G170" s="621"/>
      <c r="H170" s="603">
        <v>0</v>
      </c>
      <c r="I170" s="604"/>
      <c r="J170" s="133">
        <v>0</v>
      </c>
      <c r="K170" s="543"/>
      <c r="L170" s="78">
        <v>0</v>
      </c>
    </row>
    <row r="171" spans="2:12" ht="12.75" customHeight="1" x14ac:dyDescent="0.2">
      <c r="B171" s="840">
        <f>IFERROR(_xlfn.XLOOKUP($C171,COM_Cadastro!$F$3:$F$199,COM_Cadastro!$B$3:$B$199),"")</f>
        <v>15863236795</v>
      </c>
      <c r="C171" s="326" t="s">
        <v>579</v>
      </c>
      <c r="D171" s="326" t="s">
        <v>618</v>
      </c>
      <c r="E171" s="551"/>
      <c r="F171" s="551"/>
      <c r="G171" s="621"/>
      <c r="H171" s="603">
        <v>0</v>
      </c>
      <c r="I171" s="604"/>
      <c r="J171" s="133">
        <v>0</v>
      </c>
      <c r="K171" s="543"/>
      <c r="L171" s="78">
        <v>0</v>
      </c>
    </row>
    <row r="172" spans="2:12" ht="12.75" customHeight="1" x14ac:dyDescent="0.2">
      <c r="B172" s="840" t="str">
        <f>IFERROR(_xlfn.XLOOKUP($C172,COM_Cadastro!$F$3:$F$199,COM_Cadastro!$B$3:$B$199),"")</f>
        <v/>
      </c>
      <c r="C172" s="326" t="s">
        <v>632</v>
      </c>
      <c r="D172" s="326" t="s">
        <v>618</v>
      </c>
      <c r="E172" s="551"/>
      <c r="F172" s="551"/>
      <c r="G172" s="621"/>
      <c r="H172" s="603">
        <v>0</v>
      </c>
      <c r="I172" s="604">
        <v>17</v>
      </c>
      <c r="J172" s="133">
        <v>1</v>
      </c>
      <c r="K172" s="543"/>
      <c r="L172" s="78">
        <v>0</v>
      </c>
    </row>
    <row r="173" spans="2:12" ht="12.75" customHeight="1" x14ac:dyDescent="0.2">
      <c r="B173" s="840">
        <f>IFERROR(_xlfn.XLOOKUP($C173,COM_Cadastro!$F$3:$F$199,COM_Cadastro!$B$3:$B$199),"")</f>
        <v>99272113768</v>
      </c>
      <c r="C173" s="326" t="s">
        <v>589</v>
      </c>
      <c r="D173" s="326" t="s">
        <v>618</v>
      </c>
      <c r="E173" s="551"/>
      <c r="F173" s="551"/>
      <c r="G173" s="621"/>
      <c r="H173" s="603">
        <v>0</v>
      </c>
      <c r="I173" s="604"/>
      <c r="J173" s="133">
        <v>0</v>
      </c>
      <c r="K173" s="543"/>
      <c r="L173" s="78">
        <v>0</v>
      </c>
    </row>
    <row r="174" spans="2:12" ht="12.75" customHeight="1" x14ac:dyDescent="0.2">
      <c r="B174" s="840">
        <f>IFERROR(_xlfn.XLOOKUP($C174,COM_Cadastro!$F$3:$F$199,COM_Cadastro!$B$3:$B$199),"")</f>
        <v>14621117777</v>
      </c>
      <c r="C174" s="326" t="s">
        <v>599</v>
      </c>
      <c r="D174" s="326" t="s">
        <v>618</v>
      </c>
      <c r="E174" s="551"/>
      <c r="F174" s="551"/>
      <c r="G174" s="621"/>
      <c r="H174" s="603">
        <v>0</v>
      </c>
      <c r="I174" s="604"/>
      <c r="J174" s="133">
        <v>0</v>
      </c>
      <c r="K174" s="543"/>
      <c r="L174" s="78">
        <v>0</v>
      </c>
    </row>
    <row r="175" spans="2:12" ht="12.75" customHeight="1" x14ac:dyDescent="0.2">
      <c r="B175" s="840">
        <f>IFERROR(_xlfn.XLOOKUP($C175,COM_Cadastro!$F$3:$F$199,COM_Cadastro!$B$3:$B$199),"")</f>
        <v>12136959700</v>
      </c>
      <c r="C175" s="326" t="s">
        <v>603</v>
      </c>
      <c r="D175" s="326" t="s">
        <v>618</v>
      </c>
      <c r="E175" s="551"/>
      <c r="F175" s="551"/>
      <c r="G175" s="621"/>
      <c r="H175" s="603">
        <v>0</v>
      </c>
      <c r="I175" s="604"/>
      <c r="J175" s="133">
        <v>0</v>
      </c>
      <c r="K175" s="543"/>
      <c r="L175" s="78">
        <v>0</v>
      </c>
    </row>
    <row r="176" spans="2:12" ht="12.75" customHeight="1" x14ac:dyDescent="0.2">
      <c r="B176" s="840">
        <f>IFERROR(_xlfn.XLOOKUP($C176,COM_Cadastro!$F$3:$F$199,COM_Cadastro!$B$3:$B$199),"")</f>
        <v>5462943679</v>
      </c>
      <c r="C176" s="326" t="s">
        <v>370</v>
      </c>
      <c r="D176" s="326" t="s">
        <v>635</v>
      </c>
      <c r="E176" s="551"/>
      <c r="F176" s="551"/>
      <c r="G176" s="621"/>
      <c r="H176" s="603">
        <v>0</v>
      </c>
      <c r="I176" s="604"/>
      <c r="J176" s="133">
        <v>0</v>
      </c>
      <c r="K176" s="543"/>
      <c r="L176" s="78">
        <v>0</v>
      </c>
    </row>
    <row r="177" spans="2:12" ht="12.75" customHeight="1" x14ac:dyDescent="0.2">
      <c r="B177" s="840" t="str">
        <f>IFERROR(_xlfn.XLOOKUP($C177,COM_Cadastro!$F$3:$F$199,COM_Cadastro!$B$3:$B$199),"")</f>
        <v/>
      </c>
      <c r="C177" s="326" t="s">
        <v>637</v>
      </c>
      <c r="D177" s="326" t="s">
        <v>638</v>
      </c>
      <c r="E177" s="551"/>
      <c r="F177" s="551"/>
      <c r="G177" s="621"/>
      <c r="H177" s="603">
        <v>0</v>
      </c>
      <c r="I177" s="604"/>
      <c r="J177" s="133">
        <v>0</v>
      </c>
      <c r="K177" s="543"/>
      <c r="L177" s="78">
        <v>0</v>
      </c>
    </row>
    <row r="178" spans="2:12" ht="12.75" customHeight="1" x14ac:dyDescent="0.2">
      <c r="B178" s="840" t="str">
        <f>IFERROR(_xlfn.XLOOKUP($C178,COM_Cadastro!$F$3:$F$199,COM_Cadastro!$B$3:$B$199),"")</f>
        <v/>
      </c>
      <c r="C178" s="326" t="s">
        <v>640</v>
      </c>
      <c r="D178" s="326" t="s">
        <v>641</v>
      </c>
      <c r="E178" s="551"/>
      <c r="F178" s="551"/>
      <c r="G178" s="621"/>
      <c r="H178" s="603">
        <v>0</v>
      </c>
      <c r="I178" s="604"/>
      <c r="J178" s="133">
        <v>0</v>
      </c>
      <c r="K178" s="543"/>
      <c r="L178" s="78">
        <v>0</v>
      </c>
    </row>
    <row r="179" spans="2:12" ht="12.75" customHeight="1" x14ac:dyDescent="0.2">
      <c r="B179" s="840">
        <f>IFERROR(_xlfn.XLOOKUP($C179,COM_Cadastro!$F$3:$F$199,COM_Cadastro!$B$3:$B$199),"")</f>
        <v>70535732651</v>
      </c>
      <c r="C179" s="326" t="s">
        <v>417</v>
      </c>
      <c r="D179" s="326" t="s">
        <v>644</v>
      </c>
      <c r="E179" s="551"/>
      <c r="F179" s="551"/>
      <c r="G179" s="621"/>
      <c r="H179" s="603">
        <v>0</v>
      </c>
      <c r="I179" s="604"/>
      <c r="J179" s="133">
        <v>0</v>
      </c>
      <c r="K179" s="543"/>
      <c r="L179" s="78">
        <v>0</v>
      </c>
    </row>
    <row r="180" spans="2:12" ht="12.75" customHeight="1" x14ac:dyDescent="0.2">
      <c r="B180" s="840" t="str">
        <f>IFERROR(_xlfn.XLOOKUP($C180,COM_Cadastro!$F$3:$F$199,COM_Cadastro!$B$3:$B$199),"")</f>
        <v/>
      </c>
      <c r="C180" s="326" t="s">
        <v>677</v>
      </c>
      <c r="D180" s="326" t="s">
        <v>635</v>
      </c>
      <c r="E180" s="551"/>
      <c r="F180" s="551"/>
      <c r="G180" s="621" t="s">
        <v>694</v>
      </c>
      <c r="H180" s="603">
        <v>3</v>
      </c>
      <c r="I180" s="604"/>
      <c r="J180" s="133">
        <v>0</v>
      </c>
      <c r="K180" s="543"/>
      <c r="L180" s="78">
        <v>0</v>
      </c>
    </row>
    <row r="181" spans="2:12" ht="12.75" customHeight="1" x14ac:dyDescent="0.2">
      <c r="B181" s="840" t="str">
        <f>IFERROR(_xlfn.XLOOKUP($C181,COM_Cadastro!$F$3:$F$199,COM_Cadastro!$B$3:$B$199),"")</f>
        <v/>
      </c>
      <c r="C181" s="326" t="s">
        <v>695</v>
      </c>
      <c r="D181" s="326" t="s">
        <v>635</v>
      </c>
      <c r="E181" s="551">
        <v>46083</v>
      </c>
      <c r="F181" s="551"/>
      <c r="G181" s="621"/>
      <c r="H181" s="603">
        <v>0</v>
      </c>
      <c r="I181" s="604" t="s">
        <v>696</v>
      </c>
      <c r="J181" s="133">
        <v>3</v>
      </c>
      <c r="K181" s="543"/>
      <c r="L181" s="78">
        <v>0</v>
      </c>
    </row>
    <row r="182" spans="2:12" ht="12.75" customHeight="1" x14ac:dyDescent="0.2">
      <c r="B182" s="840" t="str">
        <f>IFERROR(_xlfn.XLOOKUP($C182,COM_Cadastro!$F$3:$F$199,COM_Cadastro!$B$3:$B$199),"")</f>
        <v/>
      </c>
      <c r="C182" s="326" t="s">
        <v>697</v>
      </c>
      <c r="D182" s="326" t="s">
        <v>698</v>
      </c>
      <c r="E182" s="551">
        <v>46097</v>
      </c>
      <c r="F182" s="551"/>
      <c r="G182" s="621"/>
      <c r="H182" s="603">
        <v>0</v>
      </c>
      <c r="I182" s="604"/>
      <c r="J182" s="133">
        <v>0</v>
      </c>
      <c r="K182" s="543"/>
      <c r="L182" s="78">
        <v>0</v>
      </c>
    </row>
    <row r="183" spans="2:12" ht="12.75" customHeight="1" x14ac:dyDescent="0.2">
      <c r="B183" s="840" t="str">
        <f>IFERROR(_xlfn.XLOOKUP($C183,COM_Cadastro!$F$3:$F$199,COM_Cadastro!$B$3:$B$199),"")</f>
        <v/>
      </c>
      <c r="C183" s="326" t="s">
        <v>679</v>
      </c>
      <c r="D183" s="326" t="s">
        <v>680</v>
      </c>
      <c r="E183" s="551"/>
      <c r="F183" s="551">
        <v>46106</v>
      </c>
      <c r="G183" s="621"/>
      <c r="H183" s="603">
        <v>0</v>
      </c>
      <c r="I183" s="604"/>
      <c r="J183" s="133">
        <v>0</v>
      </c>
      <c r="K183" s="543"/>
      <c r="L183" s="78">
        <v>0</v>
      </c>
    </row>
    <row r="184" spans="2:12" ht="12.75" customHeight="1" x14ac:dyDescent="0.2">
      <c r="B184" s="840" t="str">
        <f>IFERROR(_xlfn.XLOOKUP($C184,COM_Cadastro!$F$3:$F$199,COM_Cadastro!$B$3:$B$199),"")</f>
        <v/>
      </c>
      <c r="C184" s="326" t="s">
        <v>682</v>
      </c>
      <c r="D184" s="326" t="s">
        <v>635</v>
      </c>
      <c r="E184" s="551"/>
      <c r="F184" s="551">
        <v>46107</v>
      </c>
      <c r="G184" s="621"/>
      <c r="H184" s="603">
        <v>0</v>
      </c>
      <c r="I184" s="604"/>
      <c r="J184" s="133">
        <v>0</v>
      </c>
      <c r="K184" s="543"/>
      <c r="L184" s="78">
        <v>0</v>
      </c>
    </row>
    <row r="185" spans="2:12" ht="12.75" customHeight="1" x14ac:dyDescent="0.2">
      <c r="B185" s="840" t="str">
        <f>IFERROR(_xlfn.XLOOKUP($C185,COM_Cadastro!$F$3:$F$199,COM_Cadastro!$B$3:$B$199),"")</f>
        <v/>
      </c>
      <c r="C185" s="326" t="s">
        <v>678</v>
      </c>
      <c r="D185" s="326" t="s">
        <v>635</v>
      </c>
      <c r="E185" s="551"/>
      <c r="F185" s="551"/>
      <c r="G185" s="621" t="s">
        <v>699</v>
      </c>
      <c r="H185" s="603">
        <v>2</v>
      </c>
      <c r="I185" s="604"/>
      <c r="J185" s="133">
        <v>0</v>
      </c>
      <c r="K185" s="543"/>
      <c r="L185" s="78">
        <v>0</v>
      </c>
    </row>
    <row r="186" spans="2:12" ht="12.75" customHeight="1" x14ac:dyDescent="0.2">
      <c r="B186" s="840" t="str">
        <f>IFERROR(_xlfn.XLOOKUP($C186,COM_Cadastro!$F$3:$F$199,COM_Cadastro!$B$3:$B$199),"")</f>
        <v/>
      </c>
      <c r="C186" s="326" t="s">
        <v>646</v>
      </c>
      <c r="D186" s="326" t="s">
        <v>647</v>
      </c>
      <c r="E186" s="551"/>
      <c r="F186" s="551"/>
      <c r="G186" s="621"/>
      <c r="H186" s="603">
        <v>0</v>
      </c>
      <c r="I186" s="604"/>
      <c r="J186" s="133">
        <v>0</v>
      </c>
      <c r="K186" s="543"/>
      <c r="L186" s="78">
        <v>0</v>
      </c>
    </row>
    <row r="187" spans="2:12" ht="12.75" customHeight="1" x14ac:dyDescent="0.2">
      <c r="B187" s="840" t="str">
        <f>IFERROR(_xlfn.XLOOKUP($C187,COM_Cadastro!$F$3:$F$199,COM_Cadastro!$B$3:$B$199),"")</f>
        <v/>
      </c>
      <c r="C187" s="326" t="s">
        <v>648</v>
      </c>
      <c r="D187" s="326" t="s">
        <v>649</v>
      </c>
      <c r="E187" s="551"/>
      <c r="F187" s="551"/>
      <c r="G187" s="621"/>
      <c r="H187" s="603">
        <v>0</v>
      </c>
      <c r="I187" s="604"/>
      <c r="J187" s="133">
        <v>0</v>
      </c>
      <c r="K187" s="543"/>
      <c r="L187" s="78">
        <v>0</v>
      </c>
    </row>
    <row r="188" spans="2:12" ht="12.75" customHeight="1" x14ac:dyDescent="0.2">
      <c r="B188" s="840" t="str">
        <f>IFERROR(_xlfn.XLOOKUP($C188,COM_Cadastro!$F$3:$F$199,COM_Cadastro!$B$3:$B$199),"")</f>
        <v/>
      </c>
      <c r="C188" s="326" t="s">
        <v>650</v>
      </c>
      <c r="D188" s="326" t="s">
        <v>635</v>
      </c>
      <c r="E188" s="551"/>
      <c r="F188" s="551"/>
      <c r="G188" s="621" t="s">
        <v>700</v>
      </c>
      <c r="H188" s="603">
        <v>7</v>
      </c>
      <c r="I188" s="604" t="s">
        <v>701</v>
      </c>
      <c r="J188" s="133">
        <v>23</v>
      </c>
      <c r="K188" s="543"/>
      <c r="L188" s="78">
        <v>0</v>
      </c>
    </row>
    <row r="189" spans="2:12" ht="12.75" customHeight="1" x14ac:dyDescent="0.2">
      <c r="B189" s="840">
        <f>IFERROR(_xlfn.XLOOKUP($C189,COM_Cadastro!$F$3:$F$199,COM_Cadastro!$B$3:$B$199),"")</f>
        <v>10070875600</v>
      </c>
      <c r="C189" s="326" t="s">
        <v>509</v>
      </c>
      <c r="D189" s="326" t="s">
        <v>651</v>
      </c>
      <c r="E189" s="551"/>
      <c r="F189" s="551"/>
      <c r="G189" s="621"/>
      <c r="H189" s="603">
        <v>0</v>
      </c>
      <c r="I189" s="604"/>
      <c r="J189" s="133">
        <v>0</v>
      </c>
      <c r="K189" s="543"/>
      <c r="L189" s="78">
        <v>0</v>
      </c>
    </row>
    <row r="190" spans="2:12" ht="12.75" customHeight="1" x14ac:dyDescent="0.2">
      <c r="B190" s="840">
        <f>IFERROR(_xlfn.XLOOKUP($C190,COM_Cadastro!$F$3:$F$199,COM_Cadastro!$B$3:$B$199),"")</f>
        <v>11057664626</v>
      </c>
      <c r="C190" s="326" t="s">
        <v>526</v>
      </c>
      <c r="D190" s="326" t="s">
        <v>652</v>
      </c>
      <c r="E190" s="551"/>
      <c r="F190" s="551"/>
      <c r="G190" s="621"/>
      <c r="H190" s="603">
        <v>0</v>
      </c>
      <c r="I190" s="604"/>
      <c r="J190" s="133">
        <v>0</v>
      </c>
      <c r="K190" s="543"/>
      <c r="L190" s="78">
        <v>0</v>
      </c>
    </row>
    <row r="191" spans="2:12" ht="12.75" customHeight="1" x14ac:dyDescent="0.2">
      <c r="B191" s="840" t="str">
        <f>IFERROR(_xlfn.XLOOKUP($C191,COM_Cadastro!$F$3:$F$199,COM_Cadastro!$B$3:$B$199),"")</f>
        <v/>
      </c>
      <c r="C191" s="326" t="s">
        <v>686</v>
      </c>
      <c r="D191" s="326" t="s">
        <v>635</v>
      </c>
      <c r="E191" s="551"/>
      <c r="F191" s="551"/>
      <c r="G191" s="621">
        <v>27</v>
      </c>
      <c r="H191" s="603">
        <v>1</v>
      </c>
      <c r="I191" s="604"/>
      <c r="J191" s="133">
        <v>0</v>
      </c>
      <c r="K191" s="543"/>
      <c r="L191" s="78">
        <v>0</v>
      </c>
    </row>
    <row r="192" spans="2:12" ht="12.75" customHeight="1" x14ac:dyDescent="0.2">
      <c r="B192" s="840">
        <f>IFERROR(_xlfn.XLOOKUP($C192,COM_Cadastro!$F$3:$F$199,COM_Cadastro!$B$3:$B$199),"")</f>
        <v>9707826673</v>
      </c>
      <c r="C192" s="326" t="s">
        <v>569</v>
      </c>
      <c r="D192" s="326" t="s">
        <v>688</v>
      </c>
      <c r="E192" s="551"/>
      <c r="F192" s="551"/>
      <c r="G192" s="621"/>
      <c r="H192" s="603">
        <v>0</v>
      </c>
      <c r="I192" s="604"/>
      <c r="J192" s="133">
        <v>0</v>
      </c>
      <c r="K192" s="543"/>
      <c r="L192" s="78">
        <v>0</v>
      </c>
    </row>
    <row r="193" spans="2:12" ht="12.75" customHeight="1" x14ac:dyDescent="0.2">
      <c r="B193" s="840">
        <f>IFERROR(_xlfn.XLOOKUP($C193,COM_Cadastro!$F$3:$F$199,COM_Cadastro!$B$3:$B$199),"")</f>
        <v>65328831000132</v>
      </c>
      <c r="C193" s="326" t="s">
        <v>590</v>
      </c>
      <c r="D193" s="326" t="s">
        <v>653</v>
      </c>
      <c r="E193" s="551"/>
      <c r="F193" s="551">
        <v>46087</v>
      </c>
      <c r="G193" s="621"/>
      <c r="H193" s="603">
        <v>0</v>
      </c>
      <c r="I193" s="604"/>
      <c r="J193" s="133">
        <v>0</v>
      </c>
      <c r="K193" s="543"/>
      <c r="L193" s="78">
        <v>0</v>
      </c>
    </row>
    <row r="194" spans="2:12" ht="12.75" customHeight="1" x14ac:dyDescent="0.2">
      <c r="B194" s="840" t="str">
        <f>IFERROR(_xlfn.XLOOKUP($C194,COM_Cadastro!$F$3:$F$199,COM_Cadastro!$B$3:$B$199),"")</f>
        <v/>
      </c>
      <c r="C194" s="326" t="s">
        <v>654</v>
      </c>
      <c r="D194" s="326" t="s">
        <v>635</v>
      </c>
      <c r="E194" s="551"/>
      <c r="F194" s="551"/>
      <c r="G194" s="621"/>
      <c r="H194" s="603">
        <v>0</v>
      </c>
      <c r="I194" s="604"/>
      <c r="J194" s="133">
        <v>0</v>
      </c>
      <c r="K194" s="543"/>
      <c r="L194" s="78">
        <v>0</v>
      </c>
    </row>
    <row r="195" spans="2:12" ht="12.75" customHeight="1" x14ac:dyDescent="0.2">
      <c r="B195" s="840" t="str">
        <f>IFERROR(_xlfn.XLOOKUP($C195,COM_Cadastro!$F$3:$F$199,COM_Cadastro!$B$3:$B$199),"")</f>
        <v/>
      </c>
      <c r="C195" s="326" t="s">
        <v>655</v>
      </c>
      <c r="D195" s="326" t="s">
        <v>656</v>
      </c>
      <c r="E195" s="551"/>
      <c r="F195" s="551"/>
      <c r="G195" s="621"/>
      <c r="H195" s="603">
        <v>0</v>
      </c>
      <c r="I195" s="604"/>
      <c r="J195" s="133">
        <v>0</v>
      </c>
      <c r="K195" s="543"/>
      <c r="L195" s="78">
        <v>0</v>
      </c>
    </row>
    <row r="196" spans="2:12" ht="12.75" customHeight="1" x14ac:dyDescent="0.2">
      <c r="B196" s="840">
        <f>IFERROR(_xlfn.XLOOKUP($C196,COM_Cadastro!$F$3:$F$199,COM_Cadastro!$B$3:$B$199),"")</f>
        <v>11331602637</v>
      </c>
      <c r="C196" s="326" t="s">
        <v>611</v>
      </c>
      <c r="D196" s="326" t="s">
        <v>657</v>
      </c>
      <c r="E196" s="551"/>
      <c r="F196" s="551"/>
      <c r="G196" s="621"/>
      <c r="H196" s="603">
        <v>0</v>
      </c>
      <c r="I196" s="604"/>
      <c r="J196" s="133">
        <v>0</v>
      </c>
      <c r="K196" s="543"/>
      <c r="L196" s="78">
        <v>0</v>
      </c>
    </row>
    <row r="197" spans="2:12" ht="12.75" customHeight="1" x14ac:dyDescent="0.2">
      <c r="B197" s="840">
        <f>IFERROR(_xlfn.XLOOKUP($C197,COM_Cadastro!$F$3:$F$199,COM_Cadastro!$B$3:$B$199),"")</f>
        <v>4779942616</v>
      </c>
      <c r="C197" s="326" t="s">
        <v>601</v>
      </c>
      <c r="D197" s="326" t="s">
        <v>635</v>
      </c>
      <c r="E197" s="551"/>
      <c r="F197" s="551"/>
      <c r="G197" s="621"/>
      <c r="H197" s="603">
        <v>0</v>
      </c>
      <c r="I197" s="604"/>
      <c r="J197" s="133">
        <v>0</v>
      </c>
      <c r="K197" s="543"/>
      <c r="L197" s="78">
        <v>0</v>
      </c>
    </row>
    <row r="198" spans="2:12" ht="12.75" customHeight="1" x14ac:dyDescent="0.2">
      <c r="B198" s="840" t="str">
        <f>IFERROR(_xlfn.XLOOKUP($C198,COM_Cadastro!$F$3:$F$199,COM_Cadastro!$B$3:$B$199),"")</f>
        <v/>
      </c>
      <c r="C198" s="326" t="s">
        <v>658</v>
      </c>
      <c r="D198" s="326" t="s">
        <v>659</v>
      </c>
      <c r="E198" s="551"/>
      <c r="F198" s="551"/>
      <c r="G198" s="621" t="s">
        <v>671</v>
      </c>
      <c r="H198" s="603">
        <v>2</v>
      </c>
      <c r="I198" s="604"/>
      <c r="J198" s="133">
        <v>0</v>
      </c>
      <c r="K198" s="543"/>
      <c r="L198" s="78">
        <v>0</v>
      </c>
    </row>
    <row r="199" spans="2:12" ht="12.75" customHeight="1" x14ac:dyDescent="0.2">
      <c r="B199" s="840" t="str">
        <f>IFERROR(_xlfn.XLOOKUP($C199,COM_Cadastro!$F$3:$F$199,COM_Cadastro!$B$3:$B$199),"")</f>
        <v/>
      </c>
      <c r="C199" s="326" t="s">
        <v>448</v>
      </c>
      <c r="D199" s="326" t="s">
        <v>659</v>
      </c>
      <c r="E199" s="551"/>
      <c r="F199" s="551"/>
      <c r="G199" s="621"/>
      <c r="H199" s="603">
        <v>0</v>
      </c>
      <c r="I199" s="604" t="s">
        <v>702</v>
      </c>
      <c r="J199" s="133">
        <v>5</v>
      </c>
      <c r="K199" s="543"/>
      <c r="L199" s="78">
        <v>0</v>
      </c>
    </row>
    <row r="200" spans="2:12" ht="12.75" customHeight="1" x14ac:dyDescent="0.2">
      <c r="B200" s="840" t="str">
        <f>IFERROR(_xlfn.XLOOKUP($C200,COM_Cadastro!$F$3:$F$199,COM_Cadastro!$B$3:$B$199),"")</f>
        <v/>
      </c>
      <c r="C200" s="326" t="s">
        <v>519</v>
      </c>
      <c r="D200" s="326" t="s">
        <v>659</v>
      </c>
      <c r="E200" s="551"/>
      <c r="F200" s="551"/>
      <c r="G200" s="621"/>
      <c r="H200" s="603">
        <v>0</v>
      </c>
      <c r="I200" s="604">
        <v>4</v>
      </c>
      <c r="J200" s="133">
        <v>1</v>
      </c>
      <c r="K200" s="543"/>
      <c r="L200" s="78">
        <v>0</v>
      </c>
    </row>
    <row r="201" spans="2:12" ht="12.75" customHeight="1" x14ac:dyDescent="0.2">
      <c r="B201" s="840" t="str">
        <f>IFERROR(_xlfn.XLOOKUP($C201,COM_Cadastro!$F$3:$F$199,COM_Cadastro!$B$3:$B$199),"")</f>
        <v/>
      </c>
      <c r="C201" s="326" t="s">
        <v>660</v>
      </c>
      <c r="D201" s="326" t="s">
        <v>659</v>
      </c>
      <c r="E201" s="551"/>
      <c r="F201" s="551">
        <v>46084</v>
      </c>
      <c r="G201" s="621"/>
      <c r="H201" s="603">
        <v>0</v>
      </c>
      <c r="I201" s="604"/>
      <c r="J201" s="133">
        <v>0</v>
      </c>
      <c r="K201" s="543" t="s">
        <v>703</v>
      </c>
      <c r="L201" s="78">
        <v>15</v>
      </c>
    </row>
    <row r="202" spans="2:12" ht="12.75" customHeight="1" x14ac:dyDescent="0.2">
      <c r="B202" s="840" t="str">
        <f>IFERROR(_xlfn.XLOOKUP($C202,COM_Cadastro!$F$3:$F$199,COM_Cadastro!$B$3:$B$199),"")</f>
        <v/>
      </c>
      <c r="C202" s="326" t="s">
        <v>562</v>
      </c>
      <c r="D202" s="326" t="s">
        <v>659</v>
      </c>
      <c r="E202" s="551"/>
      <c r="F202" s="551">
        <v>46093</v>
      </c>
      <c r="G202" s="621"/>
      <c r="H202" s="603">
        <v>0</v>
      </c>
      <c r="I202" s="604"/>
      <c r="J202" s="133">
        <v>0</v>
      </c>
      <c r="K202" s="543"/>
      <c r="L202" s="78">
        <v>0</v>
      </c>
    </row>
    <row r="203" spans="2:12" ht="12.75" customHeight="1" x14ac:dyDescent="0.2">
      <c r="B203" s="840">
        <f>IFERROR(_xlfn.XLOOKUP($C203,COM_Cadastro!$F$3:$F$199,COM_Cadastro!$B$3:$B$199),"")</f>
        <v>50778213803</v>
      </c>
      <c r="C203" s="326" t="s">
        <v>566</v>
      </c>
      <c r="D203" s="326" t="s">
        <v>659</v>
      </c>
      <c r="E203" s="551"/>
      <c r="F203" s="551"/>
      <c r="G203" s="621"/>
      <c r="H203" s="603">
        <v>0</v>
      </c>
      <c r="I203" s="604"/>
      <c r="J203" s="133">
        <v>0</v>
      </c>
      <c r="K203" s="543" t="s">
        <v>704</v>
      </c>
      <c r="L203" s="78">
        <v>30</v>
      </c>
    </row>
    <row r="204" spans="2:12" ht="12.75" customHeight="1" x14ac:dyDescent="0.2">
      <c r="B204" s="840">
        <f>IFERROR(_xlfn.XLOOKUP($C204,COM_Cadastro!$F$3:$F$199,COM_Cadastro!$B$3:$B$199),"")</f>
        <v>41717722814</v>
      </c>
      <c r="C204" s="326" t="s">
        <v>604</v>
      </c>
      <c r="D204" s="326" t="s">
        <v>659</v>
      </c>
      <c r="E204" s="551"/>
      <c r="F204" s="551"/>
      <c r="G204" s="621"/>
      <c r="H204" s="603">
        <v>0</v>
      </c>
      <c r="I204" s="604"/>
      <c r="J204" s="133">
        <v>0</v>
      </c>
      <c r="K204" s="543"/>
      <c r="L204" s="78">
        <v>0</v>
      </c>
    </row>
    <row r="205" spans="2:12" ht="12.75" customHeight="1" x14ac:dyDescent="0.2">
      <c r="B205" s="840">
        <f>IFERROR(_xlfn.XLOOKUP($C205,COM_Cadastro!$F$3:$F$199,COM_Cadastro!$B$3:$B$199),"")</f>
        <v>78467829400</v>
      </c>
      <c r="C205" s="326" t="s">
        <v>615</v>
      </c>
      <c r="D205" s="326" t="s">
        <v>659</v>
      </c>
      <c r="E205" s="551"/>
      <c r="F205" s="551"/>
      <c r="G205" s="621"/>
      <c r="H205" s="603">
        <v>0</v>
      </c>
      <c r="I205" s="604">
        <v>19</v>
      </c>
      <c r="J205" s="133">
        <v>1</v>
      </c>
      <c r="K205" s="543"/>
      <c r="L205" s="78">
        <v>0</v>
      </c>
    </row>
    <row r="206" spans="2:12" ht="12.75" customHeight="1" x14ac:dyDescent="0.2">
      <c r="B206" s="840" t="str">
        <f>IFERROR(_xlfn.XLOOKUP($C206,COM_Cadastro!$F$3:$F$199,COM_Cadastro!$B$3:$B$199),"")</f>
        <v/>
      </c>
      <c r="C206" s="326" t="s">
        <v>689</v>
      </c>
      <c r="D206" s="326" t="s">
        <v>661</v>
      </c>
      <c r="E206" s="551"/>
      <c r="F206" s="551"/>
      <c r="G206" s="621" t="s">
        <v>705</v>
      </c>
      <c r="H206" s="603">
        <v>2</v>
      </c>
      <c r="I206" s="604"/>
      <c r="J206" s="133">
        <v>0</v>
      </c>
      <c r="K206" s="543"/>
      <c r="L206" s="78">
        <v>0</v>
      </c>
    </row>
    <row r="207" spans="2:12" ht="12.75" customHeight="1" x14ac:dyDescent="0.2">
      <c r="B207" s="840" t="str">
        <f>IFERROR(_xlfn.XLOOKUP($C207,COM_Cadastro!$F$3:$F$199,COM_Cadastro!$B$3:$B$199),"")</f>
        <v/>
      </c>
      <c r="C207" s="326" t="s">
        <v>690</v>
      </c>
      <c r="D207" s="326" t="s">
        <v>661</v>
      </c>
      <c r="E207" s="551"/>
      <c r="F207" s="551">
        <v>46084</v>
      </c>
      <c r="G207" s="621"/>
      <c r="H207" s="603">
        <v>0</v>
      </c>
      <c r="I207" s="604"/>
      <c r="J207" s="133">
        <v>0</v>
      </c>
      <c r="K207" s="543"/>
      <c r="L207" s="78">
        <v>0</v>
      </c>
    </row>
    <row r="208" spans="2:12" ht="12.75" customHeight="1" x14ac:dyDescent="0.2">
      <c r="B208" s="840" t="str">
        <f>IFERROR(_xlfn.XLOOKUP($C208,COM_Cadastro!$F$3:$F$199,COM_Cadastro!$B$3:$B$199),"")</f>
        <v/>
      </c>
      <c r="C208" s="326" t="s">
        <v>420</v>
      </c>
      <c r="D208" s="326" t="s">
        <v>661</v>
      </c>
      <c r="E208" s="551"/>
      <c r="F208" s="551"/>
      <c r="G208" s="621"/>
      <c r="H208" s="603">
        <v>0</v>
      </c>
      <c r="I208" s="604"/>
      <c r="J208" s="133">
        <v>0</v>
      </c>
      <c r="K208" s="543"/>
      <c r="L208" s="78">
        <v>0</v>
      </c>
    </row>
    <row r="209" spans="1:32" ht="12.75" customHeight="1" x14ac:dyDescent="0.2">
      <c r="B209" s="840" t="str">
        <f>IFERROR(_xlfn.XLOOKUP($C209,COM_Cadastro!$F$3:$F$199,COM_Cadastro!$B$3:$B$199),"")</f>
        <v/>
      </c>
      <c r="C209" s="326" t="s">
        <v>427</v>
      </c>
      <c r="D209" s="326" t="s">
        <v>661</v>
      </c>
      <c r="E209" s="551"/>
      <c r="F209" s="551"/>
      <c r="G209" s="621"/>
      <c r="H209" s="603">
        <v>0</v>
      </c>
      <c r="I209" s="604"/>
      <c r="J209" s="133">
        <v>0</v>
      </c>
      <c r="K209" s="543"/>
      <c r="L209" s="78">
        <v>0</v>
      </c>
    </row>
    <row r="210" spans="1:32" ht="12.75" customHeight="1" x14ac:dyDescent="0.2">
      <c r="B210" s="840" t="str">
        <f>IFERROR(_xlfn.XLOOKUP($C210,COM_Cadastro!$F$3:$F$199,COM_Cadastro!$B$3:$B$199),"")</f>
        <v/>
      </c>
      <c r="C210" s="326" t="s">
        <v>663</v>
      </c>
      <c r="D210" s="326" t="s">
        <v>661</v>
      </c>
      <c r="E210" s="551"/>
      <c r="F210" s="551"/>
      <c r="G210" s="621"/>
      <c r="H210" s="603">
        <v>0</v>
      </c>
      <c r="I210" s="604"/>
      <c r="J210" s="133">
        <v>0</v>
      </c>
      <c r="K210" s="543"/>
      <c r="L210" s="78">
        <v>0</v>
      </c>
    </row>
    <row r="211" spans="1:32" ht="12.75" customHeight="1" x14ac:dyDescent="0.2">
      <c r="B211" s="840" t="str">
        <f>IFERROR(_xlfn.XLOOKUP($C211,COM_Cadastro!$F$3:$F$199,COM_Cadastro!$B$3:$B$199),"")</f>
        <v/>
      </c>
      <c r="C211" s="326" t="s">
        <v>706</v>
      </c>
      <c r="D211" s="326" t="s">
        <v>661</v>
      </c>
      <c r="E211" s="551">
        <v>46097</v>
      </c>
      <c r="F211" s="551"/>
      <c r="G211" s="621"/>
      <c r="H211" s="603">
        <v>0</v>
      </c>
      <c r="I211" s="604"/>
      <c r="J211" s="133">
        <v>0</v>
      </c>
      <c r="K211" s="543"/>
      <c r="L211" s="78">
        <v>0</v>
      </c>
    </row>
    <row r="212" spans="1:32" ht="12.75" customHeight="1" x14ac:dyDescent="0.2">
      <c r="B212" s="840">
        <f>IFERROR(_xlfn.XLOOKUP($C212,COM_Cadastro!$F$3:$F$199,COM_Cadastro!$B$3:$B$199),"")</f>
        <v>15704341748</v>
      </c>
      <c r="C212" s="326" t="s">
        <v>516</v>
      </c>
      <c r="D212" s="326" t="s">
        <v>661</v>
      </c>
      <c r="E212" s="551"/>
      <c r="F212" s="551"/>
      <c r="G212" s="621"/>
      <c r="H212" s="603">
        <v>0</v>
      </c>
      <c r="I212" s="604"/>
      <c r="J212" s="133">
        <v>0</v>
      </c>
      <c r="K212" s="543"/>
      <c r="L212" s="78">
        <v>0</v>
      </c>
    </row>
    <row r="213" spans="1:32" ht="12.75" customHeight="1" x14ac:dyDescent="0.2">
      <c r="B213" s="840">
        <f>IFERROR(_xlfn.XLOOKUP($C213,COM_Cadastro!$F$3:$F$199,COM_Cadastro!$B$3:$B$199),"")</f>
        <v>1602223717</v>
      </c>
      <c r="C213" s="326" t="s">
        <v>517</v>
      </c>
      <c r="D213" s="326" t="s">
        <v>661</v>
      </c>
      <c r="E213" s="551"/>
      <c r="F213" s="551"/>
      <c r="G213" s="621"/>
      <c r="H213" s="603">
        <v>0</v>
      </c>
      <c r="I213" s="604">
        <v>7</v>
      </c>
      <c r="J213" s="133">
        <v>1</v>
      </c>
      <c r="K213" s="543"/>
      <c r="L213" s="78">
        <v>0</v>
      </c>
    </row>
    <row r="214" spans="1:32" ht="12.75" customHeight="1" x14ac:dyDescent="0.2">
      <c r="B214" s="840" t="str">
        <f>IFERROR(_xlfn.XLOOKUP($C214,COM_Cadastro!$F$3:$F$199,COM_Cadastro!$B$3:$B$199),"")</f>
        <v/>
      </c>
      <c r="C214" s="326" t="s">
        <v>691</v>
      </c>
      <c r="D214" s="326" t="s">
        <v>661</v>
      </c>
      <c r="E214" s="551"/>
      <c r="F214" s="551">
        <v>46088</v>
      </c>
      <c r="G214" s="621"/>
      <c r="H214" s="603">
        <v>0</v>
      </c>
      <c r="I214" s="604"/>
      <c r="J214" s="133">
        <v>0</v>
      </c>
      <c r="K214" s="543"/>
      <c r="L214" s="78">
        <v>0</v>
      </c>
    </row>
    <row r="215" spans="1:32" ht="12.75" customHeight="1" x14ac:dyDescent="0.2">
      <c r="B215" s="840" t="str">
        <f>IFERROR(_xlfn.XLOOKUP($C215,COM_Cadastro!$F$3:$F$199,COM_Cadastro!$B$3:$B$199),"")</f>
        <v/>
      </c>
      <c r="C215" s="326" t="s">
        <v>578</v>
      </c>
      <c r="D215" s="326" t="s">
        <v>665</v>
      </c>
      <c r="E215" s="551"/>
      <c r="F215" s="551">
        <v>46111</v>
      </c>
      <c r="G215" s="621"/>
      <c r="H215" s="603">
        <v>0</v>
      </c>
      <c r="I215" s="604"/>
      <c r="J215" s="133">
        <v>0</v>
      </c>
      <c r="K215" s="543"/>
      <c r="L215" s="78">
        <v>0</v>
      </c>
    </row>
    <row r="216" spans="1:32" ht="12.75" customHeight="1" x14ac:dyDescent="0.2">
      <c r="B216" s="840">
        <f>IFERROR(_xlfn.XLOOKUP($C216,COM_Cadastro!$F$3:$F$199,COM_Cadastro!$B$3:$B$199),"")</f>
        <v>2123570508</v>
      </c>
      <c r="C216" s="326" t="s">
        <v>606</v>
      </c>
      <c r="D216" s="326" t="s">
        <v>665</v>
      </c>
      <c r="E216" s="551"/>
      <c r="F216" s="551"/>
      <c r="G216" s="621"/>
      <c r="H216" s="603">
        <v>0</v>
      </c>
      <c r="I216" s="604"/>
      <c r="J216" s="133">
        <v>0</v>
      </c>
      <c r="K216" s="543"/>
      <c r="L216" s="78">
        <v>0</v>
      </c>
    </row>
    <row r="217" spans="1:32" ht="12.75" customHeight="1" x14ac:dyDescent="0.2">
      <c r="B217" s="840" t="str">
        <f>IFERROR(_xlfn.XLOOKUP($C217,COM_Cadastro!$F$3:$F$199,COM_Cadastro!$B$3:$B$199),"")</f>
        <v/>
      </c>
      <c r="C217" s="326" t="s">
        <v>707</v>
      </c>
      <c r="D217" s="326" t="s">
        <v>661</v>
      </c>
      <c r="E217" s="551">
        <v>46099</v>
      </c>
      <c r="F217" s="551"/>
      <c r="G217" s="621"/>
      <c r="H217" s="603">
        <v>0</v>
      </c>
      <c r="I217" s="604"/>
      <c r="J217" s="133">
        <v>0</v>
      </c>
      <c r="K217" s="543"/>
      <c r="L217" s="78">
        <v>0</v>
      </c>
    </row>
    <row r="218" spans="1:32" ht="12.75" customHeight="1" x14ac:dyDescent="0.2">
      <c r="B218" s="840" t="str">
        <f>IFERROR(_xlfn.XLOOKUP($C218,COM_Cadastro!$F$3:$F$199,COM_Cadastro!$B$3:$B$199),"")</f>
        <v/>
      </c>
      <c r="C218" s="326" t="s">
        <v>608</v>
      </c>
      <c r="D218" s="326" t="s">
        <v>661</v>
      </c>
      <c r="E218" s="551"/>
      <c r="F218" s="551"/>
      <c r="G218" s="621"/>
      <c r="H218" s="603">
        <v>0</v>
      </c>
      <c r="I218" s="604"/>
      <c r="J218" s="133">
        <v>0</v>
      </c>
      <c r="K218" s="543"/>
      <c r="L218" s="78">
        <v>0</v>
      </c>
    </row>
    <row r="219" spans="1:32" ht="12.75" customHeight="1" x14ac:dyDescent="0.2">
      <c r="A219" s="354"/>
      <c r="B219" s="840" t="str">
        <f>IFERROR(_xlfn.XLOOKUP($C219,COM_Cadastro!$F$3:$F$199,COM_Cadastro!$B$3:$B$199),"")</f>
        <v/>
      </c>
      <c r="C219" s="356">
        <v>70</v>
      </c>
      <c r="D219" s="354"/>
      <c r="E219" s="356">
        <f>COUNTA(E149:E218)</f>
        <v>5</v>
      </c>
      <c r="F219" s="356">
        <f>COUNTA(F149:F218)</f>
        <v>8</v>
      </c>
      <c r="G219" s="356">
        <f>COUNTA(G149:G218)</f>
        <v>6</v>
      </c>
      <c r="H219" s="356">
        <f>SUM(H149:H218)</f>
        <v>17</v>
      </c>
      <c r="I219" s="356">
        <f>COUNTA(I149:I218)</f>
        <v>8</v>
      </c>
      <c r="J219" s="356">
        <f>SUM(J149:J218)</f>
        <v>36</v>
      </c>
      <c r="K219" s="356">
        <f>COUNTA(K149:K218)</f>
        <v>3</v>
      </c>
      <c r="L219" s="356">
        <f>SUM(L149:L218)</f>
        <v>75</v>
      </c>
      <c r="M219" s="354"/>
      <c r="N219" s="354"/>
      <c r="O219" s="354"/>
      <c r="P219" s="354"/>
      <c r="Q219" s="354"/>
      <c r="R219" s="354"/>
      <c r="S219" s="354"/>
      <c r="T219" s="354"/>
      <c r="U219" s="354"/>
      <c r="V219" s="354"/>
      <c r="W219" s="354"/>
      <c r="X219" s="354"/>
      <c r="Y219" s="354"/>
      <c r="Z219" s="354"/>
      <c r="AA219" s="354"/>
      <c r="AB219" s="354"/>
      <c r="AC219" s="354"/>
      <c r="AD219" s="354"/>
      <c r="AE219" s="354"/>
      <c r="AF219" s="354"/>
    </row>
    <row r="220" spans="1:32" x14ac:dyDescent="0.2">
      <c r="B220" s="840" t="str">
        <f>IFERROR(_xlfn.XLOOKUP($C220,COM_Cadastro!$F$3:$F$199,COM_Cadastro!$B$3:$B$199),"")</f>
        <v/>
      </c>
    </row>
    <row r="221" spans="1:32" ht="12.75" customHeight="1" x14ac:dyDescent="0.2">
      <c r="B221" s="840" t="str">
        <f>IFERROR(_xlfn.XLOOKUP($C221,COM_Cadastro!$F$3:$F$199,COM_Cadastro!$B$3:$B$199),"")</f>
        <v/>
      </c>
      <c r="C221" s="297" t="s">
        <v>666</v>
      </c>
      <c r="D221" s="297" t="s">
        <v>43</v>
      </c>
      <c r="E221" s="297" t="s">
        <v>44</v>
      </c>
      <c r="F221" s="297" t="s">
        <v>45</v>
      </c>
      <c r="G221" s="297" t="s">
        <v>46</v>
      </c>
      <c r="H221" s="297" t="s">
        <v>49</v>
      </c>
      <c r="I221" s="297" t="s">
        <v>39</v>
      </c>
      <c r="J221" s="297" t="s">
        <v>49</v>
      </c>
      <c r="K221" s="297" t="s">
        <v>40</v>
      </c>
      <c r="L221" s="297" t="s">
        <v>49</v>
      </c>
      <c r="N221" s="298" t="s">
        <v>125</v>
      </c>
      <c r="O221" s="358">
        <f>R150</f>
        <v>63</v>
      </c>
      <c r="Q221" s="298" t="s">
        <v>44</v>
      </c>
      <c r="R221" s="300">
        <f>E291</f>
        <v>6</v>
      </c>
      <c r="T221" s="298" t="s">
        <v>39</v>
      </c>
      <c r="U221" s="301">
        <f>J291</f>
        <v>103</v>
      </c>
      <c r="W221" s="302"/>
      <c r="X221" s="303"/>
      <c r="Y221" s="789" t="s">
        <v>147</v>
      </c>
      <c r="Z221" s="789"/>
      <c r="AA221" s="789"/>
      <c r="AB221" s="303"/>
      <c r="AC221" s="304"/>
      <c r="AE221" s="305" t="s">
        <v>127</v>
      </c>
      <c r="AF221" s="622">
        <f>(U227-U222-U221-R224)</f>
        <v>1335</v>
      </c>
    </row>
    <row r="222" spans="1:32" ht="12.75" customHeight="1" x14ac:dyDescent="0.2">
      <c r="B222" s="840">
        <f>IFERROR(_xlfn.XLOOKUP($C222,COM_Cadastro!$F$3:$F$199,COM_Cadastro!$B$3:$B$199),"")</f>
        <v>17382143708</v>
      </c>
      <c r="C222" s="326" t="s">
        <v>375</v>
      </c>
      <c r="D222" s="326" t="s">
        <v>618</v>
      </c>
      <c r="E222" s="551"/>
      <c r="F222" s="551"/>
      <c r="G222" s="602"/>
      <c r="H222" s="603">
        <v>0</v>
      </c>
      <c r="I222" s="604"/>
      <c r="J222" s="133">
        <v>0</v>
      </c>
      <c r="K222" s="543" t="s">
        <v>708</v>
      </c>
      <c r="L222" s="78">
        <v>24</v>
      </c>
      <c r="Q222" s="298" t="s">
        <v>45</v>
      </c>
      <c r="R222" s="301">
        <f>F291</f>
        <v>5</v>
      </c>
      <c r="T222" s="298" t="s">
        <v>40</v>
      </c>
      <c r="U222" s="301">
        <f>L291</f>
        <v>48</v>
      </c>
      <c r="W222" s="312" t="s">
        <v>128</v>
      </c>
      <c r="X222" s="313" t="s">
        <v>129</v>
      </c>
      <c r="Y222" s="313" t="s">
        <v>130</v>
      </c>
      <c r="Z222" s="313" t="s">
        <v>131</v>
      </c>
      <c r="AA222" s="313" t="s">
        <v>132</v>
      </c>
      <c r="AB222" s="313" t="s">
        <v>133</v>
      </c>
      <c r="AC222" s="314" t="s">
        <v>134</v>
      </c>
      <c r="AE222" s="305" t="s">
        <v>135</v>
      </c>
      <c r="AF222" s="622">
        <f>U227-AF221</f>
        <v>189</v>
      </c>
    </row>
    <row r="223" spans="1:32" ht="12.75" customHeight="1" x14ac:dyDescent="0.2">
      <c r="B223" s="840">
        <f>IFERROR(_xlfn.XLOOKUP($C223,COM_Cadastro!$F$3:$F$199,COM_Cadastro!$B$3:$B$199),"")</f>
        <v>14078073743</v>
      </c>
      <c r="C223" s="326" t="s">
        <v>384</v>
      </c>
      <c r="D223" s="326" t="s">
        <v>618</v>
      </c>
      <c r="E223" s="551"/>
      <c r="F223" s="551">
        <v>46139</v>
      </c>
      <c r="G223" s="602">
        <v>24</v>
      </c>
      <c r="H223" s="603">
        <v>1</v>
      </c>
      <c r="I223" s="604" t="s">
        <v>709</v>
      </c>
      <c r="J223" s="133">
        <v>4</v>
      </c>
      <c r="K223" s="543"/>
      <c r="L223" s="78">
        <v>0</v>
      </c>
      <c r="Q223" s="319" t="s">
        <v>56</v>
      </c>
      <c r="R223" s="301">
        <f>O221+R221-R222</f>
        <v>64</v>
      </c>
      <c r="T223" s="298" t="s">
        <v>59</v>
      </c>
      <c r="U223" s="301">
        <f>K291</f>
        <v>2</v>
      </c>
      <c r="W223" s="320"/>
      <c r="X223" s="321"/>
      <c r="Y223" s="322"/>
      <c r="Z223" s="369">
        <v>46113</v>
      </c>
      <c r="AA223" s="324">
        <v>46114</v>
      </c>
      <c r="AB223" s="370">
        <v>46115</v>
      </c>
      <c r="AC223" s="606">
        <v>46116</v>
      </c>
      <c r="AE223" s="305" t="s">
        <v>136</v>
      </c>
      <c r="AF223" s="623">
        <f>(R223*8.8)*R226</f>
        <v>13516.800000000001</v>
      </c>
    </row>
    <row r="224" spans="1:32" ht="12.75" customHeight="1" x14ac:dyDescent="0.2">
      <c r="B224" s="840">
        <f>IFERROR(_xlfn.XLOOKUP($C224,COM_Cadastro!$F$3:$F$199,COM_Cadastro!$B$3:$B$199),"")</f>
        <v>85498742720</v>
      </c>
      <c r="C224" s="326" t="s">
        <v>386</v>
      </c>
      <c r="D224" s="326" t="s">
        <v>618</v>
      </c>
      <c r="E224" s="551"/>
      <c r="F224" s="551"/>
      <c r="G224" s="607"/>
      <c r="H224" s="603">
        <v>0</v>
      </c>
      <c r="I224" s="604"/>
      <c r="J224" s="133">
        <v>0</v>
      </c>
      <c r="K224" s="543"/>
      <c r="L224" s="78">
        <v>0</v>
      </c>
      <c r="Q224" s="298" t="s">
        <v>137</v>
      </c>
      <c r="R224" s="329">
        <f>H291</f>
        <v>38</v>
      </c>
      <c r="T224" s="330"/>
      <c r="U224" s="331"/>
      <c r="W224" s="332">
        <v>46117</v>
      </c>
      <c r="X224" s="333">
        <v>46118</v>
      </c>
      <c r="Y224" s="333">
        <v>46119</v>
      </c>
      <c r="Z224" s="333">
        <v>46120</v>
      </c>
      <c r="AA224" s="333">
        <v>46121</v>
      </c>
      <c r="AB224" s="333">
        <v>46122</v>
      </c>
      <c r="AC224" s="608">
        <v>46123</v>
      </c>
      <c r="AE224" s="305" t="s">
        <v>138</v>
      </c>
      <c r="AF224" s="623">
        <f>AF222*8.8</f>
        <v>1663.2</v>
      </c>
    </row>
    <row r="225" spans="2:32" ht="12.75" customHeight="1" x14ac:dyDescent="0.2">
      <c r="B225" s="840">
        <f>IFERROR(_xlfn.XLOOKUP($C225,COM_Cadastro!$F$3:$F$199,COM_Cadastro!$B$3:$B$199),"")</f>
        <v>10700664785</v>
      </c>
      <c r="C225" s="326" t="s">
        <v>395</v>
      </c>
      <c r="D225" s="326" t="s">
        <v>618</v>
      </c>
      <c r="E225" s="551"/>
      <c r="F225" s="551"/>
      <c r="G225" s="607"/>
      <c r="H225" s="603">
        <v>0</v>
      </c>
      <c r="I225" s="604"/>
      <c r="J225" s="133">
        <v>0</v>
      </c>
      <c r="K225" s="543"/>
      <c r="L225" s="78">
        <v>0</v>
      </c>
      <c r="W225" s="338">
        <v>46124</v>
      </c>
      <c r="X225" s="339">
        <v>46125</v>
      </c>
      <c r="Y225" s="339">
        <v>46126</v>
      </c>
      <c r="Z225" s="339">
        <v>46127</v>
      </c>
      <c r="AA225" s="339">
        <v>46128</v>
      </c>
      <c r="AB225" s="339">
        <v>46129</v>
      </c>
      <c r="AC225" s="609">
        <v>46130</v>
      </c>
      <c r="AE225" s="305" t="s">
        <v>140</v>
      </c>
      <c r="AF225" s="623">
        <f>(AF223-AF224)/(8.8*R226)</f>
        <v>56.125</v>
      </c>
    </row>
    <row r="226" spans="2:32" ht="12.75" customHeight="1" x14ac:dyDescent="0.2">
      <c r="B226" s="840" t="str">
        <f>IFERROR(_xlfn.XLOOKUP($C226,COM_Cadastro!$F$3:$F$199,COM_Cadastro!$B$3:$B$199),"")</f>
        <v/>
      </c>
      <c r="C226" s="326" t="s">
        <v>621</v>
      </c>
      <c r="D226" s="326" t="s">
        <v>618</v>
      </c>
      <c r="E226" s="551"/>
      <c r="F226" s="551"/>
      <c r="G226" s="602"/>
      <c r="H226" s="603">
        <v>0</v>
      </c>
      <c r="I226" s="604"/>
      <c r="J226" s="133">
        <v>0</v>
      </c>
      <c r="K226" s="543"/>
      <c r="L226" s="78">
        <v>0</v>
      </c>
      <c r="Q226" s="343" t="s">
        <v>22</v>
      </c>
      <c r="R226" s="344">
        <v>24</v>
      </c>
      <c r="T226" s="549" t="s">
        <v>141</v>
      </c>
      <c r="U226" s="550">
        <f>(O221+R223)/2</f>
        <v>63.5</v>
      </c>
      <c r="W226" s="346">
        <v>46131</v>
      </c>
      <c r="X226" s="347">
        <v>46132</v>
      </c>
      <c r="Y226" s="362">
        <v>46133</v>
      </c>
      <c r="Z226" s="347">
        <v>46134</v>
      </c>
      <c r="AA226" s="347">
        <v>46135</v>
      </c>
      <c r="AB226" s="347">
        <v>46136</v>
      </c>
      <c r="AC226" s="611">
        <v>46137</v>
      </c>
    </row>
    <row r="227" spans="2:32" ht="12.75" customHeight="1" x14ac:dyDescent="0.2">
      <c r="B227" s="840">
        <f>IFERROR(_xlfn.XLOOKUP($C227,COM_Cadastro!$F$3:$F$199,COM_Cadastro!$B$3:$B$199),"")</f>
        <v>12945406705</v>
      </c>
      <c r="C227" s="326" t="s">
        <v>402</v>
      </c>
      <c r="D227" s="326" t="s">
        <v>618</v>
      </c>
      <c r="E227" s="551"/>
      <c r="F227" s="551"/>
      <c r="G227" s="602"/>
      <c r="H227" s="603">
        <v>0</v>
      </c>
      <c r="I227" s="604"/>
      <c r="J227" s="133">
        <v>0</v>
      </c>
      <c r="K227" s="543" t="s">
        <v>708</v>
      </c>
      <c r="L227" s="78">
        <v>24</v>
      </c>
      <c r="Q227" s="343" t="s">
        <v>142</v>
      </c>
      <c r="R227" s="349">
        <v>6</v>
      </c>
      <c r="T227" s="343" t="s">
        <v>143</v>
      </c>
      <c r="U227" s="350">
        <f>R226*U226</f>
        <v>1524</v>
      </c>
      <c r="W227" s="351">
        <v>46138</v>
      </c>
      <c r="X227" s="352">
        <v>46139</v>
      </c>
      <c r="Y227" s="352">
        <v>46140</v>
      </c>
      <c r="Z227" s="352">
        <v>46141</v>
      </c>
      <c r="AA227" s="364">
        <v>46142</v>
      </c>
      <c r="AB227" s="365"/>
      <c r="AC227" s="367"/>
    </row>
    <row r="228" spans="2:32" ht="12.75" customHeight="1" x14ac:dyDescent="0.2">
      <c r="B228" s="840">
        <f>IFERROR(_xlfn.XLOOKUP($C228,COM_Cadastro!$F$3:$F$199,COM_Cadastro!$B$3:$B$199),"")</f>
        <v>8751479761</v>
      </c>
      <c r="C228" s="326" t="s">
        <v>408</v>
      </c>
      <c r="D228" s="326" t="s">
        <v>618</v>
      </c>
      <c r="E228" s="551"/>
      <c r="F228" s="551"/>
      <c r="G228" s="621"/>
      <c r="H228" s="603">
        <v>0</v>
      </c>
      <c r="I228" s="604"/>
      <c r="J228" s="133">
        <v>0</v>
      </c>
      <c r="K228" s="543"/>
      <c r="L228" s="78">
        <v>0</v>
      </c>
    </row>
    <row r="229" spans="2:32" ht="12.75" customHeight="1" x14ac:dyDescent="0.2">
      <c r="B229" s="840" t="str">
        <f>IFERROR(_xlfn.XLOOKUP($C229,COM_Cadastro!$F$3:$F$199,COM_Cadastro!$B$3:$B$199),"")</f>
        <v/>
      </c>
      <c r="C229" s="326" t="s">
        <v>623</v>
      </c>
      <c r="D229" s="326" t="s">
        <v>618</v>
      </c>
      <c r="E229" s="551"/>
      <c r="F229" s="551"/>
      <c r="G229" s="621"/>
      <c r="H229" s="603">
        <v>0</v>
      </c>
      <c r="I229" s="604"/>
      <c r="J229" s="133">
        <v>0</v>
      </c>
      <c r="K229" s="543"/>
      <c r="L229" s="78">
        <v>0</v>
      </c>
    </row>
    <row r="230" spans="2:32" ht="12.75" customHeight="1" x14ac:dyDescent="0.2">
      <c r="B230" s="840">
        <f>IFERROR(_xlfn.XLOOKUP($C230,COM_Cadastro!$F$3:$F$199,COM_Cadastro!$B$3:$B$199),"")</f>
        <v>70118531204</v>
      </c>
      <c r="C230" s="326" t="s">
        <v>424</v>
      </c>
      <c r="D230" s="326" t="s">
        <v>618</v>
      </c>
      <c r="E230" s="551"/>
      <c r="F230" s="551"/>
      <c r="G230" s="621" t="s">
        <v>710</v>
      </c>
      <c r="H230" s="603">
        <v>1</v>
      </c>
      <c r="I230" s="604"/>
      <c r="J230" s="133">
        <v>0</v>
      </c>
      <c r="K230" s="543"/>
      <c r="L230" s="78">
        <v>0</v>
      </c>
    </row>
    <row r="231" spans="2:32" ht="12.75" customHeight="1" x14ac:dyDescent="0.2">
      <c r="B231" s="840">
        <f>IFERROR(_xlfn.XLOOKUP($C231,COM_Cadastro!$F$3:$F$199,COM_Cadastro!$B$3:$B$199),"")</f>
        <v>10962897760</v>
      </c>
      <c r="C231" s="326" t="s">
        <v>432</v>
      </c>
      <c r="D231" s="326" t="s">
        <v>618</v>
      </c>
      <c r="E231" s="551"/>
      <c r="F231" s="551"/>
      <c r="G231" s="621"/>
      <c r="H231" s="603">
        <v>0</v>
      </c>
      <c r="I231" s="604"/>
      <c r="J231" s="133">
        <v>0</v>
      </c>
      <c r="K231" s="543"/>
      <c r="L231" s="78">
        <v>0</v>
      </c>
    </row>
    <row r="232" spans="2:32" ht="12.75" customHeight="1" x14ac:dyDescent="0.2">
      <c r="B232" s="840" t="str">
        <f>IFERROR(_xlfn.XLOOKUP($C232,COM_Cadastro!$F$3:$F$199,COM_Cadastro!$B$3:$B$199),"")</f>
        <v/>
      </c>
      <c r="C232" s="326" t="s">
        <v>693</v>
      </c>
      <c r="D232" s="326" t="s">
        <v>618</v>
      </c>
      <c r="E232" s="551"/>
      <c r="F232" s="551"/>
      <c r="G232" s="621"/>
      <c r="H232" s="603">
        <v>0</v>
      </c>
      <c r="I232" s="604"/>
      <c r="J232" s="133">
        <v>0</v>
      </c>
      <c r="K232" s="543"/>
      <c r="L232" s="78">
        <v>0</v>
      </c>
    </row>
    <row r="233" spans="2:32" ht="12.75" customHeight="1" x14ac:dyDescent="0.2">
      <c r="B233" s="840" t="str">
        <f>IFERROR(_xlfn.XLOOKUP($C233,COM_Cadastro!$F$3:$F$199,COM_Cadastro!$B$3:$B$199),"")</f>
        <v/>
      </c>
      <c r="C233" s="326" t="s">
        <v>624</v>
      </c>
      <c r="D233" s="326" t="s">
        <v>618</v>
      </c>
      <c r="E233" s="551"/>
      <c r="F233" s="551"/>
      <c r="G233" s="621"/>
      <c r="H233" s="603">
        <v>0</v>
      </c>
      <c r="I233" s="604"/>
      <c r="J233" s="133">
        <v>0</v>
      </c>
      <c r="K233" s="543"/>
      <c r="L233" s="78">
        <v>0</v>
      </c>
    </row>
    <row r="234" spans="2:32" ht="12.75" customHeight="1" x14ac:dyDescent="0.2">
      <c r="B234" s="840" t="str">
        <f>IFERROR(_xlfn.XLOOKUP($C234,COM_Cadastro!$F$3:$F$199,COM_Cadastro!$B$3:$B$199),"")</f>
        <v/>
      </c>
      <c r="C234" s="326" t="s">
        <v>625</v>
      </c>
      <c r="D234" s="326" t="s">
        <v>618</v>
      </c>
      <c r="E234" s="551"/>
      <c r="F234" s="551"/>
      <c r="G234" s="621"/>
      <c r="H234" s="603">
        <v>0</v>
      </c>
      <c r="I234" s="604"/>
      <c r="J234" s="133">
        <v>0</v>
      </c>
      <c r="K234" s="543"/>
      <c r="L234" s="78">
        <v>0</v>
      </c>
    </row>
    <row r="235" spans="2:32" ht="12.75" customHeight="1" x14ac:dyDescent="0.2">
      <c r="B235" s="840" t="str">
        <f>IFERROR(_xlfn.XLOOKUP($C235,COM_Cadastro!$F$3:$F$199,COM_Cadastro!$B$3:$B$199),"")</f>
        <v/>
      </c>
      <c r="C235" s="326" t="s">
        <v>670</v>
      </c>
      <c r="D235" s="326" t="s">
        <v>618</v>
      </c>
      <c r="E235" s="551"/>
      <c r="F235" s="551"/>
      <c r="G235" s="621" t="s">
        <v>711</v>
      </c>
      <c r="H235" s="603">
        <v>1</v>
      </c>
      <c r="I235" s="604"/>
      <c r="J235" s="133">
        <v>0</v>
      </c>
      <c r="K235" s="543"/>
      <c r="L235" s="78">
        <v>0</v>
      </c>
    </row>
    <row r="236" spans="2:32" ht="12.75" customHeight="1" x14ac:dyDescent="0.2">
      <c r="B236" s="840" t="str">
        <f>IFERROR(_xlfn.XLOOKUP($C236,COM_Cadastro!$F$3:$F$199,COM_Cadastro!$B$3:$B$199),"")</f>
        <v/>
      </c>
      <c r="C236" s="326" t="s">
        <v>626</v>
      </c>
      <c r="D236" s="326" t="s">
        <v>618</v>
      </c>
      <c r="E236" s="551"/>
      <c r="F236" s="551"/>
      <c r="G236" s="621"/>
      <c r="H236" s="603">
        <v>0</v>
      </c>
      <c r="I236" s="604"/>
      <c r="J236" s="133">
        <v>0</v>
      </c>
      <c r="K236" s="543"/>
      <c r="L236" s="78">
        <v>0</v>
      </c>
    </row>
    <row r="237" spans="2:32" ht="12.75" customHeight="1" x14ac:dyDescent="0.2">
      <c r="B237" s="840" t="str">
        <f>IFERROR(_xlfn.XLOOKUP($C237,COM_Cadastro!$F$3:$F$199,COM_Cadastro!$B$3:$B$199),"")</f>
        <v/>
      </c>
      <c r="C237" s="326" t="s">
        <v>672</v>
      </c>
      <c r="D237" s="326" t="s">
        <v>618</v>
      </c>
      <c r="E237" s="551"/>
      <c r="F237" s="551"/>
      <c r="G237" s="621"/>
      <c r="H237" s="603">
        <v>0</v>
      </c>
      <c r="I237" s="604"/>
      <c r="J237" s="133">
        <v>0</v>
      </c>
      <c r="K237" s="543"/>
      <c r="L237" s="78">
        <v>0</v>
      </c>
    </row>
    <row r="238" spans="2:32" ht="12.75" customHeight="1" x14ac:dyDescent="0.2">
      <c r="B238" s="840" t="str">
        <f>IFERROR(_xlfn.XLOOKUP($C238,COM_Cadastro!$F$3:$F$199,COM_Cadastro!$B$3:$B$199),"")</f>
        <v/>
      </c>
      <c r="C238" s="326" t="s">
        <v>627</v>
      </c>
      <c r="D238" s="326" t="s">
        <v>618</v>
      </c>
      <c r="E238" s="551"/>
      <c r="F238" s="551"/>
      <c r="G238" s="621" t="s">
        <v>712</v>
      </c>
      <c r="H238" s="603">
        <v>6</v>
      </c>
      <c r="I238" s="604"/>
      <c r="J238" s="133">
        <v>0</v>
      </c>
      <c r="K238" s="543"/>
      <c r="L238" s="78">
        <v>0</v>
      </c>
    </row>
    <row r="239" spans="2:32" ht="12.75" customHeight="1" x14ac:dyDescent="0.2">
      <c r="B239" s="840" t="str">
        <f>IFERROR(_xlfn.XLOOKUP($C239,COM_Cadastro!$F$3:$F$199,COM_Cadastro!$B$3:$B$199),"")</f>
        <v/>
      </c>
      <c r="C239" s="326" t="s">
        <v>673</v>
      </c>
      <c r="D239" s="326" t="s">
        <v>618</v>
      </c>
      <c r="E239" s="551"/>
      <c r="F239" s="551"/>
      <c r="G239" s="621"/>
      <c r="H239" s="603">
        <v>0</v>
      </c>
      <c r="I239" s="604"/>
      <c r="J239" s="133">
        <v>0</v>
      </c>
      <c r="K239" s="543"/>
      <c r="L239" s="78">
        <v>0</v>
      </c>
    </row>
    <row r="240" spans="2:32" ht="12.75" customHeight="1" x14ac:dyDescent="0.2">
      <c r="B240" s="840">
        <f>IFERROR(_xlfn.XLOOKUP($C240,COM_Cadastro!$F$3:$F$199,COM_Cadastro!$B$3:$B$199),"")</f>
        <v>6427753703</v>
      </c>
      <c r="C240" s="326" t="s">
        <v>553</v>
      </c>
      <c r="D240" s="326" t="s">
        <v>618</v>
      </c>
      <c r="E240" s="551"/>
      <c r="F240" s="551"/>
      <c r="G240" s="621"/>
      <c r="H240" s="603">
        <v>0</v>
      </c>
      <c r="I240" s="604"/>
      <c r="J240" s="133">
        <v>0</v>
      </c>
      <c r="K240" s="543"/>
      <c r="L240" s="78">
        <v>0</v>
      </c>
    </row>
    <row r="241" spans="2:12" ht="12.75" customHeight="1" x14ac:dyDescent="0.2">
      <c r="B241" s="840" t="str">
        <f>IFERROR(_xlfn.XLOOKUP($C241,COM_Cadastro!$F$3:$F$199,COM_Cadastro!$B$3:$B$199),"")</f>
        <v/>
      </c>
      <c r="C241" s="326" t="s">
        <v>563</v>
      </c>
      <c r="D241" s="326" t="s">
        <v>618</v>
      </c>
      <c r="E241" s="551"/>
      <c r="F241" s="551"/>
      <c r="G241" s="621"/>
      <c r="H241" s="603">
        <v>0</v>
      </c>
      <c r="I241" s="604"/>
      <c r="J241" s="133">
        <v>0</v>
      </c>
      <c r="K241" s="543"/>
      <c r="L241" s="78">
        <v>0</v>
      </c>
    </row>
    <row r="242" spans="2:12" ht="12.75" customHeight="1" x14ac:dyDescent="0.2">
      <c r="B242" s="840">
        <f>IFERROR(_xlfn.XLOOKUP($C242,COM_Cadastro!$F$3:$F$199,COM_Cadastro!$B$3:$B$199),"")</f>
        <v>15863249773</v>
      </c>
      <c r="C242" s="326" t="s">
        <v>571</v>
      </c>
      <c r="D242" s="326" t="s">
        <v>618</v>
      </c>
      <c r="E242" s="551"/>
      <c r="F242" s="551"/>
      <c r="G242" s="621"/>
      <c r="H242" s="603">
        <v>0</v>
      </c>
      <c r="I242" s="604"/>
      <c r="J242" s="133">
        <v>0</v>
      </c>
      <c r="K242" s="543"/>
      <c r="L242" s="78">
        <v>0</v>
      </c>
    </row>
    <row r="243" spans="2:12" ht="12.75" customHeight="1" x14ac:dyDescent="0.2">
      <c r="B243" s="840">
        <f>IFERROR(_xlfn.XLOOKUP($C243,COM_Cadastro!$F$3:$F$199,COM_Cadastro!$B$3:$B$199),"")</f>
        <v>7954726762</v>
      </c>
      <c r="C243" s="326" t="s">
        <v>576</v>
      </c>
      <c r="D243" s="326" t="s">
        <v>618</v>
      </c>
      <c r="E243" s="551"/>
      <c r="F243" s="551"/>
      <c r="G243" s="621"/>
      <c r="H243" s="603">
        <v>0</v>
      </c>
      <c r="I243" s="604"/>
      <c r="J243" s="133">
        <v>0</v>
      </c>
      <c r="K243" s="543"/>
      <c r="L243" s="78">
        <v>0</v>
      </c>
    </row>
    <row r="244" spans="2:12" ht="12.75" customHeight="1" x14ac:dyDescent="0.2">
      <c r="B244" s="840">
        <f>IFERROR(_xlfn.XLOOKUP($C244,COM_Cadastro!$F$3:$F$199,COM_Cadastro!$B$3:$B$199),"")</f>
        <v>15863236795</v>
      </c>
      <c r="C244" s="326" t="s">
        <v>579</v>
      </c>
      <c r="D244" s="326" t="s">
        <v>618</v>
      </c>
      <c r="E244" s="551"/>
      <c r="F244" s="551"/>
      <c r="G244" s="621"/>
      <c r="H244" s="603">
        <v>0</v>
      </c>
      <c r="I244" s="604"/>
      <c r="J244" s="133">
        <v>0</v>
      </c>
      <c r="K244" s="543"/>
      <c r="L244" s="78">
        <v>0</v>
      </c>
    </row>
    <row r="245" spans="2:12" ht="12.75" customHeight="1" x14ac:dyDescent="0.2">
      <c r="B245" s="840" t="str">
        <f>IFERROR(_xlfn.XLOOKUP($C245,COM_Cadastro!$F$3:$F$199,COM_Cadastro!$B$3:$B$199),"")</f>
        <v/>
      </c>
      <c r="C245" s="326" t="s">
        <v>632</v>
      </c>
      <c r="D245" s="326" t="s">
        <v>618</v>
      </c>
      <c r="E245" s="551"/>
      <c r="F245" s="551"/>
      <c r="G245" s="621"/>
      <c r="H245" s="603">
        <v>0</v>
      </c>
      <c r="I245" s="604"/>
      <c r="J245" s="133">
        <v>0</v>
      </c>
      <c r="K245" s="543"/>
      <c r="L245" s="78">
        <v>0</v>
      </c>
    </row>
    <row r="246" spans="2:12" ht="12.75" customHeight="1" x14ac:dyDescent="0.2">
      <c r="B246" s="840">
        <f>IFERROR(_xlfn.XLOOKUP($C246,COM_Cadastro!$F$3:$F$199,COM_Cadastro!$B$3:$B$199),"")</f>
        <v>99272113768</v>
      </c>
      <c r="C246" s="326" t="s">
        <v>589</v>
      </c>
      <c r="D246" s="326" t="s">
        <v>618</v>
      </c>
      <c r="E246" s="551"/>
      <c r="F246" s="551"/>
      <c r="G246" s="621"/>
      <c r="H246" s="603">
        <v>0</v>
      </c>
      <c r="I246" s="604"/>
      <c r="J246" s="133">
        <v>0</v>
      </c>
      <c r="K246" s="543"/>
      <c r="L246" s="78">
        <v>0</v>
      </c>
    </row>
    <row r="247" spans="2:12" ht="12.75" customHeight="1" x14ac:dyDescent="0.2">
      <c r="B247" s="840">
        <f>IFERROR(_xlfn.XLOOKUP($C247,COM_Cadastro!$F$3:$F$199,COM_Cadastro!$B$3:$B$199),"")</f>
        <v>14621117777</v>
      </c>
      <c r="C247" s="326" t="s">
        <v>599</v>
      </c>
      <c r="D247" s="326" t="s">
        <v>618</v>
      </c>
      <c r="E247" s="551"/>
      <c r="F247" s="551"/>
      <c r="G247" s="621"/>
      <c r="H247" s="603">
        <v>0</v>
      </c>
      <c r="I247" s="604"/>
      <c r="J247" s="133">
        <v>0</v>
      </c>
      <c r="K247" s="543"/>
      <c r="L247" s="78">
        <v>0</v>
      </c>
    </row>
    <row r="248" spans="2:12" ht="12.75" customHeight="1" x14ac:dyDescent="0.2">
      <c r="B248" s="840">
        <f>IFERROR(_xlfn.XLOOKUP($C248,COM_Cadastro!$F$3:$F$199,COM_Cadastro!$B$3:$B$199),"")</f>
        <v>12136959700</v>
      </c>
      <c r="C248" s="326" t="s">
        <v>603</v>
      </c>
      <c r="D248" s="326" t="s">
        <v>618</v>
      </c>
      <c r="E248" s="551"/>
      <c r="F248" s="551"/>
      <c r="G248" s="621"/>
      <c r="H248" s="603">
        <v>0</v>
      </c>
      <c r="I248" s="604"/>
      <c r="J248" s="133">
        <v>0</v>
      </c>
      <c r="K248" s="543"/>
      <c r="L248" s="78">
        <v>0</v>
      </c>
    </row>
    <row r="249" spans="2:12" ht="12.75" customHeight="1" x14ac:dyDescent="0.2">
      <c r="B249" s="840">
        <f>IFERROR(_xlfn.XLOOKUP($C249,COM_Cadastro!$F$3:$F$199,COM_Cadastro!$B$3:$B$199),"")</f>
        <v>5462943679</v>
      </c>
      <c r="C249" s="326" t="s">
        <v>370</v>
      </c>
      <c r="D249" s="326" t="s">
        <v>635</v>
      </c>
      <c r="E249" s="551"/>
      <c r="F249" s="551"/>
      <c r="G249" s="621"/>
      <c r="H249" s="603">
        <v>0</v>
      </c>
      <c r="I249" s="604"/>
      <c r="J249" s="133">
        <v>0</v>
      </c>
      <c r="K249" s="543"/>
      <c r="L249" s="78">
        <v>0</v>
      </c>
    </row>
    <row r="250" spans="2:12" ht="12.75" customHeight="1" x14ac:dyDescent="0.2">
      <c r="B250" s="840" t="str">
        <f>IFERROR(_xlfn.XLOOKUP($C250,COM_Cadastro!$F$3:$F$199,COM_Cadastro!$B$3:$B$199),"")</f>
        <v/>
      </c>
      <c r="C250" s="326" t="s">
        <v>637</v>
      </c>
      <c r="D250" s="326" t="s">
        <v>638</v>
      </c>
      <c r="E250" s="551"/>
      <c r="F250" s="551"/>
      <c r="G250" s="621"/>
      <c r="H250" s="603">
        <v>0</v>
      </c>
      <c r="I250" s="604"/>
      <c r="J250" s="133">
        <v>0</v>
      </c>
      <c r="K250" s="543"/>
      <c r="L250" s="78">
        <v>0</v>
      </c>
    </row>
    <row r="251" spans="2:12" ht="12.75" customHeight="1" x14ac:dyDescent="0.2">
      <c r="B251" s="840" t="str">
        <f>IFERROR(_xlfn.XLOOKUP($C251,COM_Cadastro!$F$3:$F$199,COM_Cadastro!$B$3:$B$199),"")</f>
        <v/>
      </c>
      <c r="C251" s="326" t="s">
        <v>640</v>
      </c>
      <c r="D251" s="326" t="s">
        <v>641</v>
      </c>
      <c r="E251" s="551"/>
      <c r="F251" s="551"/>
      <c r="G251" s="621"/>
      <c r="H251" s="603">
        <v>0</v>
      </c>
      <c r="I251" s="604"/>
      <c r="J251" s="133">
        <v>0</v>
      </c>
      <c r="K251" s="543"/>
      <c r="L251" s="78">
        <v>0</v>
      </c>
    </row>
    <row r="252" spans="2:12" ht="12.75" customHeight="1" x14ac:dyDescent="0.2">
      <c r="B252" s="840">
        <f>IFERROR(_xlfn.XLOOKUP($C252,COM_Cadastro!$F$3:$F$199,COM_Cadastro!$B$3:$B$199),"")</f>
        <v>70535732651</v>
      </c>
      <c r="C252" s="326" t="s">
        <v>417</v>
      </c>
      <c r="D252" s="326" t="s">
        <v>644</v>
      </c>
      <c r="E252" s="551"/>
      <c r="F252" s="551"/>
      <c r="G252" s="621"/>
      <c r="H252" s="603">
        <v>0</v>
      </c>
      <c r="I252" s="604"/>
      <c r="J252" s="133">
        <v>0</v>
      </c>
      <c r="K252" s="543"/>
      <c r="L252" s="78">
        <v>0</v>
      </c>
    </row>
    <row r="253" spans="2:12" ht="12.75" customHeight="1" x14ac:dyDescent="0.2">
      <c r="B253" s="840" t="str">
        <f>IFERROR(_xlfn.XLOOKUP($C253,COM_Cadastro!$F$3:$F$199,COM_Cadastro!$B$3:$B$199),"")</f>
        <v/>
      </c>
      <c r="C253" s="326" t="s">
        <v>677</v>
      </c>
      <c r="D253" s="326" t="s">
        <v>635</v>
      </c>
      <c r="E253" s="551"/>
      <c r="F253" s="551"/>
      <c r="G253" s="621" t="s">
        <v>713</v>
      </c>
      <c r="H253" s="603">
        <v>3</v>
      </c>
      <c r="I253" s="604"/>
      <c r="J253" s="133">
        <v>0</v>
      </c>
      <c r="K253" s="543"/>
      <c r="L253" s="78">
        <v>0</v>
      </c>
    </row>
    <row r="254" spans="2:12" ht="12.75" customHeight="1" x14ac:dyDescent="0.2">
      <c r="B254" s="840" t="str">
        <f>IFERROR(_xlfn.XLOOKUP($C254,COM_Cadastro!$F$3:$F$199,COM_Cadastro!$B$3:$B$199),"")</f>
        <v/>
      </c>
      <c r="C254" s="326" t="s">
        <v>695</v>
      </c>
      <c r="D254" s="326" t="s">
        <v>635</v>
      </c>
      <c r="E254" s="551"/>
      <c r="F254" s="551"/>
      <c r="G254" s="621"/>
      <c r="H254" s="603">
        <v>0</v>
      </c>
      <c r="I254" s="604" t="s">
        <v>714</v>
      </c>
      <c r="J254" s="133">
        <v>6</v>
      </c>
      <c r="K254" s="543"/>
      <c r="L254" s="78">
        <v>0</v>
      </c>
    </row>
    <row r="255" spans="2:12" ht="12.75" customHeight="1" x14ac:dyDescent="0.2">
      <c r="B255" s="840" t="str">
        <f>IFERROR(_xlfn.XLOOKUP($C255,COM_Cadastro!$F$3:$F$199,COM_Cadastro!$B$3:$B$199),"")</f>
        <v/>
      </c>
      <c r="C255" s="326" t="s">
        <v>697</v>
      </c>
      <c r="D255" s="326" t="s">
        <v>698</v>
      </c>
      <c r="E255" s="551"/>
      <c r="F255" s="551"/>
      <c r="G255" s="621"/>
      <c r="H255" s="603">
        <v>0</v>
      </c>
      <c r="I255" s="604"/>
      <c r="J255" s="133">
        <v>0</v>
      </c>
      <c r="K255" s="543"/>
      <c r="L255" s="78">
        <v>0</v>
      </c>
    </row>
    <row r="256" spans="2:12" ht="12.75" customHeight="1" x14ac:dyDescent="0.2">
      <c r="B256" s="840" t="str">
        <f>IFERROR(_xlfn.XLOOKUP($C256,COM_Cadastro!$F$3:$F$199,COM_Cadastro!$B$3:$B$199),"")</f>
        <v/>
      </c>
      <c r="C256" s="326" t="s">
        <v>678</v>
      </c>
      <c r="D256" s="326" t="s">
        <v>635</v>
      </c>
      <c r="E256" s="551"/>
      <c r="F256" s="551"/>
      <c r="G256" s="621"/>
      <c r="H256" s="603">
        <v>0</v>
      </c>
      <c r="I256" s="604">
        <v>14</v>
      </c>
      <c r="J256" s="133">
        <v>1</v>
      </c>
      <c r="K256" s="543"/>
      <c r="L256" s="78">
        <v>0</v>
      </c>
    </row>
    <row r="257" spans="2:12" ht="12.75" customHeight="1" x14ac:dyDescent="0.2">
      <c r="B257" s="840" t="str">
        <f>IFERROR(_xlfn.XLOOKUP($C257,COM_Cadastro!$F$3:$F$199,COM_Cadastro!$B$3:$B$199),"")</f>
        <v/>
      </c>
      <c r="C257" s="326" t="s">
        <v>646</v>
      </c>
      <c r="D257" s="326" t="s">
        <v>647</v>
      </c>
      <c r="E257" s="551"/>
      <c r="F257" s="551">
        <v>46122</v>
      </c>
      <c r="G257" s="621"/>
      <c r="H257" s="603">
        <v>0</v>
      </c>
      <c r="I257" s="604" t="s">
        <v>709</v>
      </c>
      <c r="J257" s="133">
        <v>16</v>
      </c>
      <c r="K257" s="543"/>
      <c r="L257" s="78">
        <v>0</v>
      </c>
    </row>
    <row r="258" spans="2:12" ht="12.75" customHeight="1" x14ac:dyDescent="0.2">
      <c r="B258" s="840" t="str">
        <f>IFERROR(_xlfn.XLOOKUP($C258,COM_Cadastro!$F$3:$F$199,COM_Cadastro!$B$3:$B$199),"")</f>
        <v/>
      </c>
      <c r="C258" s="326" t="s">
        <v>648</v>
      </c>
      <c r="D258" s="326" t="s">
        <v>649</v>
      </c>
      <c r="E258" s="551"/>
      <c r="F258" s="551"/>
      <c r="G258" s="621"/>
      <c r="H258" s="603">
        <v>0</v>
      </c>
      <c r="I258" s="604"/>
      <c r="J258" s="133">
        <v>0</v>
      </c>
      <c r="K258" s="543"/>
      <c r="L258" s="78">
        <v>0</v>
      </c>
    </row>
    <row r="259" spans="2:12" ht="12.75" customHeight="1" x14ac:dyDescent="0.2">
      <c r="B259" s="840" t="str">
        <f>IFERROR(_xlfn.XLOOKUP($C259,COM_Cadastro!$F$3:$F$199,COM_Cadastro!$B$3:$B$199),"")</f>
        <v/>
      </c>
      <c r="C259" s="326" t="s">
        <v>650</v>
      </c>
      <c r="D259" s="326" t="s">
        <v>635</v>
      </c>
      <c r="E259" s="551"/>
      <c r="F259" s="551"/>
      <c r="G259" s="621" t="s">
        <v>715</v>
      </c>
      <c r="H259" s="603">
        <v>11</v>
      </c>
      <c r="I259" s="604"/>
      <c r="J259" s="133">
        <v>14</v>
      </c>
      <c r="K259" s="543"/>
      <c r="L259" s="78">
        <v>0</v>
      </c>
    </row>
    <row r="260" spans="2:12" ht="12.75" customHeight="1" x14ac:dyDescent="0.2">
      <c r="B260" s="840">
        <f>IFERROR(_xlfn.XLOOKUP($C260,COM_Cadastro!$F$3:$F$199,COM_Cadastro!$B$3:$B$199),"")</f>
        <v>10070875600</v>
      </c>
      <c r="C260" s="326" t="s">
        <v>509</v>
      </c>
      <c r="D260" s="326" t="s">
        <v>651</v>
      </c>
      <c r="E260" s="551"/>
      <c r="F260" s="551"/>
      <c r="G260" s="621" t="s">
        <v>716</v>
      </c>
      <c r="H260" s="603">
        <v>4</v>
      </c>
      <c r="I260" s="604"/>
      <c r="J260" s="133">
        <v>0</v>
      </c>
      <c r="K260" s="543"/>
      <c r="L260" s="78">
        <v>0</v>
      </c>
    </row>
    <row r="261" spans="2:12" ht="12.75" customHeight="1" x14ac:dyDescent="0.2">
      <c r="B261" s="840">
        <f>IFERROR(_xlfn.XLOOKUP($C261,COM_Cadastro!$F$3:$F$199,COM_Cadastro!$B$3:$B$199),"")</f>
        <v>11057664626</v>
      </c>
      <c r="C261" s="326" t="s">
        <v>526</v>
      </c>
      <c r="D261" s="326" t="s">
        <v>652</v>
      </c>
      <c r="E261" s="551"/>
      <c r="F261" s="551"/>
      <c r="G261" s="621"/>
      <c r="H261" s="603">
        <v>0</v>
      </c>
      <c r="I261" s="604"/>
      <c r="J261" s="133">
        <v>0</v>
      </c>
      <c r="K261" s="543"/>
      <c r="L261" s="78">
        <v>0</v>
      </c>
    </row>
    <row r="262" spans="2:12" ht="12.75" customHeight="1" x14ac:dyDescent="0.2">
      <c r="B262" s="840" t="str">
        <f>IFERROR(_xlfn.XLOOKUP($C262,COM_Cadastro!$F$3:$F$199,COM_Cadastro!$B$3:$B$199),"")</f>
        <v/>
      </c>
      <c r="C262" s="326" t="s">
        <v>686</v>
      </c>
      <c r="D262" s="326" t="s">
        <v>635</v>
      </c>
      <c r="E262" s="551"/>
      <c r="F262" s="551"/>
      <c r="G262" s="621"/>
      <c r="H262" s="603">
        <v>0</v>
      </c>
      <c r="I262" s="604"/>
      <c r="J262" s="133">
        <v>0</v>
      </c>
      <c r="K262" s="543"/>
      <c r="L262" s="78">
        <v>0</v>
      </c>
    </row>
    <row r="263" spans="2:12" ht="12.75" customHeight="1" x14ac:dyDescent="0.2">
      <c r="B263" s="840" t="str">
        <f>IFERROR(_xlfn.XLOOKUP($C263,COM_Cadastro!$F$3:$F$199,COM_Cadastro!$B$3:$B$199),"")</f>
        <v/>
      </c>
      <c r="C263" s="326" t="s">
        <v>687</v>
      </c>
      <c r="D263" s="326" t="s">
        <v>688</v>
      </c>
      <c r="E263" s="551"/>
      <c r="F263" s="551"/>
      <c r="G263" s="621"/>
      <c r="H263" s="603">
        <v>0</v>
      </c>
      <c r="I263" s="604"/>
      <c r="J263" s="133">
        <v>0</v>
      </c>
      <c r="K263" s="543"/>
      <c r="L263" s="78">
        <v>0</v>
      </c>
    </row>
    <row r="264" spans="2:12" ht="12.75" customHeight="1" x14ac:dyDescent="0.2">
      <c r="B264" s="840" t="str">
        <f>IFERROR(_xlfn.XLOOKUP($C264,COM_Cadastro!$F$3:$F$199,COM_Cadastro!$B$3:$B$199),"")</f>
        <v/>
      </c>
      <c r="C264" s="326" t="s">
        <v>654</v>
      </c>
      <c r="D264" s="326" t="s">
        <v>635</v>
      </c>
      <c r="E264" s="551"/>
      <c r="F264" s="551"/>
      <c r="G264" s="621"/>
      <c r="H264" s="603">
        <v>0</v>
      </c>
      <c r="I264" s="604"/>
      <c r="J264" s="133">
        <v>0</v>
      </c>
      <c r="K264" s="543"/>
      <c r="L264" s="78">
        <v>0</v>
      </c>
    </row>
    <row r="265" spans="2:12" ht="12.75" customHeight="1" x14ac:dyDescent="0.2">
      <c r="B265" s="840" t="str">
        <f>IFERROR(_xlfn.XLOOKUP($C265,COM_Cadastro!$F$3:$F$199,COM_Cadastro!$B$3:$B$199),"")</f>
        <v/>
      </c>
      <c r="C265" s="326" t="s">
        <v>655</v>
      </c>
      <c r="D265" s="326" t="s">
        <v>656</v>
      </c>
      <c r="E265" s="551"/>
      <c r="F265" s="551"/>
      <c r="G265" s="621" t="s">
        <v>717</v>
      </c>
      <c r="H265" s="603">
        <v>2</v>
      </c>
      <c r="I265" s="604"/>
      <c r="J265" s="133">
        <v>0</v>
      </c>
      <c r="K265" s="543"/>
      <c r="L265" s="78">
        <v>0</v>
      </c>
    </row>
    <row r="266" spans="2:12" ht="12.75" customHeight="1" x14ac:dyDescent="0.2">
      <c r="B266" s="840" t="str">
        <f>IFERROR(_xlfn.XLOOKUP($C266,COM_Cadastro!$F$3:$F$199,COM_Cadastro!$B$3:$B$199),"")</f>
        <v/>
      </c>
      <c r="C266" s="326" t="s">
        <v>718</v>
      </c>
      <c r="D266" s="326" t="s">
        <v>643</v>
      </c>
      <c r="E266" s="551">
        <v>46113</v>
      </c>
      <c r="F266" s="551">
        <v>46127</v>
      </c>
      <c r="G266" s="621"/>
      <c r="H266" s="603">
        <v>0</v>
      </c>
      <c r="I266" s="604" t="s">
        <v>709</v>
      </c>
      <c r="J266" s="133">
        <v>12</v>
      </c>
      <c r="K266" s="543"/>
      <c r="L266" s="78">
        <v>0</v>
      </c>
    </row>
    <row r="267" spans="2:12" ht="12.75" customHeight="1" x14ac:dyDescent="0.2">
      <c r="B267" s="840">
        <f>IFERROR(_xlfn.XLOOKUP($C267,COM_Cadastro!$F$3:$F$199,COM_Cadastro!$B$3:$B$199),"")</f>
        <v>11331602637</v>
      </c>
      <c r="C267" s="326" t="s">
        <v>611</v>
      </c>
      <c r="D267" s="326" t="s">
        <v>657</v>
      </c>
      <c r="E267" s="551"/>
      <c r="F267" s="551"/>
      <c r="G267" s="621" t="s">
        <v>719</v>
      </c>
      <c r="H267" s="603">
        <v>3</v>
      </c>
      <c r="I267" s="604"/>
      <c r="J267" s="133">
        <v>0</v>
      </c>
      <c r="K267" s="543"/>
      <c r="L267" s="78">
        <v>0</v>
      </c>
    </row>
    <row r="268" spans="2:12" ht="12.75" customHeight="1" x14ac:dyDescent="0.2">
      <c r="B268" s="840">
        <f>IFERROR(_xlfn.XLOOKUP($C268,COM_Cadastro!$F$3:$F$199,COM_Cadastro!$B$3:$B$199),"")</f>
        <v>4779942616</v>
      </c>
      <c r="C268" s="326" t="s">
        <v>601</v>
      </c>
      <c r="D268" s="326" t="s">
        <v>635</v>
      </c>
      <c r="E268" s="551"/>
      <c r="F268" s="551"/>
      <c r="G268" s="621"/>
      <c r="H268" s="603">
        <v>0</v>
      </c>
      <c r="I268" s="604"/>
      <c r="J268" s="133">
        <v>0</v>
      </c>
      <c r="K268" s="543"/>
      <c r="L268" s="78">
        <v>0</v>
      </c>
    </row>
    <row r="269" spans="2:12" ht="12.75" customHeight="1" x14ac:dyDescent="0.2">
      <c r="B269" s="840" t="str">
        <f>IFERROR(_xlfn.XLOOKUP($C269,COM_Cadastro!$F$3:$F$199,COM_Cadastro!$B$3:$B$199),"")</f>
        <v/>
      </c>
      <c r="C269" s="326" t="s">
        <v>720</v>
      </c>
      <c r="D269" s="326" t="s">
        <v>659</v>
      </c>
      <c r="E269" s="551">
        <v>46136</v>
      </c>
      <c r="F269" s="551"/>
      <c r="G269" s="621"/>
      <c r="H269" s="603">
        <v>0</v>
      </c>
      <c r="I269" s="604"/>
      <c r="J269" s="133">
        <v>0</v>
      </c>
      <c r="K269" s="543"/>
      <c r="L269" s="78">
        <v>0</v>
      </c>
    </row>
    <row r="270" spans="2:12" ht="12.75" customHeight="1" x14ac:dyDescent="0.2">
      <c r="B270" s="840" t="str">
        <f>IFERROR(_xlfn.XLOOKUP($C270,COM_Cadastro!$F$3:$F$199,COM_Cadastro!$B$3:$B$199),"")</f>
        <v/>
      </c>
      <c r="C270" s="326" t="s">
        <v>658</v>
      </c>
      <c r="D270" s="326" t="s">
        <v>659</v>
      </c>
      <c r="E270" s="551"/>
      <c r="F270" s="551"/>
      <c r="G270" s="621"/>
      <c r="H270" s="603">
        <v>0</v>
      </c>
      <c r="I270" s="604"/>
      <c r="J270" s="133">
        <v>0</v>
      </c>
      <c r="K270" s="543"/>
      <c r="L270" s="78">
        <v>0</v>
      </c>
    </row>
    <row r="271" spans="2:12" ht="12.75" customHeight="1" x14ac:dyDescent="0.2">
      <c r="B271" s="840" t="str">
        <f>IFERROR(_xlfn.XLOOKUP($C271,COM_Cadastro!$F$3:$F$199,COM_Cadastro!$B$3:$B$199),"")</f>
        <v/>
      </c>
      <c r="C271" s="326" t="s">
        <v>721</v>
      </c>
      <c r="D271" s="326" t="s">
        <v>661</v>
      </c>
      <c r="E271" s="551">
        <v>46118</v>
      </c>
      <c r="F271" s="551"/>
      <c r="G271" s="621"/>
      <c r="H271" s="603">
        <v>0</v>
      </c>
      <c r="I271" s="604"/>
      <c r="J271" s="133">
        <v>0</v>
      </c>
      <c r="K271" s="543"/>
      <c r="L271" s="78">
        <v>0</v>
      </c>
    </row>
    <row r="272" spans="2:12" ht="12.75" customHeight="1" x14ac:dyDescent="0.2">
      <c r="B272" s="840" t="str">
        <f>IFERROR(_xlfn.XLOOKUP($C272,COM_Cadastro!$F$3:$F$199,COM_Cadastro!$B$3:$B$199),"")</f>
        <v/>
      </c>
      <c r="C272" s="326" t="s">
        <v>448</v>
      </c>
      <c r="D272" s="326" t="s">
        <v>659</v>
      </c>
      <c r="E272" s="551"/>
      <c r="F272" s="551"/>
      <c r="G272" s="621"/>
      <c r="H272" s="603">
        <v>0</v>
      </c>
      <c r="I272" s="604" t="s">
        <v>722</v>
      </c>
      <c r="J272" s="133">
        <v>8</v>
      </c>
      <c r="K272" s="543"/>
      <c r="L272" s="78">
        <v>0</v>
      </c>
    </row>
    <row r="273" spans="2:12" ht="12.75" customHeight="1" x14ac:dyDescent="0.2">
      <c r="B273" s="840" t="str">
        <f>IFERROR(_xlfn.XLOOKUP($C273,COM_Cadastro!$F$3:$F$199,COM_Cadastro!$B$3:$B$199),"")</f>
        <v/>
      </c>
      <c r="C273" s="326" t="s">
        <v>723</v>
      </c>
      <c r="D273" s="326" t="s">
        <v>659</v>
      </c>
      <c r="E273" s="551"/>
      <c r="F273" s="551">
        <v>46125</v>
      </c>
      <c r="G273" s="621"/>
      <c r="H273" s="603">
        <v>0</v>
      </c>
      <c r="I273" s="604" t="s">
        <v>709</v>
      </c>
      <c r="J273" s="133">
        <v>15</v>
      </c>
      <c r="K273" s="543"/>
      <c r="L273" s="78">
        <v>0</v>
      </c>
    </row>
    <row r="274" spans="2:12" ht="12.75" customHeight="1" x14ac:dyDescent="0.2">
      <c r="B274" s="840">
        <f>IFERROR(_xlfn.XLOOKUP($C274,COM_Cadastro!$F$3:$F$199,COM_Cadastro!$B$3:$B$199),"")</f>
        <v>50778213803</v>
      </c>
      <c r="C274" s="326" t="s">
        <v>566</v>
      </c>
      <c r="D274" s="326" t="s">
        <v>659</v>
      </c>
      <c r="E274" s="551"/>
      <c r="F274" s="551"/>
      <c r="G274" s="621"/>
      <c r="H274" s="603">
        <v>0</v>
      </c>
      <c r="I274" s="604" t="s">
        <v>724</v>
      </c>
      <c r="J274" s="133">
        <v>8</v>
      </c>
      <c r="K274" s="543"/>
      <c r="L274" s="78">
        <v>0</v>
      </c>
    </row>
    <row r="275" spans="2:12" ht="12.75" customHeight="1" x14ac:dyDescent="0.2">
      <c r="B275" s="840" t="str">
        <f>IFERROR(_xlfn.XLOOKUP($C275,COM_Cadastro!$F$3:$F$199,COM_Cadastro!$B$3:$B$199),"")</f>
        <v/>
      </c>
      <c r="C275" s="326" t="s">
        <v>725</v>
      </c>
      <c r="D275" s="326" t="s">
        <v>659</v>
      </c>
      <c r="E275" s="551">
        <v>46128</v>
      </c>
      <c r="F275" s="551"/>
      <c r="G275" s="621"/>
      <c r="H275" s="603">
        <v>0</v>
      </c>
      <c r="I275" s="604"/>
      <c r="J275" s="133">
        <v>0</v>
      </c>
      <c r="K275" s="543"/>
      <c r="L275" s="78">
        <v>0</v>
      </c>
    </row>
    <row r="276" spans="2:12" ht="12.75" customHeight="1" x14ac:dyDescent="0.2">
      <c r="B276" s="840">
        <f>IFERROR(_xlfn.XLOOKUP($C276,COM_Cadastro!$F$3:$F$199,COM_Cadastro!$B$3:$B$199),"")</f>
        <v>41717722814</v>
      </c>
      <c r="C276" s="326" t="s">
        <v>604</v>
      </c>
      <c r="D276" s="326" t="s">
        <v>659</v>
      </c>
      <c r="E276" s="551"/>
      <c r="F276" s="551"/>
      <c r="G276" s="621"/>
      <c r="H276" s="603">
        <v>0</v>
      </c>
      <c r="I276" s="604"/>
      <c r="J276" s="133">
        <v>0</v>
      </c>
      <c r="K276" s="543"/>
      <c r="L276" s="78">
        <v>0</v>
      </c>
    </row>
    <row r="277" spans="2:12" ht="12.75" customHeight="1" x14ac:dyDescent="0.2">
      <c r="B277" s="840">
        <f>IFERROR(_xlfn.XLOOKUP($C277,COM_Cadastro!$F$3:$F$199,COM_Cadastro!$B$3:$B$199),"")</f>
        <v>78467829400</v>
      </c>
      <c r="C277" s="326" t="s">
        <v>615</v>
      </c>
      <c r="D277" s="326" t="s">
        <v>659</v>
      </c>
      <c r="E277" s="551"/>
      <c r="F277" s="551"/>
      <c r="G277" s="621"/>
      <c r="H277" s="603">
        <v>0</v>
      </c>
      <c r="I277" s="604"/>
      <c r="J277" s="133">
        <v>0</v>
      </c>
      <c r="K277" s="543"/>
      <c r="L277" s="78">
        <v>0</v>
      </c>
    </row>
    <row r="278" spans="2:12" ht="12.75" customHeight="1" x14ac:dyDescent="0.2">
      <c r="B278" s="840" t="str">
        <f>IFERROR(_xlfn.XLOOKUP($C278,COM_Cadastro!$F$3:$F$199,COM_Cadastro!$B$3:$B$199),"")</f>
        <v/>
      </c>
      <c r="C278" s="326" t="s">
        <v>689</v>
      </c>
      <c r="D278" s="326" t="s">
        <v>661</v>
      </c>
      <c r="E278" s="551"/>
      <c r="F278" s="551"/>
      <c r="G278" s="621"/>
      <c r="H278" s="603">
        <v>0</v>
      </c>
      <c r="I278" s="604" t="s">
        <v>726</v>
      </c>
      <c r="J278" s="133">
        <v>2</v>
      </c>
      <c r="K278" s="543"/>
      <c r="L278" s="78">
        <v>0</v>
      </c>
    </row>
    <row r="279" spans="2:12" ht="12.75" customHeight="1" x14ac:dyDescent="0.2">
      <c r="B279" s="840" t="str">
        <f>IFERROR(_xlfn.XLOOKUP($C279,COM_Cadastro!$F$3:$F$199,COM_Cadastro!$B$3:$B$199),"")</f>
        <v/>
      </c>
      <c r="C279" s="326" t="s">
        <v>420</v>
      </c>
      <c r="D279" s="326" t="s">
        <v>661</v>
      </c>
      <c r="E279" s="551"/>
      <c r="F279" s="551"/>
      <c r="G279" s="621"/>
      <c r="H279" s="603">
        <v>0</v>
      </c>
      <c r="I279" s="604"/>
      <c r="J279" s="133">
        <v>0</v>
      </c>
      <c r="K279" s="543"/>
      <c r="L279" s="78">
        <v>0</v>
      </c>
    </row>
    <row r="280" spans="2:12" ht="12.75" customHeight="1" x14ac:dyDescent="0.2">
      <c r="B280" s="840" t="str">
        <f>IFERROR(_xlfn.XLOOKUP($C280,COM_Cadastro!$F$3:$F$199,COM_Cadastro!$B$3:$B$199),"")</f>
        <v/>
      </c>
      <c r="C280" s="326" t="s">
        <v>427</v>
      </c>
      <c r="D280" s="326" t="s">
        <v>661</v>
      </c>
      <c r="E280" s="551"/>
      <c r="F280" s="551"/>
      <c r="G280" s="621"/>
      <c r="H280" s="603">
        <v>0</v>
      </c>
      <c r="I280" s="604"/>
      <c r="J280" s="133">
        <v>0</v>
      </c>
      <c r="K280" s="543"/>
      <c r="L280" s="78">
        <v>0</v>
      </c>
    </row>
    <row r="281" spans="2:12" ht="12.75" customHeight="1" x14ac:dyDescent="0.2">
      <c r="B281" s="840" t="str">
        <f>IFERROR(_xlfn.XLOOKUP($C281,COM_Cadastro!$F$3:$F$199,COM_Cadastro!$B$3:$B$199),"")</f>
        <v/>
      </c>
      <c r="C281" s="326" t="s">
        <v>443</v>
      </c>
      <c r="D281" s="326" t="s">
        <v>665</v>
      </c>
      <c r="E281" s="551">
        <v>46126</v>
      </c>
      <c r="F281" s="551"/>
      <c r="G281" s="621"/>
      <c r="H281" s="603">
        <v>0</v>
      </c>
      <c r="I281" s="604"/>
      <c r="J281" s="133">
        <v>0</v>
      </c>
      <c r="K281" s="543"/>
      <c r="L281" s="78">
        <v>0</v>
      </c>
    </row>
    <row r="282" spans="2:12" ht="12.75" customHeight="1" x14ac:dyDescent="0.2">
      <c r="B282" s="840" t="str">
        <f>IFERROR(_xlfn.XLOOKUP($C282,COM_Cadastro!$F$3:$F$199,COM_Cadastro!$B$3:$B$199),"")</f>
        <v/>
      </c>
      <c r="C282" s="326" t="s">
        <v>449</v>
      </c>
      <c r="D282" s="326" t="s">
        <v>661</v>
      </c>
      <c r="E282" s="551">
        <v>46132</v>
      </c>
      <c r="F282" s="551"/>
      <c r="G282" s="621"/>
      <c r="H282" s="603">
        <v>0</v>
      </c>
      <c r="I282" s="604"/>
      <c r="J282" s="133">
        <v>0</v>
      </c>
      <c r="K282" s="543"/>
      <c r="L282" s="78">
        <v>0</v>
      </c>
    </row>
    <row r="283" spans="2:12" ht="12.75" customHeight="1" x14ac:dyDescent="0.2">
      <c r="B283" s="840" t="str">
        <f>IFERROR(_xlfn.XLOOKUP($C283,COM_Cadastro!$F$3:$F$199,COM_Cadastro!$B$3:$B$199),"")</f>
        <v/>
      </c>
      <c r="C283" s="326" t="s">
        <v>663</v>
      </c>
      <c r="D283" s="326" t="s">
        <v>661</v>
      </c>
      <c r="E283" s="551"/>
      <c r="F283" s="551"/>
      <c r="G283" s="621"/>
      <c r="H283" s="603">
        <v>0</v>
      </c>
      <c r="I283" s="604"/>
      <c r="J283" s="133">
        <v>0</v>
      </c>
      <c r="K283" s="543"/>
      <c r="L283" s="78">
        <v>0</v>
      </c>
    </row>
    <row r="284" spans="2:12" ht="12.75" customHeight="1" x14ac:dyDescent="0.2">
      <c r="B284" s="840" t="str">
        <f>IFERROR(_xlfn.XLOOKUP($C284,COM_Cadastro!$F$3:$F$199,COM_Cadastro!$B$3:$B$199),"")</f>
        <v/>
      </c>
      <c r="C284" s="326" t="s">
        <v>706</v>
      </c>
      <c r="D284" s="326" t="s">
        <v>661</v>
      </c>
      <c r="E284" s="551"/>
      <c r="F284" s="551"/>
      <c r="G284" s="621"/>
      <c r="H284" s="603">
        <v>0</v>
      </c>
      <c r="I284" s="604"/>
      <c r="J284" s="133">
        <v>0</v>
      </c>
      <c r="K284" s="543"/>
      <c r="L284" s="78">
        <v>0</v>
      </c>
    </row>
    <row r="285" spans="2:12" ht="12.75" customHeight="1" x14ac:dyDescent="0.2">
      <c r="B285" s="840">
        <f>IFERROR(_xlfn.XLOOKUP($C285,COM_Cadastro!$F$3:$F$199,COM_Cadastro!$B$3:$B$199),"")</f>
        <v>15704341748</v>
      </c>
      <c r="C285" s="326" t="s">
        <v>516</v>
      </c>
      <c r="D285" s="326" t="s">
        <v>661</v>
      </c>
      <c r="E285" s="551"/>
      <c r="F285" s="551"/>
      <c r="G285" s="621" t="s">
        <v>727</v>
      </c>
      <c r="H285" s="603">
        <v>2</v>
      </c>
      <c r="I285" s="604"/>
      <c r="J285" s="133">
        <v>0</v>
      </c>
      <c r="K285" s="543"/>
      <c r="L285" s="78">
        <v>0</v>
      </c>
    </row>
    <row r="286" spans="2:12" ht="12.75" customHeight="1" x14ac:dyDescent="0.2">
      <c r="B286" s="840">
        <f>IFERROR(_xlfn.XLOOKUP($C286,COM_Cadastro!$F$3:$F$199,COM_Cadastro!$B$3:$B$199),"")</f>
        <v>1602223717</v>
      </c>
      <c r="C286" s="326" t="s">
        <v>517</v>
      </c>
      <c r="D286" s="326" t="s">
        <v>661</v>
      </c>
      <c r="E286" s="551"/>
      <c r="F286" s="551"/>
      <c r="G286" s="621" t="s">
        <v>728</v>
      </c>
      <c r="H286" s="603">
        <v>4</v>
      </c>
      <c r="I286" s="604"/>
      <c r="J286" s="133">
        <v>0</v>
      </c>
      <c r="K286" s="543"/>
      <c r="L286" s="78">
        <v>0</v>
      </c>
    </row>
    <row r="287" spans="2:12" ht="12.75" customHeight="1" x14ac:dyDescent="0.2">
      <c r="B287" s="840" t="str">
        <f>IFERROR(_xlfn.XLOOKUP($C287,COM_Cadastro!$F$3:$F$199,COM_Cadastro!$B$3:$B$199),"")</f>
        <v/>
      </c>
      <c r="C287" s="326" t="s">
        <v>555</v>
      </c>
      <c r="D287" s="326" t="s">
        <v>661</v>
      </c>
      <c r="E287" s="551"/>
      <c r="F287" s="551"/>
      <c r="G287" s="621"/>
      <c r="H287" s="603">
        <v>0</v>
      </c>
      <c r="I287" s="604"/>
      <c r="J287" s="133">
        <v>0</v>
      </c>
      <c r="K287" s="543"/>
      <c r="L287" s="78">
        <v>0</v>
      </c>
    </row>
    <row r="288" spans="2:12" ht="12.75" customHeight="1" x14ac:dyDescent="0.2">
      <c r="B288" s="840">
        <f>IFERROR(_xlfn.XLOOKUP($C288,COM_Cadastro!$F$3:$F$199,COM_Cadastro!$B$3:$B$199),"")</f>
        <v>2123570508</v>
      </c>
      <c r="C288" s="326" t="s">
        <v>606</v>
      </c>
      <c r="D288" s="326" t="s">
        <v>665</v>
      </c>
      <c r="E288" s="551"/>
      <c r="F288" s="551"/>
      <c r="G288" s="621"/>
      <c r="H288" s="603">
        <v>0</v>
      </c>
      <c r="I288" s="604"/>
      <c r="J288" s="133">
        <v>0</v>
      </c>
      <c r="K288" s="543"/>
      <c r="L288" s="78">
        <v>0</v>
      </c>
    </row>
    <row r="289" spans="1:32" ht="12.75" customHeight="1" x14ac:dyDescent="0.2">
      <c r="B289" s="840" t="str">
        <f>IFERROR(_xlfn.XLOOKUP($C289,COM_Cadastro!$F$3:$F$199,COM_Cadastro!$B$3:$B$199),"")</f>
        <v/>
      </c>
      <c r="C289" s="326" t="s">
        <v>707</v>
      </c>
      <c r="D289" s="326" t="s">
        <v>661</v>
      </c>
      <c r="E289" s="551"/>
      <c r="F289" s="551"/>
      <c r="G289" s="621"/>
      <c r="H289" s="603">
        <v>0</v>
      </c>
      <c r="I289" s="604"/>
      <c r="J289" s="133">
        <v>0</v>
      </c>
      <c r="K289" s="543"/>
      <c r="L289" s="78">
        <v>0</v>
      </c>
    </row>
    <row r="290" spans="1:32" ht="12.75" customHeight="1" x14ac:dyDescent="0.2">
      <c r="B290" s="840" t="str">
        <f>IFERROR(_xlfn.XLOOKUP($C290,COM_Cadastro!$F$3:$F$199,COM_Cadastro!$B$3:$B$199),"")</f>
        <v/>
      </c>
      <c r="C290" s="326" t="s">
        <v>608</v>
      </c>
      <c r="D290" s="326" t="s">
        <v>661</v>
      </c>
      <c r="E290" s="551"/>
      <c r="F290" s="551">
        <v>46123</v>
      </c>
      <c r="G290" s="621"/>
      <c r="H290" s="603">
        <v>0</v>
      </c>
      <c r="I290" s="604" t="s">
        <v>709</v>
      </c>
      <c r="J290" s="133">
        <v>17</v>
      </c>
      <c r="K290" s="543"/>
      <c r="L290" s="78">
        <v>0</v>
      </c>
    </row>
    <row r="291" spans="1:32" ht="12.75" customHeight="1" x14ac:dyDescent="0.2">
      <c r="A291" s="354"/>
      <c r="B291" s="355"/>
      <c r="C291" s="356">
        <v>69</v>
      </c>
      <c r="D291" s="354"/>
      <c r="E291" s="356">
        <f>COUNTA(E222:E290)</f>
        <v>6</v>
      </c>
      <c r="F291" s="356">
        <f>COUNTA(F222:F290)</f>
        <v>5</v>
      </c>
      <c r="G291" s="356">
        <f>COUNTA(G222:G290)</f>
        <v>11</v>
      </c>
      <c r="H291" s="356">
        <f>SUM(H222:H290)</f>
        <v>38</v>
      </c>
      <c r="I291" s="356">
        <f>COUNTA(I222:I290)</f>
        <v>10</v>
      </c>
      <c r="J291" s="356">
        <f>SUM(J222:J290)</f>
        <v>103</v>
      </c>
      <c r="K291" s="356">
        <f>COUNTA(K222:K290)</f>
        <v>2</v>
      </c>
      <c r="L291" s="356">
        <f>SUM(L222:L290)</f>
        <v>48</v>
      </c>
      <c r="M291" s="354"/>
      <c r="N291" s="354"/>
      <c r="O291" s="354"/>
      <c r="P291" s="354"/>
      <c r="Q291" s="354"/>
      <c r="R291" s="354"/>
      <c r="S291" s="354"/>
      <c r="T291" s="354"/>
      <c r="U291" s="354"/>
      <c r="V291" s="354"/>
      <c r="W291" s="354"/>
      <c r="X291" s="354"/>
      <c r="Y291" s="354"/>
      <c r="Z291" s="354"/>
      <c r="AA291" s="354"/>
      <c r="AB291" s="354"/>
      <c r="AC291" s="354"/>
      <c r="AD291" s="354"/>
      <c r="AE291" s="354"/>
      <c r="AF291" s="354"/>
    </row>
  </sheetData>
  <autoFilter ref="B221:L291" xr:uid="{00000000-0009-0000-0000-000029000000}"/>
  <mergeCells count="4">
    <mergeCell ref="W2:AC2"/>
    <mergeCell ref="W72:AC72"/>
    <mergeCell ref="Y148:AA148"/>
    <mergeCell ref="Y221:AA221"/>
  </mergeCells>
  <conditionalFormatting sqref="B3:B290">
    <cfRule type="expression" dxfId="12" priority="2">
      <formula>"00"".""000"".""000""-""00"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FF0000"/>
  </sheetPr>
  <dimension ref="B1:Y215"/>
  <sheetViews>
    <sheetView zoomScale="80" zoomScaleNormal="80" workbookViewId="0">
      <selection activeCell="C4" sqref="C4:C9"/>
    </sheetView>
  </sheetViews>
  <sheetFormatPr defaultColWidth="9.140625" defaultRowHeight="12.75" x14ac:dyDescent="0.25"/>
  <cols>
    <col min="1" max="1" width="2.140625" style="625" customWidth="1"/>
    <col min="2" max="2" width="10.5703125" style="625" customWidth="1"/>
    <col min="3" max="3" width="18.85546875" style="625" customWidth="1"/>
    <col min="4" max="4" width="10.7109375" style="625" customWidth="1"/>
    <col min="5" max="5" width="15" style="625" customWidth="1"/>
    <col min="6" max="6" width="9.140625" style="625"/>
    <col min="7" max="7" width="39.5703125" style="625" customWidth="1"/>
    <col min="8" max="8" width="13.140625" style="625" customWidth="1"/>
    <col min="9" max="9" width="13" style="625" customWidth="1"/>
    <col min="10" max="10" width="15.85546875" style="625" customWidth="1"/>
    <col min="11" max="11" width="17.42578125" style="625" customWidth="1"/>
    <col min="12" max="12" width="15" style="435" customWidth="1"/>
    <col min="13" max="13" width="10.85546875" style="435" customWidth="1"/>
    <col min="14" max="14" width="11.7109375" style="436" customWidth="1"/>
    <col min="15" max="15" width="15.140625" style="436" customWidth="1"/>
    <col min="16" max="16" width="16" style="436" customWidth="1"/>
    <col min="17" max="17" width="12.7109375" style="435" customWidth="1"/>
    <col min="18" max="18" width="17" style="435" customWidth="1"/>
    <col min="19" max="19" width="15.7109375" style="435" customWidth="1"/>
    <col min="20" max="20" width="12" style="435" customWidth="1"/>
    <col min="21" max="21" width="16" style="625" customWidth="1"/>
    <col min="22" max="22" width="12.42578125" style="625" customWidth="1"/>
    <col min="23" max="23" width="1.85546875" style="625" customWidth="1"/>
    <col min="24" max="24" width="6.7109375" style="625" customWidth="1"/>
    <col min="25" max="25" width="13" style="625" customWidth="1"/>
    <col min="26" max="205" width="9.140625" style="625"/>
    <col min="206" max="206" width="6.85546875" style="625" customWidth="1"/>
    <col min="207" max="207" width="22.140625" style="625" customWidth="1"/>
    <col min="208" max="209" width="13.42578125" style="625" customWidth="1"/>
    <col min="210" max="210" width="10.85546875" style="625" customWidth="1"/>
    <col min="211" max="212" width="13" style="625" customWidth="1"/>
    <col min="213" max="214" width="11.7109375" style="625" customWidth="1"/>
    <col min="215" max="215" width="11.42578125" style="625" customWidth="1"/>
    <col min="216" max="216" width="12.5703125" style="625" customWidth="1"/>
    <col min="217" max="217" width="12" style="625" customWidth="1"/>
    <col min="218" max="218" width="12.7109375" style="625" customWidth="1"/>
    <col min="219" max="219" width="11.7109375" style="625" customWidth="1"/>
    <col min="220" max="220" width="10.85546875" style="625" customWidth="1"/>
    <col min="221" max="221" width="12.7109375" style="625" customWidth="1"/>
    <col min="222" max="222" width="10.5703125" style="625" customWidth="1"/>
    <col min="223" max="223" width="7.5703125" style="625" customWidth="1"/>
    <col min="224" max="224" width="9.140625" style="625"/>
    <col min="225" max="225" width="13" style="625" customWidth="1"/>
    <col min="226" max="226" width="11.42578125" style="625" customWidth="1"/>
    <col min="227" max="461" width="9.140625" style="625"/>
    <col min="462" max="462" width="6.85546875" style="625" customWidth="1"/>
    <col min="463" max="463" width="22.140625" style="625" customWidth="1"/>
    <col min="464" max="465" width="13.42578125" style="625" customWidth="1"/>
    <col min="466" max="466" width="10.85546875" style="625" customWidth="1"/>
    <col min="467" max="468" width="13" style="625" customWidth="1"/>
    <col min="469" max="470" width="11.7109375" style="625" customWidth="1"/>
    <col min="471" max="471" width="11.42578125" style="625" customWidth="1"/>
    <col min="472" max="472" width="12.5703125" style="625" customWidth="1"/>
    <col min="473" max="473" width="12" style="625" customWidth="1"/>
    <col min="474" max="474" width="12.7109375" style="625" customWidth="1"/>
    <col min="475" max="475" width="11.7109375" style="625" customWidth="1"/>
    <col min="476" max="476" width="10.85546875" style="625" customWidth="1"/>
    <col min="477" max="477" width="12.7109375" style="625" customWidth="1"/>
    <col min="478" max="478" width="10.5703125" style="625" customWidth="1"/>
    <col min="479" max="479" width="7.5703125" style="625" customWidth="1"/>
    <col min="480" max="480" width="9.140625" style="625"/>
    <col min="481" max="481" width="13" style="625" customWidth="1"/>
    <col min="482" max="482" width="11.42578125" style="625" customWidth="1"/>
    <col min="483" max="717" width="9.140625" style="625"/>
    <col min="718" max="718" width="6.85546875" style="625" customWidth="1"/>
    <col min="719" max="719" width="22.140625" style="625" customWidth="1"/>
    <col min="720" max="721" width="13.42578125" style="625" customWidth="1"/>
    <col min="722" max="722" width="10.85546875" style="625" customWidth="1"/>
    <col min="723" max="724" width="13" style="625" customWidth="1"/>
    <col min="725" max="726" width="11.7109375" style="625" customWidth="1"/>
    <col min="727" max="727" width="11.42578125" style="625" customWidth="1"/>
    <col min="728" max="728" width="12.5703125" style="625" customWidth="1"/>
    <col min="729" max="729" width="12" style="625" customWidth="1"/>
    <col min="730" max="730" width="12.7109375" style="625" customWidth="1"/>
    <col min="731" max="731" width="11.7109375" style="625" customWidth="1"/>
    <col min="732" max="732" width="10.85546875" style="625" customWidth="1"/>
    <col min="733" max="733" width="12.7109375" style="625" customWidth="1"/>
    <col min="734" max="734" width="10.5703125" style="625" customWidth="1"/>
    <col min="735" max="735" width="7.5703125" style="625" customWidth="1"/>
    <col min="736" max="736" width="9.140625" style="625"/>
    <col min="737" max="737" width="13" style="625" customWidth="1"/>
    <col min="738" max="738" width="11.42578125" style="625" customWidth="1"/>
    <col min="739" max="973" width="9.140625" style="625"/>
    <col min="974" max="974" width="6.85546875" style="625" customWidth="1"/>
    <col min="975" max="975" width="22.140625" style="625" customWidth="1"/>
    <col min="976" max="977" width="13.42578125" style="625" customWidth="1"/>
    <col min="978" max="978" width="10.85546875" style="625" customWidth="1"/>
    <col min="979" max="980" width="13" style="625" customWidth="1"/>
    <col min="981" max="982" width="11.7109375" style="625" customWidth="1"/>
    <col min="983" max="983" width="11.42578125" style="625" customWidth="1"/>
    <col min="984" max="984" width="12.5703125" style="625" customWidth="1"/>
    <col min="985" max="985" width="12" style="625" customWidth="1"/>
    <col min="986" max="986" width="12.7109375" style="625" customWidth="1"/>
    <col min="987" max="987" width="11.7109375" style="625" customWidth="1"/>
    <col min="988" max="988" width="10.85546875" style="625" customWidth="1"/>
    <col min="989" max="989" width="12.7109375" style="625" customWidth="1"/>
    <col min="990" max="990" width="10.5703125" style="625" customWidth="1"/>
    <col min="991" max="991" width="7.5703125" style="625" customWidth="1"/>
    <col min="992" max="992" width="9.140625" style="625"/>
    <col min="993" max="993" width="13" style="625" customWidth="1"/>
    <col min="994" max="994" width="11.42578125" style="625" customWidth="1"/>
    <col min="995" max="1229" width="9.140625" style="625"/>
    <col min="1230" max="1230" width="6.85546875" style="625" customWidth="1"/>
    <col min="1231" max="1231" width="22.140625" style="625" customWidth="1"/>
    <col min="1232" max="1233" width="13.42578125" style="625" customWidth="1"/>
    <col min="1234" max="1234" width="10.85546875" style="625" customWidth="1"/>
    <col min="1235" max="1236" width="13" style="625" customWidth="1"/>
    <col min="1237" max="1238" width="11.7109375" style="625" customWidth="1"/>
    <col min="1239" max="1239" width="11.42578125" style="625" customWidth="1"/>
    <col min="1240" max="1240" width="12.5703125" style="625" customWidth="1"/>
    <col min="1241" max="1241" width="12" style="625" customWidth="1"/>
    <col min="1242" max="1242" width="12.7109375" style="625" customWidth="1"/>
    <col min="1243" max="1243" width="11.7109375" style="625" customWidth="1"/>
    <col min="1244" max="1244" width="10.85546875" style="625" customWidth="1"/>
    <col min="1245" max="1245" width="12.7109375" style="625" customWidth="1"/>
    <col min="1246" max="1246" width="10.5703125" style="625" customWidth="1"/>
    <col min="1247" max="1247" width="7.5703125" style="625" customWidth="1"/>
    <col min="1248" max="1248" width="9.140625" style="625"/>
    <col min="1249" max="1249" width="13" style="625" customWidth="1"/>
    <col min="1250" max="1250" width="11.42578125" style="625" customWidth="1"/>
    <col min="1251" max="1485" width="9.140625" style="625"/>
    <col min="1486" max="1486" width="6.85546875" style="625" customWidth="1"/>
    <col min="1487" max="1487" width="22.140625" style="625" customWidth="1"/>
    <col min="1488" max="1489" width="13.42578125" style="625" customWidth="1"/>
    <col min="1490" max="1490" width="10.85546875" style="625" customWidth="1"/>
    <col min="1491" max="1492" width="13" style="625" customWidth="1"/>
    <col min="1493" max="1494" width="11.7109375" style="625" customWidth="1"/>
    <col min="1495" max="1495" width="11.42578125" style="625" customWidth="1"/>
    <col min="1496" max="1496" width="12.5703125" style="625" customWidth="1"/>
    <col min="1497" max="1497" width="12" style="625" customWidth="1"/>
    <col min="1498" max="1498" width="12.7109375" style="625" customWidth="1"/>
    <col min="1499" max="1499" width="11.7109375" style="625" customWidth="1"/>
    <col min="1500" max="1500" width="10.85546875" style="625" customWidth="1"/>
    <col min="1501" max="1501" width="12.7109375" style="625" customWidth="1"/>
    <col min="1502" max="1502" width="10.5703125" style="625" customWidth="1"/>
    <col min="1503" max="1503" width="7.5703125" style="625" customWidth="1"/>
    <col min="1504" max="1504" width="9.140625" style="625"/>
    <col min="1505" max="1505" width="13" style="625" customWidth="1"/>
    <col min="1506" max="1506" width="11.42578125" style="625" customWidth="1"/>
    <col min="1507" max="1741" width="9.140625" style="625"/>
    <col min="1742" max="1742" width="6.85546875" style="625" customWidth="1"/>
    <col min="1743" max="1743" width="22.140625" style="625" customWidth="1"/>
    <col min="1744" max="1745" width="13.42578125" style="625" customWidth="1"/>
    <col min="1746" max="1746" width="10.85546875" style="625" customWidth="1"/>
    <col min="1747" max="1748" width="13" style="625" customWidth="1"/>
    <col min="1749" max="1750" width="11.7109375" style="625" customWidth="1"/>
    <col min="1751" max="1751" width="11.42578125" style="625" customWidth="1"/>
    <col min="1752" max="1752" width="12.5703125" style="625" customWidth="1"/>
    <col min="1753" max="1753" width="12" style="625" customWidth="1"/>
    <col min="1754" max="1754" width="12.7109375" style="625" customWidth="1"/>
    <col min="1755" max="1755" width="11.7109375" style="625" customWidth="1"/>
    <col min="1756" max="1756" width="10.85546875" style="625" customWidth="1"/>
    <col min="1757" max="1757" width="12.7109375" style="625" customWidth="1"/>
    <col min="1758" max="1758" width="10.5703125" style="625" customWidth="1"/>
    <col min="1759" max="1759" width="7.5703125" style="625" customWidth="1"/>
    <col min="1760" max="1760" width="9.140625" style="625"/>
    <col min="1761" max="1761" width="13" style="625" customWidth="1"/>
    <col min="1762" max="1762" width="11.42578125" style="625" customWidth="1"/>
    <col min="1763" max="1997" width="9.140625" style="625"/>
    <col min="1998" max="1998" width="6.85546875" style="625" customWidth="1"/>
    <col min="1999" max="1999" width="22.140625" style="625" customWidth="1"/>
    <col min="2000" max="2001" width="13.42578125" style="625" customWidth="1"/>
    <col min="2002" max="2002" width="10.85546875" style="625" customWidth="1"/>
    <col min="2003" max="2004" width="13" style="625" customWidth="1"/>
    <col min="2005" max="2006" width="11.7109375" style="625" customWidth="1"/>
    <col min="2007" max="2007" width="11.42578125" style="625" customWidth="1"/>
    <col min="2008" max="2008" width="12.5703125" style="625" customWidth="1"/>
    <col min="2009" max="2009" width="12" style="625" customWidth="1"/>
    <col min="2010" max="2010" width="12.7109375" style="625" customWidth="1"/>
    <col min="2011" max="2011" width="11.7109375" style="625" customWidth="1"/>
    <col min="2012" max="2012" width="10.85546875" style="625" customWidth="1"/>
    <col min="2013" max="2013" width="12.7109375" style="625" customWidth="1"/>
    <col min="2014" max="2014" width="10.5703125" style="625" customWidth="1"/>
    <col min="2015" max="2015" width="7.5703125" style="625" customWidth="1"/>
    <col min="2016" max="2016" width="9.140625" style="625"/>
    <col min="2017" max="2017" width="13" style="625" customWidth="1"/>
    <col min="2018" max="2018" width="11.42578125" style="625" customWidth="1"/>
    <col min="2019" max="2253" width="9.140625" style="625"/>
    <col min="2254" max="2254" width="6.85546875" style="625" customWidth="1"/>
    <col min="2255" max="2255" width="22.140625" style="625" customWidth="1"/>
    <col min="2256" max="2257" width="13.42578125" style="625" customWidth="1"/>
    <col min="2258" max="2258" width="10.85546875" style="625" customWidth="1"/>
    <col min="2259" max="2260" width="13" style="625" customWidth="1"/>
    <col min="2261" max="2262" width="11.7109375" style="625" customWidth="1"/>
    <col min="2263" max="2263" width="11.42578125" style="625" customWidth="1"/>
    <col min="2264" max="2264" width="12.5703125" style="625" customWidth="1"/>
    <col min="2265" max="2265" width="12" style="625" customWidth="1"/>
    <col min="2266" max="2266" width="12.7109375" style="625" customWidth="1"/>
    <col min="2267" max="2267" width="11.7109375" style="625" customWidth="1"/>
    <col min="2268" max="2268" width="10.85546875" style="625" customWidth="1"/>
    <col min="2269" max="2269" width="12.7109375" style="625" customWidth="1"/>
    <col min="2270" max="2270" width="10.5703125" style="625" customWidth="1"/>
    <col min="2271" max="2271" width="7.5703125" style="625" customWidth="1"/>
    <col min="2272" max="2272" width="9.140625" style="625"/>
    <col min="2273" max="2273" width="13" style="625" customWidth="1"/>
    <col min="2274" max="2274" width="11.42578125" style="625" customWidth="1"/>
    <col min="2275" max="2509" width="9.140625" style="625"/>
    <col min="2510" max="2510" width="6.85546875" style="625" customWidth="1"/>
    <col min="2511" max="2511" width="22.140625" style="625" customWidth="1"/>
    <col min="2512" max="2513" width="13.42578125" style="625" customWidth="1"/>
    <col min="2514" max="2514" width="10.85546875" style="625" customWidth="1"/>
    <col min="2515" max="2516" width="13" style="625" customWidth="1"/>
    <col min="2517" max="2518" width="11.7109375" style="625" customWidth="1"/>
    <col min="2519" max="2519" width="11.42578125" style="625" customWidth="1"/>
    <col min="2520" max="2520" width="12.5703125" style="625" customWidth="1"/>
    <col min="2521" max="2521" width="12" style="625" customWidth="1"/>
    <col min="2522" max="2522" width="12.7109375" style="625" customWidth="1"/>
    <col min="2523" max="2523" width="11.7109375" style="625" customWidth="1"/>
    <col min="2524" max="2524" width="10.85546875" style="625" customWidth="1"/>
    <col min="2525" max="2525" width="12.7109375" style="625" customWidth="1"/>
    <col min="2526" max="2526" width="10.5703125" style="625" customWidth="1"/>
    <col min="2527" max="2527" width="7.5703125" style="625" customWidth="1"/>
    <col min="2528" max="2528" width="9.140625" style="625"/>
    <col min="2529" max="2529" width="13" style="625" customWidth="1"/>
    <col min="2530" max="2530" width="11.42578125" style="625" customWidth="1"/>
    <col min="2531" max="2765" width="9.140625" style="625"/>
    <col min="2766" max="2766" width="6.85546875" style="625" customWidth="1"/>
    <col min="2767" max="2767" width="22.140625" style="625" customWidth="1"/>
    <col min="2768" max="2769" width="13.42578125" style="625" customWidth="1"/>
    <col min="2770" max="2770" width="10.85546875" style="625" customWidth="1"/>
    <col min="2771" max="2772" width="13" style="625" customWidth="1"/>
    <col min="2773" max="2774" width="11.7109375" style="625" customWidth="1"/>
    <col min="2775" max="2775" width="11.42578125" style="625" customWidth="1"/>
    <col min="2776" max="2776" width="12.5703125" style="625" customWidth="1"/>
    <col min="2777" max="2777" width="12" style="625" customWidth="1"/>
    <col min="2778" max="2778" width="12.7109375" style="625" customWidth="1"/>
    <col min="2779" max="2779" width="11.7109375" style="625" customWidth="1"/>
    <col min="2780" max="2780" width="10.85546875" style="625" customWidth="1"/>
    <col min="2781" max="2781" width="12.7109375" style="625" customWidth="1"/>
    <col min="2782" max="2782" width="10.5703125" style="625" customWidth="1"/>
    <col min="2783" max="2783" width="7.5703125" style="625" customWidth="1"/>
    <col min="2784" max="2784" width="9.140625" style="625"/>
    <col min="2785" max="2785" width="13" style="625" customWidth="1"/>
    <col min="2786" max="2786" width="11.42578125" style="625" customWidth="1"/>
    <col min="2787" max="3021" width="9.140625" style="625"/>
    <col min="3022" max="3022" width="6.85546875" style="625" customWidth="1"/>
    <col min="3023" max="3023" width="22.140625" style="625" customWidth="1"/>
    <col min="3024" max="3025" width="13.42578125" style="625" customWidth="1"/>
    <col min="3026" max="3026" width="10.85546875" style="625" customWidth="1"/>
    <col min="3027" max="3028" width="13" style="625" customWidth="1"/>
    <col min="3029" max="3030" width="11.7109375" style="625" customWidth="1"/>
    <col min="3031" max="3031" width="11.42578125" style="625" customWidth="1"/>
    <col min="3032" max="3032" width="12.5703125" style="625" customWidth="1"/>
    <col min="3033" max="3033" width="12" style="625" customWidth="1"/>
    <col min="3034" max="3034" width="12.7109375" style="625" customWidth="1"/>
    <col min="3035" max="3035" width="11.7109375" style="625" customWidth="1"/>
    <col min="3036" max="3036" width="10.85546875" style="625" customWidth="1"/>
    <col min="3037" max="3037" width="12.7109375" style="625" customWidth="1"/>
    <col min="3038" max="3038" width="10.5703125" style="625" customWidth="1"/>
    <col min="3039" max="3039" width="7.5703125" style="625" customWidth="1"/>
    <col min="3040" max="3040" width="9.140625" style="625"/>
    <col min="3041" max="3041" width="13" style="625" customWidth="1"/>
    <col min="3042" max="3042" width="11.42578125" style="625" customWidth="1"/>
    <col min="3043" max="3277" width="9.140625" style="625"/>
    <col min="3278" max="3278" width="6.85546875" style="625" customWidth="1"/>
    <col min="3279" max="3279" width="22.140625" style="625" customWidth="1"/>
    <col min="3280" max="3281" width="13.42578125" style="625" customWidth="1"/>
    <col min="3282" max="3282" width="10.85546875" style="625" customWidth="1"/>
    <col min="3283" max="3284" width="13" style="625" customWidth="1"/>
    <col min="3285" max="3286" width="11.7109375" style="625" customWidth="1"/>
    <col min="3287" max="3287" width="11.42578125" style="625" customWidth="1"/>
    <col min="3288" max="3288" width="12.5703125" style="625" customWidth="1"/>
    <col min="3289" max="3289" width="12" style="625" customWidth="1"/>
    <col min="3290" max="3290" width="12.7109375" style="625" customWidth="1"/>
    <col min="3291" max="3291" width="11.7109375" style="625" customWidth="1"/>
    <col min="3292" max="3292" width="10.85546875" style="625" customWidth="1"/>
    <col min="3293" max="3293" width="12.7109375" style="625" customWidth="1"/>
    <col min="3294" max="3294" width="10.5703125" style="625" customWidth="1"/>
    <col min="3295" max="3295" width="7.5703125" style="625" customWidth="1"/>
    <col min="3296" max="3296" width="9.140625" style="625"/>
    <col min="3297" max="3297" width="13" style="625" customWidth="1"/>
    <col min="3298" max="3298" width="11.42578125" style="625" customWidth="1"/>
    <col min="3299" max="3533" width="9.140625" style="625"/>
    <col min="3534" max="3534" width="6.85546875" style="625" customWidth="1"/>
    <col min="3535" max="3535" width="22.140625" style="625" customWidth="1"/>
    <col min="3536" max="3537" width="13.42578125" style="625" customWidth="1"/>
    <col min="3538" max="3538" width="10.85546875" style="625" customWidth="1"/>
    <col min="3539" max="3540" width="13" style="625" customWidth="1"/>
    <col min="3541" max="3542" width="11.7109375" style="625" customWidth="1"/>
    <col min="3543" max="3543" width="11.42578125" style="625" customWidth="1"/>
    <col min="3544" max="3544" width="12.5703125" style="625" customWidth="1"/>
    <col min="3545" max="3545" width="12" style="625" customWidth="1"/>
    <col min="3546" max="3546" width="12.7109375" style="625" customWidth="1"/>
    <col min="3547" max="3547" width="11.7109375" style="625" customWidth="1"/>
    <col min="3548" max="3548" width="10.85546875" style="625" customWidth="1"/>
    <col min="3549" max="3549" width="12.7109375" style="625" customWidth="1"/>
    <col min="3550" max="3550" width="10.5703125" style="625" customWidth="1"/>
    <col min="3551" max="3551" width="7.5703125" style="625" customWidth="1"/>
    <col min="3552" max="3552" width="9.140625" style="625"/>
    <col min="3553" max="3553" width="13" style="625" customWidth="1"/>
    <col min="3554" max="3554" width="11.42578125" style="625" customWidth="1"/>
    <col min="3555" max="3789" width="9.140625" style="625"/>
    <col min="3790" max="3790" width="6.85546875" style="625" customWidth="1"/>
    <col min="3791" max="3791" width="22.140625" style="625" customWidth="1"/>
    <col min="3792" max="3793" width="13.42578125" style="625" customWidth="1"/>
    <col min="3794" max="3794" width="10.85546875" style="625" customWidth="1"/>
    <col min="3795" max="3796" width="13" style="625" customWidth="1"/>
    <col min="3797" max="3798" width="11.7109375" style="625" customWidth="1"/>
    <col min="3799" max="3799" width="11.42578125" style="625" customWidth="1"/>
    <col min="3800" max="3800" width="12.5703125" style="625" customWidth="1"/>
    <col min="3801" max="3801" width="12" style="625" customWidth="1"/>
    <col min="3802" max="3802" width="12.7109375" style="625" customWidth="1"/>
    <col min="3803" max="3803" width="11.7109375" style="625" customWidth="1"/>
    <col min="3804" max="3804" width="10.85546875" style="625" customWidth="1"/>
    <col min="3805" max="3805" width="12.7109375" style="625" customWidth="1"/>
    <col min="3806" max="3806" width="10.5703125" style="625" customWidth="1"/>
    <col min="3807" max="3807" width="7.5703125" style="625" customWidth="1"/>
    <col min="3808" max="3808" width="9.140625" style="625"/>
    <col min="3809" max="3809" width="13" style="625" customWidth="1"/>
    <col min="3810" max="3810" width="11.42578125" style="625" customWidth="1"/>
    <col min="3811" max="4045" width="9.140625" style="625"/>
    <col min="4046" max="4046" width="6.85546875" style="625" customWidth="1"/>
    <col min="4047" max="4047" width="22.140625" style="625" customWidth="1"/>
    <col min="4048" max="4049" width="13.42578125" style="625" customWidth="1"/>
    <col min="4050" max="4050" width="10.85546875" style="625" customWidth="1"/>
    <col min="4051" max="4052" width="13" style="625" customWidth="1"/>
    <col min="4053" max="4054" width="11.7109375" style="625" customWidth="1"/>
    <col min="4055" max="4055" width="11.42578125" style="625" customWidth="1"/>
    <col min="4056" max="4056" width="12.5703125" style="625" customWidth="1"/>
    <col min="4057" max="4057" width="12" style="625" customWidth="1"/>
    <col min="4058" max="4058" width="12.7109375" style="625" customWidth="1"/>
    <col min="4059" max="4059" width="11.7109375" style="625" customWidth="1"/>
    <col min="4060" max="4060" width="10.85546875" style="625" customWidth="1"/>
    <col min="4061" max="4061" width="12.7109375" style="625" customWidth="1"/>
    <col min="4062" max="4062" width="10.5703125" style="625" customWidth="1"/>
    <col min="4063" max="4063" width="7.5703125" style="625" customWidth="1"/>
    <col min="4064" max="4064" width="9.140625" style="625"/>
    <col min="4065" max="4065" width="13" style="625" customWidth="1"/>
    <col min="4066" max="4066" width="11.42578125" style="625" customWidth="1"/>
    <col min="4067" max="4301" width="9.140625" style="625"/>
    <col min="4302" max="4302" width="6.85546875" style="625" customWidth="1"/>
    <col min="4303" max="4303" width="22.140625" style="625" customWidth="1"/>
    <col min="4304" max="4305" width="13.42578125" style="625" customWidth="1"/>
    <col min="4306" max="4306" width="10.85546875" style="625" customWidth="1"/>
    <col min="4307" max="4308" width="13" style="625" customWidth="1"/>
    <col min="4309" max="4310" width="11.7109375" style="625" customWidth="1"/>
    <col min="4311" max="4311" width="11.42578125" style="625" customWidth="1"/>
    <col min="4312" max="4312" width="12.5703125" style="625" customWidth="1"/>
    <col min="4313" max="4313" width="12" style="625" customWidth="1"/>
    <col min="4314" max="4314" width="12.7109375" style="625" customWidth="1"/>
    <col min="4315" max="4315" width="11.7109375" style="625" customWidth="1"/>
    <col min="4316" max="4316" width="10.85546875" style="625" customWidth="1"/>
    <col min="4317" max="4317" width="12.7109375" style="625" customWidth="1"/>
    <col min="4318" max="4318" width="10.5703125" style="625" customWidth="1"/>
    <col min="4319" max="4319" width="7.5703125" style="625" customWidth="1"/>
    <col min="4320" max="4320" width="9.140625" style="625"/>
    <col min="4321" max="4321" width="13" style="625" customWidth="1"/>
    <col min="4322" max="4322" width="11.42578125" style="625" customWidth="1"/>
    <col min="4323" max="4557" width="9.140625" style="625"/>
    <col min="4558" max="4558" width="6.85546875" style="625" customWidth="1"/>
    <col min="4559" max="4559" width="22.140625" style="625" customWidth="1"/>
    <col min="4560" max="4561" width="13.42578125" style="625" customWidth="1"/>
    <col min="4562" max="4562" width="10.85546875" style="625" customWidth="1"/>
    <col min="4563" max="4564" width="13" style="625" customWidth="1"/>
    <col min="4565" max="4566" width="11.7109375" style="625" customWidth="1"/>
    <col min="4567" max="4567" width="11.42578125" style="625" customWidth="1"/>
    <col min="4568" max="4568" width="12.5703125" style="625" customWidth="1"/>
    <col min="4569" max="4569" width="12" style="625" customWidth="1"/>
    <col min="4570" max="4570" width="12.7109375" style="625" customWidth="1"/>
    <col min="4571" max="4571" width="11.7109375" style="625" customWidth="1"/>
    <col min="4572" max="4572" width="10.85546875" style="625" customWidth="1"/>
    <col min="4573" max="4573" width="12.7109375" style="625" customWidth="1"/>
    <col min="4574" max="4574" width="10.5703125" style="625" customWidth="1"/>
    <col min="4575" max="4575" width="7.5703125" style="625" customWidth="1"/>
    <col min="4576" max="4576" width="9.140625" style="625"/>
    <col min="4577" max="4577" width="13" style="625" customWidth="1"/>
    <col min="4578" max="4578" width="11.42578125" style="625" customWidth="1"/>
    <col min="4579" max="4813" width="9.140625" style="625"/>
    <col min="4814" max="4814" width="6.85546875" style="625" customWidth="1"/>
    <col min="4815" max="4815" width="22.140625" style="625" customWidth="1"/>
    <col min="4816" max="4817" width="13.42578125" style="625" customWidth="1"/>
    <col min="4818" max="4818" width="10.85546875" style="625" customWidth="1"/>
    <col min="4819" max="4820" width="13" style="625" customWidth="1"/>
    <col min="4821" max="4822" width="11.7109375" style="625" customWidth="1"/>
    <col min="4823" max="4823" width="11.42578125" style="625" customWidth="1"/>
    <col min="4824" max="4824" width="12.5703125" style="625" customWidth="1"/>
    <col min="4825" max="4825" width="12" style="625" customWidth="1"/>
    <col min="4826" max="4826" width="12.7109375" style="625" customWidth="1"/>
    <col min="4827" max="4827" width="11.7109375" style="625" customWidth="1"/>
    <col min="4828" max="4828" width="10.85546875" style="625" customWidth="1"/>
    <col min="4829" max="4829" width="12.7109375" style="625" customWidth="1"/>
    <col min="4830" max="4830" width="10.5703125" style="625" customWidth="1"/>
    <col min="4831" max="4831" width="7.5703125" style="625" customWidth="1"/>
    <col min="4832" max="4832" width="9.140625" style="625"/>
    <col min="4833" max="4833" width="13" style="625" customWidth="1"/>
    <col min="4834" max="4834" width="11.42578125" style="625" customWidth="1"/>
    <col min="4835" max="5069" width="9.140625" style="625"/>
    <col min="5070" max="5070" width="6.85546875" style="625" customWidth="1"/>
    <col min="5071" max="5071" width="22.140625" style="625" customWidth="1"/>
    <col min="5072" max="5073" width="13.42578125" style="625" customWidth="1"/>
    <col min="5074" max="5074" width="10.85546875" style="625" customWidth="1"/>
    <col min="5075" max="5076" width="13" style="625" customWidth="1"/>
    <col min="5077" max="5078" width="11.7109375" style="625" customWidth="1"/>
    <col min="5079" max="5079" width="11.42578125" style="625" customWidth="1"/>
    <col min="5080" max="5080" width="12.5703125" style="625" customWidth="1"/>
    <col min="5081" max="5081" width="12" style="625" customWidth="1"/>
    <col min="5082" max="5082" width="12.7109375" style="625" customWidth="1"/>
    <col min="5083" max="5083" width="11.7109375" style="625" customWidth="1"/>
    <col min="5084" max="5084" width="10.85546875" style="625" customWidth="1"/>
    <col min="5085" max="5085" width="12.7109375" style="625" customWidth="1"/>
    <col min="5086" max="5086" width="10.5703125" style="625" customWidth="1"/>
    <col min="5087" max="5087" width="7.5703125" style="625" customWidth="1"/>
    <col min="5088" max="5088" width="9.140625" style="625"/>
    <col min="5089" max="5089" width="13" style="625" customWidth="1"/>
    <col min="5090" max="5090" width="11.42578125" style="625" customWidth="1"/>
    <col min="5091" max="5325" width="9.140625" style="625"/>
    <col min="5326" max="5326" width="6.85546875" style="625" customWidth="1"/>
    <col min="5327" max="5327" width="22.140625" style="625" customWidth="1"/>
    <col min="5328" max="5329" width="13.42578125" style="625" customWidth="1"/>
    <col min="5330" max="5330" width="10.85546875" style="625" customWidth="1"/>
    <col min="5331" max="5332" width="13" style="625" customWidth="1"/>
    <col min="5333" max="5334" width="11.7109375" style="625" customWidth="1"/>
    <col min="5335" max="5335" width="11.42578125" style="625" customWidth="1"/>
    <col min="5336" max="5336" width="12.5703125" style="625" customWidth="1"/>
    <col min="5337" max="5337" width="12" style="625" customWidth="1"/>
    <col min="5338" max="5338" width="12.7109375" style="625" customWidth="1"/>
    <col min="5339" max="5339" width="11.7109375" style="625" customWidth="1"/>
    <col min="5340" max="5340" width="10.85546875" style="625" customWidth="1"/>
    <col min="5341" max="5341" width="12.7109375" style="625" customWidth="1"/>
    <col min="5342" max="5342" width="10.5703125" style="625" customWidth="1"/>
    <col min="5343" max="5343" width="7.5703125" style="625" customWidth="1"/>
    <col min="5344" max="5344" width="9.140625" style="625"/>
    <col min="5345" max="5345" width="13" style="625" customWidth="1"/>
    <col min="5346" max="5346" width="11.42578125" style="625" customWidth="1"/>
    <col min="5347" max="5581" width="9.140625" style="625"/>
    <col min="5582" max="5582" width="6.85546875" style="625" customWidth="1"/>
    <col min="5583" max="5583" width="22.140625" style="625" customWidth="1"/>
    <col min="5584" max="5585" width="13.42578125" style="625" customWidth="1"/>
    <col min="5586" max="5586" width="10.85546875" style="625" customWidth="1"/>
    <col min="5587" max="5588" width="13" style="625" customWidth="1"/>
    <col min="5589" max="5590" width="11.7109375" style="625" customWidth="1"/>
    <col min="5591" max="5591" width="11.42578125" style="625" customWidth="1"/>
    <col min="5592" max="5592" width="12.5703125" style="625" customWidth="1"/>
    <col min="5593" max="5593" width="12" style="625" customWidth="1"/>
    <col min="5594" max="5594" width="12.7109375" style="625" customWidth="1"/>
    <col min="5595" max="5595" width="11.7109375" style="625" customWidth="1"/>
    <col min="5596" max="5596" width="10.85546875" style="625" customWidth="1"/>
    <col min="5597" max="5597" width="12.7109375" style="625" customWidth="1"/>
    <col min="5598" max="5598" width="10.5703125" style="625" customWidth="1"/>
    <col min="5599" max="5599" width="7.5703125" style="625" customWidth="1"/>
    <col min="5600" max="5600" width="9.140625" style="625"/>
    <col min="5601" max="5601" width="13" style="625" customWidth="1"/>
    <col min="5602" max="5602" width="11.42578125" style="625" customWidth="1"/>
    <col min="5603" max="5837" width="9.140625" style="625"/>
    <col min="5838" max="5838" width="6.85546875" style="625" customWidth="1"/>
    <col min="5839" max="5839" width="22.140625" style="625" customWidth="1"/>
    <col min="5840" max="5841" width="13.42578125" style="625" customWidth="1"/>
    <col min="5842" max="5842" width="10.85546875" style="625" customWidth="1"/>
    <col min="5843" max="5844" width="13" style="625" customWidth="1"/>
    <col min="5845" max="5846" width="11.7109375" style="625" customWidth="1"/>
    <col min="5847" max="5847" width="11.42578125" style="625" customWidth="1"/>
    <col min="5848" max="5848" width="12.5703125" style="625" customWidth="1"/>
    <col min="5849" max="5849" width="12" style="625" customWidth="1"/>
    <col min="5850" max="5850" width="12.7109375" style="625" customWidth="1"/>
    <col min="5851" max="5851" width="11.7109375" style="625" customWidth="1"/>
    <col min="5852" max="5852" width="10.85546875" style="625" customWidth="1"/>
    <col min="5853" max="5853" width="12.7109375" style="625" customWidth="1"/>
    <col min="5854" max="5854" width="10.5703125" style="625" customWidth="1"/>
    <col min="5855" max="5855" width="7.5703125" style="625" customWidth="1"/>
    <col min="5856" max="5856" width="9.140625" style="625"/>
    <col min="5857" max="5857" width="13" style="625" customWidth="1"/>
    <col min="5858" max="5858" width="11.42578125" style="625" customWidth="1"/>
    <col min="5859" max="6093" width="9.140625" style="625"/>
    <col min="6094" max="6094" width="6.85546875" style="625" customWidth="1"/>
    <col min="6095" max="6095" width="22.140625" style="625" customWidth="1"/>
    <col min="6096" max="6097" width="13.42578125" style="625" customWidth="1"/>
    <col min="6098" max="6098" width="10.85546875" style="625" customWidth="1"/>
    <col min="6099" max="6100" width="13" style="625" customWidth="1"/>
    <col min="6101" max="6102" width="11.7109375" style="625" customWidth="1"/>
    <col min="6103" max="6103" width="11.42578125" style="625" customWidth="1"/>
    <col min="6104" max="6104" width="12.5703125" style="625" customWidth="1"/>
    <col min="6105" max="6105" width="12" style="625" customWidth="1"/>
    <col min="6106" max="6106" width="12.7109375" style="625" customWidth="1"/>
    <col min="6107" max="6107" width="11.7109375" style="625" customWidth="1"/>
    <col min="6108" max="6108" width="10.85546875" style="625" customWidth="1"/>
    <col min="6109" max="6109" width="12.7109375" style="625" customWidth="1"/>
    <col min="6110" max="6110" width="10.5703125" style="625" customWidth="1"/>
    <col min="6111" max="6111" width="7.5703125" style="625" customWidth="1"/>
    <col min="6112" max="6112" width="9.140625" style="625"/>
    <col min="6113" max="6113" width="13" style="625" customWidth="1"/>
    <col min="6114" max="6114" width="11.42578125" style="625" customWidth="1"/>
    <col min="6115" max="6349" width="9.140625" style="625"/>
    <col min="6350" max="6350" width="6.85546875" style="625" customWidth="1"/>
    <col min="6351" max="6351" width="22.140625" style="625" customWidth="1"/>
    <col min="6352" max="6353" width="13.42578125" style="625" customWidth="1"/>
    <col min="6354" max="6354" width="10.85546875" style="625" customWidth="1"/>
    <col min="6355" max="6356" width="13" style="625" customWidth="1"/>
    <col min="6357" max="6358" width="11.7109375" style="625" customWidth="1"/>
    <col min="6359" max="6359" width="11.42578125" style="625" customWidth="1"/>
    <col min="6360" max="6360" width="12.5703125" style="625" customWidth="1"/>
    <col min="6361" max="6361" width="12" style="625" customWidth="1"/>
    <col min="6362" max="6362" width="12.7109375" style="625" customWidth="1"/>
    <col min="6363" max="6363" width="11.7109375" style="625" customWidth="1"/>
    <col min="6364" max="6364" width="10.85546875" style="625" customWidth="1"/>
    <col min="6365" max="6365" width="12.7109375" style="625" customWidth="1"/>
    <col min="6366" max="6366" width="10.5703125" style="625" customWidth="1"/>
    <col min="6367" max="6367" width="7.5703125" style="625" customWidth="1"/>
    <col min="6368" max="6368" width="9.140625" style="625"/>
    <col min="6369" max="6369" width="13" style="625" customWidth="1"/>
    <col min="6370" max="6370" width="11.42578125" style="625" customWidth="1"/>
    <col min="6371" max="6605" width="9.140625" style="625"/>
    <col min="6606" max="6606" width="6.85546875" style="625" customWidth="1"/>
    <col min="6607" max="6607" width="22.140625" style="625" customWidth="1"/>
    <col min="6608" max="6609" width="13.42578125" style="625" customWidth="1"/>
    <col min="6610" max="6610" width="10.85546875" style="625" customWidth="1"/>
    <col min="6611" max="6612" width="13" style="625" customWidth="1"/>
    <col min="6613" max="6614" width="11.7109375" style="625" customWidth="1"/>
    <col min="6615" max="6615" width="11.42578125" style="625" customWidth="1"/>
    <col min="6616" max="6616" width="12.5703125" style="625" customWidth="1"/>
    <col min="6617" max="6617" width="12" style="625" customWidth="1"/>
    <col min="6618" max="6618" width="12.7109375" style="625" customWidth="1"/>
    <col min="6619" max="6619" width="11.7109375" style="625" customWidth="1"/>
    <col min="6620" max="6620" width="10.85546875" style="625" customWidth="1"/>
    <col min="6621" max="6621" width="12.7109375" style="625" customWidth="1"/>
    <col min="6622" max="6622" width="10.5703125" style="625" customWidth="1"/>
    <col min="6623" max="6623" width="7.5703125" style="625" customWidth="1"/>
    <col min="6624" max="6624" width="9.140625" style="625"/>
    <col min="6625" max="6625" width="13" style="625" customWidth="1"/>
    <col min="6626" max="6626" width="11.42578125" style="625" customWidth="1"/>
    <col min="6627" max="6861" width="9.140625" style="625"/>
    <col min="6862" max="6862" width="6.85546875" style="625" customWidth="1"/>
    <col min="6863" max="6863" width="22.140625" style="625" customWidth="1"/>
    <col min="6864" max="6865" width="13.42578125" style="625" customWidth="1"/>
    <col min="6866" max="6866" width="10.85546875" style="625" customWidth="1"/>
    <col min="6867" max="6868" width="13" style="625" customWidth="1"/>
    <col min="6869" max="6870" width="11.7109375" style="625" customWidth="1"/>
    <col min="6871" max="6871" width="11.42578125" style="625" customWidth="1"/>
    <col min="6872" max="6872" width="12.5703125" style="625" customWidth="1"/>
    <col min="6873" max="6873" width="12" style="625" customWidth="1"/>
    <col min="6874" max="6874" width="12.7109375" style="625" customWidth="1"/>
    <col min="6875" max="6875" width="11.7109375" style="625" customWidth="1"/>
    <col min="6876" max="6876" width="10.85546875" style="625" customWidth="1"/>
    <col min="6877" max="6877" width="12.7109375" style="625" customWidth="1"/>
    <col min="6878" max="6878" width="10.5703125" style="625" customWidth="1"/>
    <col min="6879" max="6879" width="7.5703125" style="625" customWidth="1"/>
    <col min="6880" max="6880" width="9.140625" style="625"/>
    <col min="6881" max="6881" width="13" style="625" customWidth="1"/>
    <col min="6882" max="6882" width="11.42578125" style="625" customWidth="1"/>
    <col min="6883" max="7117" width="9.140625" style="625"/>
    <col min="7118" max="7118" width="6.85546875" style="625" customWidth="1"/>
    <col min="7119" max="7119" width="22.140625" style="625" customWidth="1"/>
    <col min="7120" max="7121" width="13.42578125" style="625" customWidth="1"/>
    <col min="7122" max="7122" width="10.85546875" style="625" customWidth="1"/>
    <col min="7123" max="7124" width="13" style="625" customWidth="1"/>
    <col min="7125" max="7126" width="11.7109375" style="625" customWidth="1"/>
    <col min="7127" max="7127" width="11.42578125" style="625" customWidth="1"/>
    <col min="7128" max="7128" width="12.5703125" style="625" customWidth="1"/>
    <col min="7129" max="7129" width="12" style="625" customWidth="1"/>
    <col min="7130" max="7130" width="12.7109375" style="625" customWidth="1"/>
    <col min="7131" max="7131" width="11.7109375" style="625" customWidth="1"/>
    <col min="7132" max="7132" width="10.85546875" style="625" customWidth="1"/>
    <col min="7133" max="7133" width="12.7109375" style="625" customWidth="1"/>
    <col min="7134" max="7134" width="10.5703125" style="625" customWidth="1"/>
    <col min="7135" max="7135" width="7.5703125" style="625" customWidth="1"/>
    <col min="7136" max="7136" width="9.140625" style="625"/>
    <col min="7137" max="7137" width="13" style="625" customWidth="1"/>
    <col min="7138" max="7138" width="11.42578125" style="625" customWidth="1"/>
    <col min="7139" max="7373" width="9.140625" style="625"/>
    <col min="7374" max="7374" width="6.85546875" style="625" customWidth="1"/>
    <col min="7375" max="7375" width="22.140625" style="625" customWidth="1"/>
    <col min="7376" max="7377" width="13.42578125" style="625" customWidth="1"/>
    <col min="7378" max="7378" width="10.85546875" style="625" customWidth="1"/>
    <col min="7379" max="7380" width="13" style="625" customWidth="1"/>
    <col min="7381" max="7382" width="11.7109375" style="625" customWidth="1"/>
    <col min="7383" max="7383" width="11.42578125" style="625" customWidth="1"/>
    <col min="7384" max="7384" width="12.5703125" style="625" customWidth="1"/>
    <col min="7385" max="7385" width="12" style="625" customWidth="1"/>
    <col min="7386" max="7386" width="12.7109375" style="625" customWidth="1"/>
    <col min="7387" max="7387" width="11.7109375" style="625" customWidth="1"/>
    <col min="7388" max="7388" width="10.85546875" style="625" customWidth="1"/>
    <col min="7389" max="7389" width="12.7109375" style="625" customWidth="1"/>
    <col min="7390" max="7390" width="10.5703125" style="625" customWidth="1"/>
    <col min="7391" max="7391" width="7.5703125" style="625" customWidth="1"/>
    <col min="7392" max="7392" width="9.140625" style="625"/>
    <col min="7393" max="7393" width="13" style="625" customWidth="1"/>
    <col min="7394" max="7394" width="11.42578125" style="625" customWidth="1"/>
    <col min="7395" max="7629" width="9.140625" style="625"/>
    <col min="7630" max="7630" width="6.85546875" style="625" customWidth="1"/>
    <col min="7631" max="7631" width="22.140625" style="625" customWidth="1"/>
    <col min="7632" max="7633" width="13.42578125" style="625" customWidth="1"/>
    <col min="7634" max="7634" width="10.85546875" style="625" customWidth="1"/>
    <col min="7635" max="7636" width="13" style="625" customWidth="1"/>
    <col min="7637" max="7638" width="11.7109375" style="625" customWidth="1"/>
    <col min="7639" max="7639" width="11.42578125" style="625" customWidth="1"/>
    <col min="7640" max="7640" width="12.5703125" style="625" customWidth="1"/>
    <col min="7641" max="7641" width="12" style="625" customWidth="1"/>
    <col min="7642" max="7642" width="12.7109375" style="625" customWidth="1"/>
    <col min="7643" max="7643" width="11.7109375" style="625" customWidth="1"/>
    <col min="7644" max="7644" width="10.85546875" style="625" customWidth="1"/>
    <col min="7645" max="7645" width="12.7109375" style="625" customWidth="1"/>
    <col min="7646" max="7646" width="10.5703125" style="625" customWidth="1"/>
    <col min="7647" max="7647" width="7.5703125" style="625" customWidth="1"/>
    <col min="7648" max="7648" width="9.140625" style="625"/>
    <col min="7649" max="7649" width="13" style="625" customWidth="1"/>
    <col min="7650" max="7650" width="11.42578125" style="625" customWidth="1"/>
    <col min="7651" max="7885" width="9.140625" style="625"/>
    <col min="7886" max="7886" width="6.85546875" style="625" customWidth="1"/>
    <col min="7887" max="7887" width="22.140625" style="625" customWidth="1"/>
    <col min="7888" max="7889" width="13.42578125" style="625" customWidth="1"/>
    <col min="7890" max="7890" width="10.85546875" style="625" customWidth="1"/>
    <col min="7891" max="7892" width="13" style="625" customWidth="1"/>
    <col min="7893" max="7894" width="11.7109375" style="625" customWidth="1"/>
    <col min="7895" max="7895" width="11.42578125" style="625" customWidth="1"/>
    <col min="7896" max="7896" width="12.5703125" style="625" customWidth="1"/>
    <col min="7897" max="7897" width="12" style="625" customWidth="1"/>
    <col min="7898" max="7898" width="12.7109375" style="625" customWidth="1"/>
    <col min="7899" max="7899" width="11.7109375" style="625" customWidth="1"/>
    <col min="7900" max="7900" width="10.85546875" style="625" customWidth="1"/>
    <col min="7901" max="7901" width="12.7109375" style="625" customWidth="1"/>
    <col min="7902" max="7902" width="10.5703125" style="625" customWidth="1"/>
    <col min="7903" max="7903" width="7.5703125" style="625" customWidth="1"/>
    <col min="7904" max="7904" width="9.140625" style="625"/>
    <col min="7905" max="7905" width="13" style="625" customWidth="1"/>
    <col min="7906" max="7906" width="11.42578125" style="625" customWidth="1"/>
    <col min="7907" max="8141" width="9.140625" style="625"/>
    <col min="8142" max="8142" width="6.85546875" style="625" customWidth="1"/>
    <col min="8143" max="8143" width="22.140625" style="625" customWidth="1"/>
    <col min="8144" max="8145" width="13.42578125" style="625" customWidth="1"/>
    <col min="8146" max="8146" width="10.85546875" style="625" customWidth="1"/>
    <col min="8147" max="8148" width="13" style="625" customWidth="1"/>
    <col min="8149" max="8150" width="11.7109375" style="625" customWidth="1"/>
    <col min="8151" max="8151" width="11.42578125" style="625" customWidth="1"/>
    <col min="8152" max="8152" width="12.5703125" style="625" customWidth="1"/>
    <col min="8153" max="8153" width="12" style="625" customWidth="1"/>
    <col min="8154" max="8154" width="12.7109375" style="625" customWidth="1"/>
    <col min="8155" max="8155" width="11.7109375" style="625" customWidth="1"/>
    <col min="8156" max="8156" width="10.85546875" style="625" customWidth="1"/>
    <col min="8157" max="8157" width="12.7109375" style="625" customWidth="1"/>
    <col min="8158" max="8158" width="10.5703125" style="625" customWidth="1"/>
    <col min="8159" max="8159" width="7.5703125" style="625" customWidth="1"/>
    <col min="8160" max="8160" width="9.140625" style="625"/>
    <col min="8161" max="8161" width="13" style="625" customWidth="1"/>
    <col min="8162" max="8162" width="11.42578125" style="625" customWidth="1"/>
    <col min="8163" max="8397" width="9.140625" style="625"/>
    <col min="8398" max="8398" width="6.85546875" style="625" customWidth="1"/>
    <col min="8399" max="8399" width="22.140625" style="625" customWidth="1"/>
    <col min="8400" max="8401" width="13.42578125" style="625" customWidth="1"/>
    <col min="8402" max="8402" width="10.85546875" style="625" customWidth="1"/>
    <col min="8403" max="8404" width="13" style="625" customWidth="1"/>
    <col min="8405" max="8406" width="11.7109375" style="625" customWidth="1"/>
    <col min="8407" max="8407" width="11.42578125" style="625" customWidth="1"/>
    <col min="8408" max="8408" width="12.5703125" style="625" customWidth="1"/>
    <col min="8409" max="8409" width="12" style="625" customWidth="1"/>
    <col min="8410" max="8410" width="12.7109375" style="625" customWidth="1"/>
    <col min="8411" max="8411" width="11.7109375" style="625" customWidth="1"/>
    <col min="8412" max="8412" width="10.85546875" style="625" customWidth="1"/>
    <col min="8413" max="8413" width="12.7109375" style="625" customWidth="1"/>
    <col min="8414" max="8414" width="10.5703125" style="625" customWidth="1"/>
    <col min="8415" max="8415" width="7.5703125" style="625" customWidth="1"/>
    <col min="8416" max="8416" width="9.140625" style="625"/>
    <col min="8417" max="8417" width="13" style="625" customWidth="1"/>
    <col min="8418" max="8418" width="11.42578125" style="625" customWidth="1"/>
    <col min="8419" max="8653" width="9.140625" style="625"/>
    <col min="8654" max="8654" width="6.85546875" style="625" customWidth="1"/>
    <col min="8655" max="8655" width="22.140625" style="625" customWidth="1"/>
    <col min="8656" max="8657" width="13.42578125" style="625" customWidth="1"/>
    <col min="8658" max="8658" width="10.85546875" style="625" customWidth="1"/>
    <col min="8659" max="8660" width="13" style="625" customWidth="1"/>
    <col min="8661" max="8662" width="11.7109375" style="625" customWidth="1"/>
    <col min="8663" max="8663" width="11.42578125" style="625" customWidth="1"/>
    <col min="8664" max="8664" width="12.5703125" style="625" customWidth="1"/>
    <col min="8665" max="8665" width="12" style="625" customWidth="1"/>
    <col min="8666" max="8666" width="12.7109375" style="625" customWidth="1"/>
    <col min="8667" max="8667" width="11.7109375" style="625" customWidth="1"/>
    <col min="8668" max="8668" width="10.85546875" style="625" customWidth="1"/>
    <col min="8669" max="8669" width="12.7109375" style="625" customWidth="1"/>
    <col min="8670" max="8670" width="10.5703125" style="625" customWidth="1"/>
    <col min="8671" max="8671" width="7.5703125" style="625" customWidth="1"/>
    <col min="8672" max="8672" width="9.140625" style="625"/>
    <col min="8673" max="8673" width="13" style="625" customWidth="1"/>
    <col min="8674" max="8674" width="11.42578125" style="625" customWidth="1"/>
    <col min="8675" max="8909" width="9.140625" style="625"/>
    <col min="8910" max="8910" width="6.85546875" style="625" customWidth="1"/>
    <col min="8911" max="8911" width="22.140625" style="625" customWidth="1"/>
    <col min="8912" max="8913" width="13.42578125" style="625" customWidth="1"/>
    <col min="8914" max="8914" width="10.85546875" style="625" customWidth="1"/>
    <col min="8915" max="8916" width="13" style="625" customWidth="1"/>
    <col min="8917" max="8918" width="11.7109375" style="625" customWidth="1"/>
    <col min="8919" max="8919" width="11.42578125" style="625" customWidth="1"/>
    <col min="8920" max="8920" width="12.5703125" style="625" customWidth="1"/>
    <col min="8921" max="8921" width="12" style="625" customWidth="1"/>
    <col min="8922" max="8922" width="12.7109375" style="625" customWidth="1"/>
    <col min="8923" max="8923" width="11.7109375" style="625" customWidth="1"/>
    <col min="8924" max="8924" width="10.85546875" style="625" customWidth="1"/>
    <col min="8925" max="8925" width="12.7109375" style="625" customWidth="1"/>
    <col min="8926" max="8926" width="10.5703125" style="625" customWidth="1"/>
    <col min="8927" max="8927" width="7.5703125" style="625" customWidth="1"/>
    <col min="8928" max="8928" width="9.140625" style="625"/>
    <col min="8929" max="8929" width="13" style="625" customWidth="1"/>
    <col min="8930" max="8930" width="11.42578125" style="625" customWidth="1"/>
    <col min="8931" max="9165" width="9.140625" style="625"/>
    <col min="9166" max="9166" width="6.85546875" style="625" customWidth="1"/>
    <col min="9167" max="9167" width="22.140625" style="625" customWidth="1"/>
    <col min="9168" max="9169" width="13.42578125" style="625" customWidth="1"/>
    <col min="9170" max="9170" width="10.85546875" style="625" customWidth="1"/>
    <col min="9171" max="9172" width="13" style="625" customWidth="1"/>
    <col min="9173" max="9174" width="11.7109375" style="625" customWidth="1"/>
    <col min="9175" max="9175" width="11.42578125" style="625" customWidth="1"/>
    <col min="9176" max="9176" width="12.5703125" style="625" customWidth="1"/>
    <col min="9177" max="9177" width="12" style="625" customWidth="1"/>
    <col min="9178" max="9178" width="12.7109375" style="625" customWidth="1"/>
    <col min="9179" max="9179" width="11.7109375" style="625" customWidth="1"/>
    <col min="9180" max="9180" width="10.85546875" style="625" customWidth="1"/>
    <col min="9181" max="9181" width="12.7109375" style="625" customWidth="1"/>
    <col min="9182" max="9182" width="10.5703125" style="625" customWidth="1"/>
    <col min="9183" max="9183" width="7.5703125" style="625" customWidth="1"/>
    <col min="9184" max="9184" width="9.140625" style="625"/>
    <col min="9185" max="9185" width="13" style="625" customWidth="1"/>
    <col min="9186" max="9186" width="11.42578125" style="625" customWidth="1"/>
    <col min="9187" max="9421" width="9.140625" style="625"/>
    <col min="9422" max="9422" width="6.85546875" style="625" customWidth="1"/>
    <col min="9423" max="9423" width="22.140625" style="625" customWidth="1"/>
    <col min="9424" max="9425" width="13.42578125" style="625" customWidth="1"/>
    <col min="9426" max="9426" width="10.85546875" style="625" customWidth="1"/>
    <col min="9427" max="9428" width="13" style="625" customWidth="1"/>
    <col min="9429" max="9430" width="11.7109375" style="625" customWidth="1"/>
    <col min="9431" max="9431" width="11.42578125" style="625" customWidth="1"/>
    <col min="9432" max="9432" width="12.5703125" style="625" customWidth="1"/>
    <col min="9433" max="9433" width="12" style="625" customWidth="1"/>
    <col min="9434" max="9434" width="12.7109375" style="625" customWidth="1"/>
    <col min="9435" max="9435" width="11.7109375" style="625" customWidth="1"/>
    <col min="9436" max="9436" width="10.85546875" style="625" customWidth="1"/>
    <col min="9437" max="9437" width="12.7109375" style="625" customWidth="1"/>
    <col min="9438" max="9438" width="10.5703125" style="625" customWidth="1"/>
    <col min="9439" max="9439" width="7.5703125" style="625" customWidth="1"/>
    <col min="9440" max="9440" width="9.140625" style="625"/>
    <col min="9441" max="9441" width="13" style="625" customWidth="1"/>
    <col min="9442" max="9442" width="11.42578125" style="625" customWidth="1"/>
    <col min="9443" max="9677" width="9.140625" style="625"/>
    <col min="9678" max="9678" width="6.85546875" style="625" customWidth="1"/>
    <col min="9679" max="9679" width="22.140625" style="625" customWidth="1"/>
    <col min="9680" max="9681" width="13.42578125" style="625" customWidth="1"/>
    <col min="9682" max="9682" width="10.85546875" style="625" customWidth="1"/>
    <col min="9683" max="9684" width="13" style="625" customWidth="1"/>
    <col min="9685" max="9686" width="11.7109375" style="625" customWidth="1"/>
    <col min="9687" max="9687" width="11.42578125" style="625" customWidth="1"/>
    <col min="9688" max="9688" width="12.5703125" style="625" customWidth="1"/>
    <col min="9689" max="9689" width="12" style="625" customWidth="1"/>
    <col min="9690" max="9690" width="12.7109375" style="625" customWidth="1"/>
    <col min="9691" max="9691" width="11.7109375" style="625" customWidth="1"/>
    <col min="9692" max="9692" width="10.85546875" style="625" customWidth="1"/>
    <col min="9693" max="9693" width="12.7109375" style="625" customWidth="1"/>
    <col min="9694" max="9694" width="10.5703125" style="625" customWidth="1"/>
    <col min="9695" max="9695" width="7.5703125" style="625" customWidth="1"/>
    <col min="9696" max="9696" width="9.140625" style="625"/>
    <col min="9697" max="9697" width="13" style="625" customWidth="1"/>
    <col min="9698" max="9698" width="11.42578125" style="625" customWidth="1"/>
    <col min="9699" max="9933" width="9.140625" style="625"/>
    <col min="9934" max="9934" width="6.85546875" style="625" customWidth="1"/>
    <col min="9935" max="9935" width="22.140625" style="625" customWidth="1"/>
    <col min="9936" max="9937" width="13.42578125" style="625" customWidth="1"/>
    <col min="9938" max="9938" width="10.85546875" style="625" customWidth="1"/>
    <col min="9939" max="9940" width="13" style="625" customWidth="1"/>
    <col min="9941" max="9942" width="11.7109375" style="625" customWidth="1"/>
    <col min="9943" max="9943" width="11.42578125" style="625" customWidth="1"/>
    <col min="9944" max="9944" width="12.5703125" style="625" customWidth="1"/>
    <col min="9945" max="9945" width="12" style="625" customWidth="1"/>
    <col min="9946" max="9946" width="12.7109375" style="625" customWidth="1"/>
    <col min="9947" max="9947" width="11.7109375" style="625" customWidth="1"/>
    <col min="9948" max="9948" width="10.85546875" style="625" customWidth="1"/>
    <col min="9949" max="9949" width="12.7109375" style="625" customWidth="1"/>
    <col min="9950" max="9950" width="10.5703125" style="625" customWidth="1"/>
    <col min="9951" max="9951" width="7.5703125" style="625" customWidth="1"/>
    <col min="9952" max="9952" width="9.140625" style="625"/>
    <col min="9953" max="9953" width="13" style="625" customWidth="1"/>
    <col min="9954" max="9954" width="11.42578125" style="625" customWidth="1"/>
    <col min="9955" max="10189" width="9.140625" style="625"/>
    <col min="10190" max="10190" width="6.85546875" style="625" customWidth="1"/>
    <col min="10191" max="10191" width="22.140625" style="625" customWidth="1"/>
    <col min="10192" max="10193" width="13.42578125" style="625" customWidth="1"/>
    <col min="10194" max="10194" width="10.85546875" style="625" customWidth="1"/>
    <col min="10195" max="10196" width="13" style="625" customWidth="1"/>
    <col min="10197" max="10198" width="11.7109375" style="625" customWidth="1"/>
    <col min="10199" max="10199" width="11.42578125" style="625" customWidth="1"/>
    <col min="10200" max="10200" width="12.5703125" style="625" customWidth="1"/>
    <col min="10201" max="10201" width="12" style="625" customWidth="1"/>
    <col min="10202" max="10202" width="12.7109375" style="625" customWidth="1"/>
    <col min="10203" max="10203" width="11.7109375" style="625" customWidth="1"/>
    <col min="10204" max="10204" width="10.85546875" style="625" customWidth="1"/>
    <col min="10205" max="10205" width="12.7109375" style="625" customWidth="1"/>
    <col min="10206" max="10206" width="10.5703125" style="625" customWidth="1"/>
    <col min="10207" max="10207" width="7.5703125" style="625" customWidth="1"/>
    <col min="10208" max="10208" width="9.140625" style="625"/>
    <col min="10209" max="10209" width="13" style="625" customWidth="1"/>
    <col min="10210" max="10210" width="11.42578125" style="625" customWidth="1"/>
    <col min="10211" max="10445" width="9.140625" style="625"/>
    <col min="10446" max="10446" width="6.85546875" style="625" customWidth="1"/>
    <col min="10447" max="10447" width="22.140625" style="625" customWidth="1"/>
    <col min="10448" max="10449" width="13.42578125" style="625" customWidth="1"/>
    <col min="10450" max="10450" width="10.85546875" style="625" customWidth="1"/>
    <col min="10451" max="10452" width="13" style="625" customWidth="1"/>
    <col min="10453" max="10454" width="11.7109375" style="625" customWidth="1"/>
    <col min="10455" max="10455" width="11.42578125" style="625" customWidth="1"/>
    <col min="10456" max="10456" width="12.5703125" style="625" customWidth="1"/>
    <col min="10457" max="10457" width="12" style="625" customWidth="1"/>
    <col min="10458" max="10458" width="12.7109375" style="625" customWidth="1"/>
    <col min="10459" max="10459" width="11.7109375" style="625" customWidth="1"/>
    <col min="10460" max="10460" width="10.85546875" style="625" customWidth="1"/>
    <col min="10461" max="10461" width="12.7109375" style="625" customWidth="1"/>
    <col min="10462" max="10462" width="10.5703125" style="625" customWidth="1"/>
    <col min="10463" max="10463" width="7.5703125" style="625" customWidth="1"/>
    <col min="10464" max="10464" width="9.140625" style="625"/>
    <col min="10465" max="10465" width="13" style="625" customWidth="1"/>
    <col min="10466" max="10466" width="11.42578125" style="625" customWidth="1"/>
    <col min="10467" max="10701" width="9.140625" style="625"/>
    <col min="10702" max="10702" width="6.85546875" style="625" customWidth="1"/>
    <col min="10703" max="10703" width="22.140625" style="625" customWidth="1"/>
    <col min="10704" max="10705" width="13.42578125" style="625" customWidth="1"/>
    <col min="10706" max="10706" width="10.85546875" style="625" customWidth="1"/>
    <col min="10707" max="10708" width="13" style="625" customWidth="1"/>
    <col min="10709" max="10710" width="11.7109375" style="625" customWidth="1"/>
    <col min="10711" max="10711" width="11.42578125" style="625" customWidth="1"/>
    <col min="10712" max="10712" width="12.5703125" style="625" customWidth="1"/>
    <col min="10713" max="10713" width="12" style="625" customWidth="1"/>
    <col min="10714" max="10714" width="12.7109375" style="625" customWidth="1"/>
    <col min="10715" max="10715" width="11.7109375" style="625" customWidth="1"/>
    <col min="10716" max="10716" width="10.85546875" style="625" customWidth="1"/>
    <col min="10717" max="10717" width="12.7109375" style="625" customWidth="1"/>
    <col min="10718" max="10718" width="10.5703125" style="625" customWidth="1"/>
    <col min="10719" max="10719" width="7.5703125" style="625" customWidth="1"/>
    <col min="10720" max="10720" width="9.140625" style="625"/>
    <col min="10721" max="10721" width="13" style="625" customWidth="1"/>
    <col min="10722" max="10722" width="11.42578125" style="625" customWidth="1"/>
    <col min="10723" max="10957" width="9.140625" style="625"/>
    <col min="10958" max="10958" width="6.85546875" style="625" customWidth="1"/>
    <col min="10959" max="10959" width="22.140625" style="625" customWidth="1"/>
    <col min="10960" max="10961" width="13.42578125" style="625" customWidth="1"/>
    <col min="10962" max="10962" width="10.85546875" style="625" customWidth="1"/>
    <col min="10963" max="10964" width="13" style="625" customWidth="1"/>
    <col min="10965" max="10966" width="11.7109375" style="625" customWidth="1"/>
    <col min="10967" max="10967" width="11.42578125" style="625" customWidth="1"/>
    <col min="10968" max="10968" width="12.5703125" style="625" customWidth="1"/>
    <col min="10969" max="10969" width="12" style="625" customWidth="1"/>
    <col min="10970" max="10970" width="12.7109375" style="625" customWidth="1"/>
    <col min="10971" max="10971" width="11.7109375" style="625" customWidth="1"/>
    <col min="10972" max="10972" width="10.85546875" style="625" customWidth="1"/>
    <col min="10973" max="10973" width="12.7109375" style="625" customWidth="1"/>
    <col min="10974" max="10974" width="10.5703125" style="625" customWidth="1"/>
    <col min="10975" max="10975" width="7.5703125" style="625" customWidth="1"/>
    <col min="10976" max="10976" width="9.140625" style="625"/>
    <col min="10977" max="10977" width="13" style="625" customWidth="1"/>
    <col min="10978" max="10978" width="11.42578125" style="625" customWidth="1"/>
    <col min="10979" max="11213" width="9.140625" style="625"/>
    <col min="11214" max="11214" width="6.85546875" style="625" customWidth="1"/>
    <col min="11215" max="11215" width="22.140625" style="625" customWidth="1"/>
    <col min="11216" max="11217" width="13.42578125" style="625" customWidth="1"/>
    <col min="11218" max="11218" width="10.85546875" style="625" customWidth="1"/>
    <col min="11219" max="11220" width="13" style="625" customWidth="1"/>
    <col min="11221" max="11222" width="11.7109375" style="625" customWidth="1"/>
    <col min="11223" max="11223" width="11.42578125" style="625" customWidth="1"/>
    <col min="11224" max="11224" width="12.5703125" style="625" customWidth="1"/>
    <col min="11225" max="11225" width="12" style="625" customWidth="1"/>
    <col min="11226" max="11226" width="12.7109375" style="625" customWidth="1"/>
    <col min="11227" max="11227" width="11.7109375" style="625" customWidth="1"/>
    <col min="11228" max="11228" width="10.85546875" style="625" customWidth="1"/>
    <col min="11229" max="11229" width="12.7109375" style="625" customWidth="1"/>
    <col min="11230" max="11230" width="10.5703125" style="625" customWidth="1"/>
    <col min="11231" max="11231" width="7.5703125" style="625" customWidth="1"/>
    <col min="11232" max="11232" width="9.140625" style="625"/>
    <col min="11233" max="11233" width="13" style="625" customWidth="1"/>
    <col min="11234" max="11234" width="11.42578125" style="625" customWidth="1"/>
    <col min="11235" max="11469" width="9.140625" style="625"/>
    <col min="11470" max="11470" width="6.85546875" style="625" customWidth="1"/>
    <col min="11471" max="11471" width="22.140625" style="625" customWidth="1"/>
    <col min="11472" max="11473" width="13.42578125" style="625" customWidth="1"/>
    <col min="11474" max="11474" width="10.85546875" style="625" customWidth="1"/>
    <col min="11475" max="11476" width="13" style="625" customWidth="1"/>
    <col min="11477" max="11478" width="11.7109375" style="625" customWidth="1"/>
    <col min="11479" max="11479" width="11.42578125" style="625" customWidth="1"/>
    <col min="11480" max="11480" width="12.5703125" style="625" customWidth="1"/>
    <col min="11481" max="11481" width="12" style="625" customWidth="1"/>
    <col min="11482" max="11482" width="12.7109375" style="625" customWidth="1"/>
    <col min="11483" max="11483" width="11.7109375" style="625" customWidth="1"/>
    <col min="11484" max="11484" width="10.85546875" style="625" customWidth="1"/>
    <col min="11485" max="11485" width="12.7109375" style="625" customWidth="1"/>
    <col min="11486" max="11486" width="10.5703125" style="625" customWidth="1"/>
    <col min="11487" max="11487" width="7.5703125" style="625" customWidth="1"/>
    <col min="11488" max="11488" width="9.140625" style="625"/>
    <col min="11489" max="11489" width="13" style="625" customWidth="1"/>
    <col min="11490" max="11490" width="11.42578125" style="625" customWidth="1"/>
    <col min="11491" max="11725" width="9.140625" style="625"/>
    <col min="11726" max="11726" width="6.85546875" style="625" customWidth="1"/>
    <col min="11727" max="11727" width="22.140625" style="625" customWidth="1"/>
    <col min="11728" max="11729" width="13.42578125" style="625" customWidth="1"/>
    <col min="11730" max="11730" width="10.85546875" style="625" customWidth="1"/>
    <col min="11731" max="11732" width="13" style="625" customWidth="1"/>
    <col min="11733" max="11734" width="11.7109375" style="625" customWidth="1"/>
    <col min="11735" max="11735" width="11.42578125" style="625" customWidth="1"/>
    <col min="11736" max="11736" width="12.5703125" style="625" customWidth="1"/>
    <col min="11737" max="11737" width="12" style="625" customWidth="1"/>
    <col min="11738" max="11738" width="12.7109375" style="625" customWidth="1"/>
    <col min="11739" max="11739" width="11.7109375" style="625" customWidth="1"/>
    <col min="11740" max="11740" width="10.85546875" style="625" customWidth="1"/>
    <col min="11741" max="11741" width="12.7109375" style="625" customWidth="1"/>
    <col min="11742" max="11742" width="10.5703125" style="625" customWidth="1"/>
    <col min="11743" max="11743" width="7.5703125" style="625" customWidth="1"/>
    <col min="11744" max="11744" width="9.140625" style="625"/>
    <col min="11745" max="11745" width="13" style="625" customWidth="1"/>
    <col min="11746" max="11746" width="11.42578125" style="625" customWidth="1"/>
    <col min="11747" max="11981" width="9.140625" style="625"/>
    <col min="11982" max="11982" width="6.85546875" style="625" customWidth="1"/>
    <col min="11983" max="11983" width="22.140625" style="625" customWidth="1"/>
    <col min="11984" max="11985" width="13.42578125" style="625" customWidth="1"/>
    <col min="11986" max="11986" width="10.85546875" style="625" customWidth="1"/>
    <col min="11987" max="11988" width="13" style="625" customWidth="1"/>
    <col min="11989" max="11990" width="11.7109375" style="625" customWidth="1"/>
    <col min="11991" max="11991" width="11.42578125" style="625" customWidth="1"/>
    <col min="11992" max="11992" width="12.5703125" style="625" customWidth="1"/>
    <col min="11993" max="11993" width="12" style="625" customWidth="1"/>
    <col min="11994" max="11994" width="12.7109375" style="625" customWidth="1"/>
    <col min="11995" max="11995" width="11.7109375" style="625" customWidth="1"/>
    <col min="11996" max="11996" width="10.85546875" style="625" customWidth="1"/>
    <col min="11997" max="11997" width="12.7109375" style="625" customWidth="1"/>
    <col min="11998" max="11998" width="10.5703125" style="625" customWidth="1"/>
    <col min="11999" max="11999" width="7.5703125" style="625" customWidth="1"/>
    <col min="12000" max="12000" width="9.140625" style="625"/>
    <col min="12001" max="12001" width="13" style="625" customWidth="1"/>
    <col min="12002" max="12002" width="11.42578125" style="625" customWidth="1"/>
    <col min="12003" max="12237" width="9.140625" style="625"/>
    <col min="12238" max="12238" width="6.85546875" style="625" customWidth="1"/>
    <col min="12239" max="12239" width="22.140625" style="625" customWidth="1"/>
    <col min="12240" max="12241" width="13.42578125" style="625" customWidth="1"/>
    <col min="12242" max="12242" width="10.85546875" style="625" customWidth="1"/>
    <col min="12243" max="12244" width="13" style="625" customWidth="1"/>
    <col min="12245" max="12246" width="11.7109375" style="625" customWidth="1"/>
    <col min="12247" max="12247" width="11.42578125" style="625" customWidth="1"/>
    <col min="12248" max="12248" width="12.5703125" style="625" customWidth="1"/>
    <col min="12249" max="12249" width="12" style="625" customWidth="1"/>
    <col min="12250" max="12250" width="12.7109375" style="625" customWidth="1"/>
    <col min="12251" max="12251" width="11.7109375" style="625" customWidth="1"/>
    <col min="12252" max="12252" width="10.85546875" style="625" customWidth="1"/>
    <col min="12253" max="12253" width="12.7109375" style="625" customWidth="1"/>
    <col min="12254" max="12254" width="10.5703125" style="625" customWidth="1"/>
    <col min="12255" max="12255" width="7.5703125" style="625" customWidth="1"/>
    <col min="12256" max="12256" width="9.140625" style="625"/>
    <col min="12257" max="12257" width="13" style="625" customWidth="1"/>
    <col min="12258" max="12258" width="11.42578125" style="625" customWidth="1"/>
    <col min="12259" max="12493" width="9.140625" style="625"/>
    <col min="12494" max="12494" width="6.85546875" style="625" customWidth="1"/>
    <col min="12495" max="12495" width="22.140625" style="625" customWidth="1"/>
    <col min="12496" max="12497" width="13.42578125" style="625" customWidth="1"/>
    <col min="12498" max="12498" width="10.85546875" style="625" customWidth="1"/>
    <col min="12499" max="12500" width="13" style="625" customWidth="1"/>
    <col min="12501" max="12502" width="11.7109375" style="625" customWidth="1"/>
    <col min="12503" max="12503" width="11.42578125" style="625" customWidth="1"/>
    <col min="12504" max="12504" width="12.5703125" style="625" customWidth="1"/>
    <col min="12505" max="12505" width="12" style="625" customWidth="1"/>
    <col min="12506" max="12506" width="12.7109375" style="625" customWidth="1"/>
    <col min="12507" max="12507" width="11.7109375" style="625" customWidth="1"/>
    <col min="12508" max="12508" width="10.85546875" style="625" customWidth="1"/>
    <col min="12509" max="12509" width="12.7109375" style="625" customWidth="1"/>
    <col min="12510" max="12510" width="10.5703125" style="625" customWidth="1"/>
    <col min="12511" max="12511" width="7.5703125" style="625" customWidth="1"/>
    <col min="12512" max="12512" width="9.140625" style="625"/>
    <col min="12513" max="12513" width="13" style="625" customWidth="1"/>
    <col min="12514" max="12514" width="11.42578125" style="625" customWidth="1"/>
    <col min="12515" max="12749" width="9.140625" style="625"/>
    <col min="12750" max="12750" width="6.85546875" style="625" customWidth="1"/>
    <col min="12751" max="12751" width="22.140625" style="625" customWidth="1"/>
    <col min="12752" max="12753" width="13.42578125" style="625" customWidth="1"/>
    <col min="12754" max="12754" width="10.85546875" style="625" customWidth="1"/>
    <col min="12755" max="12756" width="13" style="625" customWidth="1"/>
    <col min="12757" max="12758" width="11.7109375" style="625" customWidth="1"/>
    <col min="12759" max="12759" width="11.42578125" style="625" customWidth="1"/>
    <col min="12760" max="12760" width="12.5703125" style="625" customWidth="1"/>
    <col min="12761" max="12761" width="12" style="625" customWidth="1"/>
    <col min="12762" max="12762" width="12.7109375" style="625" customWidth="1"/>
    <col min="12763" max="12763" width="11.7109375" style="625" customWidth="1"/>
    <col min="12764" max="12764" width="10.85546875" style="625" customWidth="1"/>
    <col min="12765" max="12765" width="12.7109375" style="625" customWidth="1"/>
    <col min="12766" max="12766" width="10.5703125" style="625" customWidth="1"/>
    <col min="12767" max="12767" width="7.5703125" style="625" customWidth="1"/>
    <col min="12768" max="12768" width="9.140625" style="625"/>
    <col min="12769" max="12769" width="13" style="625" customWidth="1"/>
    <col min="12770" max="12770" width="11.42578125" style="625" customWidth="1"/>
    <col min="12771" max="13005" width="9.140625" style="625"/>
    <col min="13006" max="13006" width="6.85546875" style="625" customWidth="1"/>
    <col min="13007" max="13007" width="22.140625" style="625" customWidth="1"/>
    <col min="13008" max="13009" width="13.42578125" style="625" customWidth="1"/>
    <col min="13010" max="13010" width="10.85546875" style="625" customWidth="1"/>
    <col min="13011" max="13012" width="13" style="625" customWidth="1"/>
    <col min="13013" max="13014" width="11.7109375" style="625" customWidth="1"/>
    <col min="13015" max="13015" width="11.42578125" style="625" customWidth="1"/>
    <col min="13016" max="13016" width="12.5703125" style="625" customWidth="1"/>
    <col min="13017" max="13017" width="12" style="625" customWidth="1"/>
    <col min="13018" max="13018" width="12.7109375" style="625" customWidth="1"/>
    <col min="13019" max="13019" width="11.7109375" style="625" customWidth="1"/>
    <col min="13020" max="13020" width="10.85546875" style="625" customWidth="1"/>
    <col min="13021" max="13021" width="12.7109375" style="625" customWidth="1"/>
    <col min="13022" max="13022" width="10.5703125" style="625" customWidth="1"/>
    <col min="13023" max="13023" width="7.5703125" style="625" customWidth="1"/>
    <col min="13024" max="13024" width="9.140625" style="625"/>
    <col min="13025" max="13025" width="13" style="625" customWidth="1"/>
    <col min="13026" max="13026" width="11.42578125" style="625" customWidth="1"/>
    <col min="13027" max="13261" width="9.140625" style="625"/>
    <col min="13262" max="13262" width="6.85546875" style="625" customWidth="1"/>
    <col min="13263" max="13263" width="22.140625" style="625" customWidth="1"/>
    <col min="13264" max="13265" width="13.42578125" style="625" customWidth="1"/>
    <col min="13266" max="13266" width="10.85546875" style="625" customWidth="1"/>
    <col min="13267" max="13268" width="13" style="625" customWidth="1"/>
    <col min="13269" max="13270" width="11.7109375" style="625" customWidth="1"/>
    <col min="13271" max="13271" width="11.42578125" style="625" customWidth="1"/>
    <col min="13272" max="13272" width="12.5703125" style="625" customWidth="1"/>
    <col min="13273" max="13273" width="12" style="625" customWidth="1"/>
    <col min="13274" max="13274" width="12.7109375" style="625" customWidth="1"/>
    <col min="13275" max="13275" width="11.7109375" style="625" customWidth="1"/>
    <col min="13276" max="13276" width="10.85546875" style="625" customWidth="1"/>
    <col min="13277" max="13277" width="12.7109375" style="625" customWidth="1"/>
    <col min="13278" max="13278" width="10.5703125" style="625" customWidth="1"/>
    <col min="13279" max="13279" width="7.5703125" style="625" customWidth="1"/>
    <col min="13280" max="13280" width="9.140625" style="625"/>
    <col min="13281" max="13281" width="13" style="625" customWidth="1"/>
    <col min="13282" max="13282" width="11.42578125" style="625" customWidth="1"/>
    <col min="13283" max="13517" width="9.140625" style="625"/>
    <col min="13518" max="13518" width="6.85546875" style="625" customWidth="1"/>
    <col min="13519" max="13519" width="22.140625" style="625" customWidth="1"/>
    <col min="13520" max="13521" width="13.42578125" style="625" customWidth="1"/>
    <col min="13522" max="13522" width="10.85546875" style="625" customWidth="1"/>
    <col min="13523" max="13524" width="13" style="625" customWidth="1"/>
    <col min="13525" max="13526" width="11.7109375" style="625" customWidth="1"/>
    <col min="13527" max="13527" width="11.42578125" style="625" customWidth="1"/>
    <col min="13528" max="13528" width="12.5703125" style="625" customWidth="1"/>
    <col min="13529" max="13529" width="12" style="625" customWidth="1"/>
    <col min="13530" max="13530" width="12.7109375" style="625" customWidth="1"/>
    <col min="13531" max="13531" width="11.7109375" style="625" customWidth="1"/>
    <col min="13532" max="13532" width="10.85546875" style="625" customWidth="1"/>
    <col min="13533" max="13533" width="12.7109375" style="625" customWidth="1"/>
    <col min="13534" max="13534" width="10.5703125" style="625" customWidth="1"/>
    <col min="13535" max="13535" width="7.5703125" style="625" customWidth="1"/>
    <col min="13536" max="13536" width="9.140625" style="625"/>
    <col min="13537" max="13537" width="13" style="625" customWidth="1"/>
    <col min="13538" max="13538" width="11.42578125" style="625" customWidth="1"/>
    <col min="13539" max="13773" width="9.140625" style="625"/>
    <col min="13774" max="13774" width="6.85546875" style="625" customWidth="1"/>
    <col min="13775" max="13775" width="22.140625" style="625" customWidth="1"/>
    <col min="13776" max="13777" width="13.42578125" style="625" customWidth="1"/>
    <col min="13778" max="13778" width="10.85546875" style="625" customWidth="1"/>
    <col min="13779" max="13780" width="13" style="625" customWidth="1"/>
    <col min="13781" max="13782" width="11.7109375" style="625" customWidth="1"/>
    <col min="13783" max="13783" width="11.42578125" style="625" customWidth="1"/>
    <col min="13784" max="13784" width="12.5703125" style="625" customWidth="1"/>
    <col min="13785" max="13785" width="12" style="625" customWidth="1"/>
    <col min="13786" max="13786" width="12.7109375" style="625" customWidth="1"/>
    <col min="13787" max="13787" width="11.7109375" style="625" customWidth="1"/>
    <col min="13788" max="13788" width="10.85546875" style="625" customWidth="1"/>
    <col min="13789" max="13789" width="12.7109375" style="625" customWidth="1"/>
    <col min="13790" max="13790" width="10.5703125" style="625" customWidth="1"/>
    <col min="13791" max="13791" width="7.5703125" style="625" customWidth="1"/>
    <col min="13792" max="13792" width="9.140625" style="625"/>
    <col min="13793" max="13793" width="13" style="625" customWidth="1"/>
    <col min="13794" max="13794" width="11.42578125" style="625" customWidth="1"/>
    <col min="13795" max="14029" width="9.140625" style="625"/>
    <col min="14030" max="14030" width="6.85546875" style="625" customWidth="1"/>
    <col min="14031" max="14031" width="22.140625" style="625" customWidth="1"/>
    <col min="14032" max="14033" width="13.42578125" style="625" customWidth="1"/>
    <col min="14034" max="14034" width="10.85546875" style="625" customWidth="1"/>
    <col min="14035" max="14036" width="13" style="625" customWidth="1"/>
    <col min="14037" max="14038" width="11.7109375" style="625" customWidth="1"/>
    <col min="14039" max="14039" width="11.42578125" style="625" customWidth="1"/>
    <col min="14040" max="14040" width="12.5703125" style="625" customWidth="1"/>
    <col min="14041" max="14041" width="12" style="625" customWidth="1"/>
    <col min="14042" max="14042" width="12.7109375" style="625" customWidth="1"/>
    <col min="14043" max="14043" width="11.7109375" style="625" customWidth="1"/>
    <col min="14044" max="14044" width="10.85546875" style="625" customWidth="1"/>
    <col min="14045" max="14045" width="12.7109375" style="625" customWidth="1"/>
    <col min="14046" max="14046" width="10.5703125" style="625" customWidth="1"/>
    <col min="14047" max="14047" width="7.5703125" style="625" customWidth="1"/>
    <col min="14048" max="14048" width="9.140625" style="625"/>
    <col min="14049" max="14049" width="13" style="625" customWidth="1"/>
    <col min="14050" max="14050" width="11.42578125" style="625" customWidth="1"/>
    <col min="14051" max="14285" width="9.140625" style="625"/>
    <col min="14286" max="14286" width="6.85546875" style="625" customWidth="1"/>
    <col min="14287" max="14287" width="22.140625" style="625" customWidth="1"/>
    <col min="14288" max="14289" width="13.42578125" style="625" customWidth="1"/>
    <col min="14290" max="14290" width="10.85546875" style="625" customWidth="1"/>
    <col min="14291" max="14292" width="13" style="625" customWidth="1"/>
    <col min="14293" max="14294" width="11.7109375" style="625" customWidth="1"/>
    <col min="14295" max="14295" width="11.42578125" style="625" customWidth="1"/>
    <col min="14296" max="14296" width="12.5703125" style="625" customWidth="1"/>
    <col min="14297" max="14297" width="12" style="625" customWidth="1"/>
    <col min="14298" max="14298" width="12.7109375" style="625" customWidth="1"/>
    <col min="14299" max="14299" width="11.7109375" style="625" customWidth="1"/>
    <col min="14300" max="14300" width="10.85546875" style="625" customWidth="1"/>
    <col min="14301" max="14301" width="12.7109375" style="625" customWidth="1"/>
    <col min="14302" max="14302" width="10.5703125" style="625" customWidth="1"/>
    <col min="14303" max="14303" width="7.5703125" style="625" customWidth="1"/>
    <col min="14304" max="14304" width="9.140625" style="625"/>
    <col min="14305" max="14305" width="13" style="625" customWidth="1"/>
    <col min="14306" max="14306" width="11.42578125" style="625" customWidth="1"/>
    <col min="14307" max="14541" width="9.140625" style="625"/>
    <col min="14542" max="14542" width="6.85546875" style="625" customWidth="1"/>
    <col min="14543" max="14543" width="22.140625" style="625" customWidth="1"/>
    <col min="14544" max="14545" width="13.42578125" style="625" customWidth="1"/>
    <col min="14546" max="14546" width="10.85546875" style="625" customWidth="1"/>
    <col min="14547" max="14548" width="13" style="625" customWidth="1"/>
    <col min="14549" max="14550" width="11.7109375" style="625" customWidth="1"/>
    <col min="14551" max="14551" width="11.42578125" style="625" customWidth="1"/>
    <col min="14552" max="14552" width="12.5703125" style="625" customWidth="1"/>
    <col min="14553" max="14553" width="12" style="625" customWidth="1"/>
    <col min="14554" max="14554" width="12.7109375" style="625" customWidth="1"/>
    <col min="14555" max="14555" width="11.7109375" style="625" customWidth="1"/>
    <col min="14556" max="14556" width="10.85546875" style="625" customWidth="1"/>
    <col min="14557" max="14557" width="12.7109375" style="625" customWidth="1"/>
    <col min="14558" max="14558" width="10.5703125" style="625" customWidth="1"/>
    <col min="14559" max="14559" width="7.5703125" style="625" customWidth="1"/>
    <col min="14560" max="14560" width="9.140625" style="625"/>
    <col min="14561" max="14561" width="13" style="625" customWidth="1"/>
    <col min="14562" max="14562" width="11.42578125" style="625" customWidth="1"/>
    <col min="14563" max="14797" width="9.140625" style="625"/>
    <col min="14798" max="14798" width="6.85546875" style="625" customWidth="1"/>
    <col min="14799" max="14799" width="22.140625" style="625" customWidth="1"/>
    <col min="14800" max="14801" width="13.42578125" style="625" customWidth="1"/>
    <col min="14802" max="14802" width="10.85546875" style="625" customWidth="1"/>
    <col min="14803" max="14804" width="13" style="625" customWidth="1"/>
    <col min="14805" max="14806" width="11.7109375" style="625" customWidth="1"/>
    <col min="14807" max="14807" width="11.42578125" style="625" customWidth="1"/>
    <col min="14808" max="14808" width="12.5703125" style="625" customWidth="1"/>
    <col min="14809" max="14809" width="12" style="625" customWidth="1"/>
    <col min="14810" max="14810" width="12.7109375" style="625" customWidth="1"/>
    <col min="14811" max="14811" width="11.7109375" style="625" customWidth="1"/>
    <col min="14812" max="14812" width="10.85546875" style="625" customWidth="1"/>
    <col min="14813" max="14813" width="12.7109375" style="625" customWidth="1"/>
    <col min="14814" max="14814" width="10.5703125" style="625" customWidth="1"/>
    <col min="14815" max="14815" width="7.5703125" style="625" customWidth="1"/>
    <col min="14816" max="14816" width="9.140625" style="625"/>
    <col min="14817" max="14817" width="13" style="625" customWidth="1"/>
    <col min="14818" max="14818" width="11.42578125" style="625" customWidth="1"/>
    <col min="14819" max="15053" width="9.140625" style="625"/>
    <col min="15054" max="15054" width="6.85546875" style="625" customWidth="1"/>
    <col min="15055" max="15055" width="22.140625" style="625" customWidth="1"/>
    <col min="15056" max="15057" width="13.42578125" style="625" customWidth="1"/>
    <col min="15058" max="15058" width="10.85546875" style="625" customWidth="1"/>
    <col min="15059" max="15060" width="13" style="625" customWidth="1"/>
    <col min="15061" max="15062" width="11.7109375" style="625" customWidth="1"/>
    <col min="15063" max="15063" width="11.42578125" style="625" customWidth="1"/>
    <col min="15064" max="15064" width="12.5703125" style="625" customWidth="1"/>
    <col min="15065" max="15065" width="12" style="625" customWidth="1"/>
    <col min="15066" max="15066" width="12.7109375" style="625" customWidth="1"/>
    <col min="15067" max="15067" width="11.7109375" style="625" customWidth="1"/>
    <col min="15068" max="15068" width="10.85546875" style="625" customWidth="1"/>
    <col min="15069" max="15069" width="12.7109375" style="625" customWidth="1"/>
    <col min="15070" max="15070" width="10.5703125" style="625" customWidth="1"/>
    <col min="15071" max="15071" width="7.5703125" style="625" customWidth="1"/>
    <col min="15072" max="15072" width="9.140625" style="625"/>
    <col min="15073" max="15073" width="13" style="625" customWidth="1"/>
    <col min="15074" max="15074" width="11.42578125" style="625" customWidth="1"/>
    <col min="15075" max="15309" width="9.140625" style="625"/>
    <col min="15310" max="15310" width="6.85546875" style="625" customWidth="1"/>
    <col min="15311" max="15311" width="22.140625" style="625" customWidth="1"/>
    <col min="15312" max="15313" width="13.42578125" style="625" customWidth="1"/>
    <col min="15314" max="15314" width="10.85546875" style="625" customWidth="1"/>
    <col min="15315" max="15316" width="13" style="625" customWidth="1"/>
    <col min="15317" max="15318" width="11.7109375" style="625" customWidth="1"/>
    <col min="15319" max="15319" width="11.42578125" style="625" customWidth="1"/>
    <col min="15320" max="15320" width="12.5703125" style="625" customWidth="1"/>
    <col min="15321" max="15321" width="12" style="625" customWidth="1"/>
    <col min="15322" max="15322" width="12.7109375" style="625" customWidth="1"/>
    <col min="15323" max="15323" width="11.7109375" style="625" customWidth="1"/>
    <col min="15324" max="15324" width="10.85546875" style="625" customWidth="1"/>
    <col min="15325" max="15325" width="12.7109375" style="625" customWidth="1"/>
    <col min="15326" max="15326" width="10.5703125" style="625" customWidth="1"/>
    <col min="15327" max="15327" width="7.5703125" style="625" customWidth="1"/>
    <col min="15328" max="15328" width="9.140625" style="625"/>
    <col min="15329" max="15329" width="13" style="625" customWidth="1"/>
    <col min="15330" max="15330" width="11.42578125" style="625" customWidth="1"/>
    <col min="15331" max="15565" width="9.140625" style="625"/>
    <col min="15566" max="15566" width="6.85546875" style="625" customWidth="1"/>
    <col min="15567" max="15567" width="22.140625" style="625" customWidth="1"/>
    <col min="15568" max="15569" width="13.42578125" style="625" customWidth="1"/>
    <col min="15570" max="15570" width="10.85546875" style="625" customWidth="1"/>
    <col min="15571" max="15572" width="13" style="625" customWidth="1"/>
    <col min="15573" max="15574" width="11.7109375" style="625" customWidth="1"/>
    <col min="15575" max="15575" width="11.42578125" style="625" customWidth="1"/>
    <col min="15576" max="15576" width="12.5703125" style="625" customWidth="1"/>
    <col min="15577" max="15577" width="12" style="625" customWidth="1"/>
    <col min="15578" max="15578" width="12.7109375" style="625" customWidth="1"/>
    <col min="15579" max="15579" width="11.7109375" style="625" customWidth="1"/>
    <col min="15580" max="15580" width="10.85546875" style="625" customWidth="1"/>
    <col min="15581" max="15581" width="12.7109375" style="625" customWidth="1"/>
    <col min="15582" max="15582" width="10.5703125" style="625" customWidth="1"/>
    <col min="15583" max="15583" width="7.5703125" style="625" customWidth="1"/>
    <col min="15584" max="15584" width="9.140625" style="625"/>
    <col min="15585" max="15585" width="13" style="625" customWidth="1"/>
    <col min="15586" max="15586" width="11.42578125" style="625" customWidth="1"/>
    <col min="15587" max="15821" width="9.140625" style="625"/>
    <col min="15822" max="15822" width="6.85546875" style="625" customWidth="1"/>
    <col min="15823" max="15823" width="22.140625" style="625" customWidth="1"/>
    <col min="15824" max="15825" width="13.42578125" style="625" customWidth="1"/>
    <col min="15826" max="15826" width="10.85546875" style="625" customWidth="1"/>
    <col min="15827" max="15828" width="13" style="625" customWidth="1"/>
    <col min="15829" max="15830" width="11.7109375" style="625" customWidth="1"/>
    <col min="15831" max="15831" width="11.42578125" style="625" customWidth="1"/>
    <col min="15832" max="15832" width="12.5703125" style="625" customWidth="1"/>
    <col min="15833" max="15833" width="12" style="625" customWidth="1"/>
    <col min="15834" max="15834" width="12.7109375" style="625" customWidth="1"/>
    <col min="15835" max="15835" width="11.7109375" style="625" customWidth="1"/>
    <col min="15836" max="15836" width="10.85546875" style="625" customWidth="1"/>
    <col min="15837" max="15837" width="12.7109375" style="625" customWidth="1"/>
    <col min="15838" max="15838" width="10.5703125" style="625" customWidth="1"/>
    <col min="15839" max="15839" width="7.5703125" style="625" customWidth="1"/>
    <col min="15840" max="15840" width="9.140625" style="625"/>
    <col min="15841" max="15841" width="13" style="625" customWidth="1"/>
    <col min="15842" max="15842" width="11.42578125" style="625" customWidth="1"/>
    <col min="15843" max="16077" width="9.140625" style="625"/>
    <col min="16078" max="16078" width="6.85546875" style="625" customWidth="1"/>
    <col min="16079" max="16079" width="22.140625" style="625" customWidth="1"/>
    <col min="16080" max="16081" width="13.42578125" style="625" customWidth="1"/>
    <col min="16082" max="16082" width="10.85546875" style="625" customWidth="1"/>
    <col min="16083" max="16084" width="13" style="625" customWidth="1"/>
    <col min="16085" max="16086" width="11.7109375" style="625" customWidth="1"/>
    <col min="16087" max="16087" width="11.42578125" style="625" customWidth="1"/>
    <col min="16088" max="16088" width="12.5703125" style="625" customWidth="1"/>
    <col min="16089" max="16089" width="12" style="625" customWidth="1"/>
    <col min="16090" max="16090" width="12.7109375" style="625" customWidth="1"/>
    <col min="16091" max="16091" width="11.7109375" style="625" customWidth="1"/>
    <col min="16092" max="16092" width="10.85546875" style="625" customWidth="1"/>
    <col min="16093" max="16093" width="12.7109375" style="625" customWidth="1"/>
    <col min="16094" max="16094" width="10.5703125" style="625" customWidth="1"/>
    <col min="16095" max="16095" width="7.5703125" style="625" customWidth="1"/>
    <col min="16096" max="16096" width="9.140625" style="625"/>
    <col min="16097" max="16097" width="13" style="625" customWidth="1"/>
    <col min="16098" max="16098" width="11.42578125" style="625" customWidth="1"/>
    <col min="16099" max="16384" width="9.140625" style="625"/>
  </cols>
  <sheetData>
    <row r="1" spans="2:25" ht="12.75" customHeight="1" x14ac:dyDescent="0.25">
      <c r="G1" s="626"/>
      <c r="H1" s="627"/>
      <c r="I1" s="627"/>
      <c r="J1" s="627"/>
      <c r="K1" s="627"/>
      <c r="L1" s="410"/>
      <c r="M1" s="410"/>
      <c r="N1" s="410"/>
      <c r="O1" s="410"/>
      <c r="P1" s="410"/>
    </row>
    <row r="2" spans="2:25" ht="15" customHeight="1" x14ac:dyDescent="0.25">
      <c r="B2" s="628" t="s">
        <v>106</v>
      </c>
      <c r="C2" s="628" t="s">
        <v>218</v>
      </c>
      <c r="D2" s="628" t="s">
        <v>729</v>
      </c>
      <c r="E2" s="628" t="s">
        <v>730</v>
      </c>
      <c r="F2" s="628" t="s">
        <v>731</v>
      </c>
      <c r="G2" s="628" t="s">
        <v>158</v>
      </c>
      <c r="H2" s="629" t="s">
        <v>190</v>
      </c>
      <c r="I2" s="629" t="s">
        <v>213</v>
      </c>
      <c r="J2" s="629" t="s">
        <v>95</v>
      </c>
      <c r="K2" s="629" t="s">
        <v>94</v>
      </c>
      <c r="L2" s="630" t="s">
        <v>199</v>
      </c>
      <c r="M2" s="631" t="s">
        <v>36</v>
      </c>
      <c r="N2" s="632" t="s">
        <v>40</v>
      </c>
      <c r="O2" s="632" t="s">
        <v>169</v>
      </c>
      <c r="P2" s="632" t="s">
        <v>203</v>
      </c>
      <c r="Q2" s="632" t="s">
        <v>204</v>
      </c>
      <c r="R2" s="632" t="s">
        <v>205</v>
      </c>
      <c r="S2" s="633" t="s">
        <v>210</v>
      </c>
      <c r="T2" s="634" t="s">
        <v>13</v>
      </c>
      <c r="U2" s="635" t="s">
        <v>189</v>
      </c>
      <c r="V2" s="636">
        <v>46023</v>
      </c>
      <c r="X2" s="637" t="s">
        <v>729</v>
      </c>
      <c r="Y2" s="637" t="s">
        <v>732</v>
      </c>
    </row>
    <row r="3" spans="2:25" ht="15" customHeight="1" x14ac:dyDescent="0.25">
      <c r="B3" s="638" t="s">
        <v>70</v>
      </c>
      <c r="C3" s="639" t="str">
        <f>IFERROR(_xlfn.XLOOKUP($G3,COM_Cadastro!#REF!,COM_Cadastro!#REF!),"")</f>
        <v/>
      </c>
      <c r="D3" s="640" t="s">
        <v>733</v>
      </c>
      <c r="E3" s="641" t="s">
        <v>377</v>
      </c>
      <c r="F3" s="640" t="s">
        <v>444</v>
      </c>
      <c r="G3" s="638" t="s">
        <v>606</v>
      </c>
      <c r="H3" s="642">
        <v>1622</v>
      </c>
      <c r="I3" s="642"/>
      <c r="J3" s="642">
        <v>265.2</v>
      </c>
      <c r="K3" s="642">
        <v>585</v>
      </c>
      <c r="L3" s="643">
        <f t="shared" ref="L3:L66" si="0">SUM(H3:K3)</f>
        <v>2472.1999999999998</v>
      </c>
      <c r="M3" s="644">
        <f t="shared" ref="M3:M34" si="1">H3*8%</f>
        <v>129.76</v>
      </c>
      <c r="N3" s="643">
        <f t="shared" ref="N3:N34" si="2">H3/12</f>
        <v>135.16666666666666</v>
      </c>
      <c r="O3" s="643">
        <f t="shared" ref="O3:O34" si="3">N3/3</f>
        <v>45.05555555555555</v>
      </c>
      <c r="P3" s="643">
        <f t="shared" ref="P3:P34" si="4">(N3+O3)*8%</f>
        <v>14.417777777777776</v>
      </c>
      <c r="Q3" s="455">
        <f t="shared" ref="Q3:Q34" si="5">H3/12</f>
        <v>135.16666666666666</v>
      </c>
      <c r="R3" s="455">
        <f t="shared" ref="R3:R34" si="6">Q3*8%</f>
        <v>10.813333333333333</v>
      </c>
      <c r="S3" s="643">
        <f t="shared" ref="S3:S34" si="7">SUM(N3:R3)</f>
        <v>340.61999999999995</v>
      </c>
      <c r="T3" s="643">
        <f t="shared" ref="T3:T66" si="8">L3+M3+S3</f>
        <v>2942.58</v>
      </c>
      <c r="U3" s="645" t="s">
        <v>89</v>
      </c>
      <c r="V3" s="646">
        <f>H215</f>
        <v>412877.04</v>
      </c>
      <c r="X3" s="647" t="s">
        <v>733</v>
      </c>
      <c r="Y3" s="648">
        <f>COUNTIF($D$3:$D$214,X3)</f>
        <v>59</v>
      </c>
    </row>
    <row r="4" spans="2:25" ht="15" customHeight="1" x14ac:dyDescent="0.25">
      <c r="B4" s="638" t="s">
        <v>70</v>
      </c>
      <c r="C4" s="649" t="str">
        <f>IFERROR(_xlfn.XLOOKUP($G4,COM_Cadastro!#REF!,COM_Cadastro!#REF!),"")</f>
        <v/>
      </c>
      <c r="D4" s="650" t="s">
        <v>733</v>
      </c>
      <c r="E4" s="651" t="s">
        <v>372</v>
      </c>
      <c r="F4" s="650" t="s">
        <v>368</v>
      </c>
      <c r="G4" s="652" t="s">
        <v>382</v>
      </c>
      <c r="H4" s="642">
        <v>6265.63</v>
      </c>
      <c r="I4" s="642"/>
      <c r="J4" s="642">
        <v>1000</v>
      </c>
      <c r="K4" s="642">
        <v>500</v>
      </c>
      <c r="L4" s="643">
        <f t="shared" si="0"/>
        <v>7765.63</v>
      </c>
      <c r="M4" s="644">
        <f t="shared" si="1"/>
        <v>501.25040000000001</v>
      </c>
      <c r="N4" s="643">
        <f t="shared" si="2"/>
        <v>522.13583333333338</v>
      </c>
      <c r="O4" s="643">
        <f t="shared" si="3"/>
        <v>174.04527777777778</v>
      </c>
      <c r="P4" s="643">
        <f t="shared" si="4"/>
        <v>55.694488888888891</v>
      </c>
      <c r="Q4" s="455">
        <f t="shared" si="5"/>
        <v>522.13583333333338</v>
      </c>
      <c r="R4" s="455">
        <f t="shared" si="6"/>
        <v>41.77086666666667</v>
      </c>
      <c r="S4" s="643">
        <f t="shared" si="7"/>
        <v>1315.7823000000003</v>
      </c>
      <c r="T4" s="643">
        <f t="shared" si="8"/>
        <v>9582.6627000000008</v>
      </c>
      <c r="U4" s="653" t="s">
        <v>213</v>
      </c>
      <c r="V4" s="646">
        <f>I215</f>
        <v>96435.299999999988</v>
      </c>
      <c r="X4" s="647" t="s">
        <v>378</v>
      </c>
      <c r="Y4" s="648">
        <f>COUNTIF($D$3:$D$214,X4)</f>
        <v>96</v>
      </c>
    </row>
    <row r="5" spans="2:25" ht="15" customHeight="1" x14ac:dyDescent="0.25">
      <c r="B5" s="638" t="s">
        <v>70</v>
      </c>
      <c r="C5" s="649" t="str">
        <f>IFERROR(_xlfn.XLOOKUP($G5,COM_Cadastro!#REF!,COM_Cadastro!#REF!),"")</f>
        <v/>
      </c>
      <c r="D5" s="650" t="s">
        <v>733</v>
      </c>
      <c r="E5" s="651" t="s">
        <v>377</v>
      </c>
      <c r="F5" s="650" t="s">
        <v>368</v>
      </c>
      <c r="G5" s="652" t="s">
        <v>420</v>
      </c>
      <c r="H5" s="642">
        <v>2500</v>
      </c>
      <c r="I5" s="642">
        <v>581</v>
      </c>
      <c r="J5" s="642">
        <v>158.4</v>
      </c>
      <c r="K5" s="642">
        <v>180</v>
      </c>
      <c r="L5" s="643">
        <f t="shared" si="0"/>
        <v>3419.4</v>
      </c>
      <c r="M5" s="644">
        <f t="shared" si="1"/>
        <v>200</v>
      </c>
      <c r="N5" s="643">
        <f t="shared" si="2"/>
        <v>208.33333333333334</v>
      </c>
      <c r="O5" s="643">
        <f t="shared" si="3"/>
        <v>69.444444444444443</v>
      </c>
      <c r="P5" s="643">
        <f t="shared" si="4"/>
        <v>22.222222222222221</v>
      </c>
      <c r="Q5" s="455">
        <f t="shared" si="5"/>
        <v>208.33333333333334</v>
      </c>
      <c r="R5" s="455">
        <f t="shared" si="6"/>
        <v>16.666666666666668</v>
      </c>
      <c r="S5" s="643">
        <f t="shared" si="7"/>
        <v>525</v>
      </c>
      <c r="T5" s="643">
        <f t="shared" si="8"/>
        <v>4144.3999999999996</v>
      </c>
      <c r="U5" s="653" t="s">
        <v>95</v>
      </c>
      <c r="V5" s="646">
        <f>J215</f>
        <v>32076.479999999992</v>
      </c>
      <c r="X5" s="647" t="s">
        <v>734</v>
      </c>
      <c r="Y5" s="648">
        <f>COUNTIF($D$3:$D$214,X5)</f>
        <v>49</v>
      </c>
    </row>
    <row r="6" spans="2:25" ht="15" customHeight="1" x14ac:dyDescent="0.25">
      <c r="B6" s="638" t="s">
        <v>70</v>
      </c>
      <c r="C6" s="649" t="str">
        <f>IFERROR(_xlfn.XLOOKUP($G6,COM_Cadastro!#REF!,COM_Cadastro!#REF!),"")</f>
        <v/>
      </c>
      <c r="D6" s="650" t="s">
        <v>733</v>
      </c>
      <c r="E6" s="651" t="s">
        <v>735</v>
      </c>
      <c r="F6" s="650" t="s">
        <v>368</v>
      </c>
      <c r="G6" s="652" t="s">
        <v>441</v>
      </c>
      <c r="H6" s="642">
        <v>1622</v>
      </c>
      <c r="I6" s="642">
        <v>120</v>
      </c>
      <c r="J6" s="642">
        <v>520</v>
      </c>
      <c r="K6" s="642">
        <v>585</v>
      </c>
      <c r="L6" s="643">
        <f t="shared" si="0"/>
        <v>2847</v>
      </c>
      <c r="M6" s="644">
        <f t="shared" si="1"/>
        <v>129.76</v>
      </c>
      <c r="N6" s="643">
        <f t="shared" si="2"/>
        <v>135.16666666666666</v>
      </c>
      <c r="O6" s="643">
        <f t="shared" si="3"/>
        <v>45.05555555555555</v>
      </c>
      <c r="P6" s="643">
        <f t="shared" si="4"/>
        <v>14.417777777777776</v>
      </c>
      <c r="Q6" s="455">
        <f t="shared" si="5"/>
        <v>135.16666666666666</v>
      </c>
      <c r="R6" s="455">
        <f t="shared" si="6"/>
        <v>10.813333333333333</v>
      </c>
      <c r="S6" s="643">
        <f t="shared" si="7"/>
        <v>340.61999999999995</v>
      </c>
      <c r="T6" s="643">
        <f t="shared" si="8"/>
        <v>3317.38</v>
      </c>
      <c r="U6" s="653" t="s">
        <v>94</v>
      </c>
      <c r="V6" s="646">
        <f>K215</f>
        <v>32260</v>
      </c>
      <c r="X6" s="647" t="s">
        <v>736</v>
      </c>
      <c r="Y6" s="648">
        <f>COUNTIF($D$3:$D$214,X6)</f>
        <v>8</v>
      </c>
    </row>
    <row r="7" spans="2:25" ht="15" customHeight="1" x14ac:dyDescent="0.25">
      <c r="B7" s="638" t="s">
        <v>70</v>
      </c>
      <c r="C7" s="649" t="str">
        <f>IFERROR(_xlfn.XLOOKUP($G7,COM_Cadastro!#REF!,COM_Cadastro!#REF!),"")</f>
        <v/>
      </c>
      <c r="D7" s="650" t="s">
        <v>733</v>
      </c>
      <c r="E7" s="651" t="s">
        <v>377</v>
      </c>
      <c r="F7" s="650" t="s">
        <v>368</v>
      </c>
      <c r="G7" s="652" t="s">
        <v>663</v>
      </c>
      <c r="H7" s="642">
        <v>1622</v>
      </c>
      <c r="I7" s="642">
        <v>107</v>
      </c>
      <c r="J7" s="642">
        <v>530.4</v>
      </c>
      <c r="K7" s="642">
        <v>585</v>
      </c>
      <c r="L7" s="643">
        <f t="shared" si="0"/>
        <v>2844.4</v>
      </c>
      <c r="M7" s="644">
        <f t="shared" si="1"/>
        <v>129.76</v>
      </c>
      <c r="N7" s="643">
        <f t="shared" si="2"/>
        <v>135.16666666666666</v>
      </c>
      <c r="O7" s="643">
        <f t="shared" si="3"/>
        <v>45.05555555555555</v>
      </c>
      <c r="P7" s="643">
        <f t="shared" si="4"/>
        <v>14.417777777777776</v>
      </c>
      <c r="Q7" s="455">
        <f t="shared" si="5"/>
        <v>135.16666666666666</v>
      </c>
      <c r="R7" s="455">
        <f t="shared" si="6"/>
        <v>10.813333333333333</v>
      </c>
      <c r="S7" s="643">
        <f t="shared" si="7"/>
        <v>340.61999999999995</v>
      </c>
      <c r="T7" s="643">
        <f t="shared" si="8"/>
        <v>3314.7799999999997</v>
      </c>
      <c r="U7" s="645" t="s">
        <v>36</v>
      </c>
      <c r="V7" s="646">
        <f>M215</f>
        <v>8741.3088000000062</v>
      </c>
      <c r="X7" s="647" t="s">
        <v>167</v>
      </c>
      <c r="Y7" s="637">
        <f>SUM(Y3:Y6)</f>
        <v>212</v>
      </c>
    </row>
    <row r="8" spans="2:25" ht="12.75" customHeight="1" x14ac:dyDescent="0.25">
      <c r="B8" s="638" t="s">
        <v>70</v>
      </c>
      <c r="C8" s="639" t="str">
        <f>IFERROR(_xlfn.XLOOKUP($G8,COM_Cadastro!#REF!,COM_Cadastro!#REF!),"")</f>
        <v/>
      </c>
      <c r="D8" s="640" t="s">
        <v>733</v>
      </c>
      <c r="E8" s="641" t="s">
        <v>377</v>
      </c>
      <c r="F8" s="640" t="s">
        <v>368</v>
      </c>
      <c r="G8" s="638" t="s">
        <v>516</v>
      </c>
      <c r="H8" s="642">
        <v>1622</v>
      </c>
      <c r="I8" s="642">
        <v>243</v>
      </c>
      <c r="J8" s="642">
        <v>254.8</v>
      </c>
      <c r="K8" s="642">
        <v>585</v>
      </c>
      <c r="L8" s="643">
        <f t="shared" si="0"/>
        <v>2704.8</v>
      </c>
      <c r="M8" s="644">
        <f t="shared" si="1"/>
        <v>129.76</v>
      </c>
      <c r="N8" s="643">
        <f t="shared" si="2"/>
        <v>135.16666666666666</v>
      </c>
      <c r="O8" s="643">
        <f t="shared" si="3"/>
        <v>45.05555555555555</v>
      </c>
      <c r="P8" s="643">
        <f t="shared" si="4"/>
        <v>14.417777777777776</v>
      </c>
      <c r="Q8" s="455">
        <f t="shared" si="5"/>
        <v>135.16666666666666</v>
      </c>
      <c r="R8" s="455">
        <f t="shared" si="6"/>
        <v>10.813333333333333</v>
      </c>
      <c r="S8" s="643">
        <f t="shared" si="7"/>
        <v>340.61999999999995</v>
      </c>
      <c r="T8" s="643">
        <f t="shared" si="8"/>
        <v>3175.1800000000003</v>
      </c>
      <c r="U8" s="645" t="s">
        <v>212</v>
      </c>
      <c r="V8" s="646">
        <f>S215</f>
        <v>22945.935600000001</v>
      </c>
    </row>
    <row r="9" spans="2:25" ht="12.75" customHeight="1" x14ac:dyDescent="0.25">
      <c r="B9" s="638" t="s">
        <v>70</v>
      </c>
      <c r="C9" s="639" t="str">
        <f>IFERROR(_xlfn.XLOOKUP($G9,COM_Cadastro!#REF!,COM_Cadastro!#REF!),"")</f>
        <v/>
      </c>
      <c r="D9" s="640" t="s">
        <v>733</v>
      </c>
      <c r="E9" s="641" t="s">
        <v>735</v>
      </c>
      <c r="F9" s="640" t="s">
        <v>368</v>
      </c>
      <c r="G9" s="638" t="s">
        <v>517</v>
      </c>
      <c r="H9" s="654">
        <v>1622</v>
      </c>
      <c r="I9" s="654">
        <v>1183</v>
      </c>
      <c r="J9" s="642">
        <v>235.2</v>
      </c>
      <c r="K9" s="642">
        <v>540</v>
      </c>
      <c r="L9" s="643">
        <f t="shared" si="0"/>
        <v>3580.2</v>
      </c>
      <c r="M9" s="644">
        <f t="shared" si="1"/>
        <v>129.76</v>
      </c>
      <c r="N9" s="643">
        <f t="shared" si="2"/>
        <v>135.16666666666666</v>
      </c>
      <c r="O9" s="643">
        <f t="shared" si="3"/>
        <v>45.05555555555555</v>
      </c>
      <c r="P9" s="643">
        <f t="shared" si="4"/>
        <v>14.417777777777776</v>
      </c>
      <c r="Q9" s="455">
        <f t="shared" si="5"/>
        <v>135.16666666666666</v>
      </c>
      <c r="R9" s="455">
        <f t="shared" si="6"/>
        <v>10.813333333333333</v>
      </c>
      <c r="S9" s="643">
        <f t="shared" si="7"/>
        <v>340.61999999999995</v>
      </c>
      <c r="T9" s="643">
        <f t="shared" si="8"/>
        <v>4050.58</v>
      </c>
      <c r="U9" s="653" t="s">
        <v>13</v>
      </c>
      <c r="V9" s="655">
        <f>SUM(V3:V8)</f>
        <v>605336.06439999992</v>
      </c>
    </row>
    <row r="10" spans="2:25" ht="12.75" customHeight="1" x14ac:dyDescent="0.25">
      <c r="B10" s="638" t="s">
        <v>70</v>
      </c>
      <c r="C10" s="649" t="str">
        <f>IFERROR(_xlfn.XLOOKUP($G10,COM_Cadastro!#REF!,COM_Cadastro!#REF!),"")</f>
        <v/>
      </c>
      <c r="D10" s="650" t="s">
        <v>733</v>
      </c>
      <c r="E10" s="651" t="s">
        <v>737</v>
      </c>
      <c r="F10" s="650" t="s">
        <v>368</v>
      </c>
      <c r="G10" s="652" t="s">
        <v>608</v>
      </c>
      <c r="H10" s="654">
        <v>4000</v>
      </c>
      <c r="I10" s="654"/>
      <c r="J10" s="642">
        <v>0</v>
      </c>
      <c r="K10" s="642">
        <v>585</v>
      </c>
      <c r="L10" s="643">
        <f t="shared" si="0"/>
        <v>4585</v>
      </c>
      <c r="M10" s="644">
        <f t="shared" si="1"/>
        <v>320</v>
      </c>
      <c r="N10" s="643">
        <f t="shared" si="2"/>
        <v>333.33333333333331</v>
      </c>
      <c r="O10" s="643">
        <f t="shared" si="3"/>
        <v>111.1111111111111</v>
      </c>
      <c r="P10" s="643">
        <f t="shared" si="4"/>
        <v>35.55555555555555</v>
      </c>
      <c r="Q10" s="455">
        <f t="shared" si="5"/>
        <v>333.33333333333331</v>
      </c>
      <c r="R10" s="455">
        <f t="shared" si="6"/>
        <v>26.666666666666664</v>
      </c>
      <c r="S10" s="643">
        <f t="shared" si="7"/>
        <v>839.99999999999989</v>
      </c>
      <c r="T10" s="643">
        <f t="shared" si="8"/>
        <v>5745</v>
      </c>
    </row>
    <row r="11" spans="2:25" ht="12.75" customHeight="1" x14ac:dyDescent="0.2">
      <c r="B11" s="638" t="s">
        <v>70</v>
      </c>
      <c r="C11" s="639" t="str">
        <f>IFERROR(_xlfn.XLOOKUP($G11,COM_Cadastro!#REF!,COM_Cadastro!#REF!),"")</f>
        <v/>
      </c>
      <c r="D11" s="640" t="s">
        <v>733</v>
      </c>
      <c r="E11" s="656" t="s">
        <v>372</v>
      </c>
      <c r="F11" s="657" t="s">
        <v>371</v>
      </c>
      <c r="G11" s="658" t="s">
        <v>370</v>
      </c>
      <c r="H11" s="659">
        <v>1900</v>
      </c>
      <c r="I11" s="659"/>
      <c r="J11" s="659">
        <v>250</v>
      </c>
      <c r="K11" s="659">
        <v>585</v>
      </c>
      <c r="L11" s="643">
        <f t="shared" si="0"/>
        <v>2735</v>
      </c>
      <c r="M11" s="644">
        <f t="shared" si="1"/>
        <v>152</v>
      </c>
      <c r="N11" s="643">
        <f t="shared" si="2"/>
        <v>158.33333333333334</v>
      </c>
      <c r="O11" s="643">
        <f t="shared" si="3"/>
        <v>52.777777777777779</v>
      </c>
      <c r="P11" s="643">
        <f t="shared" si="4"/>
        <v>16.888888888888889</v>
      </c>
      <c r="Q11" s="455">
        <f t="shared" si="5"/>
        <v>158.33333333333334</v>
      </c>
      <c r="R11" s="455">
        <f t="shared" si="6"/>
        <v>12.666666666666668</v>
      </c>
      <c r="S11" s="643">
        <f t="shared" si="7"/>
        <v>399.00000000000006</v>
      </c>
      <c r="T11" s="643">
        <f t="shared" si="8"/>
        <v>3286</v>
      </c>
    </row>
    <row r="12" spans="2:25" ht="12.75" customHeight="1" x14ac:dyDescent="0.2">
      <c r="B12" s="638" t="s">
        <v>70</v>
      </c>
      <c r="C12" s="649" t="str">
        <f>IFERROR(_xlfn.XLOOKUP($G12,COM_Cadastro!#REF!,COM_Cadastro!#REF!),"")</f>
        <v/>
      </c>
      <c r="D12" s="650" t="s">
        <v>733</v>
      </c>
      <c r="E12" s="660" t="s">
        <v>377</v>
      </c>
      <c r="F12" s="661" t="s">
        <v>371</v>
      </c>
      <c r="G12" s="662" t="s">
        <v>637</v>
      </c>
      <c r="H12" s="659">
        <v>1022.73</v>
      </c>
      <c r="I12" s="659"/>
      <c r="J12" s="659">
        <v>0</v>
      </c>
      <c r="K12" s="659">
        <v>180</v>
      </c>
      <c r="L12" s="643">
        <f t="shared" si="0"/>
        <v>1202.73</v>
      </c>
      <c r="M12" s="644">
        <f t="shared" si="1"/>
        <v>81.818399999999997</v>
      </c>
      <c r="N12" s="643">
        <f t="shared" si="2"/>
        <v>85.227500000000006</v>
      </c>
      <c r="O12" s="643">
        <f t="shared" si="3"/>
        <v>28.409166666666668</v>
      </c>
      <c r="P12" s="643">
        <f t="shared" si="4"/>
        <v>9.090933333333334</v>
      </c>
      <c r="Q12" s="455">
        <f t="shared" si="5"/>
        <v>85.227500000000006</v>
      </c>
      <c r="R12" s="455">
        <f t="shared" si="6"/>
        <v>6.8182000000000009</v>
      </c>
      <c r="S12" s="643">
        <f t="shared" si="7"/>
        <v>214.77330000000001</v>
      </c>
      <c r="T12" s="643">
        <f t="shared" si="8"/>
        <v>1499.3217000000002</v>
      </c>
    </row>
    <row r="13" spans="2:25" ht="12.75" customHeight="1" x14ac:dyDescent="0.2">
      <c r="B13" s="638" t="s">
        <v>70</v>
      </c>
      <c r="C13" s="649" t="str">
        <f>IFERROR(_xlfn.XLOOKUP($G13,COM_Cadastro!#REF!,COM_Cadastro!#REF!),"")</f>
        <v/>
      </c>
      <c r="D13" s="650" t="s">
        <v>733</v>
      </c>
      <c r="E13" s="660" t="s">
        <v>377</v>
      </c>
      <c r="F13" s="661" t="s">
        <v>371</v>
      </c>
      <c r="G13" s="662" t="s">
        <v>640</v>
      </c>
      <c r="H13" s="659">
        <v>1780</v>
      </c>
      <c r="I13" s="659"/>
      <c r="J13" s="659">
        <v>464.8</v>
      </c>
      <c r="K13" s="659">
        <v>315</v>
      </c>
      <c r="L13" s="643">
        <f t="shared" si="0"/>
        <v>2559.8000000000002</v>
      </c>
      <c r="M13" s="644">
        <f t="shared" si="1"/>
        <v>142.4</v>
      </c>
      <c r="N13" s="643">
        <f t="shared" si="2"/>
        <v>148.33333333333334</v>
      </c>
      <c r="O13" s="643">
        <f t="shared" si="3"/>
        <v>49.44444444444445</v>
      </c>
      <c r="P13" s="643">
        <f t="shared" si="4"/>
        <v>15.822222222222225</v>
      </c>
      <c r="Q13" s="455">
        <f t="shared" si="5"/>
        <v>148.33333333333334</v>
      </c>
      <c r="R13" s="455">
        <f t="shared" si="6"/>
        <v>11.866666666666667</v>
      </c>
      <c r="S13" s="643">
        <f t="shared" si="7"/>
        <v>373.80000000000007</v>
      </c>
      <c r="T13" s="643">
        <f t="shared" si="8"/>
        <v>3076.0000000000005</v>
      </c>
    </row>
    <row r="14" spans="2:25" ht="12.75" customHeight="1" x14ac:dyDescent="0.2">
      <c r="B14" s="638" t="s">
        <v>70</v>
      </c>
      <c r="C14" s="649" t="str">
        <f>IFERROR(_xlfn.XLOOKUP($G14,COM_Cadastro!#REF!,COM_Cadastro!#REF!),"")</f>
        <v/>
      </c>
      <c r="D14" s="650" t="s">
        <v>733</v>
      </c>
      <c r="E14" s="660" t="s">
        <v>377</v>
      </c>
      <c r="F14" s="661" t="s">
        <v>371</v>
      </c>
      <c r="G14" s="662" t="s">
        <v>738</v>
      </c>
      <c r="H14" s="659">
        <v>1780</v>
      </c>
      <c r="I14" s="659"/>
      <c r="J14" s="659">
        <v>416</v>
      </c>
      <c r="K14" s="659">
        <v>585</v>
      </c>
      <c r="L14" s="643">
        <f t="shared" si="0"/>
        <v>2781</v>
      </c>
      <c r="M14" s="644">
        <f t="shared" si="1"/>
        <v>142.4</v>
      </c>
      <c r="N14" s="643">
        <f t="shared" si="2"/>
        <v>148.33333333333334</v>
      </c>
      <c r="O14" s="643">
        <f t="shared" si="3"/>
        <v>49.44444444444445</v>
      </c>
      <c r="P14" s="643">
        <f t="shared" si="4"/>
        <v>15.822222222222225</v>
      </c>
      <c r="Q14" s="455">
        <f t="shared" si="5"/>
        <v>148.33333333333334</v>
      </c>
      <c r="R14" s="455">
        <f t="shared" si="6"/>
        <v>11.866666666666667</v>
      </c>
      <c r="S14" s="643">
        <f t="shared" si="7"/>
        <v>373.80000000000007</v>
      </c>
      <c r="T14" s="643">
        <f t="shared" si="8"/>
        <v>3297.2000000000003</v>
      </c>
    </row>
    <row r="15" spans="2:25" ht="12.75" customHeight="1" x14ac:dyDescent="0.2">
      <c r="B15" s="638" t="s">
        <v>70</v>
      </c>
      <c r="C15" s="649" t="str">
        <f>IFERROR(_xlfn.XLOOKUP($G15,COM_Cadastro!#REF!,COM_Cadastro!#REF!),"")</f>
        <v/>
      </c>
      <c r="D15" s="650" t="s">
        <v>733</v>
      </c>
      <c r="E15" s="660" t="s">
        <v>377</v>
      </c>
      <c r="F15" s="661" t="s">
        <v>371</v>
      </c>
      <c r="G15" s="662" t="s">
        <v>459</v>
      </c>
      <c r="H15" s="659">
        <v>1622</v>
      </c>
      <c r="I15" s="659"/>
      <c r="J15" s="659">
        <v>704.5</v>
      </c>
      <c r="K15" s="659">
        <v>517.5</v>
      </c>
      <c r="L15" s="643">
        <f t="shared" si="0"/>
        <v>2844</v>
      </c>
      <c r="M15" s="644">
        <f t="shared" si="1"/>
        <v>129.76</v>
      </c>
      <c r="N15" s="643">
        <f t="shared" si="2"/>
        <v>135.16666666666666</v>
      </c>
      <c r="O15" s="643">
        <f t="shared" si="3"/>
        <v>45.05555555555555</v>
      </c>
      <c r="P15" s="643">
        <f t="shared" si="4"/>
        <v>14.417777777777776</v>
      </c>
      <c r="Q15" s="455">
        <f t="shared" si="5"/>
        <v>135.16666666666666</v>
      </c>
      <c r="R15" s="455">
        <f t="shared" si="6"/>
        <v>10.813333333333333</v>
      </c>
      <c r="S15" s="643">
        <f t="shared" si="7"/>
        <v>340.61999999999995</v>
      </c>
      <c r="T15" s="643">
        <f t="shared" si="8"/>
        <v>3314.38</v>
      </c>
    </row>
    <row r="16" spans="2:25" ht="12.75" customHeight="1" x14ac:dyDescent="0.2">
      <c r="B16" s="638" t="s">
        <v>70</v>
      </c>
      <c r="C16" s="649" t="str">
        <f>IFERROR(_xlfn.XLOOKUP($G16,COM_Cadastro!#REF!,COM_Cadastro!#REF!),"")</f>
        <v/>
      </c>
      <c r="D16" s="650" t="s">
        <v>733</v>
      </c>
      <c r="E16" s="660" t="s">
        <v>377</v>
      </c>
      <c r="F16" s="661" t="s">
        <v>371</v>
      </c>
      <c r="G16" s="662" t="s">
        <v>739</v>
      </c>
      <c r="H16" s="659">
        <v>1780</v>
      </c>
      <c r="I16" s="659"/>
      <c r="J16" s="659">
        <v>546</v>
      </c>
      <c r="K16" s="659">
        <v>585</v>
      </c>
      <c r="L16" s="643">
        <f t="shared" si="0"/>
        <v>2911</v>
      </c>
      <c r="M16" s="644">
        <f t="shared" si="1"/>
        <v>142.4</v>
      </c>
      <c r="N16" s="643">
        <f t="shared" si="2"/>
        <v>148.33333333333334</v>
      </c>
      <c r="O16" s="643">
        <f t="shared" si="3"/>
        <v>49.44444444444445</v>
      </c>
      <c r="P16" s="643">
        <f t="shared" si="4"/>
        <v>15.822222222222225</v>
      </c>
      <c r="Q16" s="455">
        <f t="shared" si="5"/>
        <v>148.33333333333334</v>
      </c>
      <c r="R16" s="455">
        <f t="shared" si="6"/>
        <v>11.866666666666667</v>
      </c>
      <c r="S16" s="643">
        <f t="shared" si="7"/>
        <v>373.80000000000007</v>
      </c>
      <c r="T16" s="643">
        <f t="shared" si="8"/>
        <v>3427.2000000000003</v>
      </c>
    </row>
    <row r="17" spans="2:20" ht="12.75" customHeight="1" x14ac:dyDescent="0.2">
      <c r="B17" s="638" t="s">
        <v>70</v>
      </c>
      <c r="C17" s="649" t="str">
        <f>IFERROR(_xlfn.XLOOKUP($G17,COM_Cadastro!#REF!,COM_Cadastro!#REF!),"")</f>
        <v/>
      </c>
      <c r="D17" s="650" t="s">
        <v>733</v>
      </c>
      <c r="E17" s="660" t="s">
        <v>377</v>
      </c>
      <c r="F17" s="661" t="s">
        <v>371</v>
      </c>
      <c r="G17" s="662" t="s">
        <v>648</v>
      </c>
      <c r="H17" s="659">
        <v>1780</v>
      </c>
      <c r="I17" s="659"/>
      <c r="J17" s="659">
        <v>0</v>
      </c>
      <c r="K17" s="659">
        <v>585</v>
      </c>
      <c r="L17" s="643">
        <f t="shared" si="0"/>
        <v>2365</v>
      </c>
      <c r="M17" s="644">
        <f t="shared" si="1"/>
        <v>142.4</v>
      </c>
      <c r="N17" s="643">
        <f t="shared" si="2"/>
        <v>148.33333333333334</v>
      </c>
      <c r="O17" s="643">
        <f t="shared" si="3"/>
        <v>49.44444444444445</v>
      </c>
      <c r="P17" s="643">
        <f t="shared" si="4"/>
        <v>15.822222222222225</v>
      </c>
      <c r="Q17" s="455">
        <f t="shared" si="5"/>
        <v>148.33333333333334</v>
      </c>
      <c r="R17" s="455">
        <f t="shared" si="6"/>
        <v>11.866666666666667</v>
      </c>
      <c r="S17" s="643">
        <f t="shared" si="7"/>
        <v>373.80000000000007</v>
      </c>
      <c r="T17" s="643">
        <f t="shared" si="8"/>
        <v>2881.2000000000003</v>
      </c>
    </row>
    <row r="18" spans="2:20" ht="12.75" customHeight="1" x14ac:dyDescent="0.2">
      <c r="B18" s="638" t="s">
        <v>70</v>
      </c>
      <c r="C18" s="639" t="str">
        <f>IFERROR(_xlfn.XLOOKUP($G18,COM_Cadastro!#REF!,COM_Cadastro!#REF!),"")</f>
        <v/>
      </c>
      <c r="D18" s="640" t="s">
        <v>733</v>
      </c>
      <c r="E18" s="656" t="s">
        <v>377</v>
      </c>
      <c r="F18" s="657" t="s">
        <v>371</v>
      </c>
      <c r="G18" s="658" t="s">
        <v>509</v>
      </c>
      <c r="H18" s="659">
        <v>1780</v>
      </c>
      <c r="I18" s="659"/>
      <c r="J18" s="659">
        <v>390</v>
      </c>
      <c r="K18" s="659">
        <v>292.5</v>
      </c>
      <c r="L18" s="643">
        <f t="shared" si="0"/>
        <v>2462.5</v>
      </c>
      <c r="M18" s="644">
        <f t="shared" si="1"/>
        <v>142.4</v>
      </c>
      <c r="N18" s="643">
        <f t="shared" si="2"/>
        <v>148.33333333333334</v>
      </c>
      <c r="O18" s="643">
        <f t="shared" si="3"/>
        <v>49.44444444444445</v>
      </c>
      <c r="P18" s="643">
        <f t="shared" si="4"/>
        <v>15.822222222222225</v>
      </c>
      <c r="Q18" s="455">
        <f t="shared" si="5"/>
        <v>148.33333333333334</v>
      </c>
      <c r="R18" s="455">
        <f t="shared" si="6"/>
        <v>11.866666666666667</v>
      </c>
      <c r="S18" s="643">
        <f t="shared" si="7"/>
        <v>373.80000000000007</v>
      </c>
      <c r="T18" s="643">
        <f t="shared" si="8"/>
        <v>2978.7000000000003</v>
      </c>
    </row>
    <row r="19" spans="2:20" ht="12.75" customHeight="1" x14ac:dyDescent="0.2">
      <c r="B19" s="638" t="s">
        <v>70</v>
      </c>
      <c r="C19" s="649" t="str">
        <f>IFERROR(_xlfn.XLOOKUP($G19,COM_Cadastro!#REF!,COM_Cadastro!#REF!),"")</f>
        <v/>
      </c>
      <c r="D19" s="650" t="s">
        <v>733</v>
      </c>
      <c r="E19" s="660" t="s">
        <v>377</v>
      </c>
      <c r="F19" s="661" t="s">
        <v>371</v>
      </c>
      <c r="G19" s="662" t="s">
        <v>650</v>
      </c>
      <c r="H19" s="659">
        <v>1622</v>
      </c>
      <c r="I19" s="659"/>
      <c r="J19" s="659">
        <v>75</v>
      </c>
      <c r="K19" s="659">
        <v>585</v>
      </c>
      <c r="L19" s="643">
        <f t="shared" si="0"/>
        <v>2282</v>
      </c>
      <c r="M19" s="644">
        <f t="shared" si="1"/>
        <v>129.76</v>
      </c>
      <c r="N19" s="643">
        <f t="shared" si="2"/>
        <v>135.16666666666666</v>
      </c>
      <c r="O19" s="643">
        <f t="shared" si="3"/>
        <v>45.05555555555555</v>
      </c>
      <c r="P19" s="643">
        <f t="shared" si="4"/>
        <v>14.417777777777776</v>
      </c>
      <c r="Q19" s="455">
        <f t="shared" si="5"/>
        <v>135.16666666666666</v>
      </c>
      <c r="R19" s="455">
        <f t="shared" si="6"/>
        <v>10.813333333333333</v>
      </c>
      <c r="S19" s="643">
        <f t="shared" si="7"/>
        <v>340.61999999999995</v>
      </c>
      <c r="T19" s="643">
        <f t="shared" si="8"/>
        <v>2752.38</v>
      </c>
    </row>
    <row r="20" spans="2:20" ht="12.75" customHeight="1" x14ac:dyDescent="0.2">
      <c r="B20" s="638" t="s">
        <v>70</v>
      </c>
      <c r="C20" s="649" t="str">
        <f>IFERROR(_xlfn.XLOOKUP($G20,COM_Cadastro!#REF!,COM_Cadastro!#REF!),"")</f>
        <v/>
      </c>
      <c r="D20" s="650" t="s">
        <v>733</v>
      </c>
      <c r="E20" s="660" t="s">
        <v>377</v>
      </c>
      <c r="F20" s="661" t="s">
        <v>371</v>
      </c>
      <c r="G20" s="662" t="s">
        <v>740</v>
      </c>
      <c r="H20" s="659">
        <v>1780</v>
      </c>
      <c r="I20" s="659">
        <v>242</v>
      </c>
      <c r="J20" s="659">
        <v>540.79999999999995</v>
      </c>
      <c r="K20" s="659">
        <v>585</v>
      </c>
      <c r="L20" s="643">
        <f t="shared" si="0"/>
        <v>3147.8</v>
      </c>
      <c r="M20" s="644">
        <f t="shared" si="1"/>
        <v>142.4</v>
      </c>
      <c r="N20" s="643">
        <f t="shared" si="2"/>
        <v>148.33333333333334</v>
      </c>
      <c r="O20" s="643">
        <f t="shared" si="3"/>
        <v>49.44444444444445</v>
      </c>
      <c r="P20" s="643">
        <f t="shared" si="4"/>
        <v>15.822222222222225</v>
      </c>
      <c r="Q20" s="455">
        <f t="shared" si="5"/>
        <v>148.33333333333334</v>
      </c>
      <c r="R20" s="455">
        <f t="shared" si="6"/>
        <v>11.866666666666667</v>
      </c>
      <c r="S20" s="643">
        <f t="shared" si="7"/>
        <v>373.80000000000007</v>
      </c>
      <c r="T20" s="643">
        <f t="shared" si="8"/>
        <v>3664.0000000000005</v>
      </c>
    </row>
    <row r="21" spans="2:20" ht="12.75" customHeight="1" x14ac:dyDescent="0.2">
      <c r="B21" s="638" t="s">
        <v>70</v>
      </c>
      <c r="C21" s="639" t="str">
        <f>IFERROR(_xlfn.XLOOKUP($G21,COM_Cadastro!#REF!,COM_Cadastro!#REF!),"")</f>
        <v/>
      </c>
      <c r="D21" s="640" t="s">
        <v>733</v>
      </c>
      <c r="E21" s="656" t="s">
        <v>377</v>
      </c>
      <c r="F21" s="657" t="s">
        <v>371</v>
      </c>
      <c r="G21" s="658" t="s">
        <v>590</v>
      </c>
      <c r="H21" s="659">
        <v>1780</v>
      </c>
      <c r="I21" s="659">
        <v>197</v>
      </c>
      <c r="J21" s="659">
        <v>130</v>
      </c>
      <c r="K21" s="659">
        <v>585</v>
      </c>
      <c r="L21" s="643">
        <f t="shared" si="0"/>
        <v>2692</v>
      </c>
      <c r="M21" s="644">
        <f t="shared" si="1"/>
        <v>142.4</v>
      </c>
      <c r="N21" s="643">
        <f t="shared" si="2"/>
        <v>148.33333333333334</v>
      </c>
      <c r="O21" s="643">
        <f t="shared" si="3"/>
        <v>49.44444444444445</v>
      </c>
      <c r="P21" s="643">
        <f t="shared" si="4"/>
        <v>15.822222222222225</v>
      </c>
      <c r="Q21" s="455">
        <f t="shared" si="5"/>
        <v>148.33333333333334</v>
      </c>
      <c r="R21" s="455">
        <f t="shared" si="6"/>
        <v>11.866666666666667</v>
      </c>
      <c r="S21" s="643">
        <f t="shared" si="7"/>
        <v>373.80000000000007</v>
      </c>
      <c r="T21" s="643">
        <f t="shared" si="8"/>
        <v>3208.2000000000003</v>
      </c>
    </row>
    <row r="22" spans="2:20" ht="12.75" customHeight="1" x14ac:dyDescent="0.2">
      <c r="B22" s="638" t="s">
        <v>70</v>
      </c>
      <c r="C22" s="649" t="str">
        <f>IFERROR(_xlfn.XLOOKUP($G22,COM_Cadastro!#REF!,COM_Cadastro!#REF!),"")</f>
        <v/>
      </c>
      <c r="D22" s="650" t="s">
        <v>733</v>
      </c>
      <c r="E22" s="660" t="s">
        <v>377</v>
      </c>
      <c r="F22" s="661" t="s">
        <v>371</v>
      </c>
      <c r="G22" s="662" t="s">
        <v>654</v>
      </c>
      <c r="H22" s="659">
        <v>1622</v>
      </c>
      <c r="I22" s="659">
        <v>268</v>
      </c>
      <c r="J22" s="659">
        <v>0</v>
      </c>
      <c r="K22" s="659">
        <v>585</v>
      </c>
      <c r="L22" s="643">
        <f t="shared" si="0"/>
        <v>2475</v>
      </c>
      <c r="M22" s="644">
        <f t="shared" si="1"/>
        <v>129.76</v>
      </c>
      <c r="N22" s="643">
        <f t="shared" si="2"/>
        <v>135.16666666666666</v>
      </c>
      <c r="O22" s="643">
        <f t="shared" si="3"/>
        <v>45.05555555555555</v>
      </c>
      <c r="P22" s="643">
        <f t="shared" si="4"/>
        <v>14.417777777777776</v>
      </c>
      <c r="Q22" s="455">
        <f t="shared" si="5"/>
        <v>135.16666666666666</v>
      </c>
      <c r="R22" s="455">
        <f t="shared" si="6"/>
        <v>10.813333333333333</v>
      </c>
      <c r="S22" s="643">
        <f t="shared" si="7"/>
        <v>340.61999999999995</v>
      </c>
      <c r="T22" s="643">
        <f t="shared" si="8"/>
        <v>2945.38</v>
      </c>
    </row>
    <row r="23" spans="2:20" ht="12.75" customHeight="1" x14ac:dyDescent="0.2">
      <c r="B23" s="638" t="s">
        <v>70</v>
      </c>
      <c r="C23" s="639" t="str">
        <f>IFERROR(_xlfn.XLOOKUP($G23,COM_Cadastro!#REF!,COM_Cadastro!#REF!),"")</f>
        <v/>
      </c>
      <c r="D23" s="640" t="s">
        <v>733</v>
      </c>
      <c r="E23" s="656" t="s">
        <v>372</v>
      </c>
      <c r="F23" s="657" t="s">
        <v>371</v>
      </c>
      <c r="G23" s="658" t="s">
        <v>601</v>
      </c>
      <c r="H23" s="659">
        <v>2620</v>
      </c>
      <c r="I23" s="659"/>
      <c r="J23" s="659">
        <v>250</v>
      </c>
      <c r="K23" s="659">
        <v>585</v>
      </c>
      <c r="L23" s="643">
        <f t="shared" si="0"/>
        <v>3455</v>
      </c>
      <c r="M23" s="644">
        <f t="shared" si="1"/>
        <v>209.6</v>
      </c>
      <c r="N23" s="643">
        <f t="shared" si="2"/>
        <v>218.33333333333334</v>
      </c>
      <c r="O23" s="643">
        <f t="shared" si="3"/>
        <v>72.777777777777786</v>
      </c>
      <c r="P23" s="643">
        <f t="shared" si="4"/>
        <v>23.288888888888891</v>
      </c>
      <c r="Q23" s="455">
        <f t="shared" si="5"/>
        <v>218.33333333333334</v>
      </c>
      <c r="R23" s="455">
        <f t="shared" si="6"/>
        <v>17.466666666666669</v>
      </c>
      <c r="S23" s="643">
        <f t="shared" si="7"/>
        <v>550.20000000000005</v>
      </c>
      <c r="T23" s="643">
        <f t="shared" si="8"/>
        <v>4214.8</v>
      </c>
    </row>
    <row r="24" spans="2:20" ht="12.75" customHeight="1" x14ac:dyDescent="0.2">
      <c r="B24" s="638" t="s">
        <v>70</v>
      </c>
      <c r="C24" s="649" t="str">
        <f>IFERROR(_xlfn.XLOOKUP($G24,COM_Cadastro!#REF!,COM_Cadastro!#REF!),"")</f>
        <v/>
      </c>
      <c r="D24" s="650" t="s">
        <v>733</v>
      </c>
      <c r="E24" s="660" t="s">
        <v>377</v>
      </c>
      <c r="F24" s="661" t="s">
        <v>371</v>
      </c>
      <c r="G24" s="662" t="s">
        <v>655</v>
      </c>
      <c r="H24" s="659">
        <v>1780</v>
      </c>
      <c r="I24" s="659"/>
      <c r="J24" s="659">
        <v>147.19999999999999</v>
      </c>
      <c r="K24" s="659">
        <v>0</v>
      </c>
      <c r="L24" s="643">
        <f t="shared" si="0"/>
        <v>1927.2</v>
      </c>
      <c r="M24" s="644">
        <f t="shared" si="1"/>
        <v>142.4</v>
      </c>
      <c r="N24" s="643">
        <f t="shared" si="2"/>
        <v>148.33333333333334</v>
      </c>
      <c r="O24" s="643">
        <f t="shared" si="3"/>
        <v>49.44444444444445</v>
      </c>
      <c r="P24" s="643">
        <f t="shared" si="4"/>
        <v>15.822222222222225</v>
      </c>
      <c r="Q24" s="455">
        <f t="shared" si="5"/>
        <v>148.33333333333334</v>
      </c>
      <c r="R24" s="455">
        <f t="shared" si="6"/>
        <v>11.866666666666667</v>
      </c>
      <c r="S24" s="643">
        <f t="shared" si="7"/>
        <v>373.80000000000007</v>
      </c>
      <c r="T24" s="643">
        <f t="shared" si="8"/>
        <v>2443.4</v>
      </c>
    </row>
    <row r="25" spans="2:20" ht="12.75" customHeight="1" x14ac:dyDescent="0.2">
      <c r="B25" s="638" t="s">
        <v>70</v>
      </c>
      <c r="C25" s="639" t="str">
        <f>IFERROR(_xlfn.XLOOKUP($G25,COM_Cadastro!#REF!,COM_Cadastro!#REF!),"")</f>
        <v/>
      </c>
      <c r="D25" s="640" t="s">
        <v>733</v>
      </c>
      <c r="E25" s="656" t="s">
        <v>377</v>
      </c>
      <c r="F25" s="657" t="s">
        <v>371</v>
      </c>
      <c r="G25" s="658" t="s">
        <v>611</v>
      </c>
      <c r="H25" s="659">
        <v>1900</v>
      </c>
      <c r="I25" s="659">
        <v>385</v>
      </c>
      <c r="J25" s="659">
        <v>420</v>
      </c>
      <c r="K25" s="659">
        <v>485</v>
      </c>
      <c r="L25" s="643">
        <f t="shared" si="0"/>
        <v>3190</v>
      </c>
      <c r="M25" s="644">
        <f t="shared" si="1"/>
        <v>152</v>
      </c>
      <c r="N25" s="643">
        <f t="shared" si="2"/>
        <v>158.33333333333334</v>
      </c>
      <c r="O25" s="643">
        <f t="shared" si="3"/>
        <v>52.777777777777779</v>
      </c>
      <c r="P25" s="643">
        <f t="shared" si="4"/>
        <v>16.888888888888889</v>
      </c>
      <c r="Q25" s="455">
        <f t="shared" si="5"/>
        <v>158.33333333333334</v>
      </c>
      <c r="R25" s="455">
        <f t="shared" si="6"/>
        <v>12.666666666666668</v>
      </c>
      <c r="S25" s="643">
        <f t="shared" si="7"/>
        <v>399.00000000000006</v>
      </c>
      <c r="T25" s="643">
        <f t="shared" si="8"/>
        <v>3741</v>
      </c>
    </row>
    <row r="26" spans="2:20" ht="12.75" customHeight="1" x14ac:dyDescent="0.2">
      <c r="B26" s="638" t="s">
        <v>70</v>
      </c>
      <c r="C26" s="639" t="str">
        <f>IFERROR(_xlfn.XLOOKUP($G26,COM_Cadastro!#REF!,COM_Cadastro!#REF!),"")</f>
        <v/>
      </c>
      <c r="D26" s="640" t="s">
        <v>733</v>
      </c>
      <c r="E26" s="656" t="s">
        <v>377</v>
      </c>
      <c r="F26" s="657" t="s">
        <v>376</v>
      </c>
      <c r="G26" s="658" t="s">
        <v>375</v>
      </c>
      <c r="H26" s="659">
        <v>1622</v>
      </c>
      <c r="I26" s="659">
        <v>777</v>
      </c>
      <c r="J26" s="659">
        <v>244.4</v>
      </c>
      <c r="K26" s="659">
        <v>585</v>
      </c>
      <c r="L26" s="643">
        <f t="shared" si="0"/>
        <v>3228.4</v>
      </c>
      <c r="M26" s="644">
        <f t="shared" si="1"/>
        <v>129.76</v>
      </c>
      <c r="N26" s="643">
        <f t="shared" si="2"/>
        <v>135.16666666666666</v>
      </c>
      <c r="O26" s="643">
        <f t="shared" si="3"/>
        <v>45.05555555555555</v>
      </c>
      <c r="P26" s="643">
        <f t="shared" si="4"/>
        <v>14.417777777777776</v>
      </c>
      <c r="Q26" s="455">
        <f t="shared" si="5"/>
        <v>135.16666666666666</v>
      </c>
      <c r="R26" s="455">
        <f t="shared" si="6"/>
        <v>10.813333333333333</v>
      </c>
      <c r="S26" s="643">
        <f t="shared" si="7"/>
        <v>340.61999999999995</v>
      </c>
      <c r="T26" s="643">
        <f t="shared" si="8"/>
        <v>3698.7799999999997</v>
      </c>
    </row>
    <row r="27" spans="2:20" ht="12.75" customHeight="1" x14ac:dyDescent="0.2">
      <c r="B27" s="638" t="s">
        <v>70</v>
      </c>
      <c r="C27" s="649" t="str">
        <f>IFERROR(_xlfn.XLOOKUP($G27,COM_Cadastro!#REF!,COM_Cadastro!#REF!),"")</f>
        <v/>
      </c>
      <c r="D27" s="650" t="s">
        <v>733</v>
      </c>
      <c r="E27" s="660" t="s">
        <v>377</v>
      </c>
      <c r="F27" s="661" t="s">
        <v>376</v>
      </c>
      <c r="G27" s="662" t="s">
        <v>619</v>
      </c>
      <c r="H27" s="659">
        <v>1622</v>
      </c>
      <c r="I27" s="659"/>
      <c r="J27" s="659">
        <v>244.4</v>
      </c>
      <c r="K27" s="659">
        <v>585</v>
      </c>
      <c r="L27" s="643">
        <f t="shared" si="0"/>
        <v>2451.4</v>
      </c>
      <c r="M27" s="644">
        <f t="shared" si="1"/>
        <v>129.76</v>
      </c>
      <c r="N27" s="643">
        <f t="shared" si="2"/>
        <v>135.16666666666666</v>
      </c>
      <c r="O27" s="643">
        <f t="shared" si="3"/>
        <v>45.05555555555555</v>
      </c>
      <c r="P27" s="643">
        <f t="shared" si="4"/>
        <v>14.417777777777776</v>
      </c>
      <c r="Q27" s="455">
        <f t="shared" si="5"/>
        <v>135.16666666666666</v>
      </c>
      <c r="R27" s="455">
        <f t="shared" si="6"/>
        <v>10.813333333333333</v>
      </c>
      <c r="S27" s="643">
        <f t="shared" si="7"/>
        <v>340.61999999999995</v>
      </c>
      <c r="T27" s="643">
        <f t="shared" si="8"/>
        <v>2921.7799999999997</v>
      </c>
    </row>
    <row r="28" spans="2:20" ht="12.75" customHeight="1" x14ac:dyDescent="0.2">
      <c r="B28" s="638" t="s">
        <v>70</v>
      </c>
      <c r="C28" s="639" t="str">
        <f>IFERROR(_xlfn.XLOOKUP($G28,COM_Cadastro!#REF!,COM_Cadastro!#REF!),"")</f>
        <v/>
      </c>
      <c r="D28" s="640" t="s">
        <v>733</v>
      </c>
      <c r="E28" s="656" t="s">
        <v>377</v>
      </c>
      <c r="F28" s="657" t="s">
        <v>376</v>
      </c>
      <c r="G28" s="658" t="s">
        <v>386</v>
      </c>
      <c r="H28" s="659">
        <v>1622</v>
      </c>
      <c r="I28" s="659"/>
      <c r="J28" s="659">
        <v>364</v>
      </c>
      <c r="K28" s="659">
        <v>585</v>
      </c>
      <c r="L28" s="643">
        <f t="shared" si="0"/>
        <v>2571</v>
      </c>
      <c r="M28" s="644">
        <f t="shared" si="1"/>
        <v>129.76</v>
      </c>
      <c r="N28" s="643">
        <f t="shared" si="2"/>
        <v>135.16666666666666</v>
      </c>
      <c r="O28" s="643">
        <f t="shared" si="3"/>
        <v>45.05555555555555</v>
      </c>
      <c r="P28" s="643">
        <f t="shared" si="4"/>
        <v>14.417777777777776</v>
      </c>
      <c r="Q28" s="455">
        <f t="shared" si="5"/>
        <v>135.16666666666666</v>
      </c>
      <c r="R28" s="455">
        <f t="shared" si="6"/>
        <v>10.813333333333333</v>
      </c>
      <c r="S28" s="643">
        <f t="shared" si="7"/>
        <v>340.61999999999995</v>
      </c>
      <c r="T28" s="643">
        <f t="shared" si="8"/>
        <v>3041.38</v>
      </c>
    </row>
    <row r="29" spans="2:20" ht="12.75" customHeight="1" x14ac:dyDescent="0.2">
      <c r="B29" s="638" t="s">
        <v>70</v>
      </c>
      <c r="C29" s="649" t="str">
        <f>IFERROR(_xlfn.XLOOKUP($G29,COM_Cadastro!#REF!,COM_Cadastro!#REF!),"")</f>
        <v/>
      </c>
      <c r="D29" s="650" t="s">
        <v>733</v>
      </c>
      <c r="E29" s="660" t="s">
        <v>377</v>
      </c>
      <c r="F29" s="661" t="s">
        <v>376</v>
      </c>
      <c r="G29" s="662" t="s">
        <v>388</v>
      </c>
      <c r="H29" s="659">
        <v>1622</v>
      </c>
      <c r="I29" s="659"/>
      <c r="J29" s="659">
        <v>364</v>
      </c>
      <c r="K29" s="659">
        <v>585</v>
      </c>
      <c r="L29" s="643">
        <f t="shared" si="0"/>
        <v>2571</v>
      </c>
      <c r="M29" s="644">
        <f t="shared" si="1"/>
        <v>129.76</v>
      </c>
      <c r="N29" s="643">
        <f t="shared" si="2"/>
        <v>135.16666666666666</v>
      </c>
      <c r="O29" s="643">
        <f t="shared" si="3"/>
        <v>45.05555555555555</v>
      </c>
      <c r="P29" s="643">
        <f t="shared" si="4"/>
        <v>14.417777777777776</v>
      </c>
      <c r="Q29" s="455">
        <f t="shared" si="5"/>
        <v>135.16666666666666</v>
      </c>
      <c r="R29" s="455">
        <f t="shared" si="6"/>
        <v>10.813333333333333</v>
      </c>
      <c r="S29" s="643">
        <f t="shared" si="7"/>
        <v>340.61999999999995</v>
      </c>
      <c r="T29" s="643">
        <f t="shared" si="8"/>
        <v>3041.38</v>
      </c>
    </row>
    <row r="30" spans="2:20" ht="12.75" customHeight="1" x14ac:dyDescent="0.2">
      <c r="B30" s="638" t="s">
        <v>70</v>
      </c>
      <c r="C30" s="639" t="str">
        <f>IFERROR(_xlfn.XLOOKUP($G30,COM_Cadastro!#REF!,COM_Cadastro!#REF!),"")</f>
        <v/>
      </c>
      <c r="D30" s="640" t="s">
        <v>733</v>
      </c>
      <c r="E30" s="656" t="s">
        <v>372</v>
      </c>
      <c r="F30" s="657" t="s">
        <v>376</v>
      </c>
      <c r="G30" s="658" t="s">
        <v>395</v>
      </c>
      <c r="H30" s="659">
        <v>2620</v>
      </c>
      <c r="I30" s="659"/>
      <c r="J30" s="659">
        <v>600</v>
      </c>
      <c r="K30" s="659">
        <v>585</v>
      </c>
      <c r="L30" s="643">
        <f t="shared" si="0"/>
        <v>3805</v>
      </c>
      <c r="M30" s="644">
        <f t="shared" si="1"/>
        <v>209.6</v>
      </c>
      <c r="N30" s="643">
        <f t="shared" si="2"/>
        <v>218.33333333333334</v>
      </c>
      <c r="O30" s="643">
        <f t="shared" si="3"/>
        <v>72.777777777777786</v>
      </c>
      <c r="P30" s="643">
        <f t="shared" si="4"/>
        <v>23.288888888888891</v>
      </c>
      <c r="Q30" s="455">
        <f t="shared" si="5"/>
        <v>218.33333333333334</v>
      </c>
      <c r="R30" s="455">
        <f t="shared" si="6"/>
        <v>17.466666666666669</v>
      </c>
      <c r="S30" s="643">
        <f t="shared" si="7"/>
        <v>550.20000000000005</v>
      </c>
      <c r="T30" s="643">
        <f t="shared" si="8"/>
        <v>4564.8</v>
      </c>
    </row>
    <row r="31" spans="2:20" ht="12.75" customHeight="1" x14ac:dyDescent="0.2">
      <c r="B31" s="638" t="s">
        <v>70</v>
      </c>
      <c r="C31" s="639" t="str">
        <f>IFERROR(_xlfn.XLOOKUP($G31,COM_Cadastro!#REF!,COM_Cadastro!#REF!),"")</f>
        <v/>
      </c>
      <c r="D31" s="640" t="s">
        <v>733</v>
      </c>
      <c r="E31" s="656" t="s">
        <v>377</v>
      </c>
      <c r="F31" s="657" t="s">
        <v>376</v>
      </c>
      <c r="G31" s="658" t="s">
        <v>400</v>
      </c>
      <c r="H31" s="659">
        <v>1622</v>
      </c>
      <c r="I31" s="659">
        <v>2907</v>
      </c>
      <c r="J31" s="659">
        <v>803.4</v>
      </c>
      <c r="K31" s="659">
        <v>585</v>
      </c>
      <c r="L31" s="643">
        <f t="shared" si="0"/>
        <v>5917.4</v>
      </c>
      <c r="M31" s="644">
        <f t="shared" si="1"/>
        <v>129.76</v>
      </c>
      <c r="N31" s="643">
        <f t="shared" si="2"/>
        <v>135.16666666666666</v>
      </c>
      <c r="O31" s="643">
        <f t="shared" si="3"/>
        <v>45.05555555555555</v>
      </c>
      <c r="P31" s="643">
        <f t="shared" si="4"/>
        <v>14.417777777777776</v>
      </c>
      <c r="Q31" s="455">
        <f t="shared" si="5"/>
        <v>135.16666666666666</v>
      </c>
      <c r="R31" s="455">
        <f t="shared" si="6"/>
        <v>10.813333333333333</v>
      </c>
      <c r="S31" s="643">
        <f t="shared" si="7"/>
        <v>340.61999999999995</v>
      </c>
      <c r="T31" s="643">
        <f t="shared" si="8"/>
        <v>6387.78</v>
      </c>
    </row>
    <row r="32" spans="2:20" ht="12.75" customHeight="1" x14ac:dyDescent="0.2">
      <c r="B32" s="638" t="s">
        <v>70</v>
      </c>
      <c r="C32" s="639" t="str">
        <f>IFERROR(_xlfn.XLOOKUP($G32,COM_Cadastro!#REF!,COM_Cadastro!#REF!),"")</f>
        <v/>
      </c>
      <c r="D32" s="640" t="s">
        <v>733</v>
      </c>
      <c r="E32" s="656" t="s">
        <v>377</v>
      </c>
      <c r="F32" s="657" t="s">
        <v>376</v>
      </c>
      <c r="G32" s="658" t="s">
        <v>402</v>
      </c>
      <c r="H32" s="659">
        <v>1622</v>
      </c>
      <c r="I32" s="659">
        <v>389</v>
      </c>
      <c r="J32" s="659">
        <v>468</v>
      </c>
      <c r="K32" s="659">
        <v>585</v>
      </c>
      <c r="L32" s="643">
        <f t="shared" si="0"/>
        <v>3064</v>
      </c>
      <c r="M32" s="644">
        <f t="shared" si="1"/>
        <v>129.76</v>
      </c>
      <c r="N32" s="643">
        <f t="shared" si="2"/>
        <v>135.16666666666666</v>
      </c>
      <c r="O32" s="643">
        <f t="shared" si="3"/>
        <v>45.05555555555555</v>
      </c>
      <c r="P32" s="643">
        <f t="shared" si="4"/>
        <v>14.417777777777776</v>
      </c>
      <c r="Q32" s="455">
        <f t="shared" si="5"/>
        <v>135.16666666666666</v>
      </c>
      <c r="R32" s="455">
        <f t="shared" si="6"/>
        <v>10.813333333333333</v>
      </c>
      <c r="S32" s="643">
        <f t="shared" si="7"/>
        <v>340.61999999999995</v>
      </c>
      <c r="T32" s="643">
        <f t="shared" si="8"/>
        <v>3534.38</v>
      </c>
    </row>
    <row r="33" spans="2:20" ht="12.75" customHeight="1" x14ac:dyDescent="0.2">
      <c r="B33" s="638" t="s">
        <v>70</v>
      </c>
      <c r="C33" s="649" t="str">
        <f>IFERROR(_xlfn.XLOOKUP($G33,COM_Cadastro!#REF!,COM_Cadastro!#REF!),"")</f>
        <v/>
      </c>
      <c r="D33" s="650" t="s">
        <v>733</v>
      </c>
      <c r="E33" s="660" t="s">
        <v>377</v>
      </c>
      <c r="F33" s="661" t="s">
        <v>376</v>
      </c>
      <c r="G33" s="662" t="s">
        <v>623</v>
      </c>
      <c r="H33" s="659">
        <v>1622</v>
      </c>
      <c r="I33" s="659">
        <v>1764</v>
      </c>
      <c r="J33" s="659">
        <v>572</v>
      </c>
      <c r="K33" s="659">
        <v>585</v>
      </c>
      <c r="L33" s="643">
        <f t="shared" si="0"/>
        <v>4543</v>
      </c>
      <c r="M33" s="644">
        <f t="shared" si="1"/>
        <v>129.76</v>
      </c>
      <c r="N33" s="643">
        <f t="shared" si="2"/>
        <v>135.16666666666666</v>
      </c>
      <c r="O33" s="643">
        <f t="shared" si="3"/>
        <v>45.05555555555555</v>
      </c>
      <c r="P33" s="643">
        <f t="shared" si="4"/>
        <v>14.417777777777776</v>
      </c>
      <c r="Q33" s="455">
        <f t="shared" si="5"/>
        <v>135.16666666666666</v>
      </c>
      <c r="R33" s="455">
        <f t="shared" si="6"/>
        <v>10.813333333333333</v>
      </c>
      <c r="S33" s="643">
        <f t="shared" si="7"/>
        <v>340.61999999999995</v>
      </c>
      <c r="T33" s="643">
        <f t="shared" si="8"/>
        <v>5013.38</v>
      </c>
    </row>
    <row r="34" spans="2:20" ht="12.75" customHeight="1" x14ac:dyDescent="0.2">
      <c r="B34" s="638" t="s">
        <v>70</v>
      </c>
      <c r="C34" s="639" t="str">
        <f>IFERROR(_xlfn.XLOOKUP($G34,COM_Cadastro!#REF!,COM_Cadastro!#REF!),"")</f>
        <v/>
      </c>
      <c r="D34" s="640" t="s">
        <v>733</v>
      </c>
      <c r="E34" s="656" t="s">
        <v>377</v>
      </c>
      <c r="F34" s="657" t="s">
        <v>376</v>
      </c>
      <c r="G34" s="658" t="s">
        <v>408</v>
      </c>
      <c r="H34" s="659">
        <v>1622</v>
      </c>
      <c r="I34" s="659">
        <v>911</v>
      </c>
      <c r="J34" s="659">
        <v>611</v>
      </c>
      <c r="K34" s="659">
        <v>585</v>
      </c>
      <c r="L34" s="643">
        <f t="shared" si="0"/>
        <v>3729</v>
      </c>
      <c r="M34" s="644">
        <f t="shared" si="1"/>
        <v>129.76</v>
      </c>
      <c r="N34" s="643">
        <f t="shared" si="2"/>
        <v>135.16666666666666</v>
      </c>
      <c r="O34" s="643">
        <f t="shared" si="3"/>
        <v>45.05555555555555</v>
      </c>
      <c r="P34" s="643">
        <f t="shared" si="4"/>
        <v>14.417777777777776</v>
      </c>
      <c r="Q34" s="455">
        <f t="shared" si="5"/>
        <v>135.16666666666666</v>
      </c>
      <c r="R34" s="455">
        <f t="shared" si="6"/>
        <v>10.813333333333333</v>
      </c>
      <c r="S34" s="643">
        <f t="shared" si="7"/>
        <v>340.61999999999995</v>
      </c>
      <c r="T34" s="643">
        <f t="shared" si="8"/>
        <v>4199.38</v>
      </c>
    </row>
    <row r="35" spans="2:20" ht="12.75" customHeight="1" x14ac:dyDescent="0.2">
      <c r="B35" s="638" t="s">
        <v>70</v>
      </c>
      <c r="C35" s="639" t="str">
        <f>IFERROR(_xlfn.XLOOKUP($G35,COM_Cadastro!#REF!,COM_Cadastro!#REF!),"")</f>
        <v/>
      </c>
      <c r="D35" s="640" t="s">
        <v>733</v>
      </c>
      <c r="E35" s="656" t="s">
        <v>377</v>
      </c>
      <c r="F35" s="657" t="s">
        <v>376</v>
      </c>
      <c r="G35" s="658" t="s">
        <v>424</v>
      </c>
      <c r="H35" s="659">
        <v>1622</v>
      </c>
      <c r="I35" s="659"/>
      <c r="J35" s="659">
        <v>611</v>
      </c>
      <c r="K35" s="659">
        <v>585</v>
      </c>
      <c r="L35" s="643">
        <f t="shared" si="0"/>
        <v>2818</v>
      </c>
      <c r="M35" s="644">
        <f t="shared" ref="M35:M61" si="9">H35*8%</f>
        <v>129.76</v>
      </c>
      <c r="N35" s="643">
        <f t="shared" ref="N35:N61" si="10">H35/12</f>
        <v>135.16666666666666</v>
      </c>
      <c r="O35" s="643">
        <f t="shared" ref="O35:O61" si="11">N35/3</f>
        <v>45.05555555555555</v>
      </c>
      <c r="P35" s="643">
        <f t="shared" ref="P35:P61" si="12">(N35+O35)*8%</f>
        <v>14.417777777777776</v>
      </c>
      <c r="Q35" s="455">
        <f t="shared" ref="Q35:Q61" si="13">H35/12</f>
        <v>135.16666666666666</v>
      </c>
      <c r="R35" s="455">
        <f t="shared" ref="R35:R61" si="14">Q35*8%</f>
        <v>10.813333333333333</v>
      </c>
      <c r="S35" s="643">
        <f t="shared" ref="S35:S61" si="15">SUM(N35:R35)</f>
        <v>340.61999999999995</v>
      </c>
      <c r="T35" s="643">
        <f t="shared" si="8"/>
        <v>3288.38</v>
      </c>
    </row>
    <row r="36" spans="2:20" ht="12.75" customHeight="1" x14ac:dyDescent="0.2">
      <c r="B36" s="638" t="s">
        <v>70</v>
      </c>
      <c r="C36" s="649" t="str">
        <f>IFERROR(_xlfn.XLOOKUP($G36,COM_Cadastro!#REF!,COM_Cadastro!#REF!),"")</f>
        <v/>
      </c>
      <c r="D36" s="650" t="s">
        <v>733</v>
      </c>
      <c r="E36" s="660" t="s">
        <v>377</v>
      </c>
      <c r="F36" s="661" t="s">
        <v>376</v>
      </c>
      <c r="G36" s="662" t="s">
        <v>741</v>
      </c>
      <c r="H36" s="659">
        <v>1622</v>
      </c>
      <c r="I36" s="659">
        <v>1536</v>
      </c>
      <c r="J36" s="659">
        <v>332.8</v>
      </c>
      <c r="K36" s="659">
        <v>585</v>
      </c>
      <c r="L36" s="643">
        <f t="shared" si="0"/>
        <v>4075.8</v>
      </c>
      <c r="M36" s="644">
        <f t="shared" si="9"/>
        <v>129.76</v>
      </c>
      <c r="N36" s="643">
        <f t="shared" si="10"/>
        <v>135.16666666666666</v>
      </c>
      <c r="O36" s="643">
        <f t="shared" si="11"/>
        <v>45.05555555555555</v>
      </c>
      <c r="P36" s="643">
        <f t="shared" si="12"/>
        <v>14.417777777777776</v>
      </c>
      <c r="Q36" s="455">
        <f t="shared" si="13"/>
        <v>135.16666666666666</v>
      </c>
      <c r="R36" s="455">
        <f t="shared" si="14"/>
        <v>10.813333333333333</v>
      </c>
      <c r="S36" s="643">
        <f t="shared" si="15"/>
        <v>340.61999999999995</v>
      </c>
      <c r="T36" s="643">
        <f t="shared" si="8"/>
        <v>4546.18</v>
      </c>
    </row>
    <row r="37" spans="2:20" ht="12.75" customHeight="1" x14ac:dyDescent="0.2">
      <c r="B37" s="638" t="s">
        <v>70</v>
      </c>
      <c r="C37" s="649" t="str">
        <f>IFERROR(_xlfn.XLOOKUP($G37,COM_Cadastro!#REF!,COM_Cadastro!#REF!),"")</f>
        <v/>
      </c>
      <c r="D37" s="650" t="s">
        <v>733</v>
      </c>
      <c r="E37" s="660" t="s">
        <v>377</v>
      </c>
      <c r="F37" s="661" t="s">
        <v>376</v>
      </c>
      <c r="G37" s="662" t="s">
        <v>624</v>
      </c>
      <c r="H37" s="659">
        <v>1622</v>
      </c>
      <c r="I37" s="659">
        <v>2163</v>
      </c>
      <c r="J37" s="659">
        <v>370</v>
      </c>
      <c r="K37" s="659">
        <v>585</v>
      </c>
      <c r="L37" s="643">
        <f t="shared" si="0"/>
        <v>4740</v>
      </c>
      <c r="M37" s="644">
        <f t="shared" si="9"/>
        <v>129.76</v>
      </c>
      <c r="N37" s="643">
        <f t="shared" si="10"/>
        <v>135.16666666666666</v>
      </c>
      <c r="O37" s="643">
        <f t="shared" si="11"/>
        <v>45.05555555555555</v>
      </c>
      <c r="P37" s="643">
        <f t="shared" si="12"/>
        <v>14.417777777777776</v>
      </c>
      <c r="Q37" s="455">
        <f t="shared" si="13"/>
        <v>135.16666666666666</v>
      </c>
      <c r="R37" s="455">
        <f t="shared" si="14"/>
        <v>10.813333333333333</v>
      </c>
      <c r="S37" s="643">
        <f t="shared" si="15"/>
        <v>340.61999999999995</v>
      </c>
      <c r="T37" s="643">
        <f t="shared" si="8"/>
        <v>5210.38</v>
      </c>
    </row>
    <row r="38" spans="2:20" ht="12.75" customHeight="1" x14ac:dyDescent="0.2">
      <c r="B38" s="638" t="s">
        <v>70</v>
      </c>
      <c r="C38" s="649" t="str">
        <f>IFERROR(_xlfn.XLOOKUP($G38,COM_Cadastro!#REF!,COM_Cadastro!#REF!),"")</f>
        <v/>
      </c>
      <c r="D38" s="650" t="s">
        <v>733</v>
      </c>
      <c r="E38" s="660" t="s">
        <v>735</v>
      </c>
      <c r="F38" s="661" t="s">
        <v>376</v>
      </c>
      <c r="G38" s="662" t="s">
        <v>742</v>
      </c>
      <c r="H38" s="659">
        <v>1622</v>
      </c>
      <c r="I38" s="659"/>
      <c r="J38" s="659">
        <v>488.8</v>
      </c>
      <c r="K38" s="659">
        <v>585</v>
      </c>
      <c r="L38" s="643">
        <f t="shared" si="0"/>
        <v>2695.8</v>
      </c>
      <c r="M38" s="644">
        <f t="shared" si="9"/>
        <v>129.76</v>
      </c>
      <c r="N38" s="643">
        <f t="shared" si="10"/>
        <v>135.16666666666666</v>
      </c>
      <c r="O38" s="643">
        <f t="shared" si="11"/>
        <v>45.05555555555555</v>
      </c>
      <c r="P38" s="643">
        <f t="shared" si="12"/>
        <v>14.417777777777776</v>
      </c>
      <c r="Q38" s="455">
        <f t="shared" si="13"/>
        <v>135.16666666666666</v>
      </c>
      <c r="R38" s="455">
        <f t="shared" si="14"/>
        <v>10.813333333333333</v>
      </c>
      <c r="S38" s="643">
        <f t="shared" si="15"/>
        <v>340.61999999999995</v>
      </c>
      <c r="T38" s="643">
        <f t="shared" si="8"/>
        <v>3166.1800000000003</v>
      </c>
    </row>
    <row r="39" spans="2:20" ht="12.75" customHeight="1" x14ac:dyDescent="0.2">
      <c r="B39" s="638" t="s">
        <v>70</v>
      </c>
      <c r="C39" s="639" t="str">
        <f>IFERROR(_xlfn.XLOOKUP($G39,COM_Cadastro!#REF!,COM_Cadastro!#REF!),"")</f>
        <v/>
      </c>
      <c r="D39" s="640" t="s">
        <v>733</v>
      </c>
      <c r="E39" s="656" t="s">
        <v>377</v>
      </c>
      <c r="F39" s="657" t="s">
        <v>376</v>
      </c>
      <c r="G39" s="658" t="s">
        <v>490</v>
      </c>
      <c r="H39" s="659">
        <v>1622</v>
      </c>
      <c r="I39" s="659">
        <v>107</v>
      </c>
      <c r="J39" s="659">
        <v>482.8</v>
      </c>
      <c r="K39" s="659">
        <v>585</v>
      </c>
      <c r="L39" s="643">
        <f t="shared" si="0"/>
        <v>2796.8</v>
      </c>
      <c r="M39" s="644">
        <f t="shared" si="9"/>
        <v>129.76</v>
      </c>
      <c r="N39" s="643">
        <f t="shared" si="10"/>
        <v>135.16666666666666</v>
      </c>
      <c r="O39" s="643">
        <f t="shared" si="11"/>
        <v>45.05555555555555</v>
      </c>
      <c r="P39" s="643">
        <f t="shared" si="12"/>
        <v>14.417777777777776</v>
      </c>
      <c r="Q39" s="455">
        <f t="shared" si="13"/>
        <v>135.16666666666666</v>
      </c>
      <c r="R39" s="455">
        <f t="shared" si="14"/>
        <v>10.813333333333333</v>
      </c>
      <c r="S39" s="643">
        <f t="shared" si="15"/>
        <v>340.61999999999995</v>
      </c>
      <c r="T39" s="643">
        <f t="shared" si="8"/>
        <v>3267.1800000000003</v>
      </c>
    </row>
    <row r="40" spans="2:20" ht="12.75" customHeight="1" x14ac:dyDescent="0.2">
      <c r="B40" s="638" t="s">
        <v>70</v>
      </c>
      <c r="C40" s="639" t="str">
        <f>IFERROR(_xlfn.XLOOKUP($G40,COM_Cadastro!#REF!,COM_Cadastro!#REF!),"")</f>
        <v/>
      </c>
      <c r="D40" s="640" t="s">
        <v>733</v>
      </c>
      <c r="E40" s="656" t="s">
        <v>377</v>
      </c>
      <c r="F40" s="657" t="s">
        <v>376</v>
      </c>
      <c r="G40" s="658" t="s">
        <v>522</v>
      </c>
      <c r="H40" s="659">
        <v>1622</v>
      </c>
      <c r="I40" s="659">
        <v>1191</v>
      </c>
      <c r="J40" s="659">
        <v>244.4</v>
      </c>
      <c r="K40" s="659">
        <v>585</v>
      </c>
      <c r="L40" s="643">
        <f t="shared" si="0"/>
        <v>3642.4</v>
      </c>
      <c r="M40" s="644">
        <f t="shared" si="9"/>
        <v>129.76</v>
      </c>
      <c r="N40" s="643">
        <f t="shared" si="10"/>
        <v>135.16666666666666</v>
      </c>
      <c r="O40" s="643">
        <f t="shared" si="11"/>
        <v>45.05555555555555</v>
      </c>
      <c r="P40" s="643">
        <f t="shared" si="12"/>
        <v>14.417777777777776</v>
      </c>
      <c r="Q40" s="455">
        <f t="shared" si="13"/>
        <v>135.16666666666666</v>
      </c>
      <c r="R40" s="455">
        <f t="shared" si="14"/>
        <v>10.813333333333333</v>
      </c>
      <c r="S40" s="643">
        <f t="shared" si="15"/>
        <v>340.61999999999995</v>
      </c>
      <c r="T40" s="643">
        <f t="shared" si="8"/>
        <v>4112.78</v>
      </c>
    </row>
    <row r="41" spans="2:20" ht="12.75" customHeight="1" x14ac:dyDescent="0.2">
      <c r="B41" s="638" t="s">
        <v>70</v>
      </c>
      <c r="C41" s="639" t="str">
        <f>IFERROR(_xlfn.XLOOKUP($G41,COM_Cadastro!#REF!,COM_Cadastro!#REF!),"")</f>
        <v/>
      </c>
      <c r="D41" s="640" t="s">
        <v>733</v>
      </c>
      <c r="E41" s="656" t="s">
        <v>377</v>
      </c>
      <c r="F41" s="657" t="s">
        <v>376</v>
      </c>
      <c r="G41" s="658" t="s">
        <v>553</v>
      </c>
      <c r="H41" s="659">
        <v>1622</v>
      </c>
      <c r="I41" s="659">
        <v>2855</v>
      </c>
      <c r="J41" s="659">
        <v>306.8</v>
      </c>
      <c r="K41" s="659">
        <v>585</v>
      </c>
      <c r="L41" s="643">
        <f t="shared" si="0"/>
        <v>5368.8</v>
      </c>
      <c r="M41" s="644">
        <f t="shared" si="9"/>
        <v>129.76</v>
      </c>
      <c r="N41" s="643">
        <f t="shared" si="10"/>
        <v>135.16666666666666</v>
      </c>
      <c r="O41" s="643">
        <f t="shared" si="11"/>
        <v>45.05555555555555</v>
      </c>
      <c r="P41" s="643">
        <f t="shared" si="12"/>
        <v>14.417777777777776</v>
      </c>
      <c r="Q41" s="455">
        <f t="shared" si="13"/>
        <v>135.16666666666666</v>
      </c>
      <c r="R41" s="455">
        <f t="shared" si="14"/>
        <v>10.813333333333333</v>
      </c>
      <c r="S41" s="643">
        <f t="shared" si="15"/>
        <v>340.61999999999995</v>
      </c>
      <c r="T41" s="643">
        <f t="shared" si="8"/>
        <v>5839.18</v>
      </c>
    </row>
    <row r="42" spans="2:20" ht="12.75" customHeight="1" x14ac:dyDescent="0.2">
      <c r="B42" s="638" t="s">
        <v>70</v>
      </c>
      <c r="C42" s="639" t="str">
        <f>IFERROR(_xlfn.XLOOKUP($G42,COM_Cadastro!#REF!,COM_Cadastro!#REF!),"")</f>
        <v/>
      </c>
      <c r="D42" s="640" t="s">
        <v>733</v>
      </c>
      <c r="E42" s="656" t="s">
        <v>377</v>
      </c>
      <c r="F42" s="657" t="s">
        <v>376</v>
      </c>
      <c r="G42" s="658" t="s">
        <v>563</v>
      </c>
      <c r="H42" s="659">
        <v>1622</v>
      </c>
      <c r="I42" s="659">
        <v>1554</v>
      </c>
      <c r="J42" s="659">
        <v>517.4</v>
      </c>
      <c r="K42" s="659">
        <v>585</v>
      </c>
      <c r="L42" s="643">
        <f t="shared" si="0"/>
        <v>4278.3999999999996</v>
      </c>
      <c r="M42" s="644">
        <f t="shared" si="9"/>
        <v>129.76</v>
      </c>
      <c r="N42" s="643">
        <f t="shared" si="10"/>
        <v>135.16666666666666</v>
      </c>
      <c r="O42" s="643">
        <f t="shared" si="11"/>
        <v>45.05555555555555</v>
      </c>
      <c r="P42" s="643">
        <f t="shared" si="12"/>
        <v>14.417777777777776</v>
      </c>
      <c r="Q42" s="455">
        <f t="shared" si="13"/>
        <v>135.16666666666666</v>
      </c>
      <c r="R42" s="455">
        <f t="shared" si="14"/>
        <v>10.813333333333333</v>
      </c>
      <c r="S42" s="643">
        <f t="shared" si="15"/>
        <v>340.61999999999995</v>
      </c>
      <c r="T42" s="643">
        <f t="shared" si="8"/>
        <v>4748.78</v>
      </c>
    </row>
    <row r="43" spans="2:20" ht="12.75" customHeight="1" x14ac:dyDescent="0.2">
      <c r="B43" s="638" t="s">
        <v>70</v>
      </c>
      <c r="C43" s="649" t="str">
        <f>IFERROR(_xlfn.XLOOKUP($G43,COM_Cadastro!#REF!,COM_Cadastro!#REF!),"")</f>
        <v/>
      </c>
      <c r="D43" s="650" t="s">
        <v>733</v>
      </c>
      <c r="E43" s="660" t="s">
        <v>377</v>
      </c>
      <c r="F43" s="661" t="s">
        <v>376</v>
      </c>
      <c r="G43" s="662" t="s">
        <v>564</v>
      </c>
      <c r="H43" s="659">
        <v>1622</v>
      </c>
      <c r="I43" s="659"/>
      <c r="J43" s="659">
        <v>601.9</v>
      </c>
      <c r="K43" s="659">
        <v>585</v>
      </c>
      <c r="L43" s="643">
        <f t="shared" si="0"/>
        <v>2808.9</v>
      </c>
      <c r="M43" s="644">
        <f t="shared" si="9"/>
        <v>129.76</v>
      </c>
      <c r="N43" s="643">
        <f t="shared" si="10"/>
        <v>135.16666666666666</v>
      </c>
      <c r="O43" s="643">
        <f t="shared" si="11"/>
        <v>45.05555555555555</v>
      </c>
      <c r="P43" s="643">
        <f t="shared" si="12"/>
        <v>14.417777777777776</v>
      </c>
      <c r="Q43" s="455">
        <f t="shared" si="13"/>
        <v>135.16666666666666</v>
      </c>
      <c r="R43" s="455">
        <f t="shared" si="14"/>
        <v>10.813333333333333</v>
      </c>
      <c r="S43" s="643">
        <f t="shared" si="15"/>
        <v>340.61999999999995</v>
      </c>
      <c r="T43" s="643">
        <f t="shared" si="8"/>
        <v>3279.2799999999997</v>
      </c>
    </row>
    <row r="44" spans="2:20" ht="12.75" customHeight="1" x14ac:dyDescent="0.2">
      <c r="B44" s="638" t="s">
        <v>70</v>
      </c>
      <c r="C44" s="649" t="str">
        <f>IFERROR(_xlfn.XLOOKUP($G44,COM_Cadastro!#REF!,COM_Cadastro!#REF!),"")</f>
        <v/>
      </c>
      <c r="D44" s="650" t="s">
        <v>733</v>
      </c>
      <c r="E44" s="660" t="s">
        <v>372</v>
      </c>
      <c r="F44" s="661" t="s">
        <v>376</v>
      </c>
      <c r="G44" s="662" t="s">
        <v>743</v>
      </c>
      <c r="H44" s="659">
        <v>3600</v>
      </c>
      <c r="I44" s="659"/>
      <c r="J44" s="659">
        <v>400</v>
      </c>
      <c r="K44" s="659">
        <v>585</v>
      </c>
      <c r="L44" s="643">
        <f t="shared" si="0"/>
        <v>4585</v>
      </c>
      <c r="M44" s="644">
        <f t="shared" si="9"/>
        <v>288</v>
      </c>
      <c r="N44" s="643">
        <f t="shared" si="10"/>
        <v>300</v>
      </c>
      <c r="O44" s="643">
        <f t="shared" si="11"/>
        <v>100</v>
      </c>
      <c r="P44" s="643">
        <f t="shared" si="12"/>
        <v>32</v>
      </c>
      <c r="Q44" s="455">
        <f t="shared" si="13"/>
        <v>300</v>
      </c>
      <c r="R44" s="455">
        <f t="shared" si="14"/>
        <v>24</v>
      </c>
      <c r="S44" s="643">
        <f t="shared" si="15"/>
        <v>756</v>
      </c>
      <c r="T44" s="643">
        <f t="shared" si="8"/>
        <v>5629</v>
      </c>
    </row>
    <row r="45" spans="2:20" ht="12.75" customHeight="1" x14ac:dyDescent="0.2">
      <c r="B45" s="638" t="s">
        <v>70</v>
      </c>
      <c r="C45" s="639" t="str">
        <f>IFERROR(_xlfn.XLOOKUP($G45,COM_Cadastro!#REF!,COM_Cadastro!#REF!),"")</f>
        <v/>
      </c>
      <c r="D45" s="640" t="s">
        <v>733</v>
      </c>
      <c r="E45" s="656" t="s">
        <v>377</v>
      </c>
      <c r="F45" s="657" t="s">
        <v>376</v>
      </c>
      <c r="G45" s="658" t="s">
        <v>576</v>
      </c>
      <c r="H45" s="659">
        <v>1622</v>
      </c>
      <c r="I45" s="659">
        <v>2749</v>
      </c>
      <c r="J45" s="659">
        <v>540.79999999999995</v>
      </c>
      <c r="K45" s="659">
        <v>585</v>
      </c>
      <c r="L45" s="643">
        <f t="shared" si="0"/>
        <v>5496.8</v>
      </c>
      <c r="M45" s="644">
        <f t="shared" si="9"/>
        <v>129.76</v>
      </c>
      <c r="N45" s="643">
        <f t="shared" si="10"/>
        <v>135.16666666666666</v>
      </c>
      <c r="O45" s="643">
        <f t="shared" si="11"/>
        <v>45.05555555555555</v>
      </c>
      <c r="P45" s="643">
        <f t="shared" si="12"/>
        <v>14.417777777777776</v>
      </c>
      <c r="Q45" s="455">
        <f t="shared" si="13"/>
        <v>135.16666666666666</v>
      </c>
      <c r="R45" s="455">
        <f t="shared" si="14"/>
        <v>10.813333333333333</v>
      </c>
      <c r="S45" s="643">
        <f t="shared" si="15"/>
        <v>340.61999999999995</v>
      </c>
      <c r="T45" s="643">
        <f t="shared" si="8"/>
        <v>5967.18</v>
      </c>
    </row>
    <row r="46" spans="2:20" ht="12.75" customHeight="1" x14ac:dyDescent="0.2">
      <c r="B46" s="638" t="s">
        <v>70</v>
      </c>
      <c r="C46" s="639" t="str">
        <f>IFERROR(_xlfn.XLOOKUP($G46,COM_Cadastro!#REF!,COM_Cadastro!#REF!),"")</f>
        <v/>
      </c>
      <c r="D46" s="640" t="s">
        <v>733</v>
      </c>
      <c r="E46" s="656" t="s">
        <v>377</v>
      </c>
      <c r="F46" s="657" t="s">
        <v>376</v>
      </c>
      <c r="G46" s="658" t="s">
        <v>579</v>
      </c>
      <c r="H46" s="659">
        <v>1622</v>
      </c>
      <c r="I46" s="659">
        <v>1710</v>
      </c>
      <c r="J46" s="659">
        <v>509.6</v>
      </c>
      <c r="K46" s="659">
        <v>585</v>
      </c>
      <c r="L46" s="643">
        <f t="shared" si="0"/>
        <v>4426.6000000000004</v>
      </c>
      <c r="M46" s="644">
        <f t="shared" si="9"/>
        <v>129.76</v>
      </c>
      <c r="N46" s="643">
        <f t="shared" si="10"/>
        <v>135.16666666666666</v>
      </c>
      <c r="O46" s="643">
        <f t="shared" si="11"/>
        <v>45.05555555555555</v>
      </c>
      <c r="P46" s="643">
        <f t="shared" si="12"/>
        <v>14.417777777777776</v>
      </c>
      <c r="Q46" s="455">
        <f t="shared" si="13"/>
        <v>135.16666666666666</v>
      </c>
      <c r="R46" s="455">
        <f t="shared" si="14"/>
        <v>10.813333333333333</v>
      </c>
      <c r="S46" s="643">
        <f t="shared" si="15"/>
        <v>340.61999999999995</v>
      </c>
      <c r="T46" s="643">
        <f t="shared" si="8"/>
        <v>4896.9800000000005</v>
      </c>
    </row>
    <row r="47" spans="2:20" ht="12.75" customHeight="1" x14ac:dyDescent="0.2">
      <c r="B47" s="638" t="s">
        <v>70</v>
      </c>
      <c r="C47" s="649" t="str">
        <f>IFERROR(_xlfn.XLOOKUP($G47,COM_Cadastro!#REF!,COM_Cadastro!#REF!),"")</f>
        <v/>
      </c>
      <c r="D47" s="650" t="s">
        <v>733</v>
      </c>
      <c r="E47" s="660" t="s">
        <v>377</v>
      </c>
      <c r="F47" s="661" t="s">
        <v>376</v>
      </c>
      <c r="G47" s="662" t="s">
        <v>582</v>
      </c>
      <c r="H47" s="659">
        <v>1622</v>
      </c>
      <c r="I47" s="659">
        <v>62</v>
      </c>
      <c r="J47" s="659">
        <v>490</v>
      </c>
      <c r="K47" s="659">
        <v>585</v>
      </c>
      <c r="L47" s="643">
        <f t="shared" si="0"/>
        <v>2759</v>
      </c>
      <c r="M47" s="644">
        <f t="shared" si="9"/>
        <v>129.76</v>
      </c>
      <c r="N47" s="643">
        <f t="shared" si="10"/>
        <v>135.16666666666666</v>
      </c>
      <c r="O47" s="643">
        <f t="shared" si="11"/>
        <v>45.05555555555555</v>
      </c>
      <c r="P47" s="643">
        <f t="shared" si="12"/>
        <v>14.417777777777776</v>
      </c>
      <c r="Q47" s="455">
        <f t="shared" si="13"/>
        <v>135.16666666666666</v>
      </c>
      <c r="R47" s="455">
        <f t="shared" si="14"/>
        <v>10.813333333333333</v>
      </c>
      <c r="S47" s="643">
        <f t="shared" si="15"/>
        <v>340.61999999999995</v>
      </c>
      <c r="T47" s="643">
        <f t="shared" si="8"/>
        <v>3229.38</v>
      </c>
    </row>
    <row r="48" spans="2:20" ht="12.75" customHeight="1" x14ac:dyDescent="0.2">
      <c r="B48" s="638" t="s">
        <v>70</v>
      </c>
      <c r="C48" s="649" t="str">
        <f>IFERROR(_xlfn.XLOOKUP($G48,COM_Cadastro!#REF!,COM_Cadastro!#REF!),"")</f>
        <v/>
      </c>
      <c r="D48" s="650" t="s">
        <v>733</v>
      </c>
      <c r="E48" s="660" t="s">
        <v>377</v>
      </c>
      <c r="F48" s="661" t="s">
        <v>376</v>
      </c>
      <c r="G48" s="662" t="s">
        <v>632</v>
      </c>
      <c r="H48" s="659">
        <v>1622</v>
      </c>
      <c r="I48" s="659">
        <v>870</v>
      </c>
      <c r="J48" s="659">
        <v>553.79999999999995</v>
      </c>
      <c r="K48" s="659">
        <v>585</v>
      </c>
      <c r="L48" s="643">
        <f t="shared" si="0"/>
        <v>3630.8</v>
      </c>
      <c r="M48" s="644">
        <f t="shared" si="9"/>
        <v>129.76</v>
      </c>
      <c r="N48" s="643">
        <f t="shared" si="10"/>
        <v>135.16666666666666</v>
      </c>
      <c r="O48" s="643">
        <f t="shared" si="11"/>
        <v>45.05555555555555</v>
      </c>
      <c r="P48" s="643">
        <f t="shared" si="12"/>
        <v>14.417777777777776</v>
      </c>
      <c r="Q48" s="455">
        <f t="shared" si="13"/>
        <v>135.16666666666666</v>
      </c>
      <c r="R48" s="455">
        <f t="shared" si="14"/>
        <v>10.813333333333333</v>
      </c>
      <c r="S48" s="643">
        <f t="shared" si="15"/>
        <v>340.61999999999995</v>
      </c>
      <c r="T48" s="643">
        <f t="shared" si="8"/>
        <v>4101.18</v>
      </c>
    </row>
    <row r="49" spans="2:20" ht="12.75" customHeight="1" x14ac:dyDescent="0.2">
      <c r="B49" s="638" t="s">
        <v>70</v>
      </c>
      <c r="C49" s="639" t="str">
        <f>IFERROR(_xlfn.XLOOKUP($G49,COM_Cadastro!#REF!,COM_Cadastro!#REF!),"")</f>
        <v/>
      </c>
      <c r="D49" s="640" t="s">
        <v>733</v>
      </c>
      <c r="E49" s="656" t="s">
        <v>377</v>
      </c>
      <c r="F49" s="657" t="s">
        <v>376</v>
      </c>
      <c r="G49" s="658" t="s">
        <v>589</v>
      </c>
      <c r="H49" s="659">
        <v>1622</v>
      </c>
      <c r="I49" s="659">
        <v>2991</v>
      </c>
      <c r="J49" s="659">
        <v>356.2</v>
      </c>
      <c r="K49" s="659">
        <v>585</v>
      </c>
      <c r="L49" s="643">
        <f t="shared" si="0"/>
        <v>5554.2</v>
      </c>
      <c r="M49" s="644">
        <f t="shared" si="9"/>
        <v>129.76</v>
      </c>
      <c r="N49" s="643">
        <f t="shared" si="10"/>
        <v>135.16666666666666</v>
      </c>
      <c r="O49" s="643">
        <f t="shared" si="11"/>
        <v>45.05555555555555</v>
      </c>
      <c r="P49" s="643">
        <f t="shared" si="12"/>
        <v>14.417777777777776</v>
      </c>
      <c r="Q49" s="455">
        <f t="shared" si="13"/>
        <v>135.16666666666666</v>
      </c>
      <c r="R49" s="455">
        <f t="shared" si="14"/>
        <v>10.813333333333333</v>
      </c>
      <c r="S49" s="643">
        <f t="shared" si="15"/>
        <v>340.61999999999995</v>
      </c>
      <c r="T49" s="643">
        <f t="shared" si="8"/>
        <v>6024.58</v>
      </c>
    </row>
    <row r="50" spans="2:20" ht="12.75" customHeight="1" x14ac:dyDescent="0.2">
      <c r="B50" s="638" t="s">
        <v>70</v>
      </c>
      <c r="C50" s="639" t="str">
        <f>IFERROR(_xlfn.XLOOKUP($G50,COM_Cadastro!#REF!,COM_Cadastro!#REF!),"")</f>
        <v/>
      </c>
      <c r="D50" s="640" t="s">
        <v>733</v>
      </c>
      <c r="E50" s="656" t="s">
        <v>377</v>
      </c>
      <c r="F50" s="657" t="s">
        <v>376</v>
      </c>
      <c r="G50" s="658" t="s">
        <v>599</v>
      </c>
      <c r="H50" s="659">
        <v>1622</v>
      </c>
      <c r="I50" s="659">
        <v>1134</v>
      </c>
      <c r="J50" s="659">
        <v>260</v>
      </c>
      <c r="K50" s="659">
        <v>585</v>
      </c>
      <c r="L50" s="643">
        <f t="shared" si="0"/>
        <v>3601</v>
      </c>
      <c r="M50" s="644">
        <f t="shared" si="9"/>
        <v>129.76</v>
      </c>
      <c r="N50" s="643">
        <f t="shared" si="10"/>
        <v>135.16666666666666</v>
      </c>
      <c r="O50" s="643">
        <f t="shared" si="11"/>
        <v>45.05555555555555</v>
      </c>
      <c r="P50" s="643">
        <f t="shared" si="12"/>
        <v>14.417777777777776</v>
      </c>
      <c r="Q50" s="455">
        <f t="shared" si="13"/>
        <v>135.16666666666666</v>
      </c>
      <c r="R50" s="455">
        <f t="shared" si="14"/>
        <v>10.813333333333333</v>
      </c>
      <c r="S50" s="643">
        <f t="shared" si="15"/>
        <v>340.61999999999995</v>
      </c>
      <c r="T50" s="643">
        <f t="shared" si="8"/>
        <v>4071.38</v>
      </c>
    </row>
    <row r="51" spans="2:20" ht="12.75" customHeight="1" x14ac:dyDescent="0.2">
      <c r="B51" s="638" t="s">
        <v>70</v>
      </c>
      <c r="C51" s="639" t="str">
        <f>IFERROR(_xlfn.XLOOKUP($G51,COM_Cadastro!#REF!,COM_Cadastro!#REF!),"")</f>
        <v/>
      </c>
      <c r="D51" s="640" t="s">
        <v>733</v>
      </c>
      <c r="E51" s="656" t="s">
        <v>377</v>
      </c>
      <c r="F51" s="657" t="s">
        <v>376</v>
      </c>
      <c r="G51" s="658" t="s">
        <v>603</v>
      </c>
      <c r="H51" s="659">
        <v>1622</v>
      </c>
      <c r="I51" s="659">
        <v>1951</v>
      </c>
      <c r="J51" s="659">
        <v>488.8</v>
      </c>
      <c r="K51" s="659">
        <v>585</v>
      </c>
      <c r="L51" s="643">
        <f t="shared" si="0"/>
        <v>4646.8</v>
      </c>
      <c r="M51" s="644">
        <f t="shared" si="9"/>
        <v>129.76</v>
      </c>
      <c r="N51" s="643">
        <f t="shared" si="10"/>
        <v>135.16666666666666</v>
      </c>
      <c r="O51" s="643">
        <f t="shared" si="11"/>
        <v>45.05555555555555</v>
      </c>
      <c r="P51" s="643">
        <f t="shared" si="12"/>
        <v>14.417777777777776</v>
      </c>
      <c r="Q51" s="455">
        <f t="shared" si="13"/>
        <v>135.16666666666666</v>
      </c>
      <c r="R51" s="455">
        <f t="shared" si="14"/>
        <v>10.813333333333333</v>
      </c>
      <c r="S51" s="643">
        <f t="shared" si="15"/>
        <v>340.61999999999995</v>
      </c>
      <c r="T51" s="643">
        <f t="shared" si="8"/>
        <v>5117.18</v>
      </c>
    </row>
    <row r="52" spans="2:20" ht="12.75" customHeight="1" x14ac:dyDescent="0.2">
      <c r="B52" s="638" t="s">
        <v>70</v>
      </c>
      <c r="C52" s="649" t="str">
        <f>IFERROR(_xlfn.XLOOKUP($G52,COM_Cadastro!#REF!,COM_Cadastro!#REF!),"")</f>
        <v/>
      </c>
      <c r="D52" s="650" t="s">
        <v>733</v>
      </c>
      <c r="E52" s="660" t="s">
        <v>377</v>
      </c>
      <c r="F52" s="661" t="s">
        <v>376</v>
      </c>
      <c r="G52" s="662" t="s">
        <v>614</v>
      </c>
      <c r="H52" s="659">
        <v>1622</v>
      </c>
      <c r="I52" s="659"/>
      <c r="J52" s="659">
        <v>450</v>
      </c>
      <c r="K52" s="659">
        <v>585</v>
      </c>
      <c r="L52" s="643">
        <f t="shared" si="0"/>
        <v>2657</v>
      </c>
      <c r="M52" s="644">
        <f t="shared" si="9"/>
        <v>129.76</v>
      </c>
      <c r="N52" s="643">
        <f t="shared" si="10"/>
        <v>135.16666666666666</v>
      </c>
      <c r="O52" s="643">
        <f t="shared" si="11"/>
        <v>45.05555555555555</v>
      </c>
      <c r="P52" s="643">
        <f t="shared" si="12"/>
        <v>14.417777777777776</v>
      </c>
      <c r="Q52" s="455">
        <f t="shared" si="13"/>
        <v>135.16666666666666</v>
      </c>
      <c r="R52" s="455">
        <f t="shared" si="14"/>
        <v>10.813333333333333</v>
      </c>
      <c r="S52" s="643">
        <f t="shared" si="15"/>
        <v>340.61999999999995</v>
      </c>
      <c r="T52" s="643">
        <f t="shared" si="8"/>
        <v>3127.38</v>
      </c>
    </row>
    <row r="53" spans="2:20" ht="12.75" customHeight="1" x14ac:dyDescent="0.2">
      <c r="B53" s="638" t="s">
        <v>70</v>
      </c>
      <c r="C53" s="639" t="str">
        <f>IFERROR(_xlfn.XLOOKUP($G53,COM_Cadastro!#REF!,COM_Cadastro!#REF!),"")</f>
        <v/>
      </c>
      <c r="D53" s="640" t="s">
        <v>733</v>
      </c>
      <c r="E53" s="656" t="s">
        <v>377</v>
      </c>
      <c r="F53" s="657" t="s">
        <v>374</v>
      </c>
      <c r="G53" s="658" t="s">
        <v>411</v>
      </c>
      <c r="H53" s="659">
        <v>1622</v>
      </c>
      <c r="I53" s="659">
        <v>244</v>
      </c>
      <c r="J53" s="659">
        <v>603.20000000000005</v>
      </c>
      <c r="K53" s="659">
        <v>585</v>
      </c>
      <c r="L53" s="643">
        <f t="shared" si="0"/>
        <v>3054.2</v>
      </c>
      <c r="M53" s="644">
        <f t="shared" si="9"/>
        <v>129.76</v>
      </c>
      <c r="N53" s="643">
        <f t="shared" si="10"/>
        <v>135.16666666666666</v>
      </c>
      <c r="O53" s="643">
        <f t="shared" si="11"/>
        <v>45.05555555555555</v>
      </c>
      <c r="P53" s="643">
        <f t="shared" si="12"/>
        <v>14.417777777777776</v>
      </c>
      <c r="Q53" s="455">
        <f t="shared" si="13"/>
        <v>135.16666666666666</v>
      </c>
      <c r="R53" s="455">
        <f t="shared" si="14"/>
        <v>10.813333333333333</v>
      </c>
      <c r="S53" s="643">
        <f t="shared" si="15"/>
        <v>340.61999999999995</v>
      </c>
      <c r="T53" s="643">
        <f t="shared" si="8"/>
        <v>3524.58</v>
      </c>
    </row>
    <row r="54" spans="2:20" ht="12.75" customHeight="1" x14ac:dyDescent="0.2">
      <c r="B54" s="638" t="s">
        <v>70</v>
      </c>
      <c r="C54" s="639" t="str">
        <f>IFERROR(_xlfn.XLOOKUP($G54,COM_Cadastro!#REF!,COM_Cadastro!#REF!),"")</f>
        <v/>
      </c>
      <c r="D54" s="640" t="s">
        <v>733</v>
      </c>
      <c r="E54" s="656" t="s">
        <v>377</v>
      </c>
      <c r="F54" s="657" t="s">
        <v>374</v>
      </c>
      <c r="G54" s="658" t="s">
        <v>448</v>
      </c>
      <c r="H54" s="659">
        <v>1622</v>
      </c>
      <c r="I54" s="659">
        <v>78</v>
      </c>
      <c r="J54" s="659">
        <v>621.4</v>
      </c>
      <c r="K54" s="659">
        <v>585</v>
      </c>
      <c r="L54" s="643">
        <f t="shared" si="0"/>
        <v>2906.4</v>
      </c>
      <c r="M54" s="644">
        <f t="shared" si="9"/>
        <v>129.76</v>
      </c>
      <c r="N54" s="643">
        <f t="shared" si="10"/>
        <v>135.16666666666666</v>
      </c>
      <c r="O54" s="643">
        <f t="shared" si="11"/>
        <v>45.05555555555555</v>
      </c>
      <c r="P54" s="643">
        <f t="shared" si="12"/>
        <v>14.417777777777776</v>
      </c>
      <c r="Q54" s="455">
        <f t="shared" si="13"/>
        <v>135.16666666666666</v>
      </c>
      <c r="R54" s="455">
        <f t="shared" si="14"/>
        <v>10.813333333333333</v>
      </c>
      <c r="S54" s="643">
        <f t="shared" si="15"/>
        <v>340.61999999999995</v>
      </c>
      <c r="T54" s="643">
        <f t="shared" si="8"/>
        <v>3376.7799999999997</v>
      </c>
    </row>
    <row r="55" spans="2:20" ht="12.75" customHeight="1" x14ac:dyDescent="0.2">
      <c r="B55" s="638" t="s">
        <v>70</v>
      </c>
      <c r="C55" s="649" t="str">
        <f>IFERROR(_xlfn.XLOOKUP($G55,COM_Cadastro!#REF!,COM_Cadastro!#REF!),"")</f>
        <v/>
      </c>
      <c r="D55" s="650" t="s">
        <v>733</v>
      </c>
      <c r="E55" s="660" t="s">
        <v>377</v>
      </c>
      <c r="F55" s="661" t="s">
        <v>374</v>
      </c>
      <c r="G55" s="662" t="s">
        <v>519</v>
      </c>
      <c r="H55" s="659">
        <v>1780</v>
      </c>
      <c r="I55" s="659">
        <v>1257</v>
      </c>
      <c r="J55" s="659">
        <v>403</v>
      </c>
      <c r="K55" s="659">
        <v>585</v>
      </c>
      <c r="L55" s="643">
        <f t="shared" si="0"/>
        <v>4025</v>
      </c>
      <c r="M55" s="644">
        <f t="shared" si="9"/>
        <v>142.4</v>
      </c>
      <c r="N55" s="643">
        <f t="shared" si="10"/>
        <v>148.33333333333334</v>
      </c>
      <c r="O55" s="643">
        <f t="shared" si="11"/>
        <v>49.44444444444445</v>
      </c>
      <c r="P55" s="643">
        <f t="shared" si="12"/>
        <v>15.822222222222225</v>
      </c>
      <c r="Q55" s="455">
        <f t="shared" si="13"/>
        <v>148.33333333333334</v>
      </c>
      <c r="R55" s="455">
        <f t="shared" si="14"/>
        <v>11.866666666666667</v>
      </c>
      <c r="S55" s="643">
        <f t="shared" si="15"/>
        <v>373.80000000000007</v>
      </c>
      <c r="T55" s="643">
        <f t="shared" si="8"/>
        <v>4541.2</v>
      </c>
    </row>
    <row r="56" spans="2:20" ht="12.75" customHeight="1" x14ac:dyDescent="0.2">
      <c r="B56" s="638" t="s">
        <v>70</v>
      </c>
      <c r="C56" s="649" t="str">
        <f>IFERROR(_xlfn.XLOOKUP($G56,COM_Cadastro!#REF!,COM_Cadastro!#REF!),"")</f>
        <v/>
      </c>
      <c r="D56" s="650" t="s">
        <v>733</v>
      </c>
      <c r="E56" s="660" t="s">
        <v>377</v>
      </c>
      <c r="F56" s="661" t="s">
        <v>374</v>
      </c>
      <c r="G56" s="662" t="s">
        <v>542</v>
      </c>
      <c r="H56" s="659">
        <v>1780</v>
      </c>
      <c r="I56" s="659"/>
      <c r="J56" s="659">
        <v>240.5</v>
      </c>
      <c r="K56" s="659">
        <v>585</v>
      </c>
      <c r="L56" s="643">
        <f t="shared" si="0"/>
        <v>2605.5</v>
      </c>
      <c r="M56" s="644">
        <f t="shared" si="9"/>
        <v>142.4</v>
      </c>
      <c r="N56" s="643">
        <f t="shared" si="10"/>
        <v>148.33333333333334</v>
      </c>
      <c r="O56" s="643">
        <f t="shared" si="11"/>
        <v>49.44444444444445</v>
      </c>
      <c r="P56" s="643">
        <f t="shared" si="12"/>
        <v>15.822222222222225</v>
      </c>
      <c r="Q56" s="455">
        <f t="shared" si="13"/>
        <v>148.33333333333334</v>
      </c>
      <c r="R56" s="455">
        <f t="shared" si="14"/>
        <v>11.866666666666667</v>
      </c>
      <c r="S56" s="643">
        <f t="shared" si="15"/>
        <v>373.80000000000007</v>
      </c>
      <c r="T56" s="643">
        <f t="shared" si="8"/>
        <v>3121.7000000000003</v>
      </c>
    </row>
    <row r="57" spans="2:20" ht="12.75" customHeight="1" x14ac:dyDescent="0.2">
      <c r="B57" s="638" t="s">
        <v>70</v>
      </c>
      <c r="C57" s="649" t="str">
        <f>IFERROR(_xlfn.XLOOKUP($G57,COM_Cadastro!#REF!,COM_Cadastro!#REF!),"")</f>
        <v/>
      </c>
      <c r="D57" s="650" t="s">
        <v>733</v>
      </c>
      <c r="E57" s="660" t="s">
        <v>377</v>
      </c>
      <c r="F57" s="661" t="s">
        <v>374</v>
      </c>
      <c r="G57" s="662" t="s">
        <v>549</v>
      </c>
      <c r="H57" s="659">
        <v>1622</v>
      </c>
      <c r="I57" s="659">
        <v>107</v>
      </c>
      <c r="J57" s="659">
        <v>390</v>
      </c>
      <c r="K57" s="659">
        <v>585</v>
      </c>
      <c r="L57" s="643">
        <f t="shared" si="0"/>
        <v>2704</v>
      </c>
      <c r="M57" s="644">
        <f t="shared" si="9"/>
        <v>129.76</v>
      </c>
      <c r="N57" s="643">
        <f t="shared" si="10"/>
        <v>135.16666666666666</v>
      </c>
      <c r="O57" s="643">
        <f t="shared" si="11"/>
        <v>45.05555555555555</v>
      </c>
      <c r="P57" s="643">
        <f t="shared" si="12"/>
        <v>14.417777777777776</v>
      </c>
      <c r="Q57" s="455">
        <f t="shared" si="13"/>
        <v>135.16666666666666</v>
      </c>
      <c r="R57" s="455">
        <f t="shared" si="14"/>
        <v>10.813333333333333</v>
      </c>
      <c r="S57" s="643">
        <f t="shared" si="15"/>
        <v>340.61999999999995</v>
      </c>
      <c r="T57" s="643">
        <f t="shared" si="8"/>
        <v>3174.38</v>
      </c>
    </row>
    <row r="58" spans="2:20" ht="12.75" customHeight="1" x14ac:dyDescent="0.2">
      <c r="B58" s="638" t="s">
        <v>70</v>
      </c>
      <c r="C58" s="649" t="str">
        <f>IFERROR(_xlfn.XLOOKUP($G58,COM_Cadastro!#REF!,COM_Cadastro!#REF!),"")</f>
        <v/>
      </c>
      <c r="D58" s="650" t="s">
        <v>733</v>
      </c>
      <c r="E58" s="660" t="s">
        <v>377</v>
      </c>
      <c r="F58" s="661" t="s">
        <v>374</v>
      </c>
      <c r="G58" s="662" t="s">
        <v>562</v>
      </c>
      <c r="H58" s="659">
        <v>1780</v>
      </c>
      <c r="I58" s="659">
        <v>574</v>
      </c>
      <c r="J58" s="659">
        <v>462.8</v>
      </c>
      <c r="K58" s="659">
        <v>585</v>
      </c>
      <c r="L58" s="643">
        <f t="shared" si="0"/>
        <v>3401.8</v>
      </c>
      <c r="M58" s="644">
        <f t="shared" si="9"/>
        <v>142.4</v>
      </c>
      <c r="N58" s="643">
        <f t="shared" si="10"/>
        <v>148.33333333333334</v>
      </c>
      <c r="O58" s="643">
        <f t="shared" si="11"/>
        <v>49.44444444444445</v>
      </c>
      <c r="P58" s="643">
        <f t="shared" si="12"/>
        <v>15.822222222222225</v>
      </c>
      <c r="Q58" s="455">
        <f t="shared" si="13"/>
        <v>148.33333333333334</v>
      </c>
      <c r="R58" s="455">
        <f t="shared" si="14"/>
        <v>11.866666666666667</v>
      </c>
      <c r="S58" s="643">
        <f t="shared" si="15"/>
        <v>373.80000000000007</v>
      </c>
      <c r="T58" s="643">
        <f t="shared" si="8"/>
        <v>3918.0000000000005</v>
      </c>
    </row>
    <row r="59" spans="2:20" ht="12.75" customHeight="1" x14ac:dyDescent="0.2">
      <c r="B59" s="638" t="s">
        <v>70</v>
      </c>
      <c r="C59" s="639" t="str">
        <f>IFERROR(_xlfn.XLOOKUP($G59,COM_Cadastro!#REF!,COM_Cadastro!#REF!),"")</f>
        <v/>
      </c>
      <c r="D59" s="640" t="s">
        <v>733</v>
      </c>
      <c r="E59" s="656" t="s">
        <v>377</v>
      </c>
      <c r="F59" s="657" t="s">
        <v>374</v>
      </c>
      <c r="G59" s="658" t="s">
        <v>566</v>
      </c>
      <c r="H59" s="659">
        <v>1622</v>
      </c>
      <c r="I59" s="659">
        <v>84</v>
      </c>
      <c r="J59" s="659">
        <v>618.79999999999995</v>
      </c>
      <c r="K59" s="659">
        <v>585</v>
      </c>
      <c r="L59" s="643">
        <f t="shared" si="0"/>
        <v>2909.8</v>
      </c>
      <c r="M59" s="644">
        <f t="shared" si="9"/>
        <v>129.76</v>
      </c>
      <c r="N59" s="643">
        <f t="shared" si="10"/>
        <v>135.16666666666666</v>
      </c>
      <c r="O59" s="643">
        <f t="shared" si="11"/>
        <v>45.05555555555555</v>
      </c>
      <c r="P59" s="643">
        <f t="shared" si="12"/>
        <v>14.417777777777776</v>
      </c>
      <c r="Q59" s="455">
        <f t="shared" si="13"/>
        <v>135.16666666666666</v>
      </c>
      <c r="R59" s="455">
        <f t="shared" si="14"/>
        <v>10.813333333333333</v>
      </c>
      <c r="S59" s="643">
        <f t="shared" si="15"/>
        <v>340.61999999999995</v>
      </c>
      <c r="T59" s="643">
        <f t="shared" si="8"/>
        <v>3380.1800000000003</v>
      </c>
    </row>
    <row r="60" spans="2:20" ht="12.75" customHeight="1" x14ac:dyDescent="0.2">
      <c r="B60" s="638" t="s">
        <v>70</v>
      </c>
      <c r="C60" s="639" t="str">
        <f>IFERROR(_xlfn.XLOOKUP($G60,COM_Cadastro!#REF!,COM_Cadastro!#REF!),"")</f>
        <v/>
      </c>
      <c r="D60" s="640" t="s">
        <v>733</v>
      </c>
      <c r="E60" s="656" t="s">
        <v>377</v>
      </c>
      <c r="F60" s="657" t="s">
        <v>374</v>
      </c>
      <c r="G60" s="658" t="s">
        <v>604</v>
      </c>
      <c r="H60" s="659">
        <v>1622</v>
      </c>
      <c r="I60" s="659">
        <v>380</v>
      </c>
      <c r="J60" s="659">
        <v>728.78</v>
      </c>
      <c r="K60" s="659">
        <v>585</v>
      </c>
      <c r="L60" s="643">
        <f t="shared" si="0"/>
        <v>3315.7799999999997</v>
      </c>
      <c r="M60" s="644">
        <f t="shared" si="9"/>
        <v>129.76</v>
      </c>
      <c r="N60" s="643">
        <f t="shared" si="10"/>
        <v>135.16666666666666</v>
      </c>
      <c r="O60" s="643">
        <f t="shared" si="11"/>
        <v>45.05555555555555</v>
      </c>
      <c r="P60" s="643">
        <f t="shared" si="12"/>
        <v>14.417777777777776</v>
      </c>
      <c r="Q60" s="455">
        <f t="shared" si="13"/>
        <v>135.16666666666666</v>
      </c>
      <c r="R60" s="455">
        <f t="shared" si="14"/>
        <v>10.813333333333333</v>
      </c>
      <c r="S60" s="643">
        <f t="shared" si="15"/>
        <v>340.61999999999995</v>
      </c>
      <c r="T60" s="643">
        <f t="shared" si="8"/>
        <v>3786.16</v>
      </c>
    </row>
    <row r="61" spans="2:20" ht="12.75" customHeight="1" x14ac:dyDescent="0.2">
      <c r="B61" s="638" t="s">
        <v>70</v>
      </c>
      <c r="C61" s="639" t="str">
        <f>IFERROR(_xlfn.XLOOKUP($G61,COM_Cadastro!#REF!,COM_Cadastro!#REF!),"")</f>
        <v/>
      </c>
      <c r="D61" s="640" t="s">
        <v>733</v>
      </c>
      <c r="E61" s="656" t="s">
        <v>377</v>
      </c>
      <c r="F61" s="657" t="s">
        <v>374</v>
      </c>
      <c r="G61" s="658" t="s">
        <v>615</v>
      </c>
      <c r="H61" s="659">
        <v>1622</v>
      </c>
      <c r="I61" s="659">
        <v>107</v>
      </c>
      <c r="J61" s="659">
        <v>933.4</v>
      </c>
      <c r="K61" s="659">
        <v>585</v>
      </c>
      <c r="L61" s="643">
        <f t="shared" si="0"/>
        <v>3247.4</v>
      </c>
      <c r="M61" s="644">
        <f t="shared" si="9"/>
        <v>129.76</v>
      </c>
      <c r="N61" s="643">
        <f t="shared" si="10"/>
        <v>135.16666666666666</v>
      </c>
      <c r="O61" s="643">
        <f t="shared" si="11"/>
        <v>45.05555555555555</v>
      </c>
      <c r="P61" s="643">
        <f t="shared" si="12"/>
        <v>14.417777777777776</v>
      </c>
      <c r="Q61" s="455">
        <f t="shared" si="13"/>
        <v>135.16666666666666</v>
      </c>
      <c r="R61" s="455">
        <f t="shared" si="14"/>
        <v>10.813333333333333</v>
      </c>
      <c r="S61" s="643">
        <f t="shared" si="15"/>
        <v>340.61999999999995</v>
      </c>
      <c r="T61" s="643">
        <f t="shared" si="8"/>
        <v>3717.7799999999997</v>
      </c>
    </row>
    <row r="62" spans="2:20" ht="12.75" customHeight="1" x14ac:dyDescent="0.25">
      <c r="B62" s="663" t="s">
        <v>70</v>
      </c>
      <c r="C62" s="664" t="str">
        <f>IFERROR(_xlfn.XLOOKUP($G62,COM_Cadastro!#REF!,COM_Cadastro!#REF!),"")</f>
        <v/>
      </c>
      <c r="D62" s="665" t="s">
        <v>378</v>
      </c>
      <c r="E62" s="666" t="s">
        <v>378</v>
      </c>
      <c r="F62" s="665" t="s">
        <v>368</v>
      </c>
      <c r="G62" s="667" t="s">
        <v>380</v>
      </c>
      <c r="H62" s="668">
        <v>2439</v>
      </c>
      <c r="I62" s="669"/>
      <c r="J62" s="669"/>
      <c r="K62" s="669"/>
      <c r="L62" s="670">
        <f t="shared" si="0"/>
        <v>2439</v>
      </c>
      <c r="M62" s="670"/>
      <c r="N62" s="670"/>
      <c r="O62" s="670"/>
      <c r="P62" s="670"/>
      <c r="Q62" s="670"/>
      <c r="R62" s="670"/>
      <c r="S62" s="670"/>
      <c r="T62" s="670">
        <f t="shared" si="8"/>
        <v>2439</v>
      </c>
    </row>
    <row r="63" spans="2:20" ht="12.75" customHeight="1" x14ac:dyDescent="0.25">
      <c r="B63" s="663" t="s">
        <v>70</v>
      </c>
      <c r="C63" s="664" t="str">
        <f>IFERROR(_xlfn.XLOOKUP($G63,COM_Cadastro!#REF!,COM_Cadastro!#REF!),"")</f>
        <v/>
      </c>
      <c r="D63" s="665" t="s">
        <v>378</v>
      </c>
      <c r="E63" s="666" t="s">
        <v>378</v>
      </c>
      <c r="F63" s="665" t="s">
        <v>368</v>
      </c>
      <c r="G63" s="667" t="s">
        <v>744</v>
      </c>
      <c r="H63" s="668">
        <v>2070</v>
      </c>
      <c r="I63" s="663"/>
      <c r="J63" s="663"/>
      <c r="K63" s="663"/>
      <c r="L63" s="670">
        <f t="shared" si="0"/>
        <v>2070</v>
      </c>
      <c r="M63" s="671"/>
      <c r="N63" s="672"/>
      <c r="O63" s="672"/>
      <c r="P63" s="672"/>
      <c r="Q63" s="671"/>
      <c r="R63" s="671"/>
      <c r="S63" s="671"/>
      <c r="T63" s="670">
        <f t="shared" si="8"/>
        <v>2070</v>
      </c>
    </row>
    <row r="64" spans="2:20" ht="12.75" customHeight="1" x14ac:dyDescent="0.25">
      <c r="B64" s="663" t="s">
        <v>70</v>
      </c>
      <c r="C64" s="664" t="str">
        <f>IFERROR(_xlfn.XLOOKUP($G64,COM_Cadastro!#REF!,COM_Cadastro!#REF!),"")</f>
        <v/>
      </c>
      <c r="D64" s="665" t="s">
        <v>378</v>
      </c>
      <c r="E64" s="666" t="s">
        <v>378</v>
      </c>
      <c r="F64" s="665" t="s">
        <v>368</v>
      </c>
      <c r="G64" s="667" t="s">
        <v>745</v>
      </c>
      <c r="H64" s="668">
        <v>2910</v>
      </c>
      <c r="I64" s="663"/>
      <c r="J64" s="663"/>
      <c r="K64" s="663"/>
      <c r="L64" s="670">
        <f t="shared" si="0"/>
        <v>2910</v>
      </c>
      <c r="M64" s="671"/>
      <c r="N64" s="672"/>
      <c r="O64" s="672"/>
      <c r="P64" s="672"/>
      <c r="Q64" s="671"/>
      <c r="R64" s="671"/>
      <c r="S64" s="671"/>
      <c r="T64" s="670">
        <f t="shared" si="8"/>
        <v>2910</v>
      </c>
    </row>
    <row r="65" spans="2:20" ht="12.75" customHeight="1" x14ac:dyDescent="0.25">
      <c r="B65" s="663" t="s">
        <v>70</v>
      </c>
      <c r="C65" s="673" t="str">
        <f>IFERROR(_xlfn.XLOOKUP($G65,COM_Cadastro!#REF!,COM_Cadastro!#REF!),"")</f>
        <v/>
      </c>
      <c r="D65" s="674" t="s">
        <v>378</v>
      </c>
      <c r="E65" s="675" t="s">
        <v>378</v>
      </c>
      <c r="F65" s="674" t="s">
        <v>368</v>
      </c>
      <c r="G65" s="663" t="s">
        <v>389</v>
      </c>
      <c r="H65" s="668">
        <v>1586</v>
      </c>
      <c r="I65" s="663"/>
      <c r="J65" s="663"/>
      <c r="K65" s="663"/>
      <c r="L65" s="670">
        <f t="shared" si="0"/>
        <v>1586</v>
      </c>
      <c r="M65" s="671"/>
      <c r="N65" s="672"/>
      <c r="O65" s="672"/>
      <c r="P65" s="672"/>
      <c r="Q65" s="671"/>
      <c r="R65" s="671"/>
      <c r="S65" s="671"/>
      <c r="T65" s="670">
        <f t="shared" si="8"/>
        <v>1586</v>
      </c>
    </row>
    <row r="66" spans="2:20" ht="12.75" customHeight="1" x14ac:dyDescent="0.25">
      <c r="B66" s="663" t="s">
        <v>70</v>
      </c>
      <c r="C66" s="673" t="str">
        <f>IFERROR(_xlfn.XLOOKUP($G66,COM_Cadastro!#REF!,COM_Cadastro!#REF!),"")</f>
        <v/>
      </c>
      <c r="D66" s="674" t="s">
        <v>378</v>
      </c>
      <c r="E66" s="675" t="s">
        <v>378</v>
      </c>
      <c r="F66" s="674" t="s">
        <v>368</v>
      </c>
      <c r="G66" s="663" t="s">
        <v>393</v>
      </c>
      <c r="H66" s="668">
        <v>2852</v>
      </c>
      <c r="I66" s="663"/>
      <c r="J66" s="663"/>
      <c r="K66" s="663"/>
      <c r="L66" s="670">
        <f t="shared" si="0"/>
        <v>2852</v>
      </c>
      <c r="M66" s="671"/>
      <c r="N66" s="672"/>
      <c r="O66" s="672"/>
      <c r="P66" s="672"/>
      <c r="Q66" s="671"/>
      <c r="R66" s="671"/>
      <c r="S66" s="671"/>
      <c r="T66" s="670">
        <f t="shared" si="8"/>
        <v>2852</v>
      </c>
    </row>
    <row r="67" spans="2:20" ht="12.75" customHeight="1" x14ac:dyDescent="0.25">
      <c r="B67" s="663" t="s">
        <v>70</v>
      </c>
      <c r="C67" s="673" t="str">
        <f>IFERROR(_xlfn.XLOOKUP($G67,COM_Cadastro!#REF!,COM_Cadastro!#REF!),"")</f>
        <v/>
      </c>
      <c r="D67" s="674" t="s">
        <v>378</v>
      </c>
      <c r="E67" s="675" t="s">
        <v>378</v>
      </c>
      <c r="F67" s="674" t="s">
        <v>368</v>
      </c>
      <c r="G67" s="663" t="s">
        <v>394</v>
      </c>
      <c r="H67" s="668">
        <v>1440</v>
      </c>
      <c r="I67" s="663"/>
      <c r="J67" s="663"/>
      <c r="K67" s="663"/>
      <c r="L67" s="670">
        <f t="shared" ref="L67:L130" si="16">SUM(H67:K67)</f>
        <v>1440</v>
      </c>
      <c r="M67" s="671"/>
      <c r="N67" s="672"/>
      <c r="O67" s="672"/>
      <c r="P67" s="672"/>
      <c r="Q67" s="671"/>
      <c r="R67" s="671"/>
      <c r="S67" s="671"/>
      <c r="T67" s="670">
        <f t="shared" ref="T67:T130" si="17">L67+M67+S67</f>
        <v>1440</v>
      </c>
    </row>
    <row r="68" spans="2:20" ht="12.75" customHeight="1" x14ac:dyDescent="0.25">
      <c r="B68" s="663" t="s">
        <v>70</v>
      </c>
      <c r="C68" s="664" t="str">
        <f>IFERROR(_xlfn.XLOOKUP($G68,COM_Cadastro!#REF!,COM_Cadastro!#REF!),"")</f>
        <v/>
      </c>
      <c r="D68" s="665" t="s">
        <v>378</v>
      </c>
      <c r="E68" s="666" t="s">
        <v>378</v>
      </c>
      <c r="F68" s="665" t="s">
        <v>368</v>
      </c>
      <c r="G68" s="667" t="s">
        <v>746</v>
      </c>
      <c r="H68" s="668">
        <v>708</v>
      </c>
      <c r="I68" s="663"/>
      <c r="J68" s="663"/>
      <c r="K68" s="663"/>
      <c r="L68" s="670">
        <f t="shared" si="16"/>
        <v>708</v>
      </c>
      <c r="M68" s="671"/>
      <c r="N68" s="672"/>
      <c r="O68" s="672"/>
      <c r="P68" s="672"/>
      <c r="Q68" s="671"/>
      <c r="R68" s="671"/>
      <c r="S68" s="671"/>
      <c r="T68" s="670">
        <f t="shared" si="17"/>
        <v>708</v>
      </c>
    </row>
    <row r="69" spans="2:20" ht="12.75" customHeight="1" x14ac:dyDescent="0.25">
      <c r="B69" s="663" t="s">
        <v>70</v>
      </c>
      <c r="C69" s="673" t="str">
        <f>IFERROR(_xlfn.XLOOKUP($G69,COM_Cadastro!#REF!,COM_Cadastro!#REF!),"")</f>
        <v/>
      </c>
      <c r="D69" s="674" t="s">
        <v>378</v>
      </c>
      <c r="E69" s="675" t="s">
        <v>378</v>
      </c>
      <c r="F69" s="674" t="s">
        <v>368</v>
      </c>
      <c r="G69" s="663" t="s">
        <v>398</v>
      </c>
      <c r="H69" s="668">
        <v>2641</v>
      </c>
      <c r="I69" s="663"/>
      <c r="J69" s="663"/>
      <c r="K69" s="663"/>
      <c r="L69" s="670">
        <f t="shared" si="16"/>
        <v>2641</v>
      </c>
      <c r="M69" s="671"/>
      <c r="N69" s="672"/>
      <c r="O69" s="672"/>
      <c r="P69" s="672"/>
      <c r="Q69" s="671"/>
      <c r="R69" s="671"/>
      <c r="S69" s="671"/>
      <c r="T69" s="670">
        <f t="shared" si="17"/>
        <v>2641</v>
      </c>
    </row>
    <row r="70" spans="2:20" ht="12.75" customHeight="1" x14ac:dyDescent="0.2">
      <c r="B70" s="663" t="s">
        <v>70</v>
      </c>
      <c r="C70" s="664" t="str">
        <f>IFERROR(_xlfn.XLOOKUP($G70,COM_Cadastro!#REF!,COM_Cadastro!#REF!),"")</f>
        <v/>
      </c>
      <c r="D70" s="665" t="s">
        <v>378</v>
      </c>
      <c r="E70" s="676" t="s">
        <v>378</v>
      </c>
      <c r="F70" s="677" t="s">
        <v>368</v>
      </c>
      <c r="G70" s="678" t="s">
        <v>747</v>
      </c>
      <c r="H70" s="679">
        <v>2870</v>
      </c>
      <c r="I70" s="663"/>
      <c r="J70" s="663"/>
      <c r="K70" s="663"/>
      <c r="L70" s="670">
        <f t="shared" si="16"/>
        <v>2870</v>
      </c>
      <c r="M70" s="671"/>
      <c r="N70" s="672"/>
      <c r="O70" s="672"/>
      <c r="P70" s="672"/>
      <c r="Q70" s="671"/>
      <c r="R70" s="671"/>
      <c r="S70" s="671"/>
      <c r="T70" s="670">
        <f t="shared" si="17"/>
        <v>2870</v>
      </c>
    </row>
    <row r="71" spans="2:20" ht="12.75" customHeight="1" x14ac:dyDescent="0.2">
      <c r="B71" s="663" t="s">
        <v>70</v>
      </c>
      <c r="C71" s="673" t="str">
        <f>IFERROR(_xlfn.XLOOKUP($G71,COM_Cadastro!#REF!,COM_Cadastro!#REF!),"")</f>
        <v/>
      </c>
      <c r="D71" s="674" t="s">
        <v>378</v>
      </c>
      <c r="E71" s="680" t="s">
        <v>378</v>
      </c>
      <c r="F71" s="681" t="s">
        <v>368</v>
      </c>
      <c r="G71" s="682" t="s">
        <v>404</v>
      </c>
      <c r="H71" s="679">
        <v>4093</v>
      </c>
      <c r="I71" s="663"/>
      <c r="J71" s="663"/>
      <c r="K71" s="663"/>
      <c r="L71" s="670">
        <f t="shared" si="16"/>
        <v>4093</v>
      </c>
      <c r="M71" s="671"/>
      <c r="N71" s="672"/>
      <c r="O71" s="672"/>
      <c r="P71" s="672"/>
      <c r="Q71" s="671"/>
      <c r="R71" s="671"/>
      <c r="S71" s="671"/>
      <c r="T71" s="670">
        <f t="shared" si="17"/>
        <v>4093</v>
      </c>
    </row>
    <row r="72" spans="2:20" ht="12.75" customHeight="1" x14ac:dyDescent="0.2">
      <c r="B72" s="663" t="s">
        <v>70</v>
      </c>
      <c r="C72" s="664" t="str">
        <f>IFERROR(_xlfn.XLOOKUP($G72,COM_Cadastro!#REF!,COM_Cadastro!#REF!),"")</f>
        <v/>
      </c>
      <c r="D72" s="665" t="s">
        <v>378</v>
      </c>
      <c r="E72" s="676" t="s">
        <v>378</v>
      </c>
      <c r="F72" s="677" t="s">
        <v>368</v>
      </c>
      <c r="G72" s="678" t="s">
        <v>748</v>
      </c>
      <c r="H72" s="679">
        <v>2564</v>
      </c>
      <c r="I72" s="663"/>
      <c r="J72" s="663"/>
      <c r="K72" s="663"/>
      <c r="L72" s="670">
        <f t="shared" si="16"/>
        <v>2564</v>
      </c>
      <c r="M72" s="671"/>
      <c r="N72" s="672"/>
      <c r="O72" s="672"/>
      <c r="P72" s="672"/>
      <c r="Q72" s="671"/>
      <c r="R72" s="671"/>
      <c r="S72" s="671"/>
      <c r="T72" s="670">
        <f t="shared" si="17"/>
        <v>2564</v>
      </c>
    </row>
    <row r="73" spans="2:20" ht="12.75" customHeight="1" x14ac:dyDescent="0.2">
      <c r="B73" s="663" t="s">
        <v>70</v>
      </c>
      <c r="C73" s="664" t="str">
        <f>IFERROR(_xlfn.XLOOKUP($G73,COM_Cadastro!#REF!,COM_Cadastro!#REF!),"")</f>
        <v/>
      </c>
      <c r="D73" s="665" t="s">
        <v>378</v>
      </c>
      <c r="E73" s="676" t="s">
        <v>378</v>
      </c>
      <c r="F73" s="677" t="s">
        <v>368</v>
      </c>
      <c r="G73" s="678" t="s">
        <v>749</v>
      </c>
      <c r="H73" s="679">
        <v>1980</v>
      </c>
      <c r="I73" s="663"/>
      <c r="J73" s="663"/>
      <c r="K73" s="663"/>
      <c r="L73" s="670">
        <f t="shared" si="16"/>
        <v>1980</v>
      </c>
      <c r="M73" s="671"/>
      <c r="N73" s="672"/>
      <c r="O73" s="672"/>
      <c r="P73" s="672"/>
      <c r="Q73" s="671"/>
      <c r="R73" s="671"/>
      <c r="S73" s="671"/>
      <c r="T73" s="670">
        <f t="shared" si="17"/>
        <v>1980</v>
      </c>
    </row>
    <row r="74" spans="2:20" ht="12.75" customHeight="1" x14ac:dyDescent="0.2">
      <c r="B74" s="663" t="s">
        <v>70</v>
      </c>
      <c r="C74" s="673" t="str">
        <f>IFERROR(_xlfn.XLOOKUP($G74,COM_Cadastro!#REF!,COM_Cadastro!#REF!),"")</f>
        <v/>
      </c>
      <c r="D74" s="674" t="s">
        <v>378</v>
      </c>
      <c r="E74" s="680" t="s">
        <v>378</v>
      </c>
      <c r="F74" s="681" t="s">
        <v>368</v>
      </c>
      <c r="G74" s="682" t="s">
        <v>425</v>
      </c>
      <c r="H74" s="679">
        <v>2420</v>
      </c>
      <c r="I74" s="663"/>
      <c r="J74" s="663"/>
      <c r="K74" s="663"/>
      <c r="L74" s="670">
        <f t="shared" si="16"/>
        <v>2420</v>
      </c>
      <c r="M74" s="671"/>
      <c r="N74" s="672"/>
      <c r="O74" s="672"/>
      <c r="P74" s="672"/>
      <c r="Q74" s="671"/>
      <c r="R74" s="671"/>
      <c r="S74" s="671"/>
      <c r="T74" s="670">
        <f t="shared" si="17"/>
        <v>2420</v>
      </c>
    </row>
    <row r="75" spans="2:20" ht="12.75" customHeight="1" x14ac:dyDescent="0.2">
      <c r="B75" s="663" t="s">
        <v>70</v>
      </c>
      <c r="C75" s="673" t="str">
        <f>IFERROR(_xlfn.XLOOKUP($G75,COM_Cadastro!#REF!,COM_Cadastro!#REF!),"")</f>
        <v/>
      </c>
      <c r="D75" s="674" t="s">
        <v>378</v>
      </c>
      <c r="E75" s="680" t="s">
        <v>378</v>
      </c>
      <c r="F75" s="681" t="s">
        <v>368</v>
      </c>
      <c r="G75" s="682" t="s">
        <v>429</v>
      </c>
      <c r="H75" s="679">
        <v>2055</v>
      </c>
      <c r="I75" s="663"/>
      <c r="J75" s="663"/>
      <c r="K75" s="663"/>
      <c r="L75" s="670">
        <f t="shared" si="16"/>
        <v>2055</v>
      </c>
      <c r="M75" s="671"/>
      <c r="N75" s="672"/>
      <c r="O75" s="672"/>
      <c r="P75" s="672"/>
      <c r="Q75" s="671"/>
      <c r="R75" s="671"/>
      <c r="S75" s="671"/>
      <c r="T75" s="670">
        <f t="shared" si="17"/>
        <v>2055</v>
      </c>
    </row>
    <row r="76" spans="2:20" ht="12.75" customHeight="1" x14ac:dyDescent="0.2">
      <c r="B76" s="663" t="s">
        <v>70</v>
      </c>
      <c r="C76" s="664" t="str">
        <f>IFERROR(_xlfn.XLOOKUP($G76,COM_Cadastro!#REF!,COM_Cadastro!#REF!),"")</f>
        <v/>
      </c>
      <c r="D76" s="665" t="s">
        <v>378</v>
      </c>
      <c r="E76" s="676" t="s">
        <v>378</v>
      </c>
      <c r="F76" s="677" t="s">
        <v>368</v>
      </c>
      <c r="G76" s="678" t="s">
        <v>434</v>
      </c>
      <c r="H76" s="679">
        <v>4572</v>
      </c>
      <c r="I76" s="663"/>
      <c r="J76" s="663"/>
      <c r="K76" s="663"/>
      <c r="L76" s="670">
        <f t="shared" si="16"/>
        <v>4572</v>
      </c>
      <c r="M76" s="671"/>
      <c r="N76" s="672"/>
      <c r="O76" s="672"/>
      <c r="P76" s="672"/>
      <c r="Q76" s="671"/>
      <c r="R76" s="671"/>
      <c r="S76" s="671"/>
      <c r="T76" s="670">
        <f t="shared" si="17"/>
        <v>4572</v>
      </c>
    </row>
    <row r="77" spans="2:20" ht="12.75" customHeight="1" x14ac:dyDescent="0.2">
      <c r="B77" s="663" t="s">
        <v>70</v>
      </c>
      <c r="C77" s="673" t="str">
        <f>IFERROR(_xlfn.XLOOKUP($G77,COM_Cadastro!#REF!,COM_Cadastro!#REF!),"")</f>
        <v/>
      </c>
      <c r="D77" s="674" t="s">
        <v>378</v>
      </c>
      <c r="E77" s="680" t="s">
        <v>378</v>
      </c>
      <c r="F77" s="681" t="s">
        <v>368</v>
      </c>
      <c r="G77" s="682" t="s">
        <v>436</v>
      </c>
      <c r="H77" s="679">
        <v>1685</v>
      </c>
      <c r="I77" s="663"/>
      <c r="J77" s="663"/>
      <c r="K77" s="663"/>
      <c r="L77" s="670">
        <f t="shared" si="16"/>
        <v>1685</v>
      </c>
      <c r="M77" s="671"/>
      <c r="N77" s="672"/>
      <c r="O77" s="672"/>
      <c r="P77" s="672"/>
      <c r="Q77" s="671"/>
      <c r="R77" s="671"/>
      <c r="S77" s="671"/>
      <c r="T77" s="670">
        <f t="shared" si="17"/>
        <v>1685</v>
      </c>
    </row>
    <row r="78" spans="2:20" ht="12.75" customHeight="1" x14ac:dyDescent="0.2">
      <c r="B78" s="663" t="s">
        <v>70</v>
      </c>
      <c r="C78" s="664" t="str">
        <f>IFERROR(_xlfn.XLOOKUP($G78,COM_Cadastro!#REF!,COM_Cadastro!#REF!),"")</f>
        <v/>
      </c>
      <c r="D78" s="665" t="s">
        <v>378</v>
      </c>
      <c r="E78" s="676" t="s">
        <v>378</v>
      </c>
      <c r="F78" s="677" t="s">
        <v>368</v>
      </c>
      <c r="G78" s="678" t="s">
        <v>750</v>
      </c>
      <c r="H78" s="679">
        <v>2990</v>
      </c>
      <c r="I78" s="663"/>
      <c r="J78" s="663"/>
      <c r="K78" s="663"/>
      <c r="L78" s="670">
        <f t="shared" si="16"/>
        <v>2990</v>
      </c>
      <c r="M78" s="671"/>
      <c r="N78" s="672"/>
      <c r="O78" s="672"/>
      <c r="P78" s="672"/>
      <c r="Q78" s="671"/>
      <c r="R78" s="671"/>
      <c r="S78" s="671"/>
      <c r="T78" s="670">
        <f t="shared" si="17"/>
        <v>2990</v>
      </c>
    </row>
    <row r="79" spans="2:20" ht="12.75" customHeight="1" x14ac:dyDescent="0.2">
      <c r="B79" s="663" t="s">
        <v>70</v>
      </c>
      <c r="C79" s="673" t="str">
        <f>IFERROR(_xlfn.XLOOKUP($G79,COM_Cadastro!#REF!,COM_Cadastro!#REF!),"")</f>
        <v/>
      </c>
      <c r="D79" s="674" t="s">
        <v>378</v>
      </c>
      <c r="E79" s="680" t="s">
        <v>378</v>
      </c>
      <c r="F79" s="681" t="s">
        <v>368</v>
      </c>
      <c r="G79" s="682" t="s">
        <v>442</v>
      </c>
      <c r="H79" s="679">
        <v>2784</v>
      </c>
      <c r="I79" s="663"/>
      <c r="J79" s="663"/>
      <c r="K79" s="663"/>
      <c r="L79" s="670">
        <f t="shared" si="16"/>
        <v>2784</v>
      </c>
      <c r="M79" s="671"/>
      <c r="N79" s="672"/>
      <c r="O79" s="672"/>
      <c r="P79" s="672"/>
      <c r="Q79" s="671"/>
      <c r="R79" s="671"/>
      <c r="S79" s="671"/>
      <c r="T79" s="670">
        <f t="shared" si="17"/>
        <v>2784</v>
      </c>
    </row>
    <row r="80" spans="2:20" ht="12.75" customHeight="1" x14ac:dyDescent="0.2">
      <c r="B80" s="663" t="s">
        <v>70</v>
      </c>
      <c r="C80" s="673" t="str">
        <f>IFERROR(_xlfn.XLOOKUP($G80,COM_Cadastro!#REF!,COM_Cadastro!#REF!),"")</f>
        <v/>
      </c>
      <c r="D80" s="674" t="s">
        <v>378</v>
      </c>
      <c r="E80" s="680" t="s">
        <v>378</v>
      </c>
      <c r="F80" s="681" t="s">
        <v>368</v>
      </c>
      <c r="G80" s="682" t="s">
        <v>445</v>
      </c>
      <c r="H80" s="679">
        <v>2490</v>
      </c>
      <c r="I80" s="663"/>
      <c r="J80" s="663"/>
      <c r="K80" s="663"/>
      <c r="L80" s="670">
        <f t="shared" si="16"/>
        <v>2490</v>
      </c>
      <c r="M80" s="671"/>
      <c r="N80" s="672"/>
      <c r="O80" s="672"/>
      <c r="P80" s="672"/>
      <c r="Q80" s="671"/>
      <c r="R80" s="671"/>
      <c r="S80" s="671"/>
      <c r="T80" s="670">
        <f t="shared" si="17"/>
        <v>2490</v>
      </c>
    </row>
    <row r="81" spans="2:20" ht="12.75" customHeight="1" x14ac:dyDescent="0.2">
      <c r="B81" s="663" t="s">
        <v>70</v>
      </c>
      <c r="C81" s="664" t="str">
        <f>IFERROR(_xlfn.XLOOKUP($G81,COM_Cadastro!#REF!,COM_Cadastro!#REF!),"")</f>
        <v/>
      </c>
      <c r="D81" s="665" t="s">
        <v>378</v>
      </c>
      <c r="E81" s="676" t="s">
        <v>378</v>
      </c>
      <c r="F81" s="677" t="s">
        <v>368</v>
      </c>
      <c r="G81" s="678" t="s">
        <v>449</v>
      </c>
      <c r="H81" s="679">
        <v>2253</v>
      </c>
      <c r="I81" s="663"/>
      <c r="J81" s="663"/>
      <c r="K81" s="663"/>
      <c r="L81" s="670">
        <f t="shared" si="16"/>
        <v>2253</v>
      </c>
      <c r="M81" s="671"/>
      <c r="N81" s="672"/>
      <c r="O81" s="672"/>
      <c r="P81" s="672"/>
      <c r="Q81" s="671"/>
      <c r="R81" s="671"/>
      <c r="S81" s="671"/>
      <c r="T81" s="670">
        <f t="shared" si="17"/>
        <v>2253</v>
      </c>
    </row>
    <row r="82" spans="2:20" ht="12.75" customHeight="1" x14ac:dyDescent="0.2">
      <c r="B82" s="663" t="s">
        <v>70</v>
      </c>
      <c r="C82" s="673" t="str">
        <f>IFERROR(_xlfn.XLOOKUP($G82,COM_Cadastro!#REF!,COM_Cadastro!#REF!),"")</f>
        <v/>
      </c>
      <c r="D82" s="674" t="s">
        <v>378</v>
      </c>
      <c r="E82" s="680" t="s">
        <v>378</v>
      </c>
      <c r="F82" s="681" t="s">
        <v>368</v>
      </c>
      <c r="G82" s="682" t="s">
        <v>454</v>
      </c>
      <c r="H82" s="679">
        <v>2040</v>
      </c>
      <c r="I82" s="663"/>
      <c r="J82" s="663"/>
      <c r="K82" s="663"/>
      <c r="L82" s="670">
        <f t="shared" si="16"/>
        <v>2040</v>
      </c>
      <c r="M82" s="671"/>
      <c r="N82" s="672"/>
      <c r="O82" s="672"/>
      <c r="P82" s="672"/>
      <c r="Q82" s="671"/>
      <c r="R82" s="671"/>
      <c r="S82" s="671"/>
      <c r="T82" s="670">
        <f t="shared" si="17"/>
        <v>2040</v>
      </c>
    </row>
    <row r="83" spans="2:20" ht="12.75" customHeight="1" x14ac:dyDescent="0.2">
      <c r="B83" s="663" t="s">
        <v>70</v>
      </c>
      <c r="C83" s="664" t="str">
        <f>IFERROR(_xlfn.XLOOKUP($G83,COM_Cadastro!#REF!,COM_Cadastro!#REF!),"")</f>
        <v/>
      </c>
      <c r="D83" s="665" t="s">
        <v>378</v>
      </c>
      <c r="E83" s="676" t="s">
        <v>378</v>
      </c>
      <c r="F83" s="677" t="s">
        <v>368</v>
      </c>
      <c r="G83" s="678" t="s">
        <v>458</v>
      </c>
      <c r="H83" s="679">
        <v>811</v>
      </c>
      <c r="I83" s="663"/>
      <c r="J83" s="663"/>
      <c r="K83" s="663"/>
      <c r="L83" s="670">
        <f t="shared" si="16"/>
        <v>811</v>
      </c>
      <c r="M83" s="671"/>
      <c r="N83" s="672"/>
      <c r="O83" s="672"/>
      <c r="P83" s="672"/>
      <c r="Q83" s="671"/>
      <c r="R83" s="671"/>
      <c r="S83" s="671"/>
      <c r="T83" s="670">
        <f t="shared" si="17"/>
        <v>811</v>
      </c>
    </row>
    <row r="84" spans="2:20" ht="12.75" customHeight="1" x14ac:dyDescent="0.2">
      <c r="B84" s="663" t="s">
        <v>70</v>
      </c>
      <c r="C84" s="664" t="str">
        <f>IFERROR(_xlfn.XLOOKUP($G84,COM_Cadastro!#REF!,COM_Cadastro!#REF!),"")</f>
        <v/>
      </c>
      <c r="D84" s="665" t="s">
        <v>378</v>
      </c>
      <c r="E84" s="676" t="s">
        <v>378</v>
      </c>
      <c r="F84" s="677" t="s">
        <v>368</v>
      </c>
      <c r="G84" s="678" t="s">
        <v>468</v>
      </c>
      <c r="H84" s="679">
        <v>1691</v>
      </c>
      <c r="I84" s="663"/>
      <c r="J84" s="663"/>
      <c r="K84" s="663"/>
      <c r="L84" s="670">
        <f t="shared" si="16"/>
        <v>1691</v>
      </c>
      <c r="M84" s="671"/>
      <c r="N84" s="672"/>
      <c r="O84" s="672"/>
      <c r="P84" s="672"/>
      <c r="Q84" s="671"/>
      <c r="R84" s="671"/>
      <c r="S84" s="671"/>
      <c r="T84" s="670">
        <f t="shared" si="17"/>
        <v>1691</v>
      </c>
    </row>
    <row r="85" spans="2:20" ht="12.75" customHeight="1" x14ac:dyDescent="0.2">
      <c r="B85" s="663" t="s">
        <v>70</v>
      </c>
      <c r="C85" s="673" t="str">
        <f>IFERROR(_xlfn.XLOOKUP($G85,COM_Cadastro!#REF!,COM_Cadastro!#REF!),"")</f>
        <v/>
      </c>
      <c r="D85" s="674" t="s">
        <v>378</v>
      </c>
      <c r="E85" s="680" t="s">
        <v>378</v>
      </c>
      <c r="F85" s="681" t="s">
        <v>368</v>
      </c>
      <c r="G85" s="682" t="s">
        <v>472</v>
      </c>
      <c r="H85" s="679">
        <v>1025</v>
      </c>
      <c r="I85" s="663"/>
      <c r="J85" s="663"/>
      <c r="K85" s="663"/>
      <c r="L85" s="670">
        <f t="shared" si="16"/>
        <v>1025</v>
      </c>
      <c r="M85" s="671"/>
      <c r="N85" s="672"/>
      <c r="O85" s="672"/>
      <c r="P85" s="672"/>
      <c r="Q85" s="671"/>
      <c r="R85" s="671"/>
      <c r="S85" s="671"/>
      <c r="T85" s="670">
        <f t="shared" si="17"/>
        <v>1025</v>
      </c>
    </row>
    <row r="86" spans="2:20" ht="12.75" customHeight="1" x14ac:dyDescent="0.2">
      <c r="B86" s="663" t="s">
        <v>70</v>
      </c>
      <c r="C86" s="664" t="str">
        <f>IFERROR(_xlfn.XLOOKUP($G86,COM_Cadastro!#REF!,COM_Cadastro!#REF!),"")</f>
        <v/>
      </c>
      <c r="D86" s="665" t="s">
        <v>378</v>
      </c>
      <c r="E86" s="676" t="s">
        <v>378</v>
      </c>
      <c r="F86" s="677" t="s">
        <v>368</v>
      </c>
      <c r="G86" s="678" t="s">
        <v>751</v>
      </c>
      <c r="H86" s="679">
        <v>2640</v>
      </c>
      <c r="I86" s="663"/>
      <c r="J86" s="663"/>
      <c r="K86" s="663"/>
      <c r="L86" s="670">
        <f t="shared" si="16"/>
        <v>2640</v>
      </c>
      <c r="M86" s="671"/>
      <c r="N86" s="672"/>
      <c r="O86" s="672"/>
      <c r="P86" s="672"/>
      <c r="Q86" s="671"/>
      <c r="R86" s="671"/>
      <c r="S86" s="671"/>
      <c r="T86" s="670">
        <f t="shared" si="17"/>
        <v>2640</v>
      </c>
    </row>
    <row r="87" spans="2:20" ht="12.75" customHeight="1" x14ac:dyDescent="0.2">
      <c r="B87" s="663" t="s">
        <v>70</v>
      </c>
      <c r="C87" s="664" t="str">
        <f>IFERROR(_xlfn.XLOOKUP($G87,COM_Cadastro!#REF!,COM_Cadastro!#REF!),"")</f>
        <v/>
      </c>
      <c r="D87" s="665" t="s">
        <v>378</v>
      </c>
      <c r="E87" s="676" t="s">
        <v>378</v>
      </c>
      <c r="F87" s="677" t="s">
        <v>368</v>
      </c>
      <c r="G87" s="678" t="s">
        <v>752</v>
      </c>
      <c r="H87" s="679">
        <v>2195</v>
      </c>
      <c r="I87" s="663"/>
      <c r="J87" s="663"/>
      <c r="K87" s="663"/>
      <c r="L87" s="670">
        <f t="shared" si="16"/>
        <v>2195</v>
      </c>
      <c r="M87" s="671"/>
      <c r="N87" s="672"/>
      <c r="O87" s="672"/>
      <c r="P87" s="672"/>
      <c r="Q87" s="671"/>
      <c r="R87" s="671"/>
      <c r="S87" s="671"/>
      <c r="T87" s="670">
        <f t="shared" si="17"/>
        <v>2195</v>
      </c>
    </row>
    <row r="88" spans="2:20" ht="12.75" customHeight="1" x14ac:dyDescent="0.2">
      <c r="B88" s="663" t="s">
        <v>70</v>
      </c>
      <c r="C88" s="664" t="str">
        <f>IFERROR(_xlfn.XLOOKUP($G88,COM_Cadastro!#REF!,COM_Cadastro!#REF!),"")</f>
        <v/>
      </c>
      <c r="D88" s="665" t="s">
        <v>378</v>
      </c>
      <c r="E88" s="676" t="s">
        <v>378</v>
      </c>
      <c r="F88" s="677" t="s">
        <v>368</v>
      </c>
      <c r="G88" s="678" t="s">
        <v>753</v>
      </c>
      <c r="H88" s="679">
        <v>3680</v>
      </c>
      <c r="I88" s="663"/>
      <c r="J88" s="663"/>
      <c r="K88" s="663"/>
      <c r="L88" s="670">
        <f t="shared" si="16"/>
        <v>3680</v>
      </c>
      <c r="M88" s="671"/>
      <c r="N88" s="672"/>
      <c r="O88" s="672"/>
      <c r="P88" s="672"/>
      <c r="Q88" s="671"/>
      <c r="R88" s="671"/>
      <c r="S88" s="671"/>
      <c r="T88" s="670">
        <f t="shared" si="17"/>
        <v>3680</v>
      </c>
    </row>
    <row r="89" spans="2:20" ht="12.75" customHeight="1" x14ac:dyDescent="0.2">
      <c r="B89" s="663" t="s">
        <v>70</v>
      </c>
      <c r="C89" s="664" t="str">
        <f>IFERROR(_xlfn.XLOOKUP($G89,COM_Cadastro!#REF!,COM_Cadastro!#REF!),"")</f>
        <v/>
      </c>
      <c r="D89" s="665" t="s">
        <v>378</v>
      </c>
      <c r="E89" s="676" t="s">
        <v>378</v>
      </c>
      <c r="F89" s="677" t="s">
        <v>368</v>
      </c>
      <c r="G89" s="678" t="s">
        <v>484</v>
      </c>
      <c r="H89" s="679">
        <v>1740</v>
      </c>
      <c r="I89" s="663"/>
      <c r="J89" s="663"/>
      <c r="K89" s="663"/>
      <c r="L89" s="670">
        <f t="shared" si="16"/>
        <v>1740</v>
      </c>
      <c r="M89" s="671"/>
      <c r="N89" s="672"/>
      <c r="O89" s="672"/>
      <c r="P89" s="672"/>
      <c r="Q89" s="671"/>
      <c r="R89" s="671"/>
      <c r="S89" s="671"/>
      <c r="T89" s="670">
        <f t="shared" si="17"/>
        <v>1740</v>
      </c>
    </row>
    <row r="90" spans="2:20" ht="12.75" customHeight="1" x14ac:dyDescent="0.2">
      <c r="B90" s="663" t="s">
        <v>70</v>
      </c>
      <c r="C90" s="673" t="str">
        <f>IFERROR(_xlfn.XLOOKUP($G90,COM_Cadastro!#REF!,COM_Cadastro!#REF!),"")</f>
        <v/>
      </c>
      <c r="D90" s="674" t="s">
        <v>378</v>
      </c>
      <c r="E90" s="680" t="s">
        <v>378</v>
      </c>
      <c r="F90" s="681" t="s">
        <v>368</v>
      </c>
      <c r="G90" s="682" t="s">
        <v>489</v>
      </c>
      <c r="H90" s="679">
        <v>1863</v>
      </c>
      <c r="I90" s="663"/>
      <c r="J90" s="663"/>
      <c r="K90" s="663"/>
      <c r="L90" s="670">
        <f t="shared" si="16"/>
        <v>1863</v>
      </c>
      <c r="M90" s="671"/>
      <c r="N90" s="672"/>
      <c r="O90" s="672"/>
      <c r="P90" s="672"/>
      <c r="Q90" s="671"/>
      <c r="R90" s="671"/>
      <c r="S90" s="671"/>
      <c r="T90" s="670">
        <f t="shared" si="17"/>
        <v>1863</v>
      </c>
    </row>
    <row r="91" spans="2:20" ht="12.75" customHeight="1" x14ac:dyDescent="0.2">
      <c r="B91" s="663" t="s">
        <v>70</v>
      </c>
      <c r="C91" s="664" t="str">
        <f>IFERROR(_xlfn.XLOOKUP($G91,COM_Cadastro!#REF!,COM_Cadastro!#REF!),"")</f>
        <v/>
      </c>
      <c r="D91" s="665" t="s">
        <v>378</v>
      </c>
      <c r="E91" s="676" t="s">
        <v>378</v>
      </c>
      <c r="F91" s="677" t="s">
        <v>368</v>
      </c>
      <c r="G91" s="678" t="s">
        <v>754</v>
      </c>
      <c r="H91" s="679">
        <v>5243</v>
      </c>
      <c r="I91" s="663"/>
      <c r="J91" s="663"/>
      <c r="K91" s="663"/>
      <c r="L91" s="670">
        <f t="shared" si="16"/>
        <v>5243</v>
      </c>
      <c r="M91" s="671"/>
      <c r="N91" s="672"/>
      <c r="O91" s="672"/>
      <c r="P91" s="672"/>
      <c r="Q91" s="671"/>
      <c r="R91" s="671"/>
      <c r="S91" s="671"/>
      <c r="T91" s="670">
        <f t="shared" si="17"/>
        <v>5243</v>
      </c>
    </row>
    <row r="92" spans="2:20" ht="12.75" customHeight="1" x14ac:dyDescent="0.2">
      <c r="B92" s="663" t="s">
        <v>70</v>
      </c>
      <c r="C92" s="664" t="str">
        <f>IFERROR(_xlfn.XLOOKUP($G92,COM_Cadastro!#REF!,COM_Cadastro!#REF!),"")</f>
        <v/>
      </c>
      <c r="D92" s="665" t="s">
        <v>378</v>
      </c>
      <c r="E92" s="676" t="s">
        <v>378</v>
      </c>
      <c r="F92" s="677" t="s">
        <v>368</v>
      </c>
      <c r="G92" s="678" t="s">
        <v>755</v>
      </c>
      <c r="H92" s="679">
        <v>2240</v>
      </c>
      <c r="I92" s="663"/>
      <c r="J92" s="663"/>
      <c r="K92" s="663"/>
      <c r="L92" s="670">
        <f t="shared" si="16"/>
        <v>2240</v>
      </c>
      <c r="M92" s="671"/>
      <c r="N92" s="672"/>
      <c r="O92" s="672"/>
      <c r="P92" s="672"/>
      <c r="Q92" s="671"/>
      <c r="R92" s="671"/>
      <c r="S92" s="671"/>
      <c r="T92" s="670">
        <f t="shared" si="17"/>
        <v>2240</v>
      </c>
    </row>
    <row r="93" spans="2:20" ht="12.75" customHeight="1" x14ac:dyDescent="0.2">
      <c r="B93" s="663" t="s">
        <v>70</v>
      </c>
      <c r="C93" s="673" t="str">
        <f>IFERROR(_xlfn.XLOOKUP($G93,COM_Cadastro!#REF!,COM_Cadastro!#REF!),"")</f>
        <v/>
      </c>
      <c r="D93" s="674" t="s">
        <v>378</v>
      </c>
      <c r="E93" s="680" t="s">
        <v>378</v>
      </c>
      <c r="F93" s="681" t="s">
        <v>368</v>
      </c>
      <c r="G93" s="682" t="s">
        <v>496</v>
      </c>
      <c r="H93" s="679">
        <v>2249</v>
      </c>
      <c r="I93" s="663"/>
      <c r="J93" s="663"/>
      <c r="K93" s="663"/>
      <c r="L93" s="670">
        <f t="shared" si="16"/>
        <v>2249</v>
      </c>
      <c r="M93" s="671"/>
      <c r="N93" s="672"/>
      <c r="O93" s="672"/>
      <c r="P93" s="672"/>
      <c r="Q93" s="671"/>
      <c r="R93" s="671"/>
      <c r="S93" s="671"/>
      <c r="T93" s="670">
        <f t="shared" si="17"/>
        <v>2249</v>
      </c>
    </row>
    <row r="94" spans="2:20" ht="12.75" customHeight="1" x14ac:dyDescent="0.2">
      <c r="B94" s="663" t="s">
        <v>70</v>
      </c>
      <c r="C94" s="664" t="str">
        <f>IFERROR(_xlfn.XLOOKUP($G94,COM_Cadastro!#REF!,COM_Cadastro!#REF!),"")</f>
        <v/>
      </c>
      <c r="D94" s="665" t="s">
        <v>378</v>
      </c>
      <c r="E94" s="676" t="s">
        <v>378</v>
      </c>
      <c r="F94" s="677" t="s">
        <v>368</v>
      </c>
      <c r="G94" s="678" t="s">
        <v>756</v>
      </c>
      <c r="H94" s="679">
        <v>1425</v>
      </c>
      <c r="I94" s="663"/>
      <c r="J94" s="663"/>
      <c r="K94" s="663"/>
      <c r="L94" s="670">
        <f t="shared" si="16"/>
        <v>1425</v>
      </c>
      <c r="M94" s="671"/>
      <c r="N94" s="672"/>
      <c r="O94" s="672"/>
      <c r="P94" s="672"/>
      <c r="Q94" s="671"/>
      <c r="R94" s="671"/>
      <c r="S94" s="671"/>
      <c r="T94" s="670">
        <f t="shared" si="17"/>
        <v>1425</v>
      </c>
    </row>
    <row r="95" spans="2:20" ht="12.75" customHeight="1" x14ac:dyDescent="0.2">
      <c r="B95" s="663" t="s">
        <v>70</v>
      </c>
      <c r="C95" s="664" t="str">
        <f>IFERROR(_xlfn.XLOOKUP($G95,COM_Cadastro!#REF!,COM_Cadastro!#REF!),"")</f>
        <v/>
      </c>
      <c r="D95" s="665" t="s">
        <v>378</v>
      </c>
      <c r="E95" s="676" t="s">
        <v>378</v>
      </c>
      <c r="F95" s="677" t="s">
        <v>368</v>
      </c>
      <c r="G95" s="678" t="s">
        <v>500</v>
      </c>
      <c r="H95" s="679">
        <v>1980</v>
      </c>
      <c r="I95" s="663"/>
      <c r="J95" s="663"/>
      <c r="K95" s="663"/>
      <c r="L95" s="670">
        <f t="shared" si="16"/>
        <v>1980</v>
      </c>
      <c r="M95" s="671"/>
      <c r="N95" s="672"/>
      <c r="O95" s="672"/>
      <c r="P95" s="672"/>
      <c r="Q95" s="671"/>
      <c r="R95" s="671"/>
      <c r="S95" s="671"/>
      <c r="T95" s="670">
        <f t="shared" si="17"/>
        <v>1980</v>
      </c>
    </row>
    <row r="96" spans="2:20" ht="12.75" customHeight="1" x14ac:dyDescent="0.2">
      <c r="B96" s="663" t="s">
        <v>70</v>
      </c>
      <c r="C96" s="673" t="str">
        <f>IFERROR(_xlfn.XLOOKUP($G96,COM_Cadastro!#REF!,COM_Cadastro!#REF!),"")</f>
        <v/>
      </c>
      <c r="D96" s="674" t="s">
        <v>378</v>
      </c>
      <c r="E96" s="680" t="s">
        <v>378</v>
      </c>
      <c r="F96" s="681" t="s">
        <v>368</v>
      </c>
      <c r="G96" s="682" t="s">
        <v>504</v>
      </c>
      <c r="H96" s="679">
        <v>1440</v>
      </c>
      <c r="I96" s="663"/>
      <c r="J96" s="663"/>
      <c r="K96" s="663"/>
      <c r="L96" s="670">
        <f t="shared" si="16"/>
        <v>1440</v>
      </c>
      <c r="M96" s="671"/>
      <c r="N96" s="672"/>
      <c r="O96" s="672"/>
      <c r="P96" s="672"/>
      <c r="Q96" s="671"/>
      <c r="R96" s="671"/>
      <c r="S96" s="671"/>
      <c r="T96" s="670">
        <f t="shared" si="17"/>
        <v>1440</v>
      </c>
    </row>
    <row r="97" spans="2:20" ht="12.75" customHeight="1" x14ac:dyDescent="0.2">
      <c r="B97" s="663" t="s">
        <v>70</v>
      </c>
      <c r="C97" s="664" t="str">
        <f>IFERROR(_xlfn.XLOOKUP($G97,COM_Cadastro!#REF!,COM_Cadastro!#REF!),"")</f>
        <v/>
      </c>
      <c r="D97" s="665" t="s">
        <v>378</v>
      </c>
      <c r="E97" s="676" t="s">
        <v>378</v>
      </c>
      <c r="F97" s="677" t="s">
        <v>368</v>
      </c>
      <c r="G97" s="678" t="s">
        <v>514</v>
      </c>
      <c r="H97" s="679">
        <v>2650</v>
      </c>
      <c r="I97" s="663"/>
      <c r="J97" s="663"/>
      <c r="K97" s="663"/>
      <c r="L97" s="670">
        <f t="shared" si="16"/>
        <v>2650</v>
      </c>
      <c r="M97" s="671"/>
      <c r="N97" s="672"/>
      <c r="O97" s="672"/>
      <c r="P97" s="672"/>
      <c r="Q97" s="671"/>
      <c r="R97" s="671"/>
      <c r="S97" s="671"/>
      <c r="T97" s="670">
        <f t="shared" si="17"/>
        <v>2650</v>
      </c>
    </row>
    <row r="98" spans="2:20" ht="12.75" customHeight="1" x14ac:dyDescent="0.2">
      <c r="B98" s="663" t="s">
        <v>70</v>
      </c>
      <c r="C98" s="673" t="str">
        <f>IFERROR(_xlfn.XLOOKUP($G98,COM_Cadastro!#REF!,COM_Cadastro!#REF!),"")</f>
        <v/>
      </c>
      <c r="D98" s="674" t="s">
        <v>378</v>
      </c>
      <c r="E98" s="680" t="s">
        <v>378</v>
      </c>
      <c r="F98" s="681" t="s">
        <v>368</v>
      </c>
      <c r="G98" s="682" t="s">
        <v>521</v>
      </c>
      <c r="H98" s="679">
        <v>2990</v>
      </c>
      <c r="I98" s="663"/>
      <c r="J98" s="663"/>
      <c r="K98" s="663"/>
      <c r="L98" s="670">
        <f t="shared" si="16"/>
        <v>2990</v>
      </c>
      <c r="M98" s="671"/>
      <c r="N98" s="672"/>
      <c r="O98" s="672"/>
      <c r="P98" s="672"/>
      <c r="Q98" s="671"/>
      <c r="R98" s="671"/>
      <c r="S98" s="671"/>
      <c r="T98" s="670">
        <f t="shared" si="17"/>
        <v>2990</v>
      </c>
    </row>
    <row r="99" spans="2:20" ht="12.75" customHeight="1" x14ac:dyDescent="0.2">
      <c r="B99" s="663" t="s">
        <v>70</v>
      </c>
      <c r="C99" s="664" t="str">
        <f>IFERROR(_xlfn.XLOOKUP($G99,COM_Cadastro!#REF!,COM_Cadastro!#REF!),"")</f>
        <v/>
      </c>
      <c r="D99" s="665" t="s">
        <v>378</v>
      </c>
      <c r="E99" s="676" t="s">
        <v>378</v>
      </c>
      <c r="F99" s="677" t="s">
        <v>368</v>
      </c>
      <c r="G99" s="678" t="s">
        <v>757</v>
      </c>
      <c r="H99" s="679">
        <v>5307</v>
      </c>
      <c r="I99" s="663"/>
      <c r="J99" s="663"/>
      <c r="K99" s="663"/>
      <c r="L99" s="670">
        <f t="shared" si="16"/>
        <v>5307</v>
      </c>
      <c r="M99" s="671"/>
      <c r="N99" s="672"/>
      <c r="O99" s="672"/>
      <c r="P99" s="672"/>
      <c r="Q99" s="671"/>
      <c r="R99" s="671"/>
      <c r="S99" s="671"/>
      <c r="T99" s="670">
        <f t="shared" si="17"/>
        <v>5307</v>
      </c>
    </row>
    <row r="100" spans="2:20" ht="12.75" customHeight="1" x14ac:dyDescent="0.2">
      <c r="B100" s="663" t="s">
        <v>70</v>
      </c>
      <c r="C100" s="673" t="str">
        <f>IFERROR(_xlfn.XLOOKUP($G100,COM_Cadastro!#REF!,COM_Cadastro!#REF!),"")</f>
        <v/>
      </c>
      <c r="D100" s="674" t="s">
        <v>378</v>
      </c>
      <c r="E100" s="680" t="s">
        <v>378</v>
      </c>
      <c r="F100" s="681" t="s">
        <v>368</v>
      </c>
      <c r="G100" s="682" t="s">
        <v>527</v>
      </c>
      <c r="H100" s="679">
        <v>4281</v>
      </c>
      <c r="I100" s="663"/>
      <c r="J100" s="663"/>
      <c r="K100" s="663"/>
      <c r="L100" s="670">
        <f t="shared" si="16"/>
        <v>4281</v>
      </c>
      <c r="M100" s="671"/>
      <c r="N100" s="672"/>
      <c r="O100" s="672"/>
      <c r="P100" s="672"/>
      <c r="Q100" s="671"/>
      <c r="R100" s="671"/>
      <c r="S100" s="671"/>
      <c r="T100" s="670">
        <f t="shared" si="17"/>
        <v>4281</v>
      </c>
    </row>
    <row r="101" spans="2:20" ht="12.75" customHeight="1" x14ac:dyDescent="0.2">
      <c r="B101" s="663" t="s">
        <v>70</v>
      </c>
      <c r="C101" s="664" t="str">
        <f>IFERROR(_xlfn.XLOOKUP($G101,COM_Cadastro!#REF!,COM_Cadastro!#REF!),"")</f>
        <v/>
      </c>
      <c r="D101" s="665" t="s">
        <v>378</v>
      </c>
      <c r="E101" s="676" t="s">
        <v>378</v>
      </c>
      <c r="F101" s="677" t="s">
        <v>368</v>
      </c>
      <c r="G101" s="678" t="s">
        <v>758</v>
      </c>
      <c r="H101" s="679">
        <v>2263</v>
      </c>
      <c r="I101" s="663"/>
      <c r="J101" s="663"/>
      <c r="K101" s="663"/>
      <c r="L101" s="670">
        <f t="shared" si="16"/>
        <v>2263</v>
      </c>
      <c r="M101" s="671"/>
      <c r="N101" s="672"/>
      <c r="O101" s="672"/>
      <c r="P101" s="672"/>
      <c r="Q101" s="671"/>
      <c r="R101" s="671"/>
      <c r="S101" s="671"/>
      <c r="T101" s="670">
        <f t="shared" si="17"/>
        <v>2263</v>
      </c>
    </row>
    <row r="102" spans="2:20" ht="12.75" customHeight="1" x14ac:dyDescent="0.2">
      <c r="B102" s="663" t="s">
        <v>70</v>
      </c>
      <c r="C102" s="664" t="str">
        <f>IFERROR(_xlfn.XLOOKUP($G102,COM_Cadastro!#REF!,COM_Cadastro!#REF!),"")</f>
        <v/>
      </c>
      <c r="D102" s="665" t="s">
        <v>378</v>
      </c>
      <c r="E102" s="676" t="s">
        <v>378</v>
      </c>
      <c r="F102" s="677" t="s">
        <v>368</v>
      </c>
      <c r="G102" s="678" t="s">
        <v>759</v>
      </c>
      <c r="H102" s="679">
        <v>1860</v>
      </c>
      <c r="I102" s="663"/>
      <c r="J102" s="663"/>
      <c r="K102" s="663"/>
      <c r="L102" s="670">
        <f t="shared" si="16"/>
        <v>1860</v>
      </c>
      <c r="M102" s="671"/>
      <c r="N102" s="672"/>
      <c r="O102" s="672"/>
      <c r="P102" s="672"/>
      <c r="Q102" s="671"/>
      <c r="R102" s="671"/>
      <c r="S102" s="671"/>
      <c r="T102" s="670">
        <f t="shared" si="17"/>
        <v>1860</v>
      </c>
    </row>
    <row r="103" spans="2:20" ht="12.75" customHeight="1" x14ac:dyDescent="0.2">
      <c r="B103" s="663" t="s">
        <v>70</v>
      </c>
      <c r="C103" s="664" t="str">
        <f>IFERROR(_xlfn.XLOOKUP($G103,COM_Cadastro!#REF!,COM_Cadastro!#REF!),"")</f>
        <v/>
      </c>
      <c r="D103" s="665" t="s">
        <v>378</v>
      </c>
      <c r="E103" s="676" t="s">
        <v>378</v>
      </c>
      <c r="F103" s="677" t="s">
        <v>368</v>
      </c>
      <c r="G103" s="678" t="s">
        <v>760</v>
      </c>
      <c r="H103" s="679">
        <v>2640</v>
      </c>
      <c r="I103" s="663"/>
      <c r="J103" s="663"/>
      <c r="K103" s="663"/>
      <c r="L103" s="670">
        <f t="shared" si="16"/>
        <v>2640</v>
      </c>
      <c r="M103" s="671"/>
      <c r="N103" s="672"/>
      <c r="O103" s="672"/>
      <c r="P103" s="672"/>
      <c r="Q103" s="671"/>
      <c r="R103" s="671"/>
      <c r="S103" s="671"/>
      <c r="T103" s="670">
        <f t="shared" si="17"/>
        <v>2640</v>
      </c>
    </row>
    <row r="104" spans="2:20" ht="12.75" customHeight="1" x14ac:dyDescent="0.2">
      <c r="B104" s="663" t="s">
        <v>70</v>
      </c>
      <c r="C104" s="673" t="str">
        <f>IFERROR(_xlfn.XLOOKUP($G104,COM_Cadastro!#REF!,COM_Cadastro!#REF!),"")</f>
        <v/>
      </c>
      <c r="D104" s="674" t="s">
        <v>378</v>
      </c>
      <c r="E104" s="680" t="s">
        <v>378</v>
      </c>
      <c r="F104" s="681" t="s">
        <v>368</v>
      </c>
      <c r="G104" s="682" t="s">
        <v>572</v>
      </c>
      <c r="H104" s="679">
        <v>1780</v>
      </c>
      <c r="I104" s="663"/>
      <c r="J104" s="663"/>
      <c r="K104" s="663"/>
      <c r="L104" s="670">
        <f t="shared" si="16"/>
        <v>1780</v>
      </c>
      <c r="M104" s="671"/>
      <c r="N104" s="672"/>
      <c r="O104" s="672"/>
      <c r="P104" s="672"/>
      <c r="Q104" s="671"/>
      <c r="R104" s="671"/>
      <c r="S104" s="671"/>
      <c r="T104" s="670">
        <f t="shared" si="17"/>
        <v>1780</v>
      </c>
    </row>
    <row r="105" spans="2:20" ht="12.75" customHeight="1" x14ac:dyDescent="0.2">
      <c r="B105" s="663" t="s">
        <v>70</v>
      </c>
      <c r="C105" s="673" t="str">
        <f>IFERROR(_xlfn.XLOOKUP($G105,COM_Cadastro!#REF!,COM_Cadastro!#REF!),"")</f>
        <v/>
      </c>
      <c r="D105" s="674" t="s">
        <v>378</v>
      </c>
      <c r="E105" s="680" t="s">
        <v>378</v>
      </c>
      <c r="F105" s="681" t="s">
        <v>368</v>
      </c>
      <c r="G105" s="682" t="s">
        <v>577</v>
      </c>
      <c r="H105" s="679">
        <v>3600</v>
      </c>
      <c r="I105" s="663"/>
      <c r="J105" s="663"/>
      <c r="K105" s="663"/>
      <c r="L105" s="670">
        <f t="shared" si="16"/>
        <v>3600</v>
      </c>
      <c r="M105" s="671"/>
      <c r="N105" s="672"/>
      <c r="O105" s="672"/>
      <c r="P105" s="672"/>
      <c r="Q105" s="671"/>
      <c r="R105" s="671"/>
      <c r="S105" s="671"/>
      <c r="T105" s="670">
        <f t="shared" si="17"/>
        <v>3600</v>
      </c>
    </row>
    <row r="106" spans="2:20" ht="12.75" customHeight="1" x14ac:dyDescent="0.2">
      <c r="B106" s="663" t="s">
        <v>70</v>
      </c>
      <c r="C106" s="673" t="str">
        <f>IFERROR(_xlfn.XLOOKUP($G106,COM_Cadastro!#REF!,COM_Cadastro!#REF!),"")</f>
        <v/>
      </c>
      <c r="D106" s="674" t="s">
        <v>378</v>
      </c>
      <c r="E106" s="680" t="s">
        <v>378</v>
      </c>
      <c r="F106" s="681" t="s">
        <v>368</v>
      </c>
      <c r="G106" s="682" t="s">
        <v>583</v>
      </c>
      <c r="H106" s="679">
        <v>4895</v>
      </c>
      <c r="I106" s="663"/>
      <c r="J106" s="663"/>
      <c r="K106" s="663"/>
      <c r="L106" s="670">
        <f t="shared" si="16"/>
        <v>4895</v>
      </c>
      <c r="M106" s="671"/>
      <c r="N106" s="672"/>
      <c r="O106" s="672"/>
      <c r="P106" s="672"/>
      <c r="Q106" s="671"/>
      <c r="R106" s="671"/>
      <c r="S106" s="671"/>
      <c r="T106" s="670">
        <f t="shared" si="17"/>
        <v>4895</v>
      </c>
    </row>
    <row r="107" spans="2:20" ht="12.75" customHeight="1" x14ac:dyDescent="0.2">
      <c r="B107" s="663" t="s">
        <v>70</v>
      </c>
      <c r="C107" s="673" t="str">
        <f>IFERROR(_xlfn.XLOOKUP($G107,COM_Cadastro!#REF!,COM_Cadastro!#REF!),"")</f>
        <v/>
      </c>
      <c r="D107" s="674" t="s">
        <v>378</v>
      </c>
      <c r="E107" s="680" t="s">
        <v>378</v>
      </c>
      <c r="F107" s="681" t="s">
        <v>368</v>
      </c>
      <c r="G107" s="682" t="s">
        <v>585</v>
      </c>
      <c r="H107" s="679">
        <v>1230</v>
      </c>
      <c r="I107" s="663"/>
      <c r="J107" s="663"/>
      <c r="K107" s="663"/>
      <c r="L107" s="670">
        <f t="shared" si="16"/>
        <v>1230</v>
      </c>
      <c r="M107" s="671"/>
      <c r="N107" s="672"/>
      <c r="O107" s="672"/>
      <c r="P107" s="672"/>
      <c r="Q107" s="671"/>
      <c r="R107" s="671"/>
      <c r="S107" s="671"/>
      <c r="T107" s="670">
        <f t="shared" si="17"/>
        <v>1230</v>
      </c>
    </row>
    <row r="108" spans="2:20" ht="12.75" customHeight="1" x14ac:dyDescent="0.2">
      <c r="B108" s="663" t="s">
        <v>70</v>
      </c>
      <c r="C108" s="664" t="str">
        <f>IFERROR(_xlfn.XLOOKUP($G108,COM_Cadastro!#REF!,COM_Cadastro!#REF!),"")</f>
        <v/>
      </c>
      <c r="D108" s="665" t="s">
        <v>378</v>
      </c>
      <c r="E108" s="676" t="s">
        <v>378</v>
      </c>
      <c r="F108" s="677" t="s">
        <v>368</v>
      </c>
      <c r="G108" s="678" t="s">
        <v>761</v>
      </c>
      <c r="H108" s="679">
        <v>2500</v>
      </c>
      <c r="I108" s="663"/>
      <c r="J108" s="663"/>
      <c r="K108" s="663"/>
      <c r="L108" s="670">
        <f t="shared" si="16"/>
        <v>2500</v>
      </c>
      <c r="M108" s="671"/>
      <c r="N108" s="672"/>
      <c r="O108" s="672"/>
      <c r="P108" s="672"/>
      <c r="Q108" s="671"/>
      <c r="R108" s="671"/>
      <c r="S108" s="671"/>
      <c r="T108" s="670">
        <f t="shared" si="17"/>
        <v>2500</v>
      </c>
    </row>
    <row r="109" spans="2:20" ht="12.75" customHeight="1" x14ac:dyDescent="0.2">
      <c r="B109" s="663" t="s">
        <v>70</v>
      </c>
      <c r="C109" s="673" t="str">
        <f>IFERROR(_xlfn.XLOOKUP($G109,COM_Cadastro!#REF!,COM_Cadastro!#REF!),"")</f>
        <v/>
      </c>
      <c r="D109" s="674" t="s">
        <v>378</v>
      </c>
      <c r="E109" s="680" t="s">
        <v>378</v>
      </c>
      <c r="F109" s="681" t="s">
        <v>368</v>
      </c>
      <c r="G109" s="682" t="s">
        <v>592</v>
      </c>
      <c r="H109" s="679">
        <v>2310</v>
      </c>
      <c r="I109" s="663"/>
      <c r="J109" s="663"/>
      <c r="K109" s="663"/>
      <c r="L109" s="670">
        <f t="shared" si="16"/>
        <v>2310</v>
      </c>
      <c r="M109" s="671"/>
      <c r="N109" s="672"/>
      <c r="O109" s="672"/>
      <c r="P109" s="672"/>
      <c r="Q109" s="671"/>
      <c r="R109" s="671"/>
      <c r="S109" s="671"/>
      <c r="T109" s="670">
        <f t="shared" si="17"/>
        <v>2310</v>
      </c>
    </row>
    <row r="110" spans="2:20" ht="12.75" customHeight="1" x14ac:dyDescent="0.2">
      <c r="B110" s="663" t="s">
        <v>70</v>
      </c>
      <c r="C110" s="664" t="str">
        <f>IFERROR(_xlfn.XLOOKUP($G110,COM_Cadastro!#REF!,COM_Cadastro!#REF!),"")</f>
        <v/>
      </c>
      <c r="D110" s="665" t="s">
        <v>378</v>
      </c>
      <c r="E110" s="676" t="s">
        <v>378</v>
      </c>
      <c r="F110" s="677" t="s">
        <v>371</v>
      </c>
      <c r="G110" s="678" t="s">
        <v>387</v>
      </c>
      <c r="H110" s="679">
        <v>450</v>
      </c>
      <c r="I110" s="663"/>
      <c r="J110" s="663"/>
      <c r="K110" s="663"/>
      <c r="L110" s="670">
        <f t="shared" si="16"/>
        <v>450</v>
      </c>
      <c r="M110" s="671"/>
      <c r="N110" s="672"/>
      <c r="O110" s="672"/>
      <c r="P110" s="672"/>
      <c r="Q110" s="671"/>
      <c r="R110" s="671"/>
      <c r="S110" s="671"/>
      <c r="T110" s="670">
        <f t="shared" si="17"/>
        <v>450</v>
      </c>
    </row>
    <row r="111" spans="2:20" ht="12.75" customHeight="1" x14ac:dyDescent="0.2">
      <c r="B111" s="663" t="s">
        <v>70</v>
      </c>
      <c r="C111" s="664" t="str">
        <f>IFERROR(_xlfn.XLOOKUP($G111,COM_Cadastro!#REF!,COM_Cadastro!#REF!),"")</f>
        <v/>
      </c>
      <c r="D111" s="665" t="s">
        <v>378</v>
      </c>
      <c r="E111" s="676" t="s">
        <v>378</v>
      </c>
      <c r="F111" s="677" t="s">
        <v>371</v>
      </c>
      <c r="G111" s="678" t="s">
        <v>762</v>
      </c>
      <c r="H111" s="679">
        <v>4214</v>
      </c>
      <c r="I111" s="663"/>
      <c r="J111" s="663"/>
      <c r="K111" s="663"/>
      <c r="L111" s="670">
        <f t="shared" si="16"/>
        <v>4214</v>
      </c>
      <c r="M111" s="671"/>
      <c r="N111" s="672"/>
      <c r="O111" s="672"/>
      <c r="P111" s="672"/>
      <c r="Q111" s="671"/>
      <c r="R111" s="671"/>
      <c r="S111" s="671"/>
      <c r="T111" s="670">
        <f t="shared" si="17"/>
        <v>4214</v>
      </c>
    </row>
    <row r="112" spans="2:20" ht="12.75" customHeight="1" x14ac:dyDescent="0.2">
      <c r="B112" s="663" t="s">
        <v>70</v>
      </c>
      <c r="C112" s="664" t="str">
        <f>IFERROR(_xlfn.XLOOKUP($G112,COM_Cadastro!#REF!,COM_Cadastro!#REF!),"")</f>
        <v/>
      </c>
      <c r="D112" s="665" t="s">
        <v>378</v>
      </c>
      <c r="E112" s="676" t="s">
        <v>378</v>
      </c>
      <c r="F112" s="677" t="s">
        <v>371</v>
      </c>
      <c r="G112" s="678" t="s">
        <v>763</v>
      </c>
      <c r="H112" s="679">
        <v>2310</v>
      </c>
      <c r="I112" s="663"/>
      <c r="J112" s="663"/>
      <c r="K112" s="663"/>
      <c r="L112" s="670">
        <f t="shared" si="16"/>
        <v>2310</v>
      </c>
      <c r="M112" s="671"/>
      <c r="N112" s="672"/>
      <c r="O112" s="672"/>
      <c r="P112" s="672"/>
      <c r="Q112" s="671"/>
      <c r="R112" s="671"/>
      <c r="S112" s="671"/>
      <c r="T112" s="670">
        <f t="shared" si="17"/>
        <v>2310</v>
      </c>
    </row>
    <row r="113" spans="2:20" ht="12.75" customHeight="1" x14ac:dyDescent="0.2">
      <c r="B113" s="663" t="s">
        <v>70</v>
      </c>
      <c r="C113" s="664" t="str">
        <f>IFERROR(_xlfn.XLOOKUP($G113,COM_Cadastro!#REF!,COM_Cadastro!#REF!),"")</f>
        <v/>
      </c>
      <c r="D113" s="665" t="s">
        <v>378</v>
      </c>
      <c r="E113" s="676" t="s">
        <v>378</v>
      </c>
      <c r="F113" s="677" t="s">
        <v>371</v>
      </c>
      <c r="G113" s="678" t="s">
        <v>764</v>
      </c>
      <c r="H113" s="679">
        <v>597</v>
      </c>
      <c r="I113" s="663"/>
      <c r="J113" s="663"/>
      <c r="K113" s="663"/>
      <c r="L113" s="670">
        <f t="shared" si="16"/>
        <v>597</v>
      </c>
      <c r="M113" s="671"/>
      <c r="N113" s="672"/>
      <c r="O113" s="672"/>
      <c r="P113" s="672"/>
      <c r="Q113" s="671"/>
      <c r="R113" s="671"/>
      <c r="S113" s="671"/>
      <c r="T113" s="670">
        <f t="shared" si="17"/>
        <v>597</v>
      </c>
    </row>
    <row r="114" spans="2:20" ht="12.75" customHeight="1" x14ac:dyDescent="0.2">
      <c r="B114" s="663" t="s">
        <v>70</v>
      </c>
      <c r="C114" s="673" t="str">
        <f>IFERROR(_xlfn.XLOOKUP($G114,COM_Cadastro!#REF!,COM_Cadastro!#REF!),"")</f>
        <v/>
      </c>
      <c r="D114" s="674" t="s">
        <v>378</v>
      </c>
      <c r="E114" s="680" t="s">
        <v>378</v>
      </c>
      <c r="F114" s="681" t="s">
        <v>371</v>
      </c>
      <c r="G114" s="682" t="s">
        <v>419</v>
      </c>
      <c r="H114" s="679">
        <v>2632</v>
      </c>
      <c r="I114" s="663"/>
      <c r="J114" s="663"/>
      <c r="K114" s="663"/>
      <c r="L114" s="670">
        <f t="shared" si="16"/>
        <v>2632</v>
      </c>
      <c r="M114" s="671"/>
      <c r="N114" s="672"/>
      <c r="O114" s="672"/>
      <c r="P114" s="672"/>
      <c r="Q114" s="671"/>
      <c r="R114" s="671"/>
      <c r="S114" s="671"/>
      <c r="T114" s="670">
        <f t="shared" si="17"/>
        <v>2632</v>
      </c>
    </row>
    <row r="115" spans="2:20" ht="12.75" customHeight="1" x14ac:dyDescent="0.2">
      <c r="B115" s="663" t="s">
        <v>70</v>
      </c>
      <c r="C115" s="673" t="str">
        <f>IFERROR(_xlfn.XLOOKUP($G115,COM_Cadastro!#REF!,COM_Cadastro!#REF!),"")</f>
        <v/>
      </c>
      <c r="D115" s="674" t="s">
        <v>378</v>
      </c>
      <c r="E115" s="680" t="s">
        <v>378</v>
      </c>
      <c r="F115" s="681" t="s">
        <v>371</v>
      </c>
      <c r="G115" s="682" t="s">
        <v>438</v>
      </c>
      <c r="H115" s="679">
        <v>2170</v>
      </c>
      <c r="I115" s="663"/>
      <c r="J115" s="663"/>
      <c r="K115" s="663"/>
      <c r="L115" s="670">
        <f t="shared" si="16"/>
        <v>2170</v>
      </c>
      <c r="M115" s="671"/>
      <c r="N115" s="672"/>
      <c r="O115" s="672"/>
      <c r="P115" s="672"/>
      <c r="Q115" s="671"/>
      <c r="R115" s="671"/>
      <c r="S115" s="671"/>
      <c r="T115" s="670">
        <f t="shared" si="17"/>
        <v>2170</v>
      </c>
    </row>
    <row r="116" spans="2:20" ht="12.75" customHeight="1" x14ac:dyDescent="0.2">
      <c r="B116" s="663" t="s">
        <v>70</v>
      </c>
      <c r="C116" s="664" t="str">
        <f>IFERROR(_xlfn.XLOOKUP($G116,COM_Cadastro!#REF!,COM_Cadastro!#REF!),"")</f>
        <v/>
      </c>
      <c r="D116" s="665" t="s">
        <v>378</v>
      </c>
      <c r="E116" s="676" t="s">
        <v>378</v>
      </c>
      <c r="F116" s="677" t="s">
        <v>371</v>
      </c>
      <c r="G116" s="678" t="s">
        <v>765</v>
      </c>
      <c r="H116" s="679">
        <v>2205</v>
      </c>
      <c r="I116" s="663"/>
      <c r="J116" s="663"/>
      <c r="K116" s="663"/>
      <c r="L116" s="670">
        <f t="shared" si="16"/>
        <v>2205</v>
      </c>
      <c r="M116" s="671"/>
      <c r="N116" s="672"/>
      <c r="O116" s="672"/>
      <c r="P116" s="672"/>
      <c r="Q116" s="671"/>
      <c r="R116" s="671"/>
      <c r="S116" s="671"/>
      <c r="T116" s="670">
        <f t="shared" si="17"/>
        <v>2205</v>
      </c>
    </row>
    <row r="117" spans="2:20" ht="12.75" customHeight="1" x14ac:dyDescent="0.2">
      <c r="B117" s="663" t="s">
        <v>70</v>
      </c>
      <c r="C117" s="664" t="str">
        <f>IFERROR(_xlfn.XLOOKUP($G117,COM_Cadastro!#REF!,COM_Cadastro!#REF!),"")</f>
        <v/>
      </c>
      <c r="D117" s="665" t="s">
        <v>378</v>
      </c>
      <c r="E117" s="676" t="s">
        <v>378</v>
      </c>
      <c r="F117" s="677" t="s">
        <v>371</v>
      </c>
      <c r="G117" s="678" t="s">
        <v>447</v>
      </c>
      <c r="H117" s="679">
        <v>1533</v>
      </c>
      <c r="I117" s="663"/>
      <c r="J117" s="663"/>
      <c r="K117" s="663"/>
      <c r="L117" s="670">
        <f t="shared" si="16"/>
        <v>1533</v>
      </c>
      <c r="M117" s="671"/>
      <c r="N117" s="672"/>
      <c r="O117" s="672"/>
      <c r="P117" s="672"/>
      <c r="Q117" s="671"/>
      <c r="R117" s="671"/>
      <c r="S117" s="671"/>
      <c r="T117" s="670">
        <f t="shared" si="17"/>
        <v>1533</v>
      </c>
    </row>
    <row r="118" spans="2:20" ht="12.75" customHeight="1" x14ac:dyDescent="0.2">
      <c r="B118" s="663" t="s">
        <v>70</v>
      </c>
      <c r="C118" s="664" t="str">
        <f>IFERROR(_xlfn.XLOOKUP($G118,COM_Cadastro!#REF!,COM_Cadastro!#REF!),"")</f>
        <v/>
      </c>
      <c r="D118" s="665" t="s">
        <v>378</v>
      </c>
      <c r="E118" s="676" t="s">
        <v>378</v>
      </c>
      <c r="F118" s="677" t="s">
        <v>371</v>
      </c>
      <c r="G118" s="678" t="s">
        <v>462</v>
      </c>
      <c r="H118" s="679">
        <v>600</v>
      </c>
      <c r="I118" s="663"/>
      <c r="J118" s="663"/>
      <c r="K118" s="663"/>
      <c r="L118" s="670">
        <f t="shared" si="16"/>
        <v>600</v>
      </c>
      <c r="M118" s="671"/>
      <c r="N118" s="672"/>
      <c r="O118" s="672"/>
      <c r="P118" s="672"/>
      <c r="Q118" s="671"/>
      <c r="R118" s="671"/>
      <c r="S118" s="671"/>
      <c r="T118" s="670">
        <f t="shared" si="17"/>
        <v>600</v>
      </c>
    </row>
    <row r="119" spans="2:20" ht="12.75" customHeight="1" x14ac:dyDescent="0.2">
      <c r="B119" s="663" t="s">
        <v>70</v>
      </c>
      <c r="C119" s="673" t="str">
        <f>IFERROR(_xlfn.XLOOKUP($G119,COM_Cadastro!#REF!,COM_Cadastro!#REF!),"")</f>
        <v/>
      </c>
      <c r="D119" s="674" t="s">
        <v>378</v>
      </c>
      <c r="E119" s="680" t="s">
        <v>378</v>
      </c>
      <c r="F119" s="681" t="s">
        <v>371</v>
      </c>
      <c r="G119" s="682" t="s">
        <v>466</v>
      </c>
      <c r="H119" s="679">
        <v>2309</v>
      </c>
      <c r="I119" s="663"/>
      <c r="J119" s="663"/>
      <c r="K119" s="663"/>
      <c r="L119" s="670">
        <f t="shared" si="16"/>
        <v>2309</v>
      </c>
      <c r="M119" s="671"/>
      <c r="N119" s="672"/>
      <c r="O119" s="672"/>
      <c r="P119" s="672"/>
      <c r="Q119" s="671"/>
      <c r="R119" s="671"/>
      <c r="S119" s="671"/>
      <c r="T119" s="670">
        <f t="shared" si="17"/>
        <v>2309</v>
      </c>
    </row>
    <row r="120" spans="2:20" ht="12.75" customHeight="1" x14ac:dyDescent="0.2">
      <c r="B120" s="663" t="s">
        <v>70</v>
      </c>
      <c r="C120" s="664" t="str">
        <f>IFERROR(_xlfn.XLOOKUP($G120,COM_Cadastro!#REF!,COM_Cadastro!#REF!),"")</f>
        <v/>
      </c>
      <c r="D120" s="665" t="s">
        <v>378</v>
      </c>
      <c r="E120" s="676" t="s">
        <v>378</v>
      </c>
      <c r="F120" s="677" t="s">
        <v>371</v>
      </c>
      <c r="G120" s="678" t="s">
        <v>471</v>
      </c>
      <c r="H120" s="679">
        <v>1559</v>
      </c>
      <c r="I120" s="663"/>
      <c r="J120" s="663"/>
      <c r="K120" s="663"/>
      <c r="L120" s="670">
        <f t="shared" si="16"/>
        <v>1559</v>
      </c>
      <c r="M120" s="671"/>
      <c r="N120" s="672"/>
      <c r="O120" s="672"/>
      <c r="P120" s="672"/>
      <c r="Q120" s="671"/>
      <c r="R120" s="671"/>
      <c r="S120" s="671"/>
      <c r="T120" s="670">
        <f t="shared" si="17"/>
        <v>1559</v>
      </c>
    </row>
    <row r="121" spans="2:20" ht="12.75" customHeight="1" x14ac:dyDescent="0.25">
      <c r="B121" s="663" t="s">
        <v>70</v>
      </c>
      <c r="C121" s="664" t="str">
        <f>IFERROR(_xlfn.XLOOKUP($G121,COM_Cadastro!#REF!,COM_Cadastro!#REF!),"")</f>
        <v/>
      </c>
      <c r="D121" s="665" t="s">
        <v>378</v>
      </c>
      <c r="E121" s="666" t="s">
        <v>378</v>
      </c>
      <c r="F121" s="665" t="s">
        <v>371</v>
      </c>
      <c r="G121" s="667" t="s">
        <v>766</v>
      </c>
      <c r="H121" s="668">
        <v>2745</v>
      </c>
      <c r="I121" s="663"/>
      <c r="J121" s="663"/>
      <c r="K121" s="663"/>
      <c r="L121" s="670">
        <f t="shared" si="16"/>
        <v>2745</v>
      </c>
      <c r="M121" s="671"/>
      <c r="N121" s="672"/>
      <c r="O121" s="672"/>
      <c r="P121" s="672"/>
      <c r="Q121" s="671"/>
      <c r="R121" s="671"/>
      <c r="S121" s="671"/>
      <c r="T121" s="670">
        <f t="shared" si="17"/>
        <v>2745</v>
      </c>
    </row>
    <row r="122" spans="2:20" ht="12.75" customHeight="1" x14ac:dyDescent="0.25">
      <c r="B122" s="663" t="s">
        <v>70</v>
      </c>
      <c r="C122" s="664" t="str">
        <f>IFERROR(_xlfn.XLOOKUP($G122,COM_Cadastro!#REF!,COM_Cadastro!#REF!),"")</f>
        <v/>
      </c>
      <c r="D122" s="665" t="s">
        <v>378</v>
      </c>
      <c r="E122" s="666" t="s">
        <v>378</v>
      </c>
      <c r="F122" s="665" t="s">
        <v>371</v>
      </c>
      <c r="G122" s="667" t="s">
        <v>767</v>
      </c>
      <c r="H122" s="668">
        <v>100</v>
      </c>
      <c r="I122" s="663"/>
      <c r="J122" s="663"/>
      <c r="K122" s="663"/>
      <c r="L122" s="670">
        <f t="shared" si="16"/>
        <v>100</v>
      </c>
      <c r="M122" s="671"/>
      <c r="N122" s="672"/>
      <c r="O122" s="672"/>
      <c r="P122" s="672"/>
      <c r="Q122" s="671"/>
      <c r="R122" s="671"/>
      <c r="S122" s="671"/>
      <c r="T122" s="670">
        <f t="shared" si="17"/>
        <v>100</v>
      </c>
    </row>
    <row r="123" spans="2:20" ht="12.75" customHeight="1" x14ac:dyDescent="0.25">
      <c r="B123" s="663" t="s">
        <v>70</v>
      </c>
      <c r="C123" s="673" t="str">
        <f>IFERROR(_xlfn.XLOOKUP($G123,COM_Cadastro!#REF!,COM_Cadastro!#REF!),"")</f>
        <v/>
      </c>
      <c r="D123" s="674" t="s">
        <v>378</v>
      </c>
      <c r="E123" s="675" t="s">
        <v>378</v>
      </c>
      <c r="F123" s="674" t="s">
        <v>371</v>
      </c>
      <c r="G123" s="663" t="s">
        <v>483</v>
      </c>
      <c r="H123" s="668">
        <v>2006</v>
      </c>
      <c r="I123" s="663"/>
      <c r="J123" s="663"/>
      <c r="K123" s="663"/>
      <c r="L123" s="670">
        <f t="shared" si="16"/>
        <v>2006</v>
      </c>
      <c r="M123" s="671"/>
      <c r="N123" s="672"/>
      <c r="O123" s="672"/>
      <c r="P123" s="672"/>
      <c r="Q123" s="671"/>
      <c r="R123" s="671"/>
      <c r="S123" s="671"/>
      <c r="T123" s="670">
        <f t="shared" si="17"/>
        <v>2006</v>
      </c>
    </row>
    <row r="124" spans="2:20" ht="12.75" customHeight="1" x14ac:dyDescent="0.25">
      <c r="B124" s="663" t="s">
        <v>70</v>
      </c>
      <c r="C124" s="664" t="str">
        <f>IFERROR(_xlfn.XLOOKUP($G124,COM_Cadastro!#REF!,COM_Cadastro!#REF!),"")</f>
        <v/>
      </c>
      <c r="D124" s="665" t="s">
        <v>378</v>
      </c>
      <c r="E124" s="666" t="s">
        <v>378</v>
      </c>
      <c r="F124" s="665" t="s">
        <v>371</v>
      </c>
      <c r="G124" s="667" t="s">
        <v>768</v>
      </c>
      <c r="H124" s="668">
        <v>400</v>
      </c>
      <c r="I124" s="663"/>
      <c r="J124" s="663"/>
      <c r="K124" s="663"/>
      <c r="L124" s="670">
        <f t="shared" si="16"/>
        <v>400</v>
      </c>
      <c r="M124" s="671"/>
      <c r="N124" s="672"/>
      <c r="O124" s="672"/>
      <c r="P124" s="672"/>
      <c r="Q124" s="671"/>
      <c r="R124" s="671"/>
      <c r="S124" s="671"/>
      <c r="T124" s="670">
        <f t="shared" si="17"/>
        <v>400</v>
      </c>
    </row>
    <row r="125" spans="2:20" ht="12.75" customHeight="1" x14ac:dyDescent="0.25">
      <c r="B125" s="663" t="s">
        <v>70</v>
      </c>
      <c r="C125" s="673" t="str">
        <f>IFERROR(_xlfn.XLOOKUP($G125,COM_Cadastro!#REF!,COM_Cadastro!#REF!),"")</f>
        <v/>
      </c>
      <c r="D125" s="674" t="s">
        <v>378</v>
      </c>
      <c r="E125" s="675" t="s">
        <v>378</v>
      </c>
      <c r="F125" s="674" t="s">
        <v>371</v>
      </c>
      <c r="G125" s="663" t="s">
        <v>488</v>
      </c>
      <c r="H125" s="668">
        <v>400</v>
      </c>
      <c r="I125" s="663"/>
      <c r="J125" s="663"/>
      <c r="K125" s="663"/>
      <c r="L125" s="670">
        <f t="shared" si="16"/>
        <v>400</v>
      </c>
      <c r="M125" s="671"/>
      <c r="N125" s="672"/>
      <c r="O125" s="672"/>
      <c r="P125" s="672"/>
      <c r="Q125" s="671"/>
      <c r="R125" s="671"/>
      <c r="S125" s="671"/>
      <c r="T125" s="670">
        <f t="shared" si="17"/>
        <v>400</v>
      </c>
    </row>
    <row r="126" spans="2:20" ht="12.75" customHeight="1" x14ac:dyDescent="0.25">
      <c r="B126" s="663" t="s">
        <v>70</v>
      </c>
      <c r="C126" s="673" t="str">
        <f>IFERROR(_xlfn.XLOOKUP($G126,COM_Cadastro!#REF!,COM_Cadastro!#REF!),"")</f>
        <v/>
      </c>
      <c r="D126" s="674" t="s">
        <v>378</v>
      </c>
      <c r="E126" s="675" t="s">
        <v>378</v>
      </c>
      <c r="F126" s="674" t="s">
        <v>371</v>
      </c>
      <c r="G126" s="663" t="s">
        <v>510</v>
      </c>
      <c r="H126" s="668">
        <v>1500</v>
      </c>
      <c r="I126" s="663"/>
      <c r="J126" s="663"/>
      <c r="K126" s="663"/>
      <c r="L126" s="670">
        <f t="shared" si="16"/>
        <v>1500</v>
      </c>
      <c r="M126" s="671"/>
      <c r="N126" s="672"/>
      <c r="O126" s="672"/>
      <c r="P126" s="672"/>
      <c r="Q126" s="671"/>
      <c r="R126" s="671"/>
      <c r="S126" s="671"/>
      <c r="T126" s="670">
        <f t="shared" si="17"/>
        <v>1500</v>
      </c>
    </row>
    <row r="127" spans="2:20" ht="12.75" customHeight="1" x14ac:dyDescent="0.25">
      <c r="B127" s="663" t="s">
        <v>70</v>
      </c>
      <c r="C127" s="664" t="str">
        <f>IFERROR(_xlfn.XLOOKUP($G127,COM_Cadastro!#REF!,COM_Cadastro!#REF!),"")</f>
        <v/>
      </c>
      <c r="D127" s="665" t="s">
        <v>378</v>
      </c>
      <c r="E127" s="666" t="s">
        <v>378</v>
      </c>
      <c r="F127" s="665" t="s">
        <v>371</v>
      </c>
      <c r="G127" s="667" t="s">
        <v>518</v>
      </c>
      <c r="H127" s="668">
        <v>1100</v>
      </c>
      <c r="I127" s="663"/>
      <c r="J127" s="663"/>
      <c r="K127" s="663"/>
      <c r="L127" s="670">
        <f t="shared" si="16"/>
        <v>1100</v>
      </c>
      <c r="M127" s="671"/>
      <c r="N127" s="672"/>
      <c r="O127" s="672"/>
      <c r="P127" s="672"/>
      <c r="Q127" s="671"/>
      <c r="R127" s="671"/>
      <c r="S127" s="671"/>
      <c r="T127" s="670">
        <f t="shared" si="17"/>
        <v>1100</v>
      </c>
    </row>
    <row r="128" spans="2:20" ht="12.75" customHeight="1" x14ac:dyDescent="0.25">
      <c r="B128" s="663" t="s">
        <v>70</v>
      </c>
      <c r="C128" s="673" t="str">
        <f>IFERROR(_xlfn.XLOOKUP($G128,COM_Cadastro!#REF!,COM_Cadastro!#REF!),"")</f>
        <v/>
      </c>
      <c r="D128" s="674" t="s">
        <v>378</v>
      </c>
      <c r="E128" s="675" t="s">
        <v>378</v>
      </c>
      <c r="F128" s="674" t="s">
        <v>371</v>
      </c>
      <c r="G128" s="663" t="s">
        <v>525</v>
      </c>
      <c r="H128" s="668">
        <v>3162</v>
      </c>
      <c r="I128" s="663"/>
      <c r="J128" s="663"/>
      <c r="K128" s="663"/>
      <c r="L128" s="670">
        <f t="shared" si="16"/>
        <v>3162</v>
      </c>
      <c r="M128" s="671"/>
      <c r="N128" s="672"/>
      <c r="O128" s="672"/>
      <c r="P128" s="672"/>
      <c r="Q128" s="671"/>
      <c r="R128" s="671"/>
      <c r="S128" s="671"/>
      <c r="T128" s="670">
        <f t="shared" si="17"/>
        <v>3162</v>
      </c>
    </row>
    <row r="129" spans="2:20" ht="12.75" customHeight="1" x14ac:dyDescent="0.25">
      <c r="B129" s="663" t="s">
        <v>70</v>
      </c>
      <c r="C129" s="664" t="str">
        <f>IFERROR(_xlfn.XLOOKUP($G129,COM_Cadastro!#REF!,COM_Cadastro!#REF!),"")</f>
        <v/>
      </c>
      <c r="D129" s="665" t="s">
        <v>378</v>
      </c>
      <c r="E129" s="666" t="s">
        <v>378</v>
      </c>
      <c r="F129" s="665" t="s">
        <v>371</v>
      </c>
      <c r="G129" s="667" t="s">
        <v>535</v>
      </c>
      <c r="H129" s="668">
        <v>1696</v>
      </c>
      <c r="I129" s="663"/>
      <c r="J129" s="663"/>
      <c r="K129" s="663"/>
      <c r="L129" s="670">
        <f t="shared" si="16"/>
        <v>1696</v>
      </c>
      <c r="M129" s="671"/>
      <c r="N129" s="672"/>
      <c r="O129" s="672"/>
      <c r="P129" s="672"/>
      <c r="Q129" s="671"/>
      <c r="R129" s="671"/>
      <c r="S129" s="671"/>
      <c r="T129" s="670">
        <f t="shared" si="17"/>
        <v>1696</v>
      </c>
    </row>
    <row r="130" spans="2:20" ht="12.75" customHeight="1" x14ac:dyDescent="0.25">
      <c r="B130" s="663" t="s">
        <v>70</v>
      </c>
      <c r="C130" s="673" t="str">
        <f>IFERROR(_xlfn.XLOOKUP($G130,COM_Cadastro!#REF!,COM_Cadastro!#REF!),"")</f>
        <v/>
      </c>
      <c r="D130" s="674" t="s">
        <v>378</v>
      </c>
      <c r="E130" s="675" t="s">
        <v>378</v>
      </c>
      <c r="F130" s="674" t="s">
        <v>371</v>
      </c>
      <c r="G130" s="663" t="s">
        <v>541</v>
      </c>
      <c r="H130" s="668">
        <v>2345</v>
      </c>
      <c r="I130" s="663"/>
      <c r="J130" s="663"/>
      <c r="K130" s="663"/>
      <c r="L130" s="670">
        <f t="shared" si="16"/>
        <v>2345</v>
      </c>
      <c r="M130" s="671"/>
      <c r="N130" s="672"/>
      <c r="O130" s="672"/>
      <c r="P130" s="672"/>
      <c r="Q130" s="671"/>
      <c r="R130" s="671"/>
      <c r="S130" s="671"/>
      <c r="T130" s="670">
        <f t="shared" si="17"/>
        <v>2345</v>
      </c>
    </row>
    <row r="131" spans="2:20" ht="12.75" customHeight="1" x14ac:dyDescent="0.25">
      <c r="B131" s="663" t="s">
        <v>70</v>
      </c>
      <c r="C131" s="664" t="str">
        <f>IFERROR(_xlfn.XLOOKUP($G131,COM_Cadastro!#REF!,COM_Cadastro!#REF!),"")</f>
        <v/>
      </c>
      <c r="D131" s="665" t="s">
        <v>378</v>
      </c>
      <c r="E131" s="666" t="s">
        <v>378</v>
      </c>
      <c r="F131" s="665" t="s">
        <v>371</v>
      </c>
      <c r="G131" s="667" t="s">
        <v>769</v>
      </c>
      <c r="H131" s="668">
        <v>916</v>
      </c>
      <c r="I131" s="663"/>
      <c r="J131" s="663"/>
      <c r="K131" s="663"/>
      <c r="L131" s="670">
        <f t="shared" ref="L131:L194" si="18">SUM(H131:K131)</f>
        <v>916</v>
      </c>
      <c r="M131" s="671"/>
      <c r="N131" s="672"/>
      <c r="O131" s="672"/>
      <c r="P131" s="672"/>
      <c r="Q131" s="671"/>
      <c r="R131" s="671"/>
      <c r="S131" s="671"/>
      <c r="T131" s="670">
        <f t="shared" ref="T131:T194" si="19">L131+M131+S131</f>
        <v>916</v>
      </c>
    </row>
    <row r="132" spans="2:20" ht="12.75" customHeight="1" x14ac:dyDescent="0.25">
      <c r="B132" s="663" t="s">
        <v>70</v>
      </c>
      <c r="C132" s="664" t="str">
        <f>IFERROR(_xlfn.XLOOKUP($G132,COM_Cadastro!#REF!,COM_Cadastro!#REF!),"")</f>
        <v/>
      </c>
      <c r="D132" s="665" t="s">
        <v>378</v>
      </c>
      <c r="E132" s="666" t="s">
        <v>378</v>
      </c>
      <c r="F132" s="665" t="s">
        <v>371</v>
      </c>
      <c r="G132" s="667" t="s">
        <v>554</v>
      </c>
      <c r="H132" s="668">
        <v>100</v>
      </c>
      <c r="I132" s="663"/>
      <c r="J132" s="663"/>
      <c r="K132" s="663"/>
      <c r="L132" s="670">
        <f t="shared" si="18"/>
        <v>100</v>
      </c>
      <c r="M132" s="671"/>
      <c r="N132" s="672"/>
      <c r="O132" s="672"/>
      <c r="P132" s="672"/>
      <c r="Q132" s="671"/>
      <c r="R132" s="671"/>
      <c r="S132" s="671"/>
      <c r="T132" s="670">
        <f t="shared" si="19"/>
        <v>100</v>
      </c>
    </row>
    <row r="133" spans="2:20" ht="12.75" customHeight="1" x14ac:dyDescent="0.25">
      <c r="B133" s="663" t="s">
        <v>70</v>
      </c>
      <c r="C133" s="673" t="str">
        <f>IFERROR(_xlfn.XLOOKUP($G133,COM_Cadastro!#REF!,COM_Cadastro!#REF!),"")</f>
        <v/>
      </c>
      <c r="D133" s="674" t="s">
        <v>378</v>
      </c>
      <c r="E133" s="675" t="s">
        <v>378</v>
      </c>
      <c r="F133" s="674" t="s">
        <v>371</v>
      </c>
      <c r="G133" s="663" t="s">
        <v>556</v>
      </c>
      <c r="H133" s="668">
        <v>2556</v>
      </c>
      <c r="I133" s="663"/>
      <c r="J133" s="663"/>
      <c r="K133" s="663"/>
      <c r="L133" s="670">
        <f t="shared" si="18"/>
        <v>2556</v>
      </c>
      <c r="M133" s="671"/>
      <c r="N133" s="672"/>
      <c r="O133" s="672"/>
      <c r="P133" s="672"/>
      <c r="Q133" s="671"/>
      <c r="R133" s="671"/>
      <c r="S133" s="671"/>
      <c r="T133" s="670">
        <f t="shared" si="19"/>
        <v>2556</v>
      </c>
    </row>
    <row r="134" spans="2:20" ht="12.75" customHeight="1" x14ac:dyDescent="0.25">
      <c r="B134" s="663" t="s">
        <v>70</v>
      </c>
      <c r="C134" s="664" t="str">
        <f>IFERROR(_xlfn.XLOOKUP($G134,COM_Cadastro!#REF!,COM_Cadastro!#REF!),"")</f>
        <v/>
      </c>
      <c r="D134" s="665" t="s">
        <v>378</v>
      </c>
      <c r="E134" s="666" t="s">
        <v>378</v>
      </c>
      <c r="F134" s="665" t="s">
        <v>371</v>
      </c>
      <c r="G134" s="667" t="s">
        <v>565</v>
      </c>
      <c r="H134" s="668">
        <v>660</v>
      </c>
      <c r="I134" s="663"/>
      <c r="J134" s="663"/>
      <c r="K134" s="663"/>
      <c r="L134" s="670">
        <f t="shared" si="18"/>
        <v>660</v>
      </c>
      <c r="M134" s="671"/>
      <c r="N134" s="672"/>
      <c r="O134" s="672"/>
      <c r="P134" s="672"/>
      <c r="Q134" s="671"/>
      <c r="R134" s="671"/>
      <c r="S134" s="671"/>
      <c r="T134" s="670">
        <f t="shared" si="19"/>
        <v>660</v>
      </c>
    </row>
    <row r="135" spans="2:20" ht="12.75" customHeight="1" x14ac:dyDescent="0.25">
      <c r="B135" s="663" t="s">
        <v>70</v>
      </c>
      <c r="C135" s="664" t="str">
        <f>IFERROR(_xlfn.XLOOKUP($G135,COM_Cadastro!#REF!,COM_Cadastro!#REF!),"")</f>
        <v/>
      </c>
      <c r="D135" s="665" t="s">
        <v>378</v>
      </c>
      <c r="E135" s="666" t="s">
        <v>378</v>
      </c>
      <c r="F135" s="665" t="s">
        <v>371</v>
      </c>
      <c r="G135" s="667" t="s">
        <v>567</v>
      </c>
      <c r="H135" s="668">
        <v>800</v>
      </c>
      <c r="I135" s="663"/>
      <c r="J135" s="663"/>
      <c r="K135" s="663"/>
      <c r="L135" s="670">
        <f t="shared" si="18"/>
        <v>800</v>
      </c>
      <c r="M135" s="671"/>
      <c r="N135" s="672"/>
      <c r="O135" s="672"/>
      <c r="P135" s="672"/>
      <c r="Q135" s="671"/>
      <c r="R135" s="671"/>
      <c r="S135" s="671"/>
      <c r="T135" s="670">
        <f t="shared" si="19"/>
        <v>800</v>
      </c>
    </row>
    <row r="136" spans="2:20" ht="12.75" customHeight="1" x14ac:dyDescent="0.25">
      <c r="B136" s="663" t="s">
        <v>70</v>
      </c>
      <c r="C136" s="664" t="str">
        <f>IFERROR(_xlfn.XLOOKUP($G136,COM_Cadastro!#REF!,COM_Cadastro!#REF!),"")</f>
        <v/>
      </c>
      <c r="D136" s="665" t="s">
        <v>378</v>
      </c>
      <c r="E136" s="666" t="s">
        <v>378</v>
      </c>
      <c r="F136" s="665" t="s">
        <v>371</v>
      </c>
      <c r="G136" s="667" t="s">
        <v>770</v>
      </c>
      <c r="H136" s="668">
        <v>2788</v>
      </c>
      <c r="I136" s="663"/>
      <c r="J136" s="663"/>
      <c r="K136" s="663"/>
      <c r="L136" s="670">
        <f t="shared" si="18"/>
        <v>2788</v>
      </c>
      <c r="M136" s="671"/>
      <c r="N136" s="672"/>
      <c r="O136" s="672"/>
      <c r="P136" s="672"/>
      <c r="Q136" s="671"/>
      <c r="R136" s="671"/>
      <c r="S136" s="671"/>
      <c r="T136" s="670">
        <f t="shared" si="19"/>
        <v>2788</v>
      </c>
    </row>
    <row r="137" spans="2:20" ht="12.75" customHeight="1" x14ac:dyDescent="0.25">
      <c r="B137" s="663" t="s">
        <v>70</v>
      </c>
      <c r="C137" s="664" t="str">
        <f>IFERROR(_xlfn.XLOOKUP($G137,COM_Cadastro!#REF!,COM_Cadastro!#REF!),"")</f>
        <v/>
      </c>
      <c r="D137" s="665" t="s">
        <v>378</v>
      </c>
      <c r="E137" s="666" t="s">
        <v>378</v>
      </c>
      <c r="F137" s="665" t="s">
        <v>371</v>
      </c>
      <c r="G137" s="667" t="s">
        <v>771</v>
      </c>
      <c r="H137" s="668">
        <v>2725</v>
      </c>
      <c r="I137" s="663"/>
      <c r="J137" s="663"/>
      <c r="K137" s="663"/>
      <c r="L137" s="670">
        <f t="shared" si="18"/>
        <v>2725</v>
      </c>
      <c r="M137" s="671"/>
      <c r="N137" s="672"/>
      <c r="O137" s="672"/>
      <c r="P137" s="672"/>
      <c r="Q137" s="671"/>
      <c r="R137" s="671"/>
      <c r="S137" s="671"/>
      <c r="T137" s="670">
        <f t="shared" si="19"/>
        <v>2725</v>
      </c>
    </row>
    <row r="138" spans="2:20" ht="12.75" customHeight="1" x14ac:dyDescent="0.25">
      <c r="B138" s="663" t="s">
        <v>70</v>
      </c>
      <c r="C138" s="673" t="str">
        <f>IFERROR(_xlfn.XLOOKUP($G138,COM_Cadastro!#REF!,COM_Cadastro!#REF!),"")</f>
        <v/>
      </c>
      <c r="D138" s="674" t="s">
        <v>378</v>
      </c>
      <c r="E138" s="675" t="s">
        <v>378</v>
      </c>
      <c r="F138" s="674" t="s">
        <v>371</v>
      </c>
      <c r="G138" s="663" t="s">
        <v>587</v>
      </c>
      <c r="H138" s="668">
        <v>1466</v>
      </c>
      <c r="I138" s="663"/>
      <c r="J138" s="663"/>
      <c r="K138" s="663"/>
      <c r="L138" s="670">
        <f t="shared" si="18"/>
        <v>1466</v>
      </c>
      <c r="M138" s="671"/>
      <c r="N138" s="672"/>
      <c r="O138" s="672"/>
      <c r="P138" s="672"/>
      <c r="Q138" s="671"/>
      <c r="R138" s="671"/>
      <c r="S138" s="671"/>
      <c r="T138" s="670">
        <f t="shared" si="19"/>
        <v>1466</v>
      </c>
    </row>
    <row r="139" spans="2:20" ht="12.75" customHeight="1" x14ac:dyDescent="0.25">
      <c r="B139" s="663" t="s">
        <v>70</v>
      </c>
      <c r="C139" s="664" t="str">
        <f>IFERROR(_xlfn.XLOOKUP($G139,COM_Cadastro!#REF!,COM_Cadastro!#REF!),"")</f>
        <v/>
      </c>
      <c r="D139" s="665" t="s">
        <v>378</v>
      </c>
      <c r="E139" s="666" t="s">
        <v>378</v>
      </c>
      <c r="F139" s="665" t="s">
        <v>371</v>
      </c>
      <c r="G139" s="667" t="s">
        <v>772</v>
      </c>
      <c r="H139" s="668">
        <v>2578</v>
      </c>
      <c r="I139" s="663"/>
      <c r="J139" s="663"/>
      <c r="K139" s="663"/>
      <c r="L139" s="670">
        <f t="shared" si="18"/>
        <v>2578</v>
      </c>
      <c r="M139" s="671"/>
      <c r="N139" s="672"/>
      <c r="O139" s="672"/>
      <c r="P139" s="672"/>
      <c r="Q139" s="671"/>
      <c r="R139" s="671"/>
      <c r="S139" s="671"/>
      <c r="T139" s="670">
        <f t="shared" si="19"/>
        <v>2578</v>
      </c>
    </row>
    <row r="140" spans="2:20" ht="12.75" customHeight="1" x14ac:dyDescent="0.25">
      <c r="B140" s="663" t="s">
        <v>70</v>
      </c>
      <c r="C140" s="664" t="str">
        <f>IFERROR(_xlfn.XLOOKUP($G140,COM_Cadastro!#REF!,COM_Cadastro!#REF!),"")</f>
        <v/>
      </c>
      <c r="D140" s="665" t="s">
        <v>378</v>
      </c>
      <c r="E140" s="666" t="s">
        <v>378</v>
      </c>
      <c r="F140" s="665" t="s">
        <v>371</v>
      </c>
      <c r="G140" s="667" t="s">
        <v>773</v>
      </c>
      <c r="H140" s="668">
        <v>900</v>
      </c>
      <c r="I140" s="663"/>
      <c r="J140" s="663"/>
      <c r="K140" s="663"/>
      <c r="L140" s="670">
        <f t="shared" si="18"/>
        <v>900</v>
      </c>
      <c r="M140" s="671"/>
      <c r="N140" s="672"/>
      <c r="O140" s="672"/>
      <c r="P140" s="672"/>
      <c r="Q140" s="671"/>
      <c r="R140" s="671"/>
      <c r="S140" s="671"/>
      <c r="T140" s="670">
        <f t="shared" si="19"/>
        <v>900</v>
      </c>
    </row>
    <row r="141" spans="2:20" ht="12.75" customHeight="1" x14ac:dyDescent="0.25">
      <c r="B141" s="663" t="s">
        <v>70</v>
      </c>
      <c r="C141" s="664" t="str">
        <f>IFERROR(_xlfn.XLOOKUP($G141,COM_Cadastro!#REF!,COM_Cadastro!#REF!),"")</f>
        <v/>
      </c>
      <c r="D141" s="665" t="s">
        <v>378</v>
      </c>
      <c r="E141" s="666" t="s">
        <v>378</v>
      </c>
      <c r="F141" s="665" t="s">
        <v>371</v>
      </c>
      <c r="G141" s="667" t="s">
        <v>774</v>
      </c>
      <c r="H141" s="668">
        <v>1600</v>
      </c>
      <c r="I141" s="663"/>
      <c r="J141" s="663"/>
      <c r="K141" s="663"/>
      <c r="L141" s="670">
        <f t="shared" si="18"/>
        <v>1600</v>
      </c>
      <c r="M141" s="671"/>
      <c r="N141" s="672"/>
      <c r="O141" s="672"/>
      <c r="P141" s="672"/>
      <c r="Q141" s="671"/>
      <c r="R141" s="671"/>
      <c r="S141" s="671"/>
      <c r="T141" s="670">
        <f t="shared" si="19"/>
        <v>1600</v>
      </c>
    </row>
    <row r="142" spans="2:20" ht="12.75" customHeight="1" x14ac:dyDescent="0.25">
      <c r="B142" s="663" t="s">
        <v>70</v>
      </c>
      <c r="C142" s="664" t="str">
        <f>IFERROR(_xlfn.XLOOKUP($G142,COM_Cadastro!#REF!,COM_Cadastro!#REF!),"")</f>
        <v/>
      </c>
      <c r="D142" s="665" t="s">
        <v>378</v>
      </c>
      <c r="E142" s="666" t="s">
        <v>378</v>
      </c>
      <c r="F142" s="665" t="s">
        <v>371</v>
      </c>
      <c r="G142" s="667" t="s">
        <v>775</v>
      </c>
      <c r="H142" s="668">
        <v>200</v>
      </c>
      <c r="I142" s="663"/>
      <c r="J142" s="663"/>
      <c r="K142" s="663"/>
      <c r="L142" s="670">
        <f t="shared" si="18"/>
        <v>200</v>
      </c>
      <c r="M142" s="671"/>
      <c r="N142" s="672"/>
      <c r="O142" s="672"/>
      <c r="P142" s="672"/>
      <c r="Q142" s="671"/>
      <c r="R142" s="671"/>
      <c r="S142" s="671"/>
      <c r="T142" s="670">
        <f t="shared" si="19"/>
        <v>200</v>
      </c>
    </row>
    <row r="143" spans="2:20" ht="12.75" customHeight="1" x14ac:dyDescent="0.25">
      <c r="B143" s="663" t="s">
        <v>70</v>
      </c>
      <c r="C143" s="664" t="str">
        <f>IFERROR(_xlfn.XLOOKUP($G143,COM_Cadastro!#REF!,COM_Cadastro!#REF!),"")</f>
        <v/>
      </c>
      <c r="D143" s="665" t="s">
        <v>378</v>
      </c>
      <c r="E143" s="666" t="s">
        <v>378</v>
      </c>
      <c r="F143" s="665" t="s">
        <v>376</v>
      </c>
      <c r="G143" s="667" t="s">
        <v>776</v>
      </c>
      <c r="H143" s="668">
        <v>2400</v>
      </c>
      <c r="I143" s="663"/>
      <c r="J143" s="663"/>
      <c r="K143" s="663"/>
      <c r="L143" s="670">
        <f t="shared" si="18"/>
        <v>2400</v>
      </c>
      <c r="M143" s="671"/>
      <c r="N143" s="672"/>
      <c r="O143" s="672"/>
      <c r="P143" s="672"/>
      <c r="Q143" s="671"/>
      <c r="R143" s="671"/>
      <c r="S143" s="671"/>
      <c r="T143" s="670">
        <f t="shared" si="19"/>
        <v>2400</v>
      </c>
    </row>
    <row r="144" spans="2:20" ht="12.75" customHeight="1" x14ac:dyDescent="0.25">
      <c r="B144" s="663" t="s">
        <v>70</v>
      </c>
      <c r="C144" s="664" t="str">
        <f>IFERROR(_xlfn.XLOOKUP($G144,COM_Cadastro!#REF!,COM_Cadastro!#REF!),"")</f>
        <v/>
      </c>
      <c r="D144" s="665" t="s">
        <v>378</v>
      </c>
      <c r="E144" s="666" t="s">
        <v>378</v>
      </c>
      <c r="F144" s="665" t="s">
        <v>376</v>
      </c>
      <c r="G144" s="667" t="s">
        <v>777</v>
      </c>
      <c r="H144" s="668">
        <v>3000</v>
      </c>
      <c r="I144" s="663"/>
      <c r="J144" s="663"/>
      <c r="K144" s="663"/>
      <c r="L144" s="670">
        <f t="shared" si="18"/>
        <v>3000</v>
      </c>
      <c r="M144" s="671"/>
      <c r="N144" s="672"/>
      <c r="O144" s="672"/>
      <c r="P144" s="672"/>
      <c r="Q144" s="671"/>
      <c r="R144" s="671"/>
      <c r="S144" s="671"/>
      <c r="T144" s="670">
        <f t="shared" si="19"/>
        <v>3000</v>
      </c>
    </row>
    <row r="145" spans="2:20" ht="12.75" customHeight="1" x14ac:dyDescent="0.25">
      <c r="B145" s="663" t="s">
        <v>70</v>
      </c>
      <c r="C145" s="664" t="str">
        <f>IFERROR(_xlfn.XLOOKUP($G145,COM_Cadastro!#REF!,COM_Cadastro!#REF!),"")</f>
        <v/>
      </c>
      <c r="D145" s="665" t="s">
        <v>378</v>
      </c>
      <c r="E145" s="666" t="s">
        <v>378</v>
      </c>
      <c r="F145" s="665" t="s">
        <v>376</v>
      </c>
      <c r="G145" s="667" t="s">
        <v>391</v>
      </c>
      <c r="H145" s="668">
        <v>2520</v>
      </c>
      <c r="I145" s="663"/>
      <c r="J145" s="663"/>
      <c r="K145" s="663"/>
      <c r="L145" s="670">
        <f t="shared" si="18"/>
        <v>2520</v>
      </c>
      <c r="M145" s="671"/>
      <c r="N145" s="672"/>
      <c r="O145" s="672"/>
      <c r="P145" s="672"/>
      <c r="Q145" s="671"/>
      <c r="R145" s="671"/>
      <c r="S145" s="671"/>
      <c r="T145" s="670">
        <f t="shared" si="19"/>
        <v>2520</v>
      </c>
    </row>
    <row r="146" spans="2:20" ht="12.75" customHeight="1" x14ac:dyDescent="0.25">
      <c r="B146" s="663" t="s">
        <v>70</v>
      </c>
      <c r="C146" s="664" t="str">
        <f>IFERROR(_xlfn.XLOOKUP($G146,COM_Cadastro!#REF!,COM_Cadastro!#REF!),"")</f>
        <v/>
      </c>
      <c r="D146" s="665" t="s">
        <v>378</v>
      </c>
      <c r="E146" s="666" t="s">
        <v>378</v>
      </c>
      <c r="F146" s="665" t="s">
        <v>376</v>
      </c>
      <c r="G146" s="667" t="s">
        <v>778</v>
      </c>
      <c r="H146" s="668">
        <v>3240</v>
      </c>
      <c r="I146" s="663"/>
      <c r="J146" s="663"/>
      <c r="K146" s="663"/>
      <c r="L146" s="670">
        <f t="shared" si="18"/>
        <v>3240</v>
      </c>
      <c r="M146" s="671"/>
      <c r="N146" s="672"/>
      <c r="O146" s="672"/>
      <c r="P146" s="672"/>
      <c r="Q146" s="671"/>
      <c r="R146" s="671"/>
      <c r="S146" s="671"/>
      <c r="T146" s="670">
        <f t="shared" si="19"/>
        <v>3240</v>
      </c>
    </row>
    <row r="147" spans="2:20" ht="12.75" customHeight="1" x14ac:dyDescent="0.25">
      <c r="B147" s="663" t="s">
        <v>70</v>
      </c>
      <c r="C147" s="673" t="str">
        <f>IFERROR(_xlfn.XLOOKUP($G147,COM_Cadastro!#REF!,COM_Cadastro!#REF!),"")</f>
        <v/>
      </c>
      <c r="D147" s="674" t="s">
        <v>378</v>
      </c>
      <c r="E147" s="675" t="s">
        <v>378</v>
      </c>
      <c r="F147" s="674" t="s">
        <v>376</v>
      </c>
      <c r="G147" s="663" t="s">
        <v>410</v>
      </c>
      <c r="H147" s="668">
        <v>2533</v>
      </c>
      <c r="I147" s="663"/>
      <c r="J147" s="663"/>
      <c r="K147" s="663"/>
      <c r="L147" s="670">
        <f t="shared" si="18"/>
        <v>2533</v>
      </c>
      <c r="M147" s="671"/>
      <c r="N147" s="672"/>
      <c r="O147" s="672"/>
      <c r="P147" s="672"/>
      <c r="Q147" s="671"/>
      <c r="R147" s="671"/>
      <c r="S147" s="671"/>
      <c r="T147" s="670">
        <f t="shared" si="19"/>
        <v>2533</v>
      </c>
    </row>
    <row r="148" spans="2:20" ht="12.75" customHeight="1" x14ac:dyDescent="0.25">
      <c r="B148" s="663" t="s">
        <v>70</v>
      </c>
      <c r="C148" s="673" t="str">
        <f>IFERROR(_xlfn.XLOOKUP($G148,COM_Cadastro!#REF!,COM_Cadastro!#REF!),"")</f>
        <v/>
      </c>
      <c r="D148" s="674" t="s">
        <v>378</v>
      </c>
      <c r="E148" s="675" t="s">
        <v>378</v>
      </c>
      <c r="F148" s="674" t="s">
        <v>376</v>
      </c>
      <c r="G148" s="663" t="s">
        <v>446</v>
      </c>
      <c r="H148" s="668">
        <v>3174</v>
      </c>
      <c r="I148" s="663"/>
      <c r="J148" s="663"/>
      <c r="K148" s="663"/>
      <c r="L148" s="670">
        <f t="shared" si="18"/>
        <v>3174</v>
      </c>
      <c r="M148" s="671"/>
      <c r="N148" s="672"/>
      <c r="O148" s="672"/>
      <c r="P148" s="672"/>
      <c r="Q148" s="671"/>
      <c r="R148" s="671"/>
      <c r="S148" s="671"/>
      <c r="T148" s="670">
        <f t="shared" si="19"/>
        <v>3174</v>
      </c>
    </row>
    <row r="149" spans="2:20" ht="12.75" customHeight="1" x14ac:dyDescent="0.25">
      <c r="B149" s="663" t="s">
        <v>70</v>
      </c>
      <c r="C149" s="673" t="str">
        <f>IFERROR(_xlfn.XLOOKUP($G149,COM_Cadastro!#REF!,COM_Cadastro!#REF!),"")</f>
        <v/>
      </c>
      <c r="D149" s="674" t="s">
        <v>378</v>
      </c>
      <c r="E149" s="675" t="s">
        <v>378</v>
      </c>
      <c r="F149" s="674" t="s">
        <v>376</v>
      </c>
      <c r="G149" s="663" t="s">
        <v>467</v>
      </c>
      <c r="H149" s="668">
        <v>3958</v>
      </c>
      <c r="I149" s="663"/>
      <c r="J149" s="663"/>
      <c r="K149" s="663"/>
      <c r="L149" s="670">
        <f t="shared" si="18"/>
        <v>3958</v>
      </c>
      <c r="M149" s="671"/>
      <c r="N149" s="672"/>
      <c r="O149" s="672"/>
      <c r="P149" s="672"/>
      <c r="Q149" s="671"/>
      <c r="R149" s="671"/>
      <c r="S149" s="671"/>
      <c r="T149" s="670">
        <f t="shared" si="19"/>
        <v>3958</v>
      </c>
    </row>
    <row r="150" spans="2:20" ht="12.75" customHeight="1" x14ac:dyDescent="0.25">
      <c r="B150" s="663" t="s">
        <v>70</v>
      </c>
      <c r="C150" s="673" t="str">
        <f>IFERROR(_xlfn.XLOOKUP($G150,COM_Cadastro!#REF!,COM_Cadastro!#REF!),"")</f>
        <v/>
      </c>
      <c r="D150" s="674" t="s">
        <v>378</v>
      </c>
      <c r="E150" s="675" t="s">
        <v>378</v>
      </c>
      <c r="F150" s="674" t="s">
        <v>376</v>
      </c>
      <c r="G150" s="663" t="s">
        <v>536</v>
      </c>
      <c r="H150" s="668">
        <v>3160</v>
      </c>
      <c r="I150" s="663"/>
      <c r="J150" s="663"/>
      <c r="K150" s="663"/>
      <c r="L150" s="670">
        <f t="shared" si="18"/>
        <v>3160</v>
      </c>
      <c r="M150" s="671"/>
      <c r="N150" s="672"/>
      <c r="O150" s="672"/>
      <c r="P150" s="672"/>
      <c r="Q150" s="671"/>
      <c r="R150" s="671"/>
      <c r="S150" s="671"/>
      <c r="T150" s="670">
        <f t="shared" si="19"/>
        <v>3160</v>
      </c>
    </row>
    <row r="151" spans="2:20" ht="12.75" customHeight="1" x14ac:dyDescent="0.25">
      <c r="B151" s="663" t="s">
        <v>70</v>
      </c>
      <c r="C151" s="673" t="str">
        <f>IFERROR(_xlfn.XLOOKUP($G151,COM_Cadastro!#REF!,COM_Cadastro!#REF!),"")</f>
        <v/>
      </c>
      <c r="D151" s="674" t="s">
        <v>378</v>
      </c>
      <c r="E151" s="675" t="s">
        <v>378</v>
      </c>
      <c r="F151" s="674" t="s">
        <v>376</v>
      </c>
      <c r="G151" s="663" t="s">
        <v>385</v>
      </c>
      <c r="H151" s="668">
        <v>773</v>
      </c>
      <c r="I151" s="663"/>
      <c r="J151" s="663"/>
      <c r="K151" s="663"/>
      <c r="L151" s="670">
        <f t="shared" si="18"/>
        <v>773</v>
      </c>
      <c r="M151" s="671"/>
      <c r="N151" s="672"/>
      <c r="O151" s="672"/>
      <c r="P151" s="672"/>
      <c r="Q151" s="671"/>
      <c r="R151" s="671"/>
      <c r="S151" s="671"/>
      <c r="T151" s="670">
        <f t="shared" si="19"/>
        <v>773</v>
      </c>
    </row>
    <row r="152" spans="2:20" ht="12.75" customHeight="1" x14ac:dyDescent="0.25">
      <c r="B152" s="663" t="s">
        <v>70</v>
      </c>
      <c r="C152" s="673" t="str">
        <f>IFERROR(_xlfn.XLOOKUP($G152,COM_Cadastro!#REF!,COM_Cadastro!#REF!),"")</f>
        <v/>
      </c>
      <c r="D152" s="674" t="s">
        <v>378</v>
      </c>
      <c r="E152" s="675" t="s">
        <v>378</v>
      </c>
      <c r="F152" s="674" t="s">
        <v>376</v>
      </c>
      <c r="G152" s="663" t="s">
        <v>396</v>
      </c>
      <c r="H152" s="668">
        <v>4040</v>
      </c>
      <c r="I152" s="663"/>
      <c r="J152" s="663"/>
      <c r="K152" s="663"/>
      <c r="L152" s="670">
        <f t="shared" si="18"/>
        <v>4040</v>
      </c>
      <c r="M152" s="671"/>
      <c r="N152" s="672"/>
      <c r="O152" s="672"/>
      <c r="P152" s="672"/>
      <c r="Q152" s="671"/>
      <c r="R152" s="671"/>
      <c r="S152" s="671"/>
      <c r="T152" s="670">
        <f t="shared" si="19"/>
        <v>4040</v>
      </c>
    </row>
    <row r="153" spans="2:20" ht="12.75" customHeight="1" x14ac:dyDescent="0.25">
      <c r="B153" s="663" t="s">
        <v>70</v>
      </c>
      <c r="C153" s="664" t="str">
        <f>IFERROR(_xlfn.XLOOKUP($G153,COM_Cadastro!#REF!,COM_Cadastro!#REF!),"")</f>
        <v/>
      </c>
      <c r="D153" s="665" t="s">
        <v>378</v>
      </c>
      <c r="E153" s="666" t="s">
        <v>378</v>
      </c>
      <c r="F153" s="665" t="s">
        <v>376</v>
      </c>
      <c r="G153" s="667" t="s">
        <v>453</v>
      </c>
      <c r="H153" s="668">
        <v>1320</v>
      </c>
      <c r="I153" s="663"/>
      <c r="J153" s="663"/>
      <c r="K153" s="663"/>
      <c r="L153" s="670">
        <f t="shared" si="18"/>
        <v>1320</v>
      </c>
      <c r="M153" s="671"/>
      <c r="N153" s="672"/>
      <c r="O153" s="672"/>
      <c r="P153" s="672"/>
      <c r="Q153" s="671"/>
      <c r="R153" s="671"/>
      <c r="S153" s="671"/>
      <c r="T153" s="670">
        <f t="shared" si="19"/>
        <v>1320</v>
      </c>
    </row>
    <row r="154" spans="2:20" ht="12.75" customHeight="1" x14ac:dyDescent="0.25">
      <c r="B154" s="663" t="s">
        <v>70</v>
      </c>
      <c r="C154" s="673" t="str">
        <f>IFERROR(_xlfn.XLOOKUP($G154,COM_Cadastro!#REF!,COM_Cadastro!#REF!),"")</f>
        <v/>
      </c>
      <c r="D154" s="674" t="s">
        <v>378</v>
      </c>
      <c r="E154" s="675" t="s">
        <v>378</v>
      </c>
      <c r="F154" s="674" t="s">
        <v>374</v>
      </c>
      <c r="G154" s="663" t="s">
        <v>456</v>
      </c>
      <c r="H154" s="668">
        <v>3840</v>
      </c>
      <c r="I154" s="663"/>
      <c r="J154" s="663"/>
      <c r="K154" s="663"/>
      <c r="L154" s="670">
        <f t="shared" si="18"/>
        <v>3840</v>
      </c>
      <c r="M154" s="671"/>
      <c r="N154" s="672"/>
      <c r="O154" s="672"/>
      <c r="P154" s="672"/>
      <c r="Q154" s="671"/>
      <c r="R154" s="671"/>
      <c r="S154" s="671"/>
      <c r="T154" s="670">
        <f t="shared" si="19"/>
        <v>3840</v>
      </c>
    </row>
    <row r="155" spans="2:20" ht="12.75" customHeight="1" x14ac:dyDescent="0.25">
      <c r="B155" s="663" t="s">
        <v>70</v>
      </c>
      <c r="C155" s="673" t="str">
        <f>IFERROR(_xlfn.XLOOKUP($G155,COM_Cadastro!#REF!,COM_Cadastro!#REF!),"")</f>
        <v/>
      </c>
      <c r="D155" s="674" t="s">
        <v>378</v>
      </c>
      <c r="E155" s="675" t="s">
        <v>378</v>
      </c>
      <c r="F155" s="674" t="s">
        <v>374</v>
      </c>
      <c r="G155" s="663" t="s">
        <v>480</v>
      </c>
      <c r="H155" s="668">
        <v>2700</v>
      </c>
      <c r="I155" s="663"/>
      <c r="J155" s="663"/>
      <c r="K155" s="663"/>
      <c r="L155" s="670">
        <f t="shared" si="18"/>
        <v>2700</v>
      </c>
      <c r="M155" s="671"/>
      <c r="N155" s="672"/>
      <c r="O155" s="672"/>
      <c r="P155" s="672"/>
      <c r="Q155" s="671"/>
      <c r="R155" s="671"/>
      <c r="S155" s="671"/>
      <c r="T155" s="670">
        <f t="shared" si="19"/>
        <v>2700</v>
      </c>
    </row>
    <row r="156" spans="2:20" ht="12.75" customHeight="1" x14ac:dyDescent="0.25">
      <c r="B156" s="663" t="s">
        <v>70</v>
      </c>
      <c r="C156" s="664" t="str">
        <f>IFERROR(_xlfn.XLOOKUP($G156,COM_Cadastro!#REF!,COM_Cadastro!#REF!),"")</f>
        <v/>
      </c>
      <c r="D156" s="665" t="s">
        <v>378</v>
      </c>
      <c r="E156" s="666" t="s">
        <v>378</v>
      </c>
      <c r="F156" s="665" t="s">
        <v>374</v>
      </c>
      <c r="G156" s="667" t="s">
        <v>779</v>
      </c>
      <c r="H156" s="668">
        <v>4988</v>
      </c>
      <c r="I156" s="663"/>
      <c r="J156" s="663"/>
      <c r="K156" s="663"/>
      <c r="L156" s="670">
        <f t="shared" si="18"/>
        <v>4988</v>
      </c>
      <c r="M156" s="671"/>
      <c r="N156" s="672"/>
      <c r="O156" s="672"/>
      <c r="P156" s="672"/>
      <c r="Q156" s="671"/>
      <c r="R156" s="671"/>
      <c r="S156" s="671"/>
      <c r="T156" s="670">
        <f t="shared" si="19"/>
        <v>4988</v>
      </c>
    </row>
    <row r="157" spans="2:20" ht="12.75" customHeight="1" x14ac:dyDescent="0.25">
      <c r="B157" s="663" t="s">
        <v>70</v>
      </c>
      <c r="C157" s="664" t="str">
        <f>IFERROR(_xlfn.XLOOKUP($G157,COM_Cadastro!#REF!,COM_Cadastro!#REF!),"")</f>
        <v/>
      </c>
      <c r="D157" s="665" t="s">
        <v>378</v>
      </c>
      <c r="E157" s="666" t="s">
        <v>378</v>
      </c>
      <c r="F157" s="665" t="s">
        <v>374</v>
      </c>
      <c r="G157" s="667" t="s">
        <v>568</v>
      </c>
      <c r="H157" s="668">
        <v>2200</v>
      </c>
      <c r="I157" s="663"/>
      <c r="J157" s="663"/>
      <c r="K157" s="663"/>
      <c r="L157" s="670">
        <f t="shared" si="18"/>
        <v>2200</v>
      </c>
      <c r="M157" s="671"/>
      <c r="N157" s="672"/>
      <c r="O157" s="672"/>
      <c r="P157" s="672"/>
      <c r="Q157" s="671"/>
      <c r="R157" s="671"/>
      <c r="S157" s="671"/>
      <c r="T157" s="670">
        <f t="shared" si="19"/>
        <v>2200</v>
      </c>
    </row>
    <row r="158" spans="2:20" ht="12.75" customHeight="1" x14ac:dyDescent="0.2">
      <c r="B158" s="683" t="s">
        <v>70</v>
      </c>
      <c r="C158" s="684" t="str">
        <f>IFERROR(_xlfn.XLOOKUP($G158,COM_Cadastro!#REF!,COM_Cadastro!#REF!),"")</f>
        <v/>
      </c>
      <c r="D158" s="685" t="s">
        <v>734</v>
      </c>
      <c r="E158" s="686" t="s">
        <v>780</v>
      </c>
      <c r="F158" s="687" t="s">
        <v>368</v>
      </c>
      <c r="G158" s="688" t="s">
        <v>781</v>
      </c>
      <c r="H158" s="689">
        <v>630</v>
      </c>
      <c r="I158" s="683"/>
      <c r="J158" s="683"/>
      <c r="K158" s="683"/>
      <c r="L158" s="690">
        <f t="shared" si="18"/>
        <v>630</v>
      </c>
      <c r="M158" s="691"/>
      <c r="N158" s="692"/>
      <c r="O158" s="692"/>
      <c r="P158" s="692"/>
      <c r="Q158" s="691"/>
      <c r="R158" s="691"/>
      <c r="S158" s="691"/>
      <c r="T158" s="690">
        <f t="shared" si="19"/>
        <v>630</v>
      </c>
    </row>
    <row r="159" spans="2:20" ht="12.75" customHeight="1" x14ac:dyDescent="0.2">
      <c r="B159" s="683" t="s">
        <v>70</v>
      </c>
      <c r="C159" s="684" t="str">
        <f>IFERROR(_xlfn.XLOOKUP($G159,COM_Cadastro!#REF!,COM_Cadastro!#REF!),"")</f>
        <v/>
      </c>
      <c r="D159" s="685" t="s">
        <v>734</v>
      </c>
      <c r="E159" s="686" t="s">
        <v>780</v>
      </c>
      <c r="F159" s="687" t="s">
        <v>368</v>
      </c>
      <c r="G159" s="688" t="s">
        <v>782</v>
      </c>
      <c r="H159" s="689">
        <v>900</v>
      </c>
      <c r="I159" s="683"/>
      <c r="J159" s="683"/>
      <c r="K159" s="683"/>
      <c r="L159" s="690">
        <f t="shared" si="18"/>
        <v>900</v>
      </c>
      <c r="M159" s="691"/>
      <c r="N159" s="692"/>
      <c r="O159" s="692"/>
      <c r="P159" s="692"/>
      <c r="Q159" s="691"/>
      <c r="R159" s="691"/>
      <c r="S159" s="691"/>
      <c r="T159" s="690">
        <f t="shared" si="19"/>
        <v>900</v>
      </c>
    </row>
    <row r="160" spans="2:20" ht="12.75" customHeight="1" x14ac:dyDescent="0.2">
      <c r="B160" s="683" t="s">
        <v>70</v>
      </c>
      <c r="C160" s="684" t="str">
        <f>IFERROR(_xlfn.XLOOKUP($G160,COM_Cadastro!#REF!,COM_Cadastro!#REF!),"")</f>
        <v/>
      </c>
      <c r="D160" s="685" t="s">
        <v>734</v>
      </c>
      <c r="E160" s="686" t="s">
        <v>780</v>
      </c>
      <c r="F160" s="687" t="s">
        <v>368</v>
      </c>
      <c r="G160" s="688" t="s">
        <v>783</v>
      </c>
      <c r="H160" s="689">
        <v>630</v>
      </c>
      <c r="I160" s="683"/>
      <c r="J160" s="683"/>
      <c r="K160" s="683"/>
      <c r="L160" s="690">
        <f t="shared" si="18"/>
        <v>630</v>
      </c>
      <c r="M160" s="691"/>
      <c r="N160" s="692"/>
      <c r="O160" s="692"/>
      <c r="P160" s="692"/>
      <c r="Q160" s="691"/>
      <c r="R160" s="691"/>
      <c r="S160" s="691"/>
      <c r="T160" s="690">
        <f t="shared" si="19"/>
        <v>630</v>
      </c>
    </row>
    <row r="161" spans="2:20" ht="12.75" customHeight="1" x14ac:dyDescent="0.2">
      <c r="B161" s="683" t="s">
        <v>70</v>
      </c>
      <c r="C161" s="684" t="str">
        <f>IFERROR(_xlfn.XLOOKUP($G161,COM_Cadastro!#REF!,COM_Cadastro!#REF!),"")</f>
        <v/>
      </c>
      <c r="D161" s="685" t="s">
        <v>734</v>
      </c>
      <c r="E161" s="686" t="s">
        <v>780</v>
      </c>
      <c r="F161" s="693" t="s">
        <v>368</v>
      </c>
      <c r="G161" s="686" t="s">
        <v>392</v>
      </c>
      <c r="H161" s="694">
        <v>70</v>
      </c>
      <c r="I161" s="683"/>
      <c r="J161" s="683"/>
      <c r="K161" s="683"/>
      <c r="L161" s="690">
        <f t="shared" si="18"/>
        <v>70</v>
      </c>
      <c r="M161" s="691"/>
      <c r="N161" s="692"/>
      <c r="O161" s="692"/>
      <c r="P161" s="692"/>
      <c r="Q161" s="691"/>
      <c r="R161" s="691"/>
      <c r="S161" s="691"/>
      <c r="T161" s="690">
        <f t="shared" si="19"/>
        <v>70</v>
      </c>
    </row>
    <row r="162" spans="2:20" ht="12.75" customHeight="1" x14ac:dyDescent="0.2">
      <c r="B162" s="683" t="s">
        <v>70</v>
      </c>
      <c r="C162" s="684" t="str">
        <f>IFERROR(_xlfn.XLOOKUP($G162,COM_Cadastro!#REF!,COM_Cadastro!#REF!),"")</f>
        <v/>
      </c>
      <c r="D162" s="685" t="s">
        <v>734</v>
      </c>
      <c r="E162" s="686" t="s">
        <v>780</v>
      </c>
      <c r="F162" s="693" t="s">
        <v>368</v>
      </c>
      <c r="G162" s="695" t="s">
        <v>397</v>
      </c>
      <c r="H162" s="696">
        <v>400</v>
      </c>
      <c r="I162" s="683"/>
      <c r="J162" s="683"/>
      <c r="K162" s="683"/>
      <c r="L162" s="690">
        <f t="shared" si="18"/>
        <v>400</v>
      </c>
      <c r="M162" s="691"/>
      <c r="N162" s="692"/>
      <c r="O162" s="692"/>
      <c r="P162" s="692"/>
      <c r="Q162" s="691"/>
      <c r="R162" s="691"/>
      <c r="S162" s="691"/>
      <c r="T162" s="690">
        <f t="shared" si="19"/>
        <v>400</v>
      </c>
    </row>
    <row r="163" spans="2:20" ht="12.75" customHeight="1" x14ac:dyDescent="0.2">
      <c r="B163" s="683" t="s">
        <v>70</v>
      </c>
      <c r="C163" s="684" t="str">
        <f>IFERROR(_xlfn.XLOOKUP($G163,COM_Cadastro!#REF!,COM_Cadastro!#REF!),"")</f>
        <v/>
      </c>
      <c r="D163" s="685" t="s">
        <v>734</v>
      </c>
      <c r="E163" s="686" t="s">
        <v>780</v>
      </c>
      <c r="F163" s="687" t="s">
        <v>368</v>
      </c>
      <c r="G163" s="688" t="s">
        <v>746</v>
      </c>
      <c r="H163" s="689">
        <v>660</v>
      </c>
      <c r="I163" s="683"/>
      <c r="J163" s="683"/>
      <c r="K163" s="683"/>
      <c r="L163" s="690">
        <f t="shared" si="18"/>
        <v>660</v>
      </c>
      <c r="M163" s="691"/>
      <c r="N163" s="692"/>
      <c r="O163" s="692"/>
      <c r="P163" s="692"/>
      <c r="Q163" s="691"/>
      <c r="R163" s="691"/>
      <c r="S163" s="691"/>
      <c r="T163" s="690">
        <f t="shared" si="19"/>
        <v>660</v>
      </c>
    </row>
    <row r="164" spans="2:20" ht="12.75" customHeight="1" x14ac:dyDescent="0.2">
      <c r="B164" s="683" t="s">
        <v>70</v>
      </c>
      <c r="C164" s="684" t="str">
        <f>IFERROR(_xlfn.XLOOKUP($G164,COM_Cadastro!#REF!,COM_Cadastro!#REF!),"")</f>
        <v/>
      </c>
      <c r="D164" s="685" t="s">
        <v>734</v>
      </c>
      <c r="E164" s="686" t="s">
        <v>780</v>
      </c>
      <c r="F164" s="687" t="s">
        <v>368</v>
      </c>
      <c r="G164" s="688" t="s">
        <v>418</v>
      </c>
      <c r="H164" s="694">
        <v>1100</v>
      </c>
      <c r="I164" s="683"/>
      <c r="J164" s="683"/>
      <c r="K164" s="683"/>
      <c r="L164" s="690">
        <f t="shared" si="18"/>
        <v>1100</v>
      </c>
      <c r="M164" s="691"/>
      <c r="N164" s="692"/>
      <c r="O164" s="692"/>
      <c r="P164" s="692"/>
      <c r="Q164" s="691"/>
      <c r="R164" s="691"/>
      <c r="S164" s="691"/>
      <c r="T164" s="690">
        <f t="shared" si="19"/>
        <v>1100</v>
      </c>
    </row>
    <row r="165" spans="2:20" ht="12.75" customHeight="1" x14ac:dyDescent="0.2">
      <c r="B165" s="683" t="s">
        <v>70</v>
      </c>
      <c r="C165" s="684" t="str">
        <f>IFERROR(_xlfn.XLOOKUP($G165,COM_Cadastro!#REF!,COM_Cadastro!#REF!),"")</f>
        <v/>
      </c>
      <c r="D165" s="685" t="s">
        <v>734</v>
      </c>
      <c r="E165" s="686" t="s">
        <v>780</v>
      </c>
      <c r="F165" s="693" t="s">
        <v>368</v>
      </c>
      <c r="G165" s="688" t="s">
        <v>421</v>
      </c>
      <c r="H165" s="694">
        <v>200</v>
      </c>
      <c r="I165" s="683"/>
      <c r="J165" s="683"/>
      <c r="K165" s="683"/>
      <c r="L165" s="690">
        <f t="shared" si="18"/>
        <v>200</v>
      </c>
      <c r="M165" s="691"/>
      <c r="N165" s="692"/>
      <c r="O165" s="692"/>
      <c r="P165" s="692"/>
      <c r="Q165" s="691"/>
      <c r="R165" s="691"/>
      <c r="S165" s="691"/>
      <c r="T165" s="690">
        <f t="shared" si="19"/>
        <v>200</v>
      </c>
    </row>
    <row r="166" spans="2:20" ht="12.75" customHeight="1" x14ac:dyDescent="0.2">
      <c r="B166" s="683" t="s">
        <v>70</v>
      </c>
      <c r="C166" s="684" t="str">
        <f>IFERROR(_xlfn.XLOOKUP($G166,COM_Cadastro!#REF!,COM_Cadastro!#REF!),"")</f>
        <v/>
      </c>
      <c r="D166" s="685" t="s">
        <v>734</v>
      </c>
      <c r="E166" s="686" t="s">
        <v>780</v>
      </c>
      <c r="F166" s="687" t="s">
        <v>368</v>
      </c>
      <c r="G166" s="688" t="s">
        <v>427</v>
      </c>
      <c r="H166" s="689">
        <v>2000</v>
      </c>
      <c r="I166" s="683"/>
      <c r="J166" s="683"/>
      <c r="K166" s="683"/>
      <c r="L166" s="690">
        <f t="shared" si="18"/>
        <v>2000</v>
      </c>
      <c r="M166" s="691"/>
      <c r="N166" s="692"/>
      <c r="O166" s="692"/>
      <c r="P166" s="692"/>
      <c r="Q166" s="691"/>
      <c r="R166" s="691"/>
      <c r="S166" s="691"/>
      <c r="T166" s="690">
        <f t="shared" si="19"/>
        <v>2000</v>
      </c>
    </row>
    <row r="167" spans="2:20" ht="12.75" customHeight="1" x14ac:dyDescent="0.2">
      <c r="B167" s="683" t="s">
        <v>70</v>
      </c>
      <c r="C167" s="684" t="str">
        <f>IFERROR(_xlfn.XLOOKUP($G167,COM_Cadastro!#REF!,COM_Cadastro!#REF!),"")</f>
        <v/>
      </c>
      <c r="D167" s="685" t="s">
        <v>734</v>
      </c>
      <c r="E167" s="686" t="s">
        <v>780</v>
      </c>
      <c r="F167" s="687" t="s">
        <v>368</v>
      </c>
      <c r="G167" s="695" t="s">
        <v>431</v>
      </c>
      <c r="H167" s="696">
        <v>110</v>
      </c>
      <c r="I167" s="683"/>
      <c r="J167" s="683"/>
      <c r="K167" s="683"/>
      <c r="L167" s="690">
        <f t="shared" si="18"/>
        <v>110</v>
      </c>
      <c r="M167" s="691"/>
      <c r="N167" s="692"/>
      <c r="O167" s="692"/>
      <c r="P167" s="692"/>
      <c r="Q167" s="691"/>
      <c r="R167" s="691"/>
      <c r="S167" s="691"/>
      <c r="T167" s="690">
        <f t="shared" si="19"/>
        <v>110</v>
      </c>
    </row>
    <row r="168" spans="2:20" ht="12.75" customHeight="1" x14ac:dyDescent="0.2">
      <c r="B168" s="683" t="s">
        <v>70</v>
      </c>
      <c r="C168" s="684" t="str">
        <f>IFERROR(_xlfn.XLOOKUP($G168,COM_Cadastro!#REF!,COM_Cadastro!#REF!),"")</f>
        <v/>
      </c>
      <c r="D168" s="685" t="s">
        <v>734</v>
      </c>
      <c r="E168" s="686" t="s">
        <v>780</v>
      </c>
      <c r="F168" s="687" t="s">
        <v>368</v>
      </c>
      <c r="G168" s="695" t="s">
        <v>433</v>
      </c>
      <c r="H168" s="696">
        <v>540</v>
      </c>
      <c r="I168" s="683"/>
      <c r="J168" s="683"/>
      <c r="K168" s="683"/>
      <c r="L168" s="690">
        <f t="shared" si="18"/>
        <v>540</v>
      </c>
      <c r="M168" s="691"/>
      <c r="N168" s="692"/>
      <c r="O168" s="692"/>
      <c r="P168" s="692"/>
      <c r="Q168" s="691"/>
      <c r="R168" s="691"/>
      <c r="S168" s="691"/>
      <c r="T168" s="690">
        <f t="shared" si="19"/>
        <v>540</v>
      </c>
    </row>
    <row r="169" spans="2:20" ht="12.75" customHeight="1" x14ac:dyDescent="0.2">
      <c r="B169" s="683" t="s">
        <v>70</v>
      </c>
      <c r="C169" s="684" t="str">
        <f>IFERROR(_xlfn.XLOOKUP($G169,COM_Cadastro!#REF!,COM_Cadastro!#REF!),"")</f>
        <v/>
      </c>
      <c r="D169" s="685" t="s">
        <v>734</v>
      </c>
      <c r="E169" s="686" t="s">
        <v>780</v>
      </c>
      <c r="F169" s="693" t="s">
        <v>368</v>
      </c>
      <c r="G169" s="695" t="s">
        <v>437</v>
      </c>
      <c r="H169" s="696">
        <v>100</v>
      </c>
      <c r="I169" s="683"/>
      <c r="J169" s="683"/>
      <c r="K169" s="683"/>
      <c r="L169" s="690">
        <f t="shared" si="18"/>
        <v>100</v>
      </c>
      <c r="M169" s="691"/>
      <c r="N169" s="692"/>
      <c r="O169" s="692"/>
      <c r="P169" s="692"/>
      <c r="Q169" s="691"/>
      <c r="R169" s="691"/>
      <c r="S169" s="691"/>
      <c r="T169" s="690">
        <f t="shared" si="19"/>
        <v>100</v>
      </c>
    </row>
    <row r="170" spans="2:20" ht="12.75" customHeight="1" x14ac:dyDescent="0.2">
      <c r="B170" s="683" t="s">
        <v>70</v>
      </c>
      <c r="C170" s="684" t="str">
        <f>IFERROR(_xlfn.XLOOKUP($G170,COM_Cadastro!#REF!,COM_Cadastro!#REF!),"")</f>
        <v/>
      </c>
      <c r="D170" s="685" t="s">
        <v>734</v>
      </c>
      <c r="E170" s="686" t="s">
        <v>780</v>
      </c>
      <c r="F170" s="693" t="s">
        <v>368</v>
      </c>
      <c r="G170" s="695" t="s">
        <v>450</v>
      </c>
      <c r="H170" s="696">
        <v>180</v>
      </c>
      <c r="I170" s="683"/>
      <c r="J170" s="683"/>
      <c r="K170" s="683"/>
      <c r="L170" s="690">
        <f t="shared" si="18"/>
        <v>180</v>
      </c>
      <c r="M170" s="691"/>
      <c r="N170" s="692"/>
      <c r="O170" s="692"/>
      <c r="P170" s="692"/>
      <c r="Q170" s="691"/>
      <c r="R170" s="691"/>
      <c r="S170" s="691"/>
      <c r="T170" s="690">
        <f t="shared" si="19"/>
        <v>180</v>
      </c>
    </row>
    <row r="171" spans="2:20" ht="12.75" customHeight="1" x14ac:dyDescent="0.2">
      <c r="B171" s="683" t="s">
        <v>70</v>
      </c>
      <c r="C171" s="684" t="str">
        <f>IFERROR(_xlfn.XLOOKUP($G171,COM_Cadastro!#REF!,COM_Cadastro!#REF!),"")</f>
        <v/>
      </c>
      <c r="D171" s="685" t="s">
        <v>734</v>
      </c>
      <c r="E171" s="686" t="s">
        <v>780</v>
      </c>
      <c r="F171" s="693" t="s">
        <v>368</v>
      </c>
      <c r="G171" s="695" t="s">
        <v>784</v>
      </c>
      <c r="H171" s="696">
        <v>1330</v>
      </c>
      <c r="I171" s="683"/>
      <c r="J171" s="683"/>
      <c r="K171" s="683"/>
      <c r="L171" s="690">
        <f t="shared" si="18"/>
        <v>1330</v>
      </c>
      <c r="M171" s="691"/>
      <c r="N171" s="692"/>
      <c r="O171" s="692"/>
      <c r="P171" s="692"/>
      <c r="Q171" s="691"/>
      <c r="R171" s="691"/>
      <c r="S171" s="691"/>
      <c r="T171" s="690">
        <f t="shared" si="19"/>
        <v>1330</v>
      </c>
    </row>
    <row r="172" spans="2:20" ht="12.75" customHeight="1" x14ac:dyDescent="0.2">
      <c r="B172" s="683" t="s">
        <v>70</v>
      </c>
      <c r="C172" s="684" t="str">
        <f>IFERROR(_xlfn.XLOOKUP($G172,COM_Cadastro!#REF!,COM_Cadastro!#REF!),"")</f>
        <v/>
      </c>
      <c r="D172" s="685" t="s">
        <v>734</v>
      </c>
      <c r="E172" s="686" t="s">
        <v>780</v>
      </c>
      <c r="F172" s="693" t="s">
        <v>368</v>
      </c>
      <c r="G172" s="695" t="s">
        <v>470</v>
      </c>
      <c r="H172" s="696">
        <v>1800</v>
      </c>
      <c r="I172" s="683"/>
      <c r="J172" s="683"/>
      <c r="K172" s="683"/>
      <c r="L172" s="690">
        <f t="shared" si="18"/>
        <v>1800</v>
      </c>
      <c r="M172" s="691"/>
      <c r="N172" s="692"/>
      <c r="O172" s="692"/>
      <c r="P172" s="692"/>
      <c r="Q172" s="691"/>
      <c r="R172" s="691"/>
      <c r="S172" s="691"/>
      <c r="T172" s="690">
        <f t="shared" si="19"/>
        <v>1800</v>
      </c>
    </row>
    <row r="173" spans="2:20" ht="12.75" customHeight="1" x14ac:dyDescent="0.2">
      <c r="B173" s="683" t="s">
        <v>70</v>
      </c>
      <c r="C173" s="697" t="str">
        <f>IFERROR(_xlfn.XLOOKUP($G173,COM_Cadastro!#REF!,COM_Cadastro!#REF!),"")</f>
        <v/>
      </c>
      <c r="D173" s="698" t="s">
        <v>734</v>
      </c>
      <c r="E173" s="699" t="s">
        <v>780</v>
      </c>
      <c r="F173" s="700" t="s">
        <v>368</v>
      </c>
      <c r="G173" s="701" t="s">
        <v>476</v>
      </c>
      <c r="H173" s="696">
        <v>1112</v>
      </c>
      <c r="I173" s="683"/>
      <c r="J173" s="683"/>
      <c r="K173" s="683"/>
      <c r="L173" s="690">
        <f t="shared" si="18"/>
        <v>1112</v>
      </c>
      <c r="M173" s="691"/>
      <c r="N173" s="692"/>
      <c r="O173" s="692"/>
      <c r="P173" s="692"/>
      <c r="Q173" s="691"/>
      <c r="R173" s="691"/>
      <c r="S173" s="691"/>
      <c r="T173" s="690">
        <f t="shared" si="19"/>
        <v>1112</v>
      </c>
    </row>
    <row r="174" spans="2:20" ht="12.75" customHeight="1" x14ac:dyDescent="0.2">
      <c r="B174" s="683" t="s">
        <v>70</v>
      </c>
      <c r="C174" s="684" t="str">
        <f>IFERROR(_xlfn.XLOOKUP($G174,COM_Cadastro!#REF!,COM_Cadastro!#REF!),"")</f>
        <v/>
      </c>
      <c r="D174" s="685" t="s">
        <v>734</v>
      </c>
      <c r="E174" s="686" t="s">
        <v>780</v>
      </c>
      <c r="F174" s="693" t="s">
        <v>368</v>
      </c>
      <c r="G174" s="695" t="s">
        <v>493</v>
      </c>
      <c r="H174" s="696">
        <v>1600</v>
      </c>
      <c r="I174" s="683"/>
      <c r="J174" s="683"/>
      <c r="K174" s="683"/>
      <c r="L174" s="690">
        <f t="shared" si="18"/>
        <v>1600</v>
      </c>
      <c r="M174" s="691"/>
      <c r="N174" s="692"/>
      <c r="O174" s="692"/>
      <c r="P174" s="692"/>
      <c r="Q174" s="691"/>
      <c r="R174" s="691"/>
      <c r="S174" s="691"/>
      <c r="T174" s="690">
        <f t="shared" si="19"/>
        <v>1600</v>
      </c>
    </row>
    <row r="175" spans="2:20" ht="12.75" customHeight="1" x14ac:dyDescent="0.2">
      <c r="B175" s="683" t="s">
        <v>70</v>
      </c>
      <c r="C175" s="684" t="str">
        <f>IFERROR(_xlfn.XLOOKUP($G175,COM_Cadastro!#REF!,COM_Cadastro!#REF!),"")</f>
        <v/>
      </c>
      <c r="D175" s="685" t="s">
        <v>734</v>
      </c>
      <c r="E175" s="686" t="s">
        <v>780</v>
      </c>
      <c r="F175" s="693" t="s">
        <v>368</v>
      </c>
      <c r="G175" s="695" t="s">
        <v>495</v>
      </c>
      <c r="H175" s="696">
        <v>130</v>
      </c>
      <c r="I175" s="683"/>
      <c r="J175" s="683"/>
      <c r="K175" s="683"/>
      <c r="L175" s="690">
        <f t="shared" si="18"/>
        <v>130</v>
      </c>
      <c r="M175" s="691"/>
      <c r="N175" s="692"/>
      <c r="O175" s="692"/>
      <c r="P175" s="692"/>
      <c r="Q175" s="691"/>
      <c r="R175" s="691"/>
      <c r="S175" s="691"/>
      <c r="T175" s="690">
        <f t="shared" si="19"/>
        <v>130</v>
      </c>
    </row>
    <row r="176" spans="2:20" ht="12.75" customHeight="1" x14ac:dyDescent="0.2">
      <c r="B176" s="683" t="s">
        <v>70</v>
      </c>
      <c r="C176" s="684" t="str">
        <f>IFERROR(_xlfn.XLOOKUP($G176,COM_Cadastro!#REF!,COM_Cadastro!#REF!),"")</f>
        <v/>
      </c>
      <c r="D176" s="685" t="s">
        <v>734</v>
      </c>
      <c r="E176" s="686" t="s">
        <v>780</v>
      </c>
      <c r="F176" s="693" t="s">
        <v>368</v>
      </c>
      <c r="G176" s="695" t="s">
        <v>785</v>
      </c>
      <c r="H176" s="696">
        <v>2411</v>
      </c>
      <c r="I176" s="683"/>
      <c r="J176" s="683"/>
      <c r="K176" s="683"/>
      <c r="L176" s="690">
        <f t="shared" si="18"/>
        <v>2411</v>
      </c>
      <c r="M176" s="691"/>
      <c r="N176" s="692"/>
      <c r="O176" s="692"/>
      <c r="P176" s="692"/>
      <c r="Q176" s="691"/>
      <c r="R176" s="691"/>
      <c r="S176" s="691"/>
      <c r="T176" s="690">
        <f t="shared" si="19"/>
        <v>2411</v>
      </c>
    </row>
    <row r="177" spans="2:20" ht="12.75" customHeight="1" x14ac:dyDescent="0.2">
      <c r="B177" s="683" t="s">
        <v>70</v>
      </c>
      <c r="C177" s="684" t="str">
        <f>IFERROR(_xlfn.XLOOKUP($G177,COM_Cadastro!#REF!,COM_Cadastro!#REF!),"")</f>
        <v/>
      </c>
      <c r="D177" s="685" t="s">
        <v>734</v>
      </c>
      <c r="E177" s="686" t="s">
        <v>780</v>
      </c>
      <c r="F177" s="693" t="s">
        <v>368</v>
      </c>
      <c r="G177" s="695" t="s">
        <v>506</v>
      </c>
      <c r="H177" s="696">
        <v>100</v>
      </c>
      <c r="I177" s="683"/>
      <c r="J177" s="683"/>
      <c r="K177" s="683"/>
      <c r="L177" s="690">
        <f t="shared" si="18"/>
        <v>100</v>
      </c>
      <c r="M177" s="691"/>
      <c r="N177" s="692"/>
      <c r="O177" s="692"/>
      <c r="P177" s="692"/>
      <c r="Q177" s="691"/>
      <c r="R177" s="691"/>
      <c r="S177" s="691"/>
      <c r="T177" s="690">
        <f t="shared" si="19"/>
        <v>100</v>
      </c>
    </row>
    <row r="178" spans="2:20" ht="12.75" customHeight="1" x14ac:dyDescent="0.2">
      <c r="B178" s="683" t="s">
        <v>70</v>
      </c>
      <c r="C178" s="684" t="str">
        <f>IFERROR(_xlfn.XLOOKUP($G178,COM_Cadastro!#REF!,COM_Cadastro!#REF!),"")</f>
        <v/>
      </c>
      <c r="D178" s="685" t="s">
        <v>734</v>
      </c>
      <c r="E178" s="686" t="s">
        <v>780</v>
      </c>
      <c r="F178" s="687" t="s">
        <v>368</v>
      </c>
      <c r="G178" s="688" t="s">
        <v>779</v>
      </c>
      <c r="H178" s="689">
        <v>2520</v>
      </c>
      <c r="I178" s="683"/>
      <c r="J178" s="683"/>
      <c r="K178" s="683"/>
      <c r="L178" s="690">
        <f t="shared" si="18"/>
        <v>2520</v>
      </c>
      <c r="M178" s="691"/>
      <c r="N178" s="692"/>
      <c r="O178" s="692"/>
      <c r="P178" s="692"/>
      <c r="Q178" s="691"/>
      <c r="R178" s="691"/>
      <c r="S178" s="691"/>
      <c r="T178" s="690">
        <f t="shared" si="19"/>
        <v>2520</v>
      </c>
    </row>
    <row r="179" spans="2:20" ht="12.75" customHeight="1" x14ac:dyDescent="0.2">
      <c r="B179" s="683" t="s">
        <v>70</v>
      </c>
      <c r="C179" s="697" t="str">
        <f>IFERROR(_xlfn.XLOOKUP($G179,COM_Cadastro!#REF!,COM_Cadastro!#REF!),"")</f>
        <v/>
      </c>
      <c r="D179" s="698" t="s">
        <v>734</v>
      </c>
      <c r="E179" s="699" t="s">
        <v>780</v>
      </c>
      <c r="F179" s="702" t="s">
        <v>368</v>
      </c>
      <c r="G179" s="703" t="s">
        <v>528</v>
      </c>
      <c r="H179" s="689">
        <v>130</v>
      </c>
      <c r="I179" s="683"/>
      <c r="J179" s="683"/>
      <c r="K179" s="683"/>
      <c r="L179" s="690">
        <f t="shared" si="18"/>
        <v>130</v>
      </c>
      <c r="M179" s="691"/>
      <c r="N179" s="692"/>
      <c r="O179" s="692"/>
      <c r="P179" s="692"/>
      <c r="Q179" s="691"/>
      <c r="R179" s="691"/>
      <c r="S179" s="691"/>
      <c r="T179" s="690">
        <f t="shared" si="19"/>
        <v>130</v>
      </c>
    </row>
    <row r="180" spans="2:20" ht="12.75" customHeight="1" x14ac:dyDescent="0.2">
      <c r="B180" s="683" t="s">
        <v>70</v>
      </c>
      <c r="C180" s="684" t="str">
        <f>IFERROR(_xlfn.XLOOKUP($G180,COM_Cadastro!#REF!,COM_Cadastro!#REF!),"")</f>
        <v/>
      </c>
      <c r="D180" s="685" t="s">
        <v>734</v>
      </c>
      <c r="E180" s="686" t="s">
        <v>780</v>
      </c>
      <c r="F180" s="687" t="s">
        <v>368</v>
      </c>
      <c r="G180" s="688" t="s">
        <v>533</v>
      </c>
      <c r="H180" s="689">
        <v>2117</v>
      </c>
      <c r="I180" s="683"/>
      <c r="J180" s="683"/>
      <c r="K180" s="683"/>
      <c r="L180" s="690">
        <f t="shared" si="18"/>
        <v>2117</v>
      </c>
      <c r="M180" s="691"/>
      <c r="N180" s="692"/>
      <c r="O180" s="692"/>
      <c r="P180" s="692"/>
      <c r="Q180" s="691"/>
      <c r="R180" s="691"/>
      <c r="S180" s="691"/>
      <c r="T180" s="690">
        <f t="shared" si="19"/>
        <v>2117</v>
      </c>
    </row>
    <row r="181" spans="2:20" ht="12.75" customHeight="1" x14ac:dyDescent="0.2">
      <c r="B181" s="683" t="s">
        <v>70</v>
      </c>
      <c r="C181" s="684" t="str">
        <f>IFERROR(_xlfn.XLOOKUP($G181,COM_Cadastro!#REF!,COM_Cadastro!#REF!),"")</f>
        <v/>
      </c>
      <c r="D181" s="685" t="s">
        <v>734</v>
      </c>
      <c r="E181" s="686" t="s">
        <v>780</v>
      </c>
      <c r="F181" s="687" t="s">
        <v>368</v>
      </c>
      <c r="G181" s="688" t="s">
        <v>547</v>
      </c>
      <c r="H181" s="689">
        <v>380</v>
      </c>
      <c r="I181" s="683"/>
      <c r="J181" s="683"/>
      <c r="K181" s="683"/>
      <c r="L181" s="690">
        <f t="shared" si="18"/>
        <v>380</v>
      </c>
      <c r="M181" s="691"/>
      <c r="N181" s="692"/>
      <c r="O181" s="692"/>
      <c r="P181" s="692"/>
      <c r="Q181" s="691"/>
      <c r="R181" s="691"/>
      <c r="S181" s="691"/>
      <c r="T181" s="690">
        <f t="shared" si="19"/>
        <v>380</v>
      </c>
    </row>
    <row r="182" spans="2:20" ht="12.75" customHeight="1" x14ac:dyDescent="0.2">
      <c r="B182" s="683" t="s">
        <v>70</v>
      </c>
      <c r="C182" s="684" t="str">
        <f>IFERROR(_xlfn.XLOOKUP($G182,COM_Cadastro!#REF!,COM_Cadastro!#REF!),"")</f>
        <v/>
      </c>
      <c r="D182" s="685" t="s">
        <v>734</v>
      </c>
      <c r="E182" s="686" t="s">
        <v>780</v>
      </c>
      <c r="F182" s="693" t="s">
        <v>368</v>
      </c>
      <c r="G182" s="686" t="s">
        <v>550</v>
      </c>
      <c r="H182" s="694">
        <v>720</v>
      </c>
      <c r="I182" s="683"/>
      <c r="J182" s="683"/>
      <c r="K182" s="683"/>
      <c r="L182" s="690">
        <f t="shared" si="18"/>
        <v>720</v>
      </c>
      <c r="M182" s="691"/>
      <c r="N182" s="692"/>
      <c r="O182" s="692"/>
      <c r="P182" s="692"/>
      <c r="Q182" s="691"/>
      <c r="R182" s="691"/>
      <c r="S182" s="691"/>
      <c r="T182" s="690">
        <f t="shared" si="19"/>
        <v>720</v>
      </c>
    </row>
    <row r="183" spans="2:20" ht="12.75" customHeight="1" x14ac:dyDescent="0.2">
      <c r="B183" s="683" t="s">
        <v>70</v>
      </c>
      <c r="C183" s="684" t="str">
        <f>IFERROR(_xlfn.XLOOKUP($G183,COM_Cadastro!#REF!,COM_Cadastro!#REF!),"")</f>
        <v/>
      </c>
      <c r="D183" s="685" t="s">
        <v>734</v>
      </c>
      <c r="E183" s="686" t="s">
        <v>780</v>
      </c>
      <c r="F183" s="693" t="s">
        <v>368</v>
      </c>
      <c r="G183" s="695" t="s">
        <v>551</v>
      </c>
      <c r="H183" s="696">
        <v>1740</v>
      </c>
      <c r="I183" s="683"/>
      <c r="J183" s="683"/>
      <c r="K183" s="683"/>
      <c r="L183" s="690">
        <f t="shared" si="18"/>
        <v>1740</v>
      </c>
      <c r="M183" s="691"/>
      <c r="N183" s="692"/>
      <c r="O183" s="692"/>
      <c r="P183" s="692"/>
      <c r="Q183" s="691"/>
      <c r="R183" s="691"/>
      <c r="S183" s="691"/>
      <c r="T183" s="690">
        <f t="shared" si="19"/>
        <v>1740</v>
      </c>
    </row>
    <row r="184" spans="2:20" ht="12.75" customHeight="1" x14ac:dyDescent="0.2">
      <c r="B184" s="683" t="s">
        <v>70</v>
      </c>
      <c r="C184" s="684" t="str">
        <f>IFERROR(_xlfn.XLOOKUP($G184,COM_Cadastro!#REF!,COM_Cadastro!#REF!),"")</f>
        <v/>
      </c>
      <c r="D184" s="685" t="s">
        <v>734</v>
      </c>
      <c r="E184" s="686" t="s">
        <v>780</v>
      </c>
      <c r="F184" s="693" t="s">
        <v>368</v>
      </c>
      <c r="G184" s="695" t="s">
        <v>561</v>
      </c>
      <c r="H184" s="696">
        <v>100</v>
      </c>
      <c r="I184" s="683"/>
      <c r="J184" s="683"/>
      <c r="K184" s="683"/>
      <c r="L184" s="690">
        <f t="shared" si="18"/>
        <v>100</v>
      </c>
      <c r="M184" s="691"/>
      <c r="N184" s="692"/>
      <c r="O184" s="692"/>
      <c r="P184" s="692"/>
      <c r="Q184" s="691"/>
      <c r="R184" s="691"/>
      <c r="S184" s="691"/>
      <c r="T184" s="690">
        <f t="shared" si="19"/>
        <v>100</v>
      </c>
    </row>
    <row r="185" spans="2:20" ht="12.75" customHeight="1" x14ac:dyDescent="0.2">
      <c r="B185" s="683" t="s">
        <v>70</v>
      </c>
      <c r="C185" s="684" t="str">
        <f>IFERROR(_xlfn.XLOOKUP($G185,COM_Cadastro!#REF!,COM_Cadastro!#REF!),"")</f>
        <v/>
      </c>
      <c r="D185" s="685" t="s">
        <v>734</v>
      </c>
      <c r="E185" s="686" t="s">
        <v>780</v>
      </c>
      <c r="F185" s="693" t="s">
        <v>368</v>
      </c>
      <c r="G185" s="695" t="s">
        <v>580</v>
      </c>
      <c r="H185" s="696">
        <v>100</v>
      </c>
      <c r="I185" s="683"/>
      <c r="J185" s="683"/>
      <c r="K185" s="683"/>
      <c r="L185" s="690">
        <f t="shared" si="18"/>
        <v>100</v>
      </c>
      <c r="M185" s="691"/>
      <c r="N185" s="692"/>
      <c r="O185" s="692"/>
      <c r="P185" s="692"/>
      <c r="Q185" s="691"/>
      <c r="R185" s="691"/>
      <c r="S185" s="691"/>
      <c r="T185" s="690">
        <f t="shared" si="19"/>
        <v>100</v>
      </c>
    </row>
    <row r="186" spans="2:20" ht="12.75" customHeight="1" x14ac:dyDescent="0.2">
      <c r="B186" s="683" t="s">
        <v>70</v>
      </c>
      <c r="C186" s="684" t="str">
        <f>IFERROR(_xlfn.XLOOKUP($G186,COM_Cadastro!#REF!,COM_Cadastro!#REF!),"")</f>
        <v/>
      </c>
      <c r="D186" s="685" t="s">
        <v>734</v>
      </c>
      <c r="E186" s="686" t="s">
        <v>780</v>
      </c>
      <c r="F186" s="693" t="s">
        <v>368</v>
      </c>
      <c r="G186" s="695" t="s">
        <v>786</v>
      </c>
      <c r="H186" s="696">
        <v>270</v>
      </c>
      <c r="I186" s="683"/>
      <c r="J186" s="683"/>
      <c r="K186" s="683"/>
      <c r="L186" s="690">
        <f t="shared" si="18"/>
        <v>270</v>
      </c>
      <c r="M186" s="691"/>
      <c r="N186" s="692"/>
      <c r="O186" s="692"/>
      <c r="P186" s="692"/>
      <c r="Q186" s="691"/>
      <c r="R186" s="691"/>
      <c r="S186" s="691"/>
      <c r="T186" s="690">
        <f t="shared" si="19"/>
        <v>270</v>
      </c>
    </row>
    <row r="187" spans="2:20" ht="12.75" customHeight="1" x14ac:dyDescent="0.2">
      <c r="B187" s="683" t="s">
        <v>70</v>
      </c>
      <c r="C187" s="684" t="str">
        <f>IFERROR(_xlfn.XLOOKUP($G187,COM_Cadastro!#REF!,COM_Cadastro!#REF!),"")</f>
        <v/>
      </c>
      <c r="D187" s="685" t="s">
        <v>734</v>
      </c>
      <c r="E187" s="686" t="s">
        <v>780</v>
      </c>
      <c r="F187" s="693" t="s">
        <v>368</v>
      </c>
      <c r="G187" s="695" t="s">
        <v>593</v>
      </c>
      <c r="H187" s="696">
        <v>1300</v>
      </c>
      <c r="I187" s="683"/>
      <c r="J187" s="683"/>
      <c r="K187" s="683"/>
      <c r="L187" s="690">
        <f t="shared" si="18"/>
        <v>1300</v>
      </c>
      <c r="M187" s="691"/>
      <c r="N187" s="692"/>
      <c r="O187" s="692"/>
      <c r="P187" s="692"/>
      <c r="Q187" s="691"/>
      <c r="R187" s="691"/>
      <c r="S187" s="691"/>
      <c r="T187" s="690">
        <f t="shared" si="19"/>
        <v>1300</v>
      </c>
    </row>
    <row r="188" spans="2:20" ht="12.75" customHeight="1" x14ac:dyDescent="0.2">
      <c r="B188" s="683" t="s">
        <v>70</v>
      </c>
      <c r="C188" s="684" t="str">
        <f>IFERROR(_xlfn.XLOOKUP($G188,COM_Cadastro!#REF!,COM_Cadastro!#REF!),"")</f>
        <v/>
      </c>
      <c r="D188" s="685" t="s">
        <v>734</v>
      </c>
      <c r="E188" s="686" t="s">
        <v>780</v>
      </c>
      <c r="F188" s="693" t="s">
        <v>368</v>
      </c>
      <c r="G188" s="695" t="s">
        <v>600</v>
      </c>
      <c r="H188" s="696">
        <v>200</v>
      </c>
      <c r="I188" s="683"/>
      <c r="J188" s="683"/>
      <c r="K188" s="683"/>
      <c r="L188" s="690">
        <f t="shared" si="18"/>
        <v>200</v>
      </c>
      <c r="M188" s="691"/>
      <c r="N188" s="692"/>
      <c r="O188" s="692"/>
      <c r="P188" s="692"/>
      <c r="Q188" s="691"/>
      <c r="R188" s="691"/>
      <c r="S188" s="691"/>
      <c r="T188" s="690">
        <f t="shared" si="19"/>
        <v>200</v>
      </c>
    </row>
    <row r="189" spans="2:20" ht="12.75" customHeight="1" x14ac:dyDescent="0.2">
      <c r="B189" s="683" t="s">
        <v>70</v>
      </c>
      <c r="C189" s="684" t="str">
        <f>IFERROR(_xlfn.XLOOKUP($G189,COM_Cadastro!#REF!,COM_Cadastro!#REF!),"")</f>
        <v/>
      </c>
      <c r="D189" s="685" t="s">
        <v>734</v>
      </c>
      <c r="E189" s="686" t="s">
        <v>780</v>
      </c>
      <c r="F189" s="693" t="s">
        <v>368</v>
      </c>
      <c r="G189" s="695" t="s">
        <v>607</v>
      </c>
      <c r="H189" s="696">
        <v>2160</v>
      </c>
      <c r="I189" s="683"/>
      <c r="J189" s="683"/>
      <c r="K189" s="683"/>
      <c r="L189" s="690">
        <f t="shared" si="18"/>
        <v>2160</v>
      </c>
      <c r="M189" s="691"/>
      <c r="N189" s="692"/>
      <c r="O189" s="692"/>
      <c r="P189" s="692"/>
      <c r="Q189" s="691"/>
      <c r="R189" s="691"/>
      <c r="S189" s="691"/>
      <c r="T189" s="690">
        <f t="shared" si="19"/>
        <v>2160</v>
      </c>
    </row>
    <row r="190" spans="2:20" ht="12.75" customHeight="1" x14ac:dyDescent="0.25">
      <c r="B190" s="683" t="s">
        <v>70</v>
      </c>
      <c r="C190" s="684" t="str">
        <f>IFERROR(_xlfn.XLOOKUP($G190,COM_Cadastro!#REF!,COM_Cadastro!#REF!),"")</f>
        <v/>
      </c>
      <c r="D190" s="685" t="s">
        <v>734</v>
      </c>
      <c r="E190" s="686" t="s">
        <v>780</v>
      </c>
      <c r="F190" s="693" t="s">
        <v>444</v>
      </c>
      <c r="G190" s="704" t="s">
        <v>578</v>
      </c>
      <c r="H190" s="696">
        <v>475</v>
      </c>
      <c r="I190" s="683"/>
      <c r="J190" s="683"/>
      <c r="K190" s="683"/>
      <c r="L190" s="690">
        <f t="shared" si="18"/>
        <v>475</v>
      </c>
      <c r="M190" s="691"/>
      <c r="N190" s="692"/>
      <c r="O190" s="692"/>
      <c r="P190" s="692"/>
      <c r="Q190" s="691"/>
      <c r="R190" s="691"/>
      <c r="S190" s="691"/>
      <c r="T190" s="690">
        <f t="shared" si="19"/>
        <v>475</v>
      </c>
    </row>
    <row r="191" spans="2:20" ht="12.75" customHeight="1" x14ac:dyDescent="0.25">
      <c r="B191" s="683" t="s">
        <v>70</v>
      </c>
      <c r="C191" s="684" t="str">
        <f>IFERROR(_xlfn.XLOOKUP($G191,COM_Cadastro!#REF!,COM_Cadastro!#REF!),"")</f>
        <v/>
      </c>
      <c r="D191" s="685" t="s">
        <v>734</v>
      </c>
      <c r="E191" s="686" t="s">
        <v>780</v>
      </c>
      <c r="F191" s="685" t="s">
        <v>371</v>
      </c>
      <c r="G191" s="704" t="s">
        <v>640</v>
      </c>
      <c r="H191" s="705">
        <v>450</v>
      </c>
      <c r="I191" s="683"/>
      <c r="J191" s="683"/>
      <c r="K191" s="683"/>
      <c r="L191" s="690">
        <f t="shared" si="18"/>
        <v>450</v>
      </c>
      <c r="M191" s="691"/>
      <c r="N191" s="692"/>
      <c r="O191" s="692"/>
      <c r="P191" s="692"/>
      <c r="Q191" s="691"/>
      <c r="R191" s="691"/>
      <c r="S191" s="691"/>
      <c r="T191" s="690">
        <f t="shared" si="19"/>
        <v>450</v>
      </c>
    </row>
    <row r="192" spans="2:20" ht="12.75" customHeight="1" x14ac:dyDescent="0.25">
      <c r="B192" s="683" t="s">
        <v>70</v>
      </c>
      <c r="C192" s="684" t="str">
        <f>IFERROR(_xlfn.XLOOKUP($G192,COM_Cadastro!#REF!,COM_Cadastro!#REF!),"")</f>
        <v/>
      </c>
      <c r="D192" s="685" t="s">
        <v>734</v>
      </c>
      <c r="E192" s="686" t="s">
        <v>780</v>
      </c>
      <c r="F192" s="693" t="s">
        <v>371</v>
      </c>
      <c r="G192" s="686" t="s">
        <v>451</v>
      </c>
      <c r="H192" s="696">
        <v>280</v>
      </c>
      <c r="I192" s="683"/>
      <c r="J192" s="683"/>
      <c r="K192" s="683"/>
      <c r="L192" s="690">
        <f t="shared" si="18"/>
        <v>280</v>
      </c>
      <c r="M192" s="691"/>
      <c r="N192" s="692"/>
      <c r="O192" s="692"/>
      <c r="P192" s="692"/>
      <c r="Q192" s="691"/>
      <c r="R192" s="691"/>
      <c r="S192" s="691"/>
      <c r="T192" s="690">
        <f t="shared" si="19"/>
        <v>280</v>
      </c>
    </row>
    <row r="193" spans="2:20" ht="12.75" customHeight="1" x14ac:dyDescent="0.25">
      <c r="B193" s="683" t="s">
        <v>70</v>
      </c>
      <c r="C193" s="684" t="str">
        <f>IFERROR(_xlfn.XLOOKUP($G193,COM_Cadastro!#REF!,COM_Cadastro!#REF!),"")</f>
        <v/>
      </c>
      <c r="D193" s="685" t="s">
        <v>734</v>
      </c>
      <c r="E193" s="686" t="s">
        <v>780</v>
      </c>
      <c r="F193" s="693" t="s">
        <v>371</v>
      </c>
      <c r="G193" s="686" t="s">
        <v>787</v>
      </c>
      <c r="H193" s="696">
        <v>1300</v>
      </c>
      <c r="I193" s="683"/>
      <c r="J193" s="683"/>
      <c r="K193" s="683"/>
      <c r="L193" s="690">
        <f t="shared" si="18"/>
        <v>1300</v>
      </c>
      <c r="M193" s="691"/>
      <c r="N193" s="692"/>
      <c r="O193" s="692"/>
      <c r="P193" s="692"/>
      <c r="Q193" s="691"/>
      <c r="R193" s="691"/>
      <c r="S193" s="691"/>
      <c r="T193" s="690">
        <f t="shared" si="19"/>
        <v>1300</v>
      </c>
    </row>
    <row r="194" spans="2:20" ht="12.75" customHeight="1" x14ac:dyDescent="0.25">
      <c r="B194" s="683" t="s">
        <v>70</v>
      </c>
      <c r="C194" s="684" t="str">
        <f>IFERROR(_xlfn.XLOOKUP($G194,COM_Cadastro!#REF!,COM_Cadastro!#REF!),"")</f>
        <v/>
      </c>
      <c r="D194" s="685" t="s">
        <v>734</v>
      </c>
      <c r="E194" s="686" t="s">
        <v>780</v>
      </c>
      <c r="F194" s="693" t="s">
        <v>371</v>
      </c>
      <c r="G194" s="704" t="s">
        <v>461</v>
      </c>
      <c r="H194" s="705">
        <v>169.98</v>
      </c>
      <c r="I194" s="683"/>
      <c r="J194" s="683"/>
      <c r="K194" s="683"/>
      <c r="L194" s="690">
        <f t="shared" si="18"/>
        <v>169.98</v>
      </c>
      <c r="M194" s="691"/>
      <c r="N194" s="692"/>
      <c r="O194" s="692"/>
      <c r="P194" s="692"/>
      <c r="Q194" s="691"/>
      <c r="R194" s="691"/>
      <c r="S194" s="691"/>
      <c r="T194" s="690">
        <f t="shared" si="19"/>
        <v>169.98</v>
      </c>
    </row>
    <row r="195" spans="2:20" ht="12.75" customHeight="1" x14ac:dyDescent="0.2">
      <c r="B195" s="683" t="s">
        <v>70</v>
      </c>
      <c r="C195" s="684" t="str">
        <f>IFERROR(_xlfn.XLOOKUP($G195,COM_Cadastro!#REF!,COM_Cadastro!#REF!),"")</f>
        <v/>
      </c>
      <c r="D195" s="685" t="s">
        <v>734</v>
      </c>
      <c r="E195" s="686" t="s">
        <v>780</v>
      </c>
      <c r="F195" s="693" t="s">
        <v>371</v>
      </c>
      <c r="G195" s="695" t="s">
        <v>481</v>
      </c>
      <c r="H195" s="696">
        <v>400</v>
      </c>
      <c r="I195" s="683"/>
      <c r="J195" s="683"/>
      <c r="K195" s="683"/>
      <c r="L195" s="690">
        <f t="shared" ref="L195:L214" si="20">SUM(H195:K195)</f>
        <v>400</v>
      </c>
      <c r="M195" s="691"/>
      <c r="N195" s="692"/>
      <c r="O195" s="692"/>
      <c r="P195" s="692"/>
      <c r="Q195" s="691"/>
      <c r="R195" s="691"/>
      <c r="S195" s="691"/>
      <c r="T195" s="690">
        <f t="shared" ref="T195:T214" si="21">L195+M195+S195</f>
        <v>400</v>
      </c>
    </row>
    <row r="196" spans="2:20" ht="12.75" customHeight="1" x14ac:dyDescent="0.2">
      <c r="B196" s="683" t="s">
        <v>70</v>
      </c>
      <c r="C196" s="684" t="str">
        <f>IFERROR(_xlfn.XLOOKUP($G196,COM_Cadastro!#REF!,COM_Cadastro!#REF!),"")</f>
        <v/>
      </c>
      <c r="D196" s="685" t="s">
        <v>734</v>
      </c>
      <c r="E196" s="686" t="s">
        <v>780</v>
      </c>
      <c r="F196" s="687" t="s">
        <v>371</v>
      </c>
      <c r="G196" s="688" t="s">
        <v>537</v>
      </c>
      <c r="H196" s="689">
        <v>140</v>
      </c>
      <c r="I196" s="683"/>
      <c r="J196" s="683"/>
      <c r="K196" s="683"/>
      <c r="L196" s="690">
        <f t="shared" si="20"/>
        <v>140</v>
      </c>
      <c r="M196" s="691"/>
      <c r="N196" s="692"/>
      <c r="O196" s="692"/>
      <c r="P196" s="692"/>
      <c r="Q196" s="691"/>
      <c r="R196" s="691"/>
      <c r="S196" s="691"/>
      <c r="T196" s="690">
        <f t="shared" si="21"/>
        <v>140</v>
      </c>
    </row>
    <row r="197" spans="2:20" ht="12.75" customHeight="1" x14ac:dyDescent="0.2">
      <c r="B197" s="683" t="s">
        <v>70</v>
      </c>
      <c r="C197" s="684" t="str">
        <f>IFERROR(_xlfn.XLOOKUP($G197,COM_Cadastro!#REF!,COM_Cadastro!#REF!),"")</f>
        <v/>
      </c>
      <c r="D197" s="685" t="s">
        <v>734</v>
      </c>
      <c r="E197" s="686" t="s">
        <v>780</v>
      </c>
      <c r="F197" s="693" t="s">
        <v>371</v>
      </c>
      <c r="G197" s="688" t="s">
        <v>596</v>
      </c>
      <c r="H197" s="689">
        <v>720</v>
      </c>
      <c r="I197" s="683"/>
      <c r="J197" s="683"/>
      <c r="K197" s="683"/>
      <c r="L197" s="690">
        <f t="shared" si="20"/>
        <v>720</v>
      </c>
      <c r="M197" s="691"/>
      <c r="N197" s="692"/>
      <c r="O197" s="692"/>
      <c r="P197" s="692"/>
      <c r="Q197" s="691"/>
      <c r="R197" s="691"/>
      <c r="S197" s="691"/>
      <c r="T197" s="690">
        <f t="shared" si="21"/>
        <v>720</v>
      </c>
    </row>
    <row r="198" spans="2:20" ht="12.75" customHeight="1" x14ac:dyDescent="0.2">
      <c r="B198" s="683" t="s">
        <v>70</v>
      </c>
      <c r="C198" s="684" t="str">
        <f>IFERROR(_xlfn.XLOOKUP($G198,COM_Cadastro!#REF!,COM_Cadastro!#REF!),"")</f>
        <v/>
      </c>
      <c r="D198" s="685" t="s">
        <v>734</v>
      </c>
      <c r="E198" s="686" t="s">
        <v>780</v>
      </c>
      <c r="F198" s="687" t="s">
        <v>374</v>
      </c>
      <c r="G198" s="688" t="s">
        <v>788</v>
      </c>
      <c r="H198" s="694">
        <v>999</v>
      </c>
      <c r="I198" s="683"/>
      <c r="J198" s="683"/>
      <c r="K198" s="683"/>
      <c r="L198" s="690">
        <f t="shared" si="20"/>
        <v>999</v>
      </c>
      <c r="M198" s="691"/>
      <c r="N198" s="692"/>
      <c r="O198" s="692"/>
      <c r="P198" s="692"/>
      <c r="Q198" s="691"/>
      <c r="R198" s="691"/>
      <c r="S198" s="691"/>
      <c r="T198" s="690">
        <f t="shared" si="21"/>
        <v>999</v>
      </c>
    </row>
    <row r="199" spans="2:20" ht="12.75" customHeight="1" x14ac:dyDescent="0.2">
      <c r="B199" s="683" t="s">
        <v>70</v>
      </c>
      <c r="C199" s="697" t="str">
        <f>IFERROR(_xlfn.XLOOKUP($G199,COM_Cadastro!#REF!,COM_Cadastro!#REF!),"")</f>
        <v/>
      </c>
      <c r="D199" s="698" t="s">
        <v>734</v>
      </c>
      <c r="E199" s="699" t="s">
        <v>780</v>
      </c>
      <c r="F199" s="700" t="s">
        <v>374</v>
      </c>
      <c r="G199" s="699" t="s">
        <v>409</v>
      </c>
      <c r="H199" s="694">
        <v>1917</v>
      </c>
      <c r="I199" s="683"/>
      <c r="J199" s="683"/>
      <c r="K199" s="683"/>
      <c r="L199" s="690">
        <f t="shared" si="20"/>
        <v>1917</v>
      </c>
      <c r="M199" s="691"/>
      <c r="N199" s="692"/>
      <c r="O199" s="692"/>
      <c r="P199" s="692"/>
      <c r="Q199" s="691"/>
      <c r="R199" s="691"/>
      <c r="S199" s="691"/>
      <c r="T199" s="690">
        <f t="shared" si="21"/>
        <v>1917</v>
      </c>
    </row>
    <row r="200" spans="2:20" ht="12.75" customHeight="1" x14ac:dyDescent="0.2">
      <c r="B200" s="683" t="s">
        <v>70</v>
      </c>
      <c r="C200" s="684" t="str">
        <f>IFERROR(_xlfn.XLOOKUP($G200,COM_Cadastro!#REF!,COM_Cadastro!#REF!),"")</f>
        <v/>
      </c>
      <c r="D200" s="685" t="s">
        <v>734</v>
      </c>
      <c r="E200" s="686" t="s">
        <v>780</v>
      </c>
      <c r="F200" s="687" t="s">
        <v>374</v>
      </c>
      <c r="G200" s="695" t="s">
        <v>412</v>
      </c>
      <c r="H200" s="694">
        <v>2400</v>
      </c>
      <c r="I200" s="683"/>
      <c r="J200" s="683"/>
      <c r="K200" s="683"/>
      <c r="L200" s="690">
        <f t="shared" si="20"/>
        <v>2400</v>
      </c>
      <c r="M200" s="691"/>
      <c r="N200" s="692"/>
      <c r="O200" s="692"/>
      <c r="P200" s="692"/>
      <c r="Q200" s="691"/>
      <c r="R200" s="691"/>
      <c r="S200" s="691"/>
      <c r="T200" s="690">
        <f t="shared" si="21"/>
        <v>2400</v>
      </c>
    </row>
    <row r="201" spans="2:20" ht="12.75" customHeight="1" x14ac:dyDescent="0.2">
      <c r="B201" s="683" t="s">
        <v>70</v>
      </c>
      <c r="C201" s="684" t="str">
        <f>IFERROR(_xlfn.XLOOKUP($G201,COM_Cadastro!#REF!,COM_Cadastro!#REF!),"")</f>
        <v/>
      </c>
      <c r="D201" s="685" t="s">
        <v>734</v>
      </c>
      <c r="E201" s="686" t="s">
        <v>780</v>
      </c>
      <c r="F201" s="693" t="s">
        <v>374</v>
      </c>
      <c r="G201" s="695" t="s">
        <v>439</v>
      </c>
      <c r="H201" s="696">
        <v>646</v>
      </c>
      <c r="I201" s="683"/>
      <c r="J201" s="683"/>
      <c r="K201" s="683"/>
      <c r="L201" s="690">
        <f t="shared" si="20"/>
        <v>646</v>
      </c>
      <c r="M201" s="691"/>
      <c r="N201" s="692"/>
      <c r="O201" s="692"/>
      <c r="P201" s="692"/>
      <c r="Q201" s="691"/>
      <c r="R201" s="691"/>
      <c r="S201" s="691"/>
      <c r="T201" s="690">
        <f t="shared" si="21"/>
        <v>646</v>
      </c>
    </row>
    <row r="202" spans="2:20" ht="12.75" customHeight="1" x14ac:dyDescent="0.25">
      <c r="B202" s="683" t="s">
        <v>70</v>
      </c>
      <c r="C202" s="684" t="str">
        <f>IFERROR(_xlfn.XLOOKUP($G202,COM_Cadastro!#REF!,COM_Cadastro!#REF!),"")</f>
        <v/>
      </c>
      <c r="D202" s="685" t="s">
        <v>734</v>
      </c>
      <c r="E202" s="686" t="s">
        <v>780</v>
      </c>
      <c r="F202" s="693" t="s">
        <v>374</v>
      </c>
      <c r="G202" s="686" t="s">
        <v>455</v>
      </c>
      <c r="H202" s="696">
        <v>609</v>
      </c>
      <c r="I202" s="683"/>
      <c r="J202" s="683"/>
      <c r="K202" s="683"/>
      <c r="L202" s="690">
        <f t="shared" si="20"/>
        <v>609</v>
      </c>
      <c r="M202" s="691"/>
      <c r="N202" s="692"/>
      <c r="O202" s="692"/>
      <c r="P202" s="692"/>
      <c r="Q202" s="691"/>
      <c r="R202" s="691"/>
      <c r="S202" s="691"/>
      <c r="T202" s="690">
        <f t="shared" si="21"/>
        <v>609</v>
      </c>
    </row>
    <row r="203" spans="2:20" ht="12.75" customHeight="1" x14ac:dyDescent="0.25">
      <c r="B203" s="683" t="s">
        <v>70</v>
      </c>
      <c r="C203" s="697" t="str">
        <f>IFERROR(_xlfn.XLOOKUP($G203,COM_Cadastro!#REF!,COM_Cadastro!#REF!),"")</f>
        <v/>
      </c>
      <c r="D203" s="698" t="s">
        <v>734</v>
      </c>
      <c r="E203" s="699" t="s">
        <v>780</v>
      </c>
      <c r="F203" s="700" t="s">
        <v>374</v>
      </c>
      <c r="G203" s="699" t="s">
        <v>477</v>
      </c>
      <c r="H203" s="696">
        <v>743</v>
      </c>
      <c r="I203" s="683"/>
      <c r="J203" s="683"/>
      <c r="K203" s="683"/>
      <c r="L203" s="690">
        <f t="shared" si="20"/>
        <v>743</v>
      </c>
      <c r="M203" s="691"/>
      <c r="N203" s="692"/>
      <c r="O203" s="692"/>
      <c r="P203" s="692"/>
      <c r="Q203" s="691"/>
      <c r="R203" s="691"/>
      <c r="S203" s="691"/>
      <c r="T203" s="690">
        <f t="shared" si="21"/>
        <v>743</v>
      </c>
    </row>
    <row r="204" spans="2:20" ht="12.75" customHeight="1" x14ac:dyDescent="0.2">
      <c r="B204" s="683" t="s">
        <v>70</v>
      </c>
      <c r="C204" s="684" t="str">
        <f>IFERROR(_xlfn.XLOOKUP($G204,COM_Cadastro!#REF!,COM_Cadastro!#REF!),"")</f>
        <v/>
      </c>
      <c r="D204" s="685" t="s">
        <v>734</v>
      </c>
      <c r="E204" s="686" t="s">
        <v>780</v>
      </c>
      <c r="F204" s="693" t="s">
        <v>374</v>
      </c>
      <c r="G204" s="695" t="s">
        <v>530</v>
      </c>
      <c r="H204" s="696">
        <v>1400</v>
      </c>
      <c r="I204" s="683"/>
      <c r="J204" s="683"/>
      <c r="K204" s="683"/>
      <c r="L204" s="690">
        <f t="shared" si="20"/>
        <v>1400</v>
      </c>
      <c r="M204" s="691"/>
      <c r="N204" s="692"/>
      <c r="O204" s="692"/>
      <c r="P204" s="692"/>
      <c r="Q204" s="691"/>
      <c r="R204" s="691"/>
      <c r="S204" s="691"/>
      <c r="T204" s="690">
        <f t="shared" si="21"/>
        <v>1400</v>
      </c>
    </row>
    <row r="205" spans="2:20" ht="12.75" customHeight="1" x14ac:dyDescent="0.2">
      <c r="B205" s="683" t="s">
        <v>70</v>
      </c>
      <c r="C205" s="684" t="str">
        <f>IFERROR(_xlfn.XLOOKUP($G205,COM_Cadastro!#REF!,COM_Cadastro!#REF!),"")</f>
        <v/>
      </c>
      <c r="D205" s="685" t="s">
        <v>734</v>
      </c>
      <c r="E205" s="686" t="s">
        <v>780</v>
      </c>
      <c r="F205" s="693" t="s">
        <v>374</v>
      </c>
      <c r="G205" s="695" t="s">
        <v>789</v>
      </c>
      <c r="H205" s="696">
        <v>399</v>
      </c>
      <c r="I205" s="683"/>
      <c r="J205" s="683"/>
      <c r="K205" s="683"/>
      <c r="L205" s="690">
        <f t="shared" si="20"/>
        <v>399</v>
      </c>
      <c r="M205" s="691"/>
      <c r="N205" s="692"/>
      <c r="O205" s="692"/>
      <c r="P205" s="692"/>
      <c r="Q205" s="691"/>
      <c r="R205" s="691"/>
      <c r="S205" s="691"/>
      <c r="T205" s="690">
        <f t="shared" si="21"/>
        <v>399</v>
      </c>
    </row>
    <row r="206" spans="2:20" ht="12.75" customHeight="1" x14ac:dyDescent="0.25">
      <c r="B206" s="683" t="s">
        <v>70</v>
      </c>
      <c r="C206" s="684" t="str">
        <f>IFERROR(_xlfn.XLOOKUP($G206,COM_Cadastro!#REF!,COM_Cadastro!#REF!),"")</f>
        <v/>
      </c>
      <c r="D206" s="685" t="s">
        <v>734</v>
      </c>
      <c r="E206" s="686" t="s">
        <v>780</v>
      </c>
      <c r="F206" s="693" t="s">
        <v>374</v>
      </c>
      <c r="G206" s="688" t="s">
        <v>605</v>
      </c>
      <c r="H206" s="696">
        <v>450</v>
      </c>
      <c r="I206" s="683"/>
      <c r="J206" s="683"/>
      <c r="K206" s="683"/>
      <c r="L206" s="690">
        <f t="shared" si="20"/>
        <v>450</v>
      </c>
      <c r="M206" s="691"/>
      <c r="N206" s="692"/>
      <c r="O206" s="692"/>
      <c r="P206" s="692"/>
      <c r="Q206" s="691"/>
      <c r="R206" s="691"/>
      <c r="S206" s="691"/>
      <c r="T206" s="690">
        <f t="shared" si="21"/>
        <v>450</v>
      </c>
    </row>
    <row r="207" spans="2:20" ht="12.75" customHeight="1" x14ac:dyDescent="0.25">
      <c r="B207" s="706" t="s">
        <v>70</v>
      </c>
      <c r="C207" s="707" t="str">
        <f>IFERROR(_xlfn.XLOOKUP($G207,COM_Cadastro!#REF!,COM_Cadastro!#REF!),"")</f>
        <v/>
      </c>
      <c r="D207" s="708" t="s">
        <v>736</v>
      </c>
      <c r="E207" s="709" t="s">
        <v>558</v>
      </c>
      <c r="F207" s="710" t="s">
        <v>368</v>
      </c>
      <c r="G207" s="711" t="s">
        <v>557</v>
      </c>
      <c r="H207" s="712">
        <v>16018</v>
      </c>
      <c r="I207" s="712">
        <v>0</v>
      </c>
      <c r="J207" s="712">
        <v>3000</v>
      </c>
      <c r="K207" s="706"/>
      <c r="L207" s="713">
        <f t="shared" si="20"/>
        <v>19018</v>
      </c>
      <c r="M207" s="714"/>
      <c r="N207" s="715"/>
      <c r="O207" s="715"/>
      <c r="P207" s="715"/>
      <c r="Q207" s="714"/>
      <c r="R207" s="714"/>
      <c r="S207" s="714"/>
      <c r="T207" s="713">
        <f t="shared" si="21"/>
        <v>19018</v>
      </c>
    </row>
    <row r="208" spans="2:20" ht="12.75" customHeight="1" x14ac:dyDescent="0.25">
      <c r="B208" s="706" t="s">
        <v>70</v>
      </c>
      <c r="C208" s="716" t="str">
        <f>IFERROR(_xlfn.XLOOKUP($G208,COM_Cadastro!#REF!,COM_Cadastro!#REF!),"")</f>
        <v/>
      </c>
      <c r="D208" s="717" t="s">
        <v>736</v>
      </c>
      <c r="E208" s="718" t="s">
        <v>406</v>
      </c>
      <c r="F208" s="719" t="s">
        <v>371</v>
      </c>
      <c r="G208" s="706" t="s">
        <v>405</v>
      </c>
      <c r="H208" s="712">
        <v>10000</v>
      </c>
      <c r="I208" s="712">
        <v>0</v>
      </c>
      <c r="J208" s="712">
        <v>3000</v>
      </c>
      <c r="K208" s="706"/>
      <c r="L208" s="713">
        <f t="shared" si="20"/>
        <v>13000</v>
      </c>
      <c r="M208" s="714"/>
      <c r="N208" s="715"/>
      <c r="O208" s="715"/>
      <c r="P208" s="715"/>
      <c r="Q208" s="714"/>
      <c r="R208" s="714"/>
      <c r="S208" s="714"/>
      <c r="T208" s="713">
        <f t="shared" si="21"/>
        <v>13000</v>
      </c>
    </row>
    <row r="209" spans="2:20" ht="12.75" customHeight="1" x14ac:dyDescent="0.25">
      <c r="B209" s="706" t="s">
        <v>70</v>
      </c>
      <c r="C209" s="707" t="str">
        <f>IFERROR(_xlfn.XLOOKUP($G209,COM_Cadastro!#REF!,COM_Cadastro!#REF!),"")</f>
        <v/>
      </c>
      <c r="D209" s="708" t="s">
        <v>736</v>
      </c>
      <c r="E209" s="709" t="s">
        <v>508</v>
      </c>
      <c r="F209" s="710" t="s">
        <v>368</v>
      </c>
      <c r="G209" s="720" t="s">
        <v>507</v>
      </c>
      <c r="H209" s="712">
        <v>0</v>
      </c>
      <c r="I209" s="712">
        <v>16639.57</v>
      </c>
      <c r="J209" s="712">
        <v>0</v>
      </c>
      <c r="K209" s="706"/>
      <c r="L209" s="713">
        <f t="shared" si="20"/>
        <v>16639.57</v>
      </c>
      <c r="M209" s="714"/>
      <c r="N209" s="715"/>
      <c r="O209" s="715"/>
      <c r="P209" s="715"/>
      <c r="Q209" s="714"/>
      <c r="R209" s="714"/>
      <c r="S209" s="714"/>
      <c r="T209" s="713">
        <f t="shared" si="21"/>
        <v>16639.57</v>
      </c>
    </row>
    <row r="210" spans="2:20" ht="12.75" customHeight="1" x14ac:dyDescent="0.25">
      <c r="B210" s="706" t="s">
        <v>70</v>
      </c>
      <c r="C210" s="716" t="str">
        <f>IFERROR(_xlfn.XLOOKUP($G210,COM_Cadastro!#REF!,COM_Cadastro!#REF!),"")</f>
        <v/>
      </c>
      <c r="D210" s="717" t="s">
        <v>736</v>
      </c>
      <c r="E210" s="718" t="s">
        <v>406</v>
      </c>
      <c r="F210" s="719" t="s">
        <v>376</v>
      </c>
      <c r="G210" s="721" t="s">
        <v>515</v>
      </c>
      <c r="H210" s="712">
        <v>0</v>
      </c>
      <c r="I210" s="712">
        <v>35104.949999999997</v>
      </c>
      <c r="J210" s="712">
        <v>0</v>
      </c>
      <c r="K210" s="706"/>
      <c r="L210" s="713">
        <f t="shared" si="20"/>
        <v>35104.949999999997</v>
      </c>
      <c r="M210" s="714"/>
      <c r="N210" s="715"/>
      <c r="O210" s="715"/>
      <c r="P210" s="715"/>
      <c r="Q210" s="714"/>
      <c r="R210" s="714"/>
      <c r="S210" s="714"/>
      <c r="T210" s="713">
        <f t="shared" si="21"/>
        <v>35104.949999999997</v>
      </c>
    </row>
    <row r="211" spans="2:20" ht="12.75" customHeight="1" x14ac:dyDescent="0.25">
      <c r="B211" s="706" t="s">
        <v>70</v>
      </c>
      <c r="C211" s="716" t="str">
        <f>IFERROR(_xlfn.XLOOKUP($G211,COM_Cadastro!#REF!,COM_Cadastro!#REF!),"")</f>
        <v/>
      </c>
      <c r="D211" s="717" t="s">
        <v>736</v>
      </c>
      <c r="E211" s="718" t="s">
        <v>406</v>
      </c>
      <c r="F211" s="719" t="s">
        <v>368</v>
      </c>
      <c r="G211" s="706" t="s">
        <v>528</v>
      </c>
      <c r="H211" s="712">
        <v>0</v>
      </c>
      <c r="I211" s="712">
        <v>9965.85</v>
      </c>
      <c r="J211" s="712">
        <v>0</v>
      </c>
      <c r="K211" s="706"/>
      <c r="L211" s="713">
        <f t="shared" si="20"/>
        <v>9965.85</v>
      </c>
      <c r="M211" s="714"/>
      <c r="N211" s="715"/>
      <c r="O211" s="715"/>
      <c r="P211" s="715"/>
      <c r="Q211" s="714"/>
      <c r="R211" s="714"/>
      <c r="S211" s="714"/>
      <c r="T211" s="713">
        <f t="shared" si="21"/>
        <v>9965.85</v>
      </c>
    </row>
    <row r="212" spans="2:20" ht="12.75" customHeight="1" x14ac:dyDescent="0.25">
      <c r="B212" s="706" t="s">
        <v>70</v>
      </c>
      <c r="C212" s="716" t="str">
        <f>IFERROR(_xlfn.XLOOKUP($G212,COM_Cadastro!#REF!,COM_Cadastro!#REF!),"")</f>
        <v/>
      </c>
      <c r="D212" s="717" t="s">
        <v>736</v>
      </c>
      <c r="E212" s="718" t="s">
        <v>406</v>
      </c>
      <c r="F212" s="719" t="s">
        <v>374</v>
      </c>
      <c r="G212" s="722" t="s">
        <v>570</v>
      </c>
      <c r="H212" s="712">
        <v>5000</v>
      </c>
      <c r="I212" s="712">
        <v>946.93</v>
      </c>
      <c r="J212" s="712">
        <v>1500</v>
      </c>
      <c r="K212" s="706"/>
      <c r="L212" s="713">
        <f t="shared" si="20"/>
        <v>7446.93</v>
      </c>
      <c r="M212" s="714"/>
      <c r="N212" s="715"/>
      <c r="O212" s="715"/>
      <c r="P212" s="715"/>
      <c r="Q212" s="714"/>
      <c r="R212" s="714"/>
      <c r="S212" s="714"/>
      <c r="T212" s="713">
        <f t="shared" si="21"/>
        <v>7446.93</v>
      </c>
    </row>
    <row r="213" spans="2:20" ht="12.75" customHeight="1" x14ac:dyDescent="0.2">
      <c r="B213" s="706" t="s">
        <v>70</v>
      </c>
      <c r="C213" s="716" t="str">
        <f>IFERROR(_xlfn.XLOOKUP($G213,COM_Cadastro!#REF!,COM_Cadastro!#REF!),"")</f>
        <v/>
      </c>
      <c r="D213" s="717" t="s">
        <v>736</v>
      </c>
      <c r="E213" s="718" t="s">
        <v>508</v>
      </c>
      <c r="F213" s="719" t="s">
        <v>368</v>
      </c>
      <c r="G213" s="723" t="s">
        <v>612</v>
      </c>
      <c r="H213" s="712">
        <v>4700</v>
      </c>
      <c r="I213" s="712">
        <v>0</v>
      </c>
      <c r="J213" s="712">
        <v>0</v>
      </c>
      <c r="K213" s="706"/>
      <c r="L213" s="713">
        <f t="shared" si="20"/>
        <v>4700</v>
      </c>
      <c r="M213" s="714"/>
      <c r="N213" s="715"/>
      <c r="O213" s="715"/>
      <c r="P213" s="715"/>
      <c r="Q213" s="714"/>
      <c r="R213" s="714"/>
      <c r="S213" s="714"/>
      <c r="T213" s="713">
        <f t="shared" si="21"/>
        <v>4700</v>
      </c>
    </row>
    <row r="214" spans="2:20" ht="12.75" customHeight="1" x14ac:dyDescent="0.2">
      <c r="B214" s="706" t="s">
        <v>70</v>
      </c>
      <c r="C214" s="716" t="str">
        <f>IFERROR(_xlfn.XLOOKUP($G214,COM_Cadastro!#REF!,COM_Cadastro!#REF!),"")</f>
        <v/>
      </c>
      <c r="D214" s="717" t="s">
        <v>736</v>
      </c>
      <c r="E214" s="718" t="s">
        <v>790</v>
      </c>
      <c r="F214" s="719" t="s">
        <v>368</v>
      </c>
      <c r="G214" s="723" t="s">
        <v>414</v>
      </c>
      <c r="H214" s="712">
        <v>9516.7000000000007</v>
      </c>
      <c r="I214" s="712">
        <v>0</v>
      </c>
      <c r="J214" s="712">
        <v>0</v>
      </c>
      <c r="K214" s="706"/>
      <c r="L214" s="713">
        <f t="shared" si="20"/>
        <v>9516.7000000000007</v>
      </c>
      <c r="M214" s="714"/>
      <c r="N214" s="715"/>
      <c r="O214" s="715"/>
      <c r="P214" s="715"/>
      <c r="Q214" s="714"/>
      <c r="R214" s="714"/>
      <c r="S214" s="714"/>
      <c r="T214" s="713">
        <f t="shared" si="21"/>
        <v>9516.7000000000007</v>
      </c>
    </row>
    <row r="215" spans="2:20" ht="12.75" customHeight="1" x14ac:dyDescent="0.25">
      <c r="G215" s="724">
        <f>COUNTA(G3:G214)</f>
        <v>212</v>
      </c>
      <c r="H215" s="655">
        <f t="shared" ref="H215:T215" si="22">SUM(H3:H214)</f>
        <v>412877.04</v>
      </c>
      <c r="I215" s="655">
        <f t="shared" si="22"/>
        <v>96435.299999999988</v>
      </c>
      <c r="J215" s="655">
        <f t="shared" si="22"/>
        <v>32076.479999999992</v>
      </c>
      <c r="K215" s="655">
        <f t="shared" si="22"/>
        <v>32260</v>
      </c>
      <c r="L215" s="725">
        <f t="shared" si="22"/>
        <v>573648.81999999995</v>
      </c>
      <c r="M215" s="725">
        <f t="shared" si="22"/>
        <v>8741.3088000000062</v>
      </c>
      <c r="N215" s="725">
        <f t="shared" si="22"/>
        <v>9105.5300000000079</v>
      </c>
      <c r="O215" s="725">
        <f t="shared" si="22"/>
        <v>3035.1766666666695</v>
      </c>
      <c r="P215" s="725">
        <f t="shared" si="22"/>
        <v>971.25653333333435</v>
      </c>
      <c r="Q215" s="725">
        <f t="shared" si="22"/>
        <v>9105.5300000000079</v>
      </c>
      <c r="R215" s="725">
        <f t="shared" si="22"/>
        <v>728.44239999999922</v>
      </c>
      <c r="S215" s="725">
        <f t="shared" si="22"/>
        <v>22945.935600000001</v>
      </c>
      <c r="T215" s="725">
        <f t="shared" si="22"/>
        <v>605336.06439999992</v>
      </c>
    </row>
  </sheetData>
  <autoFilter ref="B2:V215" xr:uid="{00000000-0009-0000-0000-00002A000000}"/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FF0000"/>
  </sheetPr>
  <dimension ref="B2:Y205"/>
  <sheetViews>
    <sheetView showGridLines="0" zoomScale="80" zoomScaleNormal="80" workbookViewId="0">
      <selection activeCell="Y29" sqref="Y29"/>
    </sheetView>
  </sheetViews>
  <sheetFormatPr defaultColWidth="8.5703125" defaultRowHeight="15" x14ac:dyDescent="0.25"/>
  <cols>
    <col min="2" max="2" width="9.28515625" bestFit="1" customWidth="1"/>
    <col min="3" max="3" width="18.85546875" customWidth="1"/>
    <col min="4" max="4" width="5" bestFit="1" customWidth="1"/>
    <col min="5" max="5" width="15.28515625" bestFit="1" customWidth="1"/>
    <col min="6" max="6" width="4.140625" bestFit="1" customWidth="1"/>
    <col min="7" max="7" width="39.5703125" customWidth="1"/>
    <col min="8" max="8" width="12" bestFit="1" customWidth="1"/>
    <col min="9" max="10" width="10.85546875" bestFit="1" customWidth="1"/>
    <col min="11" max="11" width="11.7109375" bestFit="1" customWidth="1"/>
    <col min="12" max="12" width="12" bestFit="1" customWidth="1"/>
    <col min="13" max="13" width="10.85546875" customWidth="1"/>
    <col min="14" max="14" width="10.85546875" bestFit="1" customWidth="1"/>
    <col min="15" max="15" width="9.85546875" bestFit="1" customWidth="1"/>
    <col min="16" max="16" width="10.28515625" bestFit="1" customWidth="1"/>
    <col min="17" max="17" width="10.85546875" bestFit="1" customWidth="1"/>
    <col min="18" max="18" width="11.28515625" bestFit="1" customWidth="1"/>
    <col min="19" max="19" width="10.85546875" bestFit="1" customWidth="1"/>
    <col min="20" max="20" width="12" customWidth="1"/>
    <col min="21" max="21" width="11.7109375" bestFit="1" customWidth="1"/>
    <col min="22" max="22" width="12" bestFit="1" customWidth="1"/>
    <col min="23" max="23" width="1.85546875" customWidth="1"/>
    <col min="24" max="24" width="6.7109375" customWidth="1"/>
    <col min="25" max="25" width="13" customWidth="1"/>
  </cols>
  <sheetData>
    <row r="2" spans="2:25" ht="15" customHeight="1" x14ac:dyDescent="0.25">
      <c r="B2" s="628" t="s">
        <v>106</v>
      </c>
      <c r="C2" s="628" t="s">
        <v>218</v>
      </c>
      <c r="D2" s="628" t="s">
        <v>729</v>
      </c>
      <c r="E2" s="628" t="s">
        <v>730</v>
      </c>
      <c r="F2" s="628" t="s">
        <v>731</v>
      </c>
      <c r="G2" s="628" t="s">
        <v>158</v>
      </c>
      <c r="H2" s="629" t="s">
        <v>190</v>
      </c>
      <c r="I2" s="629" t="s">
        <v>213</v>
      </c>
      <c r="J2" s="629" t="s">
        <v>95</v>
      </c>
      <c r="K2" s="629" t="s">
        <v>94</v>
      </c>
      <c r="L2" s="630" t="s">
        <v>199</v>
      </c>
      <c r="M2" s="631" t="s">
        <v>36</v>
      </c>
      <c r="N2" s="632" t="s">
        <v>40</v>
      </c>
      <c r="O2" s="632" t="s">
        <v>169</v>
      </c>
      <c r="P2" s="632" t="s">
        <v>203</v>
      </c>
      <c r="Q2" s="632" t="s">
        <v>204</v>
      </c>
      <c r="R2" s="632" t="s">
        <v>205</v>
      </c>
      <c r="S2" s="633" t="s">
        <v>210</v>
      </c>
      <c r="T2" s="634" t="s">
        <v>13</v>
      </c>
      <c r="U2" s="635" t="s">
        <v>189</v>
      </c>
      <c r="V2" s="636">
        <v>46023</v>
      </c>
      <c r="X2" s="637" t="s">
        <v>729</v>
      </c>
      <c r="Y2" s="637" t="s">
        <v>732</v>
      </c>
    </row>
    <row r="3" spans="2:25" ht="15" customHeight="1" x14ac:dyDescent="0.25">
      <c r="B3" s="638" t="s">
        <v>71</v>
      </c>
      <c r="C3" s="639" t="str">
        <f>IFERROR(_xlfn.XLOOKUP($G3,COM_Cadastro!#REF!,COM_Cadastro!#REF!),"")</f>
        <v/>
      </c>
      <c r="D3" s="640" t="s">
        <v>733</v>
      </c>
      <c r="E3" s="641" t="s">
        <v>377</v>
      </c>
      <c r="F3" s="640" t="s">
        <v>444</v>
      </c>
      <c r="G3" s="638" t="s">
        <v>578</v>
      </c>
      <c r="H3" s="642">
        <v>728.18</v>
      </c>
      <c r="I3" s="642"/>
      <c r="J3" s="642">
        <v>204</v>
      </c>
      <c r="K3" s="642">
        <v>135</v>
      </c>
      <c r="L3" s="643">
        <f t="shared" ref="L3:L66" si="0">SUM(H3:K3)</f>
        <v>1067.1799999999998</v>
      </c>
      <c r="M3" s="644">
        <f t="shared" ref="M3:M34" si="1">H3*8%</f>
        <v>58.254399999999997</v>
      </c>
      <c r="N3" s="643">
        <f t="shared" ref="N3:N34" si="2">H3/12</f>
        <v>60.681666666666665</v>
      </c>
      <c r="O3" s="643">
        <f t="shared" ref="O3:O34" si="3">N3/3</f>
        <v>20.22722222222222</v>
      </c>
      <c r="P3" s="643">
        <f t="shared" ref="P3:P34" si="4">(N3+O3)*8%</f>
        <v>6.4727111111111109</v>
      </c>
      <c r="Q3" s="455">
        <f t="shared" ref="Q3:Q34" si="5">H3/12</f>
        <v>60.681666666666665</v>
      </c>
      <c r="R3" s="455">
        <f t="shared" ref="R3:R34" si="6">Q3*8%</f>
        <v>4.8545333333333334</v>
      </c>
      <c r="S3" s="643">
        <f t="shared" ref="S3:S34" si="7">SUM(N3:R3)</f>
        <v>152.9178</v>
      </c>
      <c r="T3" s="643">
        <f t="shared" ref="T3:T66" si="8">L3+M3+S3</f>
        <v>1278.3521999999998</v>
      </c>
      <c r="U3" s="809" t="s">
        <v>89</v>
      </c>
      <c r="V3" s="646">
        <f>H205</f>
        <v>364206.41000000003</v>
      </c>
      <c r="X3" s="647" t="s">
        <v>733</v>
      </c>
      <c r="Y3" s="648">
        <f>COUNTIF($D$3:$D$204,X3)</f>
        <v>66</v>
      </c>
    </row>
    <row r="4" spans="2:25" ht="15" customHeight="1" x14ac:dyDescent="0.25">
      <c r="B4" s="638" t="s">
        <v>71</v>
      </c>
      <c r="C4" s="639" t="str">
        <f>IFERROR(_xlfn.XLOOKUP($G4,COM_Cadastro!#REF!,COM_Cadastro!#REF!),"")</f>
        <v/>
      </c>
      <c r="D4" s="640" t="s">
        <v>733</v>
      </c>
      <c r="E4" s="641" t="s">
        <v>377</v>
      </c>
      <c r="F4" s="640" t="s">
        <v>444</v>
      </c>
      <c r="G4" s="638" t="s">
        <v>606</v>
      </c>
      <c r="H4" s="642">
        <v>1622</v>
      </c>
      <c r="I4" s="642"/>
      <c r="J4" s="642">
        <v>244.8</v>
      </c>
      <c r="K4" s="642">
        <v>540</v>
      </c>
      <c r="L4" s="643">
        <f t="shared" si="0"/>
        <v>2406.8000000000002</v>
      </c>
      <c r="M4" s="644">
        <f t="shared" si="1"/>
        <v>129.76</v>
      </c>
      <c r="N4" s="643">
        <f t="shared" si="2"/>
        <v>135.16666666666666</v>
      </c>
      <c r="O4" s="643">
        <f t="shared" si="3"/>
        <v>45.05555555555555</v>
      </c>
      <c r="P4" s="643">
        <f t="shared" si="4"/>
        <v>14.417777777777776</v>
      </c>
      <c r="Q4" s="455">
        <f t="shared" si="5"/>
        <v>135.16666666666666</v>
      </c>
      <c r="R4" s="455">
        <f t="shared" si="6"/>
        <v>10.813333333333333</v>
      </c>
      <c r="S4" s="643">
        <f t="shared" si="7"/>
        <v>340.61999999999995</v>
      </c>
      <c r="T4" s="643">
        <f t="shared" si="8"/>
        <v>2877.1800000000003</v>
      </c>
      <c r="U4" s="810" t="s">
        <v>213</v>
      </c>
      <c r="V4" s="646">
        <f>I205</f>
        <v>12823</v>
      </c>
      <c r="X4" s="647" t="s">
        <v>378</v>
      </c>
      <c r="Y4" s="648">
        <f>COUNTIF($D$3:$D$204,X4)</f>
        <v>92</v>
      </c>
    </row>
    <row r="5" spans="2:25" ht="15" customHeight="1" x14ac:dyDescent="0.25">
      <c r="B5" s="638" t="s">
        <v>71</v>
      </c>
      <c r="C5" s="639" t="str">
        <f>IFERROR(_xlfn.XLOOKUP($G5,COM_Cadastro!#REF!,COM_Cadastro!#REF!),"")</f>
        <v/>
      </c>
      <c r="D5" s="640" t="s">
        <v>733</v>
      </c>
      <c r="E5" s="641" t="s">
        <v>377</v>
      </c>
      <c r="F5" s="640" t="s">
        <v>368</v>
      </c>
      <c r="G5" s="638" t="s">
        <v>689</v>
      </c>
      <c r="H5" s="642">
        <v>1780</v>
      </c>
      <c r="I5" s="642"/>
      <c r="J5" s="642">
        <v>0</v>
      </c>
      <c r="K5" s="642">
        <v>135</v>
      </c>
      <c r="L5" s="643">
        <f t="shared" si="0"/>
        <v>1915</v>
      </c>
      <c r="M5" s="644">
        <f t="shared" si="1"/>
        <v>142.4</v>
      </c>
      <c r="N5" s="643">
        <f t="shared" si="2"/>
        <v>148.33333333333334</v>
      </c>
      <c r="O5" s="643">
        <f t="shared" si="3"/>
        <v>49.44444444444445</v>
      </c>
      <c r="P5" s="643">
        <f t="shared" si="4"/>
        <v>15.822222222222225</v>
      </c>
      <c r="Q5" s="455">
        <f t="shared" si="5"/>
        <v>148.33333333333334</v>
      </c>
      <c r="R5" s="455">
        <f t="shared" si="6"/>
        <v>11.866666666666667</v>
      </c>
      <c r="S5" s="643">
        <f t="shared" si="7"/>
        <v>373.80000000000007</v>
      </c>
      <c r="T5" s="643">
        <f t="shared" si="8"/>
        <v>2431.2000000000003</v>
      </c>
      <c r="U5" s="810" t="s">
        <v>95</v>
      </c>
      <c r="V5" s="646">
        <f>J205</f>
        <v>58442.549999999996</v>
      </c>
      <c r="X5" s="647" t="s">
        <v>734</v>
      </c>
      <c r="Y5" s="648">
        <f>COUNTIF($D$3:$D$204,X5)</f>
        <v>37</v>
      </c>
    </row>
    <row r="6" spans="2:25" ht="15" customHeight="1" x14ac:dyDescent="0.25">
      <c r="B6" s="638" t="s">
        <v>71</v>
      </c>
      <c r="C6" s="639" t="str">
        <f>IFERROR(_xlfn.XLOOKUP($G6,COM_Cadastro!#REF!,COM_Cadastro!#REF!),"")</f>
        <v/>
      </c>
      <c r="D6" s="640" t="s">
        <v>733</v>
      </c>
      <c r="E6" s="641" t="s">
        <v>609</v>
      </c>
      <c r="F6" s="640" t="s">
        <v>368</v>
      </c>
      <c r="G6" s="638" t="s">
        <v>791</v>
      </c>
      <c r="H6" s="642">
        <v>4000</v>
      </c>
      <c r="I6" s="642"/>
      <c r="J6" s="642">
        <v>252.41</v>
      </c>
      <c r="K6" s="642">
        <v>540</v>
      </c>
      <c r="L6" s="643">
        <f t="shared" si="0"/>
        <v>4792.41</v>
      </c>
      <c r="M6" s="644">
        <f t="shared" si="1"/>
        <v>320</v>
      </c>
      <c r="N6" s="643">
        <f t="shared" si="2"/>
        <v>333.33333333333331</v>
      </c>
      <c r="O6" s="643">
        <f t="shared" si="3"/>
        <v>111.1111111111111</v>
      </c>
      <c r="P6" s="643">
        <f t="shared" si="4"/>
        <v>35.55555555555555</v>
      </c>
      <c r="Q6" s="455">
        <f t="shared" si="5"/>
        <v>333.33333333333331</v>
      </c>
      <c r="R6" s="455">
        <f t="shared" si="6"/>
        <v>26.666666666666664</v>
      </c>
      <c r="S6" s="643">
        <f t="shared" si="7"/>
        <v>839.99999999999989</v>
      </c>
      <c r="T6" s="643">
        <f t="shared" si="8"/>
        <v>5952.41</v>
      </c>
      <c r="U6" s="810" t="s">
        <v>94</v>
      </c>
      <c r="V6" s="646">
        <f>K205</f>
        <v>31050</v>
      </c>
      <c r="X6" s="647" t="s">
        <v>736</v>
      </c>
      <c r="Y6" s="648">
        <f>COUNTIF($D$3:$D$204,X6)</f>
        <v>7</v>
      </c>
    </row>
    <row r="7" spans="2:25" ht="15" customHeight="1" x14ac:dyDescent="0.25">
      <c r="B7" s="638" t="s">
        <v>71</v>
      </c>
      <c r="C7" s="639" t="str">
        <f>IFERROR(_xlfn.XLOOKUP($G7,COM_Cadastro!#REF!,COM_Cadastro!#REF!),"")</f>
        <v/>
      </c>
      <c r="D7" s="640" t="s">
        <v>733</v>
      </c>
      <c r="E7" s="641" t="s">
        <v>377</v>
      </c>
      <c r="F7" s="640" t="s">
        <v>368</v>
      </c>
      <c r="G7" s="638" t="s">
        <v>792</v>
      </c>
      <c r="H7" s="642">
        <v>2500</v>
      </c>
      <c r="I7" s="642">
        <v>550</v>
      </c>
      <c r="J7" s="642">
        <v>575.20000000000005</v>
      </c>
      <c r="K7" s="642">
        <v>540</v>
      </c>
      <c r="L7" s="643">
        <f t="shared" si="0"/>
        <v>4165.2</v>
      </c>
      <c r="M7" s="644">
        <f t="shared" si="1"/>
        <v>200</v>
      </c>
      <c r="N7" s="643">
        <f t="shared" si="2"/>
        <v>208.33333333333334</v>
      </c>
      <c r="O7" s="643">
        <f t="shared" si="3"/>
        <v>69.444444444444443</v>
      </c>
      <c r="P7" s="643">
        <f t="shared" si="4"/>
        <v>22.222222222222221</v>
      </c>
      <c r="Q7" s="455">
        <f t="shared" si="5"/>
        <v>208.33333333333334</v>
      </c>
      <c r="R7" s="455">
        <f t="shared" si="6"/>
        <v>16.666666666666668</v>
      </c>
      <c r="S7" s="643">
        <f t="shared" si="7"/>
        <v>525</v>
      </c>
      <c r="T7" s="643">
        <f t="shared" si="8"/>
        <v>4890.2</v>
      </c>
      <c r="U7" s="809" t="s">
        <v>36</v>
      </c>
      <c r="V7" s="646">
        <f>M205</f>
        <v>11556.608800000005</v>
      </c>
      <c r="X7" s="647" t="s">
        <v>167</v>
      </c>
      <c r="Y7" s="637">
        <f>SUM(Y3:Y6)</f>
        <v>202</v>
      </c>
    </row>
    <row r="8" spans="2:25" ht="15" customHeight="1" x14ac:dyDescent="0.25">
      <c r="B8" s="638" t="s">
        <v>71</v>
      </c>
      <c r="C8" s="639" t="str">
        <f>IFERROR(_xlfn.XLOOKUP($G8,COM_Cadastro!#REF!,COM_Cadastro!#REF!),"")</f>
        <v/>
      </c>
      <c r="D8" s="640" t="s">
        <v>733</v>
      </c>
      <c r="E8" s="641" t="s">
        <v>377</v>
      </c>
      <c r="F8" s="640" t="s">
        <v>368</v>
      </c>
      <c r="G8" s="638" t="s">
        <v>427</v>
      </c>
      <c r="H8" s="642">
        <v>1780</v>
      </c>
      <c r="I8" s="642"/>
      <c r="J8" s="642">
        <v>49</v>
      </c>
      <c r="K8" s="642">
        <v>112.5</v>
      </c>
      <c r="L8" s="643">
        <f t="shared" si="0"/>
        <v>1941.5</v>
      </c>
      <c r="M8" s="644">
        <f t="shared" si="1"/>
        <v>142.4</v>
      </c>
      <c r="N8" s="643">
        <f t="shared" si="2"/>
        <v>148.33333333333334</v>
      </c>
      <c r="O8" s="643">
        <f t="shared" si="3"/>
        <v>49.44444444444445</v>
      </c>
      <c r="P8" s="643">
        <f t="shared" si="4"/>
        <v>15.822222222222225</v>
      </c>
      <c r="Q8" s="455">
        <f t="shared" si="5"/>
        <v>148.33333333333334</v>
      </c>
      <c r="R8" s="455">
        <f t="shared" si="6"/>
        <v>11.866666666666667</v>
      </c>
      <c r="S8" s="643">
        <f t="shared" si="7"/>
        <v>373.80000000000007</v>
      </c>
      <c r="T8" s="643">
        <f t="shared" si="8"/>
        <v>2457.7000000000003</v>
      </c>
      <c r="U8" s="809" t="s">
        <v>212</v>
      </c>
      <c r="V8" s="646">
        <f>S205</f>
        <v>30336.098099999977</v>
      </c>
      <c r="X8" s="804"/>
      <c r="Y8" s="805"/>
    </row>
    <row r="9" spans="2:25" ht="15" customHeight="1" x14ac:dyDescent="0.25">
      <c r="B9" s="638" t="s">
        <v>71</v>
      </c>
      <c r="C9" s="639" t="str">
        <f>IFERROR(_xlfn.XLOOKUP($G9,COM_Cadastro!#REF!,COM_Cadastro!#REF!),"")</f>
        <v/>
      </c>
      <c r="D9" s="640" t="s">
        <v>733</v>
      </c>
      <c r="E9" s="641" t="s">
        <v>377</v>
      </c>
      <c r="F9" s="640" t="s">
        <v>368</v>
      </c>
      <c r="G9" s="638" t="s">
        <v>663</v>
      </c>
      <c r="H9" s="642">
        <v>1622</v>
      </c>
      <c r="I9" s="642"/>
      <c r="J9" s="642">
        <v>489</v>
      </c>
      <c r="K9" s="642">
        <v>540</v>
      </c>
      <c r="L9" s="643">
        <f t="shared" si="0"/>
        <v>2651</v>
      </c>
      <c r="M9" s="644">
        <f t="shared" si="1"/>
        <v>129.76</v>
      </c>
      <c r="N9" s="643">
        <f t="shared" si="2"/>
        <v>135.16666666666666</v>
      </c>
      <c r="O9" s="643">
        <f t="shared" si="3"/>
        <v>45.05555555555555</v>
      </c>
      <c r="P9" s="643">
        <f t="shared" si="4"/>
        <v>14.417777777777776</v>
      </c>
      <c r="Q9" s="455">
        <f t="shared" si="5"/>
        <v>135.16666666666666</v>
      </c>
      <c r="R9" s="455">
        <f t="shared" si="6"/>
        <v>10.813333333333333</v>
      </c>
      <c r="S9" s="643">
        <f t="shared" si="7"/>
        <v>340.61999999999995</v>
      </c>
      <c r="T9" s="643">
        <f t="shared" si="8"/>
        <v>3121.38</v>
      </c>
      <c r="U9" s="810" t="s">
        <v>13</v>
      </c>
      <c r="V9" s="655">
        <f>SUM(V3:V8)</f>
        <v>508414.66690000001</v>
      </c>
      <c r="X9" s="804"/>
      <c r="Y9" s="805"/>
    </row>
    <row r="10" spans="2:25" ht="15" customHeight="1" x14ac:dyDescent="0.25">
      <c r="B10" s="638" t="s">
        <v>71</v>
      </c>
      <c r="C10" s="639" t="str">
        <f>IFERROR(_xlfn.XLOOKUP($G10,COM_Cadastro!#REF!,COM_Cadastro!#REF!),"")</f>
        <v/>
      </c>
      <c r="D10" s="640" t="s">
        <v>733</v>
      </c>
      <c r="E10" s="641" t="s">
        <v>377</v>
      </c>
      <c r="F10" s="640" t="s">
        <v>368</v>
      </c>
      <c r="G10" s="638" t="s">
        <v>516</v>
      </c>
      <c r="H10" s="642">
        <v>1622</v>
      </c>
      <c r="I10" s="642"/>
      <c r="J10" s="642">
        <v>240</v>
      </c>
      <c r="K10" s="642">
        <v>540</v>
      </c>
      <c r="L10" s="643">
        <f t="shared" si="0"/>
        <v>2402</v>
      </c>
      <c r="M10" s="644">
        <f t="shared" si="1"/>
        <v>129.76</v>
      </c>
      <c r="N10" s="643">
        <f t="shared" si="2"/>
        <v>135.16666666666666</v>
      </c>
      <c r="O10" s="643">
        <f t="shared" si="3"/>
        <v>45.05555555555555</v>
      </c>
      <c r="P10" s="643">
        <f t="shared" si="4"/>
        <v>14.417777777777776</v>
      </c>
      <c r="Q10" s="455">
        <f t="shared" si="5"/>
        <v>135.16666666666666</v>
      </c>
      <c r="R10" s="455">
        <f t="shared" si="6"/>
        <v>10.813333333333333</v>
      </c>
      <c r="S10" s="643">
        <f t="shared" si="7"/>
        <v>340.61999999999995</v>
      </c>
      <c r="T10" s="643">
        <f t="shared" si="8"/>
        <v>2872.38</v>
      </c>
      <c r="U10" s="806"/>
      <c r="V10" s="802"/>
      <c r="X10" s="804"/>
      <c r="Y10" s="805"/>
    </row>
    <row r="11" spans="2:25" ht="15" customHeight="1" x14ac:dyDescent="0.25">
      <c r="B11" s="638" t="s">
        <v>71</v>
      </c>
      <c r="C11" s="639" t="str">
        <f>IFERROR(_xlfn.XLOOKUP($G11,COM_Cadastro!#REF!,COM_Cadastro!#REF!),"")</f>
        <v/>
      </c>
      <c r="D11" s="640" t="s">
        <v>733</v>
      </c>
      <c r="E11" s="641" t="s">
        <v>377</v>
      </c>
      <c r="F11" s="640" t="s">
        <v>368</v>
      </c>
      <c r="G11" s="638" t="s">
        <v>793</v>
      </c>
      <c r="H11" s="642">
        <v>1622</v>
      </c>
      <c r="I11" s="642"/>
      <c r="J11" s="642">
        <v>240</v>
      </c>
      <c r="K11" s="642">
        <v>540</v>
      </c>
      <c r="L11" s="643">
        <f t="shared" si="0"/>
        <v>2402</v>
      </c>
      <c r="M11" s="644">
        <f t="shared" si="1"/>
        <v>129.76</v>
      </c>
      <c r="N11" s="643">
        <f t="shared" si="2"/>
        <v>135.16666666666666</v>
      </c>
      <c r="O11" s="643">
        <f t="shared" si="3"/>
        <v>45.05555555555555</v>
      </c>
      <c r="P11" s="643">
        <f t="shared" si="4"/>
        <v>14.417777777777776</v>
      </c>
      <c r="Q11" s="455">
        <f t="shared" si="5"/>
        <v>135.16666666666666</v>
      </c>
      <c r="R11" s="455">
        <f t="shared" si="6"/>
        <v>10.813333333333333</v>
      </c>
      <c r="S11" s="643">
        <f t="shared" si="7"/>
        <v>340.61999999999995</v>
      </c>
      <c r="T11" s="808">
        <f t="shared" si="8"/>
        <v>2872.38</v>
      </c>
      <c r="U11" s="806"/>
      <c r="V11" s="802"/>
      <c r="W11" s="803"/>
      <c r="X11" s="804"/>
      <c r="Y11" s="805"/>
    </row>
    <row r="12" spans="2:25" ht="15" customHeight="1" x14ac:dyDescent="0.25">
      <c r="B12" s="638" t="s">
        <v>71</v>
      </c>
      <c r="C12" s="639" t="str">
        <f>IFERROR(_xlfn.XLOOKUP($G12,COM_Cadastro!#REF!,COM_Cadastro!#REF!),"")</f>
        <v/>
      </c>
      <c r="D12" s="640" t="s">
        <v>733</v>
      </c>
      <c r="E12" s="641" t="s">
        <v>609</v>
      </c>
      <c r="F12" s="640" t="s">
        <v>368</v>
      </c>
      <c r="G12" s="638" t="s">
        <v>794</v>
      </c>
      <c r="H12" s="642">
        <v>4000</v>
      </c>
      <c r="I12" s="642"/>
      <c r="J12" s="642">
        <v>0</v>
      </c>
      <c r="K12" s="642">
        <v>540</v>
      </c>
      <c r="L12" s="643">
        <f t="shared" si="0"/>
        <v>4540</v>
      </c>
      <c r="M12" s="644">
        <f t="shared" si="1"/>
        <v>320</v>
      </c>
      <c r="N12" s="643">
        <f t="shared" si="2"/>
        <v>333.33333333333331</v>
      </c>
      <c r="O12" s="643">
        <f t="shared" si="3"/>
        <v>111.1111111111111</v>
      </c>
      <c r="P12" s="643">
        <f t="shared" si="4"/>
        <v>35.55555555555555</v>
      </c>
      <c r="Q12" s="455">
        <f t="shared" si="5"/>
        <v>333.33333333333331</v>
      </c>
      <c r="R12" s="455">
        <f t="shared" si="6"/>
        <v>26.666666666666664</v>
      </c>
      <c r="S12" s="643">
        <f t="shared" si="7"/>
        <v>839.99999999999989</v>
      </c>
      <c r="T12" s="643">
        <f t="shared" si="8"/>
        <v>5700</v>
      </c>
      <c r="U12" s="806"/>
      <c r="V12" s="802"/>
      <c r="W12" s="803"/>
      <c r="X12" s="804"/>
      <c r="Y12" s="805"/>
    </row>
    <row r="13" spans="2:25" ht="15" customHeight="1" x14ac:dyDescent="0.25">
      <c r="B13" s="638" t="s">
        <v>71</v>
      </c>
      <c r="C13" s="639" t="str">
        <f>IFERROR(_xlfn.XLOOKUP($G13,COM_Cadastro!#REF!,COM_Cadastro!#REF!),"")</f>
        <v/>
      </c>
      <c r="D13" s="640" t="s">
        <v>733</v>
      </c>
      <c r="E13" s="641" t="s">
        <v>609</v>
      </c>
      <c r="F13" s="640" t="s">
        <v>368</v>
      </c>
      <c r="G13" s="638" t="s">
        <v>795</v>
      </c>
      <c r="H13" s="642">
        <v>4000</v>
      </c>
      <c r="I13" s="642"/>
      <c r="J13" s="642">
        <v>893.61</v>
      </c>
      <c r="K13" s="642">
        <v>540</v>
      </c>
      <c r="L13" s="643">
        <f t="shared" si="0"/>
        <v>5433.61</v>
      </c>
      <c r="M13" s="644">
        <f t="shared" si="1"/>
        <v>320</v>
      </c>
      <c r="N13" s="643">
        <f t="shared" si="2"/>
        <v>333.33333333333331</v>
      </c>
      <c r="O13" s="643">
        <f t="shared" si="3"/>
        <v>111.1111111111111</v>
      </c>
      <c r="P13" s="643">
        <f t="shared" si="4"/>
        <v>35.55555555555555</v>
      </c>
      <c r="Q13" s="455">
        <f t="shared" si="5"/>
        <v>333.33333333333331</v>
      </c>
      <c r="R13" s="455">
        <f t="shared" si="6"/>
        <v>26.666666666666664</v>
      </c>
      <c r="S13" s="643">
        <f t="shared" si="7"/>
        <v>839.99999999999989</v>
      </c>
      <c r="T13" s="643">
        <f t="shared" si="8"/>
        <v>6593.61</v>
      </c>
      <c r="U13" s="806"/>
      <c r="V13" s="802"/>
      <c r="W13" s="803"/>
      <c r="X13" s="804"/>
      <c r="Y13" s="805"/>
    </row>
    <row r="14" spans="2:25" ht="15" customHeight="1" x14ac:dyDescent="0.25">
      <c r="B14" s="638" t="s">
        <v>71</v>
      </c>
      <c r="C14" s="639" t="str">
        <f>IFERROR(_xlfn.XLOOKUP($G14,COM_Cadastro!#REF!,COM_Cadastro!#REF!),"")</f>
        <v/>
      </c>
      <c r="D14" s="640" t="s">
        <v>733</v>
      </c>
      <c r="E14" s="641" t="s">
        <v>372</v>
      </c>
      <c r="F14" s="640" t="s">
        <v>371</v>
      </c>
      <c r="G14" s="638" t="s">
        <v>370</v>
      </c>
      <c r="H14" s="642">
        <v>1900</v>
      </c>
      <c r="I14" s="642">
        <v>843</v>
      </c>
      <c r="J14" s="642">
        <v>250</v>
      </c>
      <c r="K14" s="642">
        <v>540</v>
      </c>
      <c r="L14" s="643">
        <f t="shared" si="0"/>
        <v>3533</v>
      </c>
      <c r="M14" s="644">
        <f t="shared" si="1"/>
        <v>152</v>
      </c>
      <c r="N14" s="643">
        <f t="shared" si="2"/>
        <v>158.33333333333334</v>
      </c>
      <c r="O14" s="643">
        <f t="shared" si="3"/>
        <v>52.777777777777779</v>
      </c>
      <c r="P14" s="643">
        <f t="shared" si="4"/>
        <v>16.888888888888889</v>
      </c>
      <c r="Q14" s="455">
        <f t="shared" si="5"/>
        <v>158.33333333333334</v>
      </c>
      <c r="R14" s="455">
        <f t="shared" si="6"/>
        <v>12.666666666666668</v>
      </c>
      <c r="S14" s="643">
        <f t="shared" si="7"/>
        <v>399.00000000000006</v>
      </c>
      <c r="T14" s="643">
        <f t="shared" si="8"/>
        <v>4084</v>
      </c>
      <c r="U14" s="806"/>
      <c r="V14" s="802"/>
      <c r="W14" s="803"/>
      <c r="X14" s="804"/>
      <c r="Y14" s="805"/>
    </row>
    <row r="15" spans="2:25" ht="15" customHeight="1" x14ac:dyDescent="0.25">
      <c r="B15" s="638" t="s">
        <v>71</v>
      </c>
      <c r="C15" s="639" t="str">
        <f>IFERROR(_xlfn.XLOOKUP($G15,COM_Cadastro!#REF!,COM_Cadastro!#REF!),"")</f>
        <v/>
      </c>
      <c r="D15" s="640" t="s">
        <v>733</v>
      </c>
      <c r="E15" s="641" t="s">
        <v>796</v>
      </c>
      <c r="F15" s="640" t="s">
        <v>371</v>
      </c>
      <c r="G15" s="638" t="s">
        <v>637</v>
      </c>
      <c r="H15" s="642">
        <v>1022.73</v>
      </c>
      <c r="I15" s="642"/>
      <c r="J15" s="642">
        <v>0</v>
      </c>
      <c r="K15" s="642">
        <v>270</v>
      </c>
      <c r="L15" s="643">
        <f t="shared" si="0"/>
        <v>1292.73</v>
      </c>
      <c r="M15" s="644">
        <f t="shared" si="1"/>
        <v>81.818399999999997</v>
      </c>
      <c r="N15" s="643">
        <f t="shared" si="2"/>
        <v>85.227500000000006</v>
      </c>
      <c r="O15" s="643">
        <f t="shared" si="3"/>
        <v>28.409166666666668</v>
      </c>
      <c r="P15" s="643">
        <f t="shared" si="4"/>
        <v>9.090933333333334</v>
      </c>
      <c r="Q15" s="455">
        <f t="shared" si="5"/>
        <v>85.227500000000006</v>
      </c>
      <c r="R15" s="455">
        <f t="shared" si="6"/>
        <v>6.8182000000000009</v>
      </c>
      <c r="S15" s="643">
        <f t="shared" si="7"/>
        <v>214.77330000000001</v>
      </c>
      <c r="T15" s="643">
        <f t="shared" si="8"/>
        <v>1589.3217000000002</v>
      </c>
      <c r="U15" s="806"/>
      <c r="V15" s="802"/>
      <c r="W15" s="803"/>
      <c r="X15" s="804"/>
      <c r="Y15" s="805"/>
    </row>
    <row r="16" spans="2:25" ht="15" customHeight="1" x14ac:dyDescent="0.25">
      <c r="B16" s="638" t="s">
        <v>71</v>
      </c>
      <c r="C16" s="639" t="str">
        <f>IFERROR(_xlfn.XLOOKUP($G16,COM_Cadastro!#REF!,COM_Cadastro!#REF!),"")</f>
        <v/>
      </c>
      <c r="D16" s="640" t="s">
        <v>733</v>
      </c>
      <c r="E16" s="641" t="s">
        <v>796</v>
      </c>
      <c r="F16" s="640" t="s">
        <v>371</v>
      </c>
      <c r="G16" s="638" t="s">
        <v>640</v>
      </c>
      <c r="H16" s="642">
        <v>1780</v>
      </c>
      <c r="I16" s="642"/>
      <c r="J16" s="642">
        <v>796.5</v>
      </c>
      <c r="K16" s="642">
        <v>540</v>
      </c>
      <c r="L16" s="643">
        <f t="shared" si="0"/>
        <v>3116.5</v>
      </c>
      <c r="M16" s="644">
        <f t="shared" si="1"/>
        <v>142.4</v>
      </c>
      <c r="N16" s="643">
        <f t="shared" si="2"/>
        <v>148.33333333333334</v>
      </c>
      <c r="O16" s="643">
        <f t="shared" si="3"/>
        <v>49.44444444444445</v>
      </c>
      <c r="P16" s="643">
        <f t="shared" si="4"/>
        <v>15.822222222222225</v>
      </c>
      <c r="Q16" s="455">
        <f t="shared" si="5"/>
        <v>148.33333333333334</v>
      </c>
      <c r="R16" s="455">
        <f t="shared" si="6"/>
        <v>11.866666666666667</v>
      </c>
      <c r="S16" s="643">
        <f t="shared" si="7"/>
        <v>373.80000000000007</v>
      </c>
      <c r="T16" s="643">
        <f t="shared" si="8"/>
        <v>3632.7000000000003</v>
      </c>
      <c r="U16" s="806"/>
      <c r="V16" s="802"/>
      <c r="W16" s="803"/>
      <c r="X16" s="804"/>
      <c r="Y16" s="805"/>
    </row>
    <row r="17" spans="2:25" ht="15" customHeight="1" x14ac:dyDescent="0.25">
      <c r="B17" s="638" t="s">
        <v>71</v>
      </c>
      <c r="C17" s="639" t="str">
        <f>IFERROR(_xlfn.XLOOKUP($G17,COM_Cadastro!#REF!,COM_Cadastro!#REF!),"")</f>
        <v/>
      </c>
      <c r="D17" s="640" t="s">
        <v>733</v>
      </c>
      <c r="E17" s="641" t="s">
        <v>796</v>
      </c>
      <c r="F17" s="640" t="s">
        <v>371</v>
      </c>
      <c r="G17" s="638" t="s">
        <v>677</v>
      </c>
      <c r="H17" s="642">
        <v>1780</v>
      </c>
      <c r="I17" s="642"/>
      <c r="J17" s="642">
        <v>75</v>
      </c>
      <c r="K17" s="642">
        <v>135</v>
      </c>
      <c r="L17" s="643">
        <f t="shared" si="0"/>
        <v>1990</v>
      </c>
      <c r="M17" s="644">
        <f t="shared" si="1"/>
        <v>142.4</v>
      </c>
      <c r="N17" s="643">
        <f t="shared" si="2"/>
        <v>148.33333333333334</v>
      </c>
      <c r="O17" s="643">
        <f t="shared" si="3"/>
        <v>49.44444444444445</v>
      </c>
      <c r="P17" s="643">
        <f t="shared" si="4"/>
        <v>15.822222222222225</v>
      </c>
      <c r="Q17" s="455">
        <f t="shared" si="5"/>
        <v>148.33333333333334</v>
      </c>
      <c r="R17" s="455">
        <f t="shared" si="6"/>
        <v>11.866666666666667</v>
      </c>
      <c r="S17" s="643">
        <f t="shared" si="7"/>
        <v>373.80000000000007</v>
      </c>
      <c r="T17" s="643">
        <f t="shared" si="8"/>
        <v>2506.2000000000003</v>
      </c>
      <c r="U17" s="806"/>
      <c r="V17" s="802"/>
      <c r="W17" s="803"/>
      <c r="X17" s="804"/>
      <c r="Y17" s="805"/>
    </row>
    <row r="18" spans="2:25" ht="15" customHeight="1" x14ac:dyDescent="0.25">
      <c r="B18" s="638" t="s">
        <v>71</v>
      </c>
      <c r="C18" s="639" t="str">
        <f>IFERROR(_xlfn.XLOOKUP($G18,COM_Cadastro!#REF!,COM_Cadastro!#REF!),"")</f>
        <v/>
      </c>
      <c r="D18" s="640" t="s">
        <v>733</v>
      </c>
      <c r="E18" s="641" t="s">
        <v>796</v>
      </c>
      <c r="F18" s="640" t="s">
        <v>371</v>
      </c>
      <c r="G18" s="638" t="s">
        <v>797</v>
      </c>
      <c r="H18" s="642">
        <v>1780</v>
      </c>
      <c r="I18" s="642"/>
      <c r="J18" s="642">
        <v>384</v>
      </c>
      <c r="K18" s="642">
        <v>540</v>
      </c>
      <c r="L18" s="643">
        <f t="shared" si="0"/>
        <v>2704</v>
      </c>
      <c r="M18" s="644">
        <f t="shared" si="1"/>
        <v>142.4</v>
      </c>
      <c r="N18" s="643">
        <f t="shared" si="2"/>
        <v>148.33333333333334</v>
      </c>
      <c r="O18" s="643">
        <f t="shared" si="3"/>
        <v>49.44444444444445</v>
      </c>
      <c r="P18" s="643">
        <f t="shared" si="4"/>
        <v>15.822222222222225</v>
      </c>
      <c r="Q18" s="455">
        <f t="shared" si="5"/>
        <v>148.33333333333334</v>
      </c>
      <c r="R18" s="455">
        <f t="shared" si="6"/>
        <v>11.866666666666667</v>
      </c>
      <c r="S18" s="643">
        <f t="shared" si="7"/>
        <v>373.80000000000007</v>
      </c>
      <c r="T18" s="643">
        <f t="shared" si="8"/>
        <v>3220.2000000000003</v>
      </c>
      <c r="U18" s="806"/>
      <c r="V18" s="802"/>
      <c r="W18" s="803"/>
      <c r="X18" s="804"/>
      <c r="Y18" s="805"/>
    </row>
    <row r="19" spans="2:25" ht="15" customHeight="1" x14ac:dyDescent="0.25">
      <c r="B19" s="638" t="s">
        <v>71</v>
      </c>
      <c r="C19" s="639" t="str">
        <f>IFERROR(_xlfn.XLOOKUP($G19,COM_Cadastro!#REF!,COM_Cadastro!#REF!),"")</f>
        <v/>
      </c>
      <c r="D19" s="640" t="s">
        <v>733</v>
      </c>
      <c r="E19" s="641" t="s">
        <v>796</v>
      </c>
      <c r="F19" s="640" t="s">
        <v>371</v>
      </c>
      <c r="G19" s="638" t="s">
        <v>679</v>
      </c>
      <c r="H19" s="642">
        <v>1900</v>
      </c>
      <c r="I19" s="642"/>
      <c r="J19" s="642">
        <v>394.8</v>
      </c>
      <c r="K19" s="642">
        <v>270</v>
      </c>
      <c r="L19" s="643">
        <f t="shared" si="0"/>
        <v>2564.8000000000002</v>
      </c>
      <c r="M19" s="644">
        <f t="shared" si="1"/>
        <v>152</v>
      </c>
      <c r="N19" s="643">
        <f t="shared" si="2"/>
        <v>158.33333333333334</v>
      </c>
      <c r="O19" s="643">
        <f t="shared" si="3"/>
        <v>52.777777777777779</v>
      </c>
      <c r="P19" s="643">
        <f t="shared" si="4"/>
        <v>16.888888888888889</v>
      </c>
      <c r="Q19" s="455">
        <f t="shared" si="5"/>
        <v>158.33333333333334</v>
      </c>
      <c r="R19" s="455">
        <f t="shared" si="6"/>
        <v>12.666666666666668</v>
      </c>
      <c r="S19" s="643">
        <f t="shared" si="7"/>
        <v>399.00000000000006</v>
      </c>
      <c r="T19" s="643">
        <f t="shared" si="8"/>
        <v>3115.8</v>
      </c>
      <c r="U19" s="806"/>
      <c r="V19" s="802"/>
      <c r="W19" s="803"/>
      <c r="X19" s="804"/>
      <c r="Y19" s="805"/>
    </row>
    <row r="20" spans="2:25" ht="15" customHeight="1" x14ac:dyDescent="0.25">
      <c r="B20" s="638" t="s">
        <v>71</v>
      </c>
      <c r="C20" s="639" t="str">
        <f>IFERROR(_xlfn.XLOOKUP($G20,COM_Cadastro!#REF!,COM_Cadastro!#REF!),"")</f>
        <v/>
      </c>
      <c r="D20" s="640" t="s">
        <v>733</v>
      </c>
      <c r="E20" s="641" t="s">
        <v>377</v>
      </c>
      <c r="F20" s="640" t="s">
        <v>371</v>
      </c>
      <c r="G20" s="638" t="s">
        <v>798</v>
      </c>
      <c r="H20" s="642">
        <v>1780</v>
      </c>
      <c r="I20" s="642"/>
      <c r="J20" s="642">
        <v>162</v>
      </c>
      <c r="K20" s="642">
        <v>270</v>
      </c>
      <c r="L20" s="643">
        <f t="shared" si="0"/>
        <v>2212</v>
      </c>
      <c r="M20" s="644">
        <f t="shared" si="1"/>
        <v>142.4</v>
      </c>
      <c r="N20" s="643">
        <f t="shared" si="2"/>
        <v>148.33333333333334</v>
      </c>
      <c r="O20" s="643">
        <f t="shared" si="3"/>
        <v>49.44444444444445</v>
      </c>
      <c r="P20" s="643">
        <f t="shared" si="4"/>
        <v>15.822222222222225</v>
      </c>
      <c r="Q20" s="455">
        <f t="shared" si="5"/>
        <v>148.33333333333334</v>
      </c>
      <c r="R20" s="455">
        <f t="shared" si="6"/>
        <v>11.866666666666667</v>
      </c>
      <c r="S20" s="643">
        <f t="shared" si="7"/>
        <v>373.80000000000007</v>
      </c>
      <c r="T20" s="643">
        <f t="shared" si="8"/>
        <v>2728.2000000000003</v>
      </c>
      <c r="U20" s="806"/>
      <c r="V20" s="802"/>
      <c r="W20" s="803"/>
      <c r="X20" s="804"/>
      <c r="Y20" s="805"/>
    </row>
    <row r="21" spans="2:25" ht="15" customHeight="1" x14ac:dyDescent="0.25">
      <c r="B21" s="638" t="s">
        <v>71</v>
      </c>
      <c r="C21" s="639" t="str">
        <f>IFERROR(_xlfn.XLOOKUP($G21,COM_Cadastro!#REF!,COM_Cadastro!#REF!),"")</f>
        <v/>
      </c>
      <c r="D21" s="640" t="s">
        <v>733</v>
      </c>
      <c r="E21" s="641" t="s">
        <v>796</v>
      </c>
      <c r="F21" s="640" t="s">
        <v>371</v>
      </c>
      <c r="G21" s="638" t="s">
        <v>678</v>
      </c>
      <c r="H21" s="642">
        <v>1780</v>
      </c>
      <c r="I21" s="642"/>
      <c r="J21" s="642">
        <v>108</v>
      </c>
      <c r="K21" s="642">
        <v>135</v>
      </c>
      <c r="L21" s="643">
        <f t="shared" si="0"/>
        <v>2023</v>
      </c>
      <c r="M21" s="644">
        <f t="shared" si="1"/>
        <v>142.4</v>
      </c>
      <c r="N21" s="643">
        <f t="shared" si="2"/>
        <v>148.33333333333334</v>
      </c>
      <c r="O21" s="643">
        <f t="shared" si="3"/>
        <v>49.44444444444445</v>
      </c>
      <c r="P21" s="643">
        <f t="shared" si="4"/>
        <v>15.822222222222225</v>
      </c>
      <c r="Q21" s="455">
        <f t="shared" si="5"/>
        <v>148.33333333333334</v>
      </c>
      <c r="R21" s="455">
        <f t="shared" si="6"/>
        <v>11.866666666666667</v>
      </c>
      <c r="S21" s="643">
        <f t="shared" si="7"/>
        <v>373.80000000000007</v>
      </c>
      <c r="T21" s="643">
        <f t="shared" si="8"/>
        <v>2539.2000000000003</v>
      </c>
      <c r="U21" s="806"/>
      <c r="V21" s="802"/>
      <c r="W21" s="803"/>
      <c r="X21" s="804"/>
      <c r="Y21" s="805"/>
    </row>
    <row r="22" spans="2:25" ht="15" customHeight="1" x14ac:dyDescent="0.25">
      <c r="B22" s="638" t="s">
        <v>71</v>
      </c>
      <c r="C22" s="639" t="str">
        <f>IFERROR(_xlfn.XLOOKUP($G22,COM_Cadastro!#REF!,COM_Cadastro!#REF!),"")</f>
        <v/>
      </c>
      <c r="D22" s="640" t="s">
        <v>733</v>
      </c>
      <c r="E22" s="641" t="s">
        <v>796</v>
      </c>
      <c r="F22" s="640" t="s">
        <v>371</v>
      </c>
      <c r="G22" s="638" t="s">
        <v>646</v>
      </c>
      <c r="H22" s="642">
        <v>1780</v>
      </c>
      <c r="I22" s="642"/>
      <c r="J22" s="642">
        <v>504</v>
      </c>
      <c r="K22" s="642">
        <v>540</v>
      </c>
      <c r="L22" s="643">
        <f t="shared" si="0"/>
        <v>2824</v>
      </c>
      <c r="M22" s="644">
        <f t="shared" si="1"/>
        <v>142.4</v>
      </c>
      <c r="N22" s="643">
        <f t="shared" si="2"/>
        <v>148.33333333333334</v>
      </c>
      <c r="O22" s="643">
        <f t="shared" si="3"/>
        <v>49.44444444444445</v>
      </c>
      <c r="P22" s="643">
        <f t="shared" si="4"/>
        <v>15.822222222222225</v>
      </c>
      <c r="Q22" s="455">
        <f t="shared" si="5"/>
        <v>148.33333333333334</v>
      </c>
      <c r="R22" s="455">
        <f t="shared" si="6"/>
        <v>11.866666666666667</v>
      </c>
      <c r="S22" s="643">
        <f t="shared" si="7"/>
        <v>373.80000000000007</v>
      </c>
      <c r="T22" s="643">
        <f t="shared" si="8"/>
        <v>3340.2000000000003</v>
      </c>
      <c r="U22" s="806"/>
      <c r="V22" s="802"/>
      <c r="W22" s="803"/>
      <c r="X22" s="804"/>
      <c r="Y22" s="805"/>
    </row>
    <row r="23" spans="2:25" ht="15" customHeight="1" x14ac:dyDescent="0.25">
      <c r="B23" s="638" t="s">
        <v>71</v>
      </c>
      <c r="C23" s="639" t="str">
        <f>IFERROR(_xlfn.XLOOKUP($G23,COM_Cadastro!#REF!,COM_Cadastro!#REF!),"")</f>
        <v/>
      </c>
      <c r="D23" s="640" t="s">
        <v>733</v>
      </c>
      <c r="E23" s="641" t="s">
        <v>796</v>
      </c>
      <c r="F23" s="640" t="s">
        <v>371</v>
      </c>
      <c r="G23" s="638" t="s">
        <v>648</v>
      </c>
      <c r="H23" s="642">
        <v>1780</v>
      </c>
      <c r="I23" s="642"/>
      <c r="J23" s="642">
        <v>0</v>
      </c>
      <c r="K23" s="642">
        <v>540</v>
      </c>
      <c r="L23" s="643">
        <f t="shared" si="0"/>
        <v>2320</v>
      </c>
      <c r="M23" s="644">
        <f t="shared" si="1"/>
        <v>142.4</v>
      </c>
      <c r="N23" s="643">
        <f t="shared" si="2"/>
        <v>148.33333333333334</v>
      </c>
      <c r="O23" s="643">
        <f t="shared" si="3"/>
        <v>49.44444444444445</v>
      </c>
      <c r="P23" s="643">
        <f t="shared" si="4"/>
        <v>15.822222222222225</v>
      </c>
      <c r="Q23" s="455">
        <f t="shared" si="5"/>
        <v>148.33333333333334</v>
      </c>
      <c r="R23" s="455">
        <f t="shared" si="6"/>
        <v>11.866666666666667</v>
      </c>
      <c r="S23" s="643">
        <f t="shared" si="7"/>
        <v>373.80000000000007</v>
      </c>
      <c r="T23" s="643">
        <f t="shared" si="8"/>
        <v>2836.2000000000003</v>
      </c>
      <c r="U23" s="806"/>
      <c r="V23" s="802"/>
      <c r="W23" s="803"/>
      <c r="X23" s="804"/>
      <c r="Y23" s="805"/>
    </row>
    <row r="24" spans="2:25" ht="15" customHeight="1" x14ac:dyDescent="0.25">
      <c r="B24" s="638" t="s">
        <v>71</v>
      </c>
      <c r="C24" s="639" t="str">
        <f>IFERROR(_xlfn.XLOOKUP($G24,COM_Cadastro!#REF!,COM_Cadastro!#REF!),"")</f>
        <v/>
      </c>
      <c r="D24" s="640" t="s">
        <v>733</v>
      </c>
      <c r="E24" s="641" t="s">
        <v>377</v>
      </c>
      <c r="F24" s="640" t="s">
        <v>371</v>
      </c>
      <c r="G24" s="638" t="s">
        <v>509</v>
      </c>
      <c r="H24" s="642">
        <v>1780</v>
      </c>
      <c r="I24" s="642"/>
      <c r="J24" s="642">
        <v>390</v>
      </c>
      <c r="K24" s="642">
        <v>540</v>
      </c>
      <c r="L24" s="643">
        <f t="shared" si="0"/>
        <v>2710</v>
      </c>
      <c r="M24" s="644">
        <f t="shared" si="1"/>
        <v>142.4</v>
      </c>
      <c r="N24" s="643">
        <f t="shared" si="2"/>
        <v>148.33333333333334</v>
      </c>
      <c r="O24" s="643">
        <f t="shared" si="3"/>
        <v>49.44444444444445</v>
      </c>
      <c r="P24" s="643">
        <f t="shared" si="4"/>
        <v>15.822222222222225</v>
      </c>
      <c r="Q24" s="455">
        <f t="shared" si="5"/>
        <v>148.33333333333334</v>
      </c>
      <c r="R24" s="455">
        <f t="shared" si="6"/>
        <v>11.866666666666667</v>
      </c>
      <c r="S24" s="643">
        <f t="shared" si="7"/>
        <v>373.80000000000007</v>
      </c>
      <c r="T24" s="643">
        <f t="shared" si="8"/>
        <v>3226.2000000000003</v>
      </c>
      <c r="U24" s="806"/>
      <c r="V24" s="802"/>
      <c r="W24" s="803"/>
      <c r="X24" s="804"/>
      <c r="Y24" s="805"/>
    </row>
    <row r="25" spans="2:25" ht="15" customHeight="1" x14ac:dyDescent="0.25">
      <c r="B25" s="638" t="s">
        <v>71</v>
      </c>
      <c r="C25" s="639" t="str">
        <f>IFERROR(_xlfn.XLOOKUP($G25,COM_Cadastro!#REF!,COM_Cadastro!#REF!),"")</f>
        <v/>
      </c>
      <c r="D25" s="640" t="s">
        <v>733</v>
      </c>
      <c r="E25" s="641" t="s">
        <v>377</v>
      </c>
      <c r="F25" s="640" t="s">
        <v>371</v>
      </c>
      <c r="G25" s="638" t="s">
        <v>650</v>
      </c>
      <c r="H25" s="642">
        <v>1622</v>
      </c>
      <c r="I25" s="642"/>
      <c r="J25" s="642">
        <v>264</v>
      </c>
      <c r="K25" s="642">
        <v>540</v>
      </c>
      <c r="L25" s="643">
        <f t="shared" si="0"/>
        <v>2426</v>
      </c>
      <c r="M25" s="644">
        <f t="shared" si="1"/>
        <v>129.76</v>
      </c>
      <c r="N25" s="643">
        <f t="shared" si="2"/>
        <v>135.16666666666666</v>
      </c>
      <c r="O25" s="643">
        <f t="shared" si="3"/>
        <v>45.05555555555555</v>
      </c>
      <c r="P25" s="643">
        <f t="shared" si="4"/>
        <v>14.417777777777776</v>
      </c>
      <c r="Q25" s="455">
        <f t="shared" si="5"/>
        <v>135.16666666666666</v>
      </c>
      <c r="R25" s="455">
        <f t="shared" si="6"/>
        <v>10.813333333333333</v>
      </c>
      <c r="S25" s="643">
        <f t="shared" si="7"/>
        <v>340.61999999999995</v>
      </c>
      <c r="T25" s="643">
        <f t="shared" si="8"/>
        <v>2896.38</v>
      </c>
      <c r="U25" s="806"/>
      <c r="V25" s="802"/>
      <c r="W25" s="803"/>
      <c r="X25" s="804"/>
      <c r="Y25" s="805"/>
    </row>
    <row r="26" spans="2:25" ht="15" customHeight="1" x14ac:dyDescent="0.25">
      <c r="B26" s="638" t="s">
        <v>71</v>
      </c>
      <c r="C26" s="639" t="str">
        <f>IFERROR(_xlfn.XLOOKUP($G26,COM_Cadastro!#REF!,COM_Cadastro!#REF!),"")</f>
        <v/>
      </c>
      <c r="D26" s="640" t="s">
        <v>733</v>
      </c>
      <c r="E26" s="641" t="s">
        <v>796</v>
      </c>
      <c r="F26" s="640" t="s">
        <v>371</v>
      </c>
      <c r="G26" s="638" t="s">
        <v>799</v>
      </c>
      <c r="H26" s="642">
        <v>1780</v>
      </c>
      <c r="I26" s="642"/>
      <c r="J26" s="642">
        <v>499.2</v>
      </c>
      <c r="K26" s="642">
        <v>540</v>
      </c>
      <c r="L26" s="643">
        <f t="shared" si="0"/>
        <v>2819.2</v>
      </c>
      <c r="M26" s="644">
        <f t="shared" si="1"/>
        <v>142.4</v>
      </c>
      <c r="N26" s="643">
        <f t="shared" si="2"/>
        <v>148.33333333333334</v>
      </c>
      <c r="O26" s="643">
        <f t="shared" si="3"/>
        <v>49.44444444444445</v>
      </c>
      <c r="P26" s="643">
        <f t="shared" si="4"/>
        <v>15.822222222222225</v>
      </c>
      <c r="Q26" s="455">
        <f t="shared" si="5"/>
        <v>148.33333333333334</v>
      </c>
      <c r="R26" s="455">
        <f t="shared" si="6"/>
        <v>11.866666666666667</v>
      </c>
      <c r="S26" s="643">
        <f t="shared" si="7"/>
        <v>373.80000000000007</v>
      </c>
      <c r="T26" s="643">
        <f t="shared" si="8"/>
        <v>3335.4</v>
      </c>
      <c r="U26" s="806"/>
      <c r="V26" s="802"/>
      <c r="W26" s="803"/>
      <c r="X26" s="804"/>
      <c r="Y26" s="805"/>
    </row>
    <row r="27" spans="2:25" ht="15" customHeight="1" x14ac:dyDescent="0.25">
      <c r="B27" s="638" t="s">
        <v>71</v>
      </c>
      <c r="C27" s="639" t="str">
        <f>IFERROR(_xlfn.XLOOKUP($G27,COM_Cadastro!#REF!,COM_Cadastro!#REF!),"")</f>
        <v/>
      </c>
      <c r="D27" s="640" t="s">
        <v>733</v>
      </c>
      <c r="E27" s="641" t="s">
        <v>796</v>
      </c>
      <c r="F27" s="640" t="s">
        <v>371</v>
      </c>
      <c r="G27" s="638" t="s">
        <v>686</v>
      </c>
      <c r="H27" s="642">
        <v>1780</v>
      </c>
      <c r="I27" s="642"/>
      <c r="J27" s="642">
        <v>300</v>
      </c>
      <c r="K27" s="642">
        <v>270</v>
      </c>
      <c r="L27" s="643">
        <f t="shared" si="0"/>
        <v>2350</v>
      </c>
      <c r="M27" s="644">
        <f t="shared" si="1"/>
        <v>142.4</v>
      </c>
      <c r="N27" s="643">
        <f t="shared" si="2"/>
        <v>148.33333333333334</v>
      </c>
      <c r="O27" s="643">
        <f t="shared" si="3"/>
        <v>49.44444444444445</v>
      </c>
      <c r="P27" s="643">
        <f t="shared" si="4"/>
        <v>15.822222222222225</v>
      </c>
      <c r="Q27" s="455">
        <f t="shared" si="5"/>
        <v>148.33333333333334</v>
      </c>
      <c r="R27" s="455">
        <f t="shared" si="6"/>
        <v>11.866666666666667</v>
      </c>
      <c r="S27" s="643">
        <f t="shared" si="7"/>
        <v>373.80000000000007</v>
      </c>
      <c r="T27" s="643">
        <f t="shared" si="8"/>
        <v>2866.2000000000003</v>
      </c>
      <c r="U27" s="806"/>
      <c r="V27" s="802"/>
      <c r="W27" s="803"/>
      <c r="X27" s="804"/>
      <c r="Y27" s="805"/>
    </row>
    <row r="28" spans="2:25" ht="15" customHeight="1" x14ac:dyDescent="0.25">
      <c r="B28" s="638" t="s">
        <v>71</v>
      </c>
      <c r="C28" s="639" t="str">
        <f>IFERROR(_xlfn.XLOOKUP($G28,COM_Cadastro!#REF!,COM_Cadastro!#REF!),"")</f>
        <v/>
      </c>
      <c r="D28" s="640" t="s">
        <v>733</v>
      </c>
      <c r="E28" s="641" t="s">
        <v>800</v>
      </c>
      <c r="F28" s="640" t="s">
        <v>371</v>
      </c>
      <c r="G28" s="638" t="s">
        <v>569</v>
      </c>
      <c r="H28" s="642">
        <v>4000</v>
      </c>
      <c r="I28" s="642"/>
      <c r="J28" s="642">
        <v>0</v>
      </c>
      <c r="K28" s="642">
        <v>540</v>
      </c>
      <c r="L28" s="643">
        <f t="shared" si="0"/>
        <v>4540</v>
      </c>
      <c r="M28" s="644">
        <f t="shared" si="1"/>
        <v>320</v>
      </c>
      <c r="N28" s="643">
        <f t="shared" si="2"/>
        <v>333.33333333333331</v>
      </c>
      <c r="O28" s="643">
        <f t="shared" si="3"/>
        <v>111.1111111111111</v>
      </c>
      <c r="P28" s="643">
        <f t="shared" si="4"/>
        <v>35.55555555555555</v>
      </c>
      <c r="Q28" s="455">
        <f t="shared" si="5"/>
        <v>333.33333333333331</v>
      </c>
      <c r="R28" s="455">
        <f t="shared" si="6"/>
        <v>26.666666666666664</v>
      </c>
      <c r="S28" s="643">
        <f t="shared" si="7"/>
        <v>839.99999999999989</v>
      </c>
      <c r="T28" s="643">
        <f t="shared" si="8"/>
        <v>5700</v>
      </c>
      <c r="U28" s="806"/>
      <c r="V28" s="802"/>
      <c r="W28" s="803"/>
      <c r="X28" s="804"/>
      <c r="Y28" s="805"/>
    </row>
    <row r="29" spans="2:25" ht="15" customHeight="1" x14ac:dyDescent="0.25">
      <c r="B29" s="638" t="s">
        <v>71</v>
      </c>
      <c r="C29" s="639" t="str">
        <f>IFERROR(_xlfn.XLOOKUP($G29,COM_Cadastro!#REF!,COM_Cadastro!#REF!),"")</f>
        <v/>
      </c>
      <c r="D29" s="640" t="s">
        <v>733</v>
      </c>
      <c r="E29" s="641" t="s">
        <v>372</v>
      </c>
      <c r="F29" s="640" t="s">
        <v>371</v>
      </c>
      <c r="G29" s="638" t="s">
        <v>801</v>
      </c>
      <c r="H29" s="642">
        <v>1780</v>
      </c>
      <c r="I29" s="642"/>
      <c r="J29" s="642">
        <v>120</v>
      </c>
      <c r="K29" s="642">
        <v>540</v>
      </c>
      <c r="L29" s="643">
        <f t="shared" si="0"/>
        <v>2440</v>
      </c>
      <c r="M29" s="644">
        <f t="shared" si="1"/>
        <v>142.4</v>
      </c>
      <c r="N29" s="643">
        <f t="shared" si="2"/>
        <v>148.33333333333334</v>
      </c>
      <c r="O29" s="643">
        <f t="shared" si="3"/>
        <v>49.44444444444445</v>
      </c>
      <c r="P29" s="643">
        <f t="shared" si="4"/>
        <v>15.822222222222225</v>
      </c>
      <c r="Q29" s="455">
        <f t="shared" si="5"/>
        <v>148.33333333333334</v>
      </c>
      <c r="R29" s="455">
        <f t="shared" si="6"/>
        <v>11.866666666666667</v>
      </c>
      <c r="S29" s="643">
        <f t="shared" si="7"/>
        <v>373.80000000000007</v>
      </c>
      <c r="T29" s="643">
        <f t="shared" si="8"/>
        <v>2956.2000000000003</v>
      </c>
      <c r="U29" s="806"/>
      <c r="V29" s="802"/>
      <c r="W29" s="803"/>
      <c r="X29" s="804"/>
      <c r="Y29" s="805"/>
    </row>
    <row r="30" spans="2:25" ht="15" customHeight="1" x14ac:dyDescent="0.25">
      <c r="B30" s="638" t="s">
        <v>71</v>
      </c>
      <c r="C30" s="639" t="str">
        <f>IFERROR(_xlfn.XLOOKUP($G30,COM_Cadastro!#REF!,COM_Cadastro!#REF!),"")</f>
        <v/>
      </c>
      <c r="D30" s="640" t="s">
        <v>733</v>
      </c>
      <c r="E30" s="641" t="s">
        <v>377</v>
      </c>
      <c r="F30" s="640" t="s">
        <v>371</v>
      </c>
      <c r="G30" s="638" t="s">
        <v>654</v>
      </c>
      <c r="H30" s="642">
        <v>1622</v>
      </c>
      <c r="I30" s="642">
        <v>360</v>
      </c>
      <c r="J30" s="642">
        <v>856</v>
      </c>
      <c r="K30" s="642">
        <v>540</v>
      </c>
      <c r="L30" s="643">
        <f t="shared" si="0"/>
        <v>3378</v>
      </c>
      <c r="M30" s="644">
        <f t="shared" si="1"/>
        <v>129.76</v>
      </c>
      <c r="N30" s="643">
        <f t="shared" si="2"/>
        <v>135.16666666666666</v>
      </c>
      <c r="O30" s="643">
        <f t="shared" si="3"/>
        <v>45.05555555555555</v>
      </c>
      <c r="P30" s="643">
        <f t="shared" si="4"/>
        <v>14.417777777777776</v>
      </c>
      <c r="Q30" s="455">
        <f t="shared" si="5"/>
        <v>135.16666666666666</v>
      </c>
      <c r="R30" s="455">
        <f t="shared" si="6"/>
        <v>10.813333333333333</v>
      </c>
      <c r="S30" s="643">
        <f t="shared" si="7"/>
        <v>340.61999999999995</v>
      </c>
      <c r="T30" s="643">
        <f t="shared" si="8"/>
        <v>3848.38</v>
      </c>
      <c r="U30" s="806"/>
      <c r="V30" s="802"/>
      <c r="W30" s="803"/>
      <c r="X30" s="804"/>
      <c r="Y30" s="805"/>
    </row>
    <row r="31" spans="2:25" ht="15" customHeight="1" x14ac:dyDescent="0.25">
      <c r="B31" s="638" t="s">
        <v>71</v>
      </c>
      <c r="C31" s="639" t="str">
        <f>IFERROR(_xlfn.XLOOKUP($G31,COM_Cadastro!#REF!,COM_Cadastro!#REF!),"")</f>
        <v/>
      </c>
      <c r="D31" s="640" t="s">
        <v>733</v>
      </c>
      <c r="E31" s="641" t="s">
        <v>372</v>
      </c>
      <c r="F31" s="640" t="s">
        <v>371</v>
      </c>
      <c r="G31" s="638" t="s">
        <v>601</v>
      </c>
      <c r="H31" s="642">
        <v>2620</v>
      </c>
      <c r="I31" s="642"/>
      <c r="J31" s="642">
        <v>250</v>
      </c>
      <c r="K31" s="642">
        <v>540</v>
      </c>
      <c r="L31" s="643">
        <f t="shared" si="0"/>
        <v>3410</v>
      </c>
      <c r="M31" s="644">
        <f t="shared" si="1"/>
        <v>209.6</v>
      </c>
      <c r="N31" s="643">
        <f t="shared" si="2"/>
        <v>218.33333333333334</v>
      </c>
      <c r="O31" s="643">
        <f t="shared" si="3"/>
        <v>72.777777777777786</v>
      </c>
      <c r="P31" s="643">
        <f t="shared" si="4"/>
        <v>23.288888888888891</v>
      </c>
      <c r="Q31" s="455">
        <f t="shared" si="5"/>
        <v>218.33333333333334</v>
      </c>
      <c r="R31" s="455">
        <f t="shared" si="6"/>
        <v>17.466666666666669</v>
      </c>
      <c r="S31" s="643">
        <f t="shared" si="7"/>
        <v>550.20000000000005</v>
      </c>
      <c r="T31" s="643">
        <f t="shared" si="8"/>
        <v>4169.8</v>
      </c>
      <c r="U31" s="806"/>
      <c r="V31" s="802"/>
      <c r="W31" s="803"/>
      <c r="X31" s="804"/>
      <c r="Y31" s="805"/>
    </row>
    <row r="32" spans="2:25" ht="15" customHeight="1" x14ac:dyDescent="0.25">
      <c r="B32" s="638" t="s">
        <v>71</v>
      </c>
      <c r="C32" s="639" t="str">
        <f>IFERROR(_xlfn.XLOOKUP($G32,COM_Cadastro!#REF!,COM_Cadastro!#REF!),"")</f>
        <v/>
      </c>
      <c r="D32" s="640" t="s">
        <v>733</v>
      </c>
      <c r="E32" s="641" t="s">
        <v>377</v>
      </c>
      <c r="F32" s="640" t="s">
        <v>371</v>
      </c>
      <c r="G32" s="638" t="s">
        <v>655</v>
      </c>
      <c r="H32" s="642">
        <v>1780</v>
      </c>
      <c r="I32" s="642"/>
      <c r="J32" s="642">
        <v>441.6</v>
      </c>
      <c r="K32" s="642">
        <v>540</v>
      </c>
      <c r="L32" s="643">
        <f t="shared" si="0"/>
        <v>2761.6</v>
      </c>
      <c r="M32" s="644">
        <f t="shared" si="1"/>
        <v>142.4</v>
      </c>
      <c r="N32" s="643">
        <f t="shared" si="2"/>
        <v>148.33333333333334</v>
      </c>
      <c r="O32" s="643">
        <f t="shared" si="3"/>
        <v>49.44444444444445</v>
      </c>
      <c r="P32" s="643">
        <f t="shared" si="4"/>
        <v>15.822222222222225</v>
      </c>
      <c r="Q32" s="455">
        <f t="shared" si="5"/>
        <v>148.33333333333334</v>
      </c>
      <c r="R32" s="455">
        <f t="shared" si="6"/>
        <v>11.866666666666667</v>
      </c>
      <c r="S32" s="643">
        <f t="shared" si="7"/>
        <v>373.80000000000007</v>
      </c>
      <c r="T32" s="643">
        <f t="shared" si="8"/>
        <v>3277.8</v>
      </c>
      <c r="U32" s="806"/>
      <c r="V32" s="802"/>
      <c r="W32" s="803"/>
      <c r="X32" s="804"/>
      <c r="Y32" s="805"/>
    </row>
    <row r="33" spans="2:25" ht="15" customHeight="1" x14ac:dyDescent="0.25">
      <c r="B33" s="638" t="s">
        <v>71</v>
      </c>
      <c r="C33" s="639" t="str">
        <f>IFERROR(_xlfn.XLOOKUP($G33,COM_Cadastro!#REF!,COM_Cadastro!#REF!),"")</f>
        <v/>
      </c>
      <c r="D33" s="640" t="s">
        <v>733</v>
      </c>
      <c r="E33" s="641" t="s">
        <v>377</v>
      </c>
      <c r="F33" s="640" t="s">
        <v>371</v>
      </c>
      <c r="G33" s="638" t="s">
        <v>611</v>
      </c>
      <c r="H33" s="642">
        <v>1900</v>
      </c>
      <c r="I33" s="642"/>
      <c r="J33" s="642">
        <v>387.6</v>
      </c>
      <c r="K33" s="642">
        <v>540</v>
      </c>
      <c r="L33" s="643">
        <f t="shared" si="0"/>
        <v>2827.6</v>
      </c>
      <c r="M33" s="644">
        <f t="shared" si="1"/>
        <v>152</v>
      </c>
      <c r="N33" s="643">
        <f t="shared" si="2"/>
        <v>158.33333333333334</v>
      </c>
      <c r="O33" s="643">
        <f t="shared" si="3"/>
        <v>52.777777777777779</v>
      </c>
      <c r="P33" s="643">
        <f t="shared" si="4"/>
        <v>16.888888888888889</v>
      </c>
      <c r="Q33" s="455">
        <f t="shared" si="5"/>
        <v>158.33333333333334</v>
      </c>
      <c r="R33" s="455">
        <f t="shared" si="6"/>
        <v>12.666666666666668</v>
      </c>
      <c r="S33" s="643">
        <f t="shared" si="7"/>
        <v>399.00000000000006</v>
      </c>
      <c r="T33" s="643">
        <f t="shared" si="8"/>
        <v>3378.6</v>
      </c>
      <c r="U33" s="806"/>
      <c r="V33" s="802"/>
      <c r="W33" s="803"/>
      <c r="X33" s="804"/>
      <c r="Y33" s="805"/>
    </row>
    <row r="34" spans="2:25" ht="15" customHeight="1" x14ac:dyDescent="0.25">
      <c r="B34" s="638" t="s">
        <v>71</v>
      </c>
      <c r="C34" s="639" t="str">
        <f>IFERROR(_xlfn.XLOOKUP($G34,COM_Cadastro!#REF!,COM_Cadastro!#REF!),"")</f>
        <v/>
      </c>
      <c r="D34" s="640" t="s">
        <v>733</v>
      </c>
      <c r="E34" s="641" t="s">
        <v>377</v>
      </c>
      <c r="F34" s="640" t="s">
        <v>376</v>
      </c>
      <c r="G34" s="638" t="s">
        <v>375</v>
      </c>
      <c r="H34" s="642">
        <v>1622</v>
      </c>
      <c r="I34" s="642">
        <v>552</v>
      </c>
      <c r="J34" s="642">
        <v>164</v>
      </c>
      <c r="K34" s="642">
        <v>517.5</v>
      </c>
      <c r="L34" s="643">
        <f t="shared" si="0"/>
        <v>2855.5</v>
      </c>
      <c r="M34" s="644">
        <f t="shared" si="1"/>
        <v>129.76</v>
      </c>
      <c r="N34" s="643">
        <f t="shared" si="2"/>
        <v>135.16666666666666</v>
      </c>
      <c r="O34" s="643">
        <f t="shared" si="3"/>
        <v>45.05555555555555</v>
      </c>
      <c r="P34" s="643">
        <f t="shared" si="4"/>
        <v>14.417777777777776</v>
      </c>
      <c r="Q34" s="455">
        <f t="shared" si="5"/>
        <v>135.16666666666666</v>
      </c>
      <c r="R34" s="455">
        <f t="shared" si="6"/>
        <v>10.813333333333333</v>
      </c>
      <c r="S34" s="643">
        <f t="shared" si="7"/>
        <v>340.61999999999995</v>
      </c>
      <c r="T34" s="643">
        <f t="shared" si="8"/>
        <v>3325.88</v>
      </c>
      <c r="U34" s="806"/>
      <c r="V34" s="802"/>
      <c r="W34" s="803"/>
      <c r="X34" s="804"/>
      <c r="Y34" s="805"/>
    </row>
    <row r="35" spans="2:25" ht="15" customHeight="1" x14ac:dyDescent="0.25">
      <c r="B35" s="638" t="s">
        <v>71</v>
      </c>
      <c r="C35" s="639" t="str">
        <f>IFERROR(_xlfn.XLOOKUP($G35,COM_Cadastro!#REF!,COM_Cadastro!#REF!),"")</f>
        <v/>
      </c>
      <c r="D35" s="640" t="s">
        <v>733</v>
      </c>
      <c r="E35" s="641" t="s">
        <v>377</v>
      </c>
      <c r="F35" s="640" t="s">
        <v>376</v>
      </c>
      <c r="G35" s="638" t="s">
        <v>619</v>
      </c>
      <c r="H35" s="642">
        <v>1622</v>
      </c>
      <c r="I35" s="642"/>
      <c r="J35" s="642">
        <v>693.6</v>
      </c>
      <c r="K35" s="642">
        <v>540</v>
      </c>
      <c r="L35" s="643">
        <f t="shared" si="0"/>
        <v>2855.6</v>
      </c>
      <c r="M35" s="644">
        <f t="shared" ref="M35:M68" si="9">H35*8%</f>
        <v>129.76</v>
      </c>
      <c r="N35" s="643">
        <f t="shared" ref="N35:N68" si="10">H35/12</f>
        <v>135.16666666666666</v>
      </c>
      <c r="O35" s="643">
        <f t="shared" ref="O35:O66" si="11">N35/3</f>
        <v>45.05555555555555</v>
      </c>
      <c r="P35" s="643">
        <f t="shared" ref="P35:P66" si="12">(N35+O35)*8%</f>
        <v>14.417777777777776</v>
      </c>
      <c r="Q35" s="455">
        <f t="shared" ref="Q35:Q68" si="13">H35/12</f>
        <v>135.16666666666666</v>
      </c>
      <c r="R35" s="455">
        <f t="shared" ref="R35:R66" si="14">Q35*8%</f>
        <v>10.813333333333333</v>
      </c>
      <c r="S35" s="643">
        <f t="shared" ref="S35:S66" si="15">SUM(N35:R35)</f>
        <v>340.61999999999995</v>
      </c>
      <c r="T35" s="643">
        <f t="shared" si="8"/>
        <v>3325.9799999999996</v>
      </c>
      <c r="U35" s="806"/>
      <c r="V35" s="802"/>
      <c r="W35" s="803"/>
      <c r="X35" s="804"/>
      <c r="Y35" s="805"/>
    </row>
    <row r="36" spans="2:25" ht="15" customHeight="1" x14ac:dyDescent="0.25">
      <c r="B36" s="638" t="s">
        <v>71</v>
      </c>
      <c r="C36" s="639" t="str">
        <f>IFERROR(_xlfn.XLOOKUP($G36,COM_Cadastro!#REF!,COM_Cadastro!#REF!),"")</f>
        <v/>
      </c>
      <c r="D36" s="640" t="s">
        <v>733</v>
      </c>
      <c r="E36" s="641" t="s">
        <v>377</v>
      </c>
      <c r="F36" s="640" t="s">
        <v>376</v>
      </c>
      <c r="G36" s="638" t="s">
        <v>386</v>
      </c>
      <c r="H36" s="642">
        <v>1622</v>
      </c>
      <c r="I36" s="642">
        <v>624</v>
      </c>
      <c r="J36" s="642">
        <v>528</v>
      </c>
      <c r="K36" s="642">
        <v>517.5</v>
      </c>
      <c r="L36" s="643">
        <f t="shared" si="0"/>
        <v>3291.5</v>
      </c>
      <c r="M36" s="644">
        <f t="shared" si="9"/>
        <v>129.76</v>
      </c>
      <c r="N36" s="643">
        <f t="shared" si="10"/>
        <v>135.16666666666666</v>
      </c>
      <c r="O36" s="643">
        <f t="shared" si="11"/>
        <v>45.05555555555555</v>
      </c>
      <c r="P36" s="643">
        <f t="shared" si="12"/>
        <v>14.417777777777776</v>
      </c>
      <c r="Q36" s="455">
        <f t="shared" si="13"/>
        <v>135.16666666666666</v>
      </c>
      <c r="R36" s="455">
        <f t="shared" si="14"/>
        <v>10.813333333333333</v>
      </c>
      <c r="S36" s="643">
        <f t="shared" si="15"/>
        <v>340.61999999999995</v>
      </c>
      <c r="T36" s="643">
        <f t="shared" si="8"/>
        <v>3761.88</v>
      </c>
      <c r="U36" s="806"/>
      <c r="V36" s="802"/>
      <c r="W36" s="803"/>
      <c r="X36" s="804"/>
      <c r="Y36" s="805"/>
    </row>
    <row r="37" spans="2:25" ht="15" customHeight="1" x14ac:dyDescent="0.25">
      <c r="B37" s="638" t="s">
        <v>71</v>
      </c>
      <c r="C37" s="639" t="str">
        <f>IFERROR(_xlfn.XLOOKUP($G37,COM_Cadastro!#REF!,COM_Cadastro!#REF!),"")</f>
        <v/>
      </c>
      <c r="D37" s="640" t="s">
        <v>733</v>
      </c>
      <c r="E37" s="641" t="s">
        <v>372</v>
      </c>
      <c r="F37" s="640" t="s">
        <v>376</v>
      </c>
      <c r="G37" s="638" t="s">
        <v>395</v>
      </c>
      <c r="H37" s="642">
        <v>2620</v>
      </c>
      <c r="I37" s="642"/>
      <c r="J37" s="642">
        <v>600</v>
      </c>
      <c r="K37" s="642">
        <v>540</v>
      </c>
      <c r="L37" s="643">
        <f t="shared" si="0"/>
        <v>3760</v>
      </c>
      <c r="M37" s="644">
        <f t="shared" si="9"/>
        <v>209.6</v>
      </c>
      <c r="N37" s="643">
        <f t="shared" si="10"/>
        <v>218.33333333333334</v>
      </c>
      <c r="O37" s="643">
        <f t="shared" si="11"/>
        <v>72.777777777777786</v>
      </c>
      <c r="P37" s="643">
        <f t="shared" si="12"/>
        <v>23.288888888888891</v>
      </c>
      <c r="Q37" s="455">
        <f t="shared" si="13"/>
        <v>218.33333333333334</v>
      </c>
      <c r="R37" s="455">
        <f t="shared" si="14"/>
        <v>17.466666666666669</v>
      </c>
      <c r="S37" s="643">
        <f t="shared" si="15"/>
        <v>550.20000000000005</v>
      </c>
      <c r="T37" s="643">
        <f t="shared" si="8"/>
        <v>4519.8</v>
      </c>
      <c r="U37" s="806"/>
      <c r="V37" s="802"/>
      <c r="W37" s="803"/>
      <c r="X37" s="804"/>
      <c r="Y37" s="805"/>
    </row>
    <row r="38" spans="2:25" ht="15" customHeight="1" x14ac:dyDescent="0.25">
      <c r="B38" s="638" t="s">
        <v>71</v>
      </c>
      <c r="C38" s="639" t="str">
        <f>IFERROR(_xlfn.XLOOKUP($G38,COM_Cadastro!#REF!,COM_Cadastro!#REF!),"")</f>
        <v/>
      </c>
      <c r="D38" s="640" t="s">
        <v>733</v>
      </c>
      <c r="E38" s="641" t="s">
        <v>377</v>
      </c>
      <c r="F38" s="640" t="s">
        <v>376</v>
      </c>
      <c r="G38" s="638" t="s">
        <v>400</v>
      </c>
      <c r="H38" s="642">
        <v>1622</v>
      </c>
      <c r="I38" s="642">
        <v>2160</v>
      </c>
      <c r="J38" s="642">
        <v>360</v>
      </c>
      <c r="K38" s="642">
        <v>540</v>
      </c>
      <c r="L38" s="643">
        <f t="shared" si="0"/>
        <v>4682</v>
      </c>
      <c r="M38" s="644">
        <f t="shared" si="9"/>
        <v>129.76</v>
      </c>
      <c r="N38" s="643">
        <f t="shared" si="10"/>
        <v>135.16666666666666</v>
      </c>
      <c r="O38" s="643">
        <f t="shared" si="11"/>
        <v>45.05555555555555</v>
      </c>
      <c r="P38" s="643">
        <f t="shared" si="12"/>
        <v>14.417777777777776</v>
      </c>
      <c r="Q38" s="455">
        <f t="shared" si="13"/>
        <v>135.16666666666666</v>
      </c>
      <c r="R38" s="455">
        <f t="shared" si="14"/>
        <v>10.813333333333333</v>
      </c>
      <c r="S38" s="643">
        <f t="shared" si="15"/>
        <v>340.61999999999995</v>
      </c>
      <c r="T38" s="643">
        <f t="shared" si="8"/>
        <v>5152.38</v>
      </c>
      <c r="U38" s="806"/>
      <c r="V38" s="802"/>
      <c r="W38" s="803"/>
      <c r="X38" s="804"/>
      <c r="Y38" s="805"/>
    </row>
    <row r="39" spans="2:25" ht="15" customHeight="1" x14ac:dyDescent="0.25">
      <c r="B39" s="638" t="s">
        <v>71</v>
      </c>
      <c r="C39" s="639" t="str">
        <f>IFERROR(_xlfn.XLOOKUP($G39,COM_Cadastro!#REF!,COM_Cadastro!#REF!),"")</f>
        <v/>
      </c>
      <c r="D39" s="640" t="s">
        <v>733</v>
      </c>
      <c r="E39" s="641" t="s">
        <v>377</v>
      </c>
      <c r="F39" s="640" t="s">
        <v>376</v>
      </c>
      <c r="G39" s="638" t="s">
        <v>402</v>
      </c>
      <c r="H39" s="642">
        <v>1622</v>
      </c>
      <c r="I39" s="642">
        <v>456</v>
      </c>
      <c r="J39" s="642">
        <v>528</v>
      </c>
      <c r="K39" s="642">
        <v>517.5</v>
      </c>
      <c r="L39" s="643">
        <f t="shared" si="0"/>
        <v>3123.5</v>
      </c>
      <c r="M39" s="644">
        <f t="shared" si="9"/>
        <v>129.76</v>
      </c>
      <c r="N39" s="643">
        <f t="shared" si="10"/>
        <v>135.16666666666666</v>
      </c>
      <c r="O39" s="643">
        <f t="shared" si="11"/>
        <v>45.05555555555555</v>
      </c>
      <c r="P39" s="643">
        <f t="shared" si="12"/>
        <v>14.417777777777776</v>
      </c>
      <c r="Q39" s="455">
        <f t="shared" si="13"/>
        <v>135.16666666666666</v>
      </c>
      <c r="R39" s="455">
        <f t="shared" si="14"/>
        <v>10.813333333333333</v>
      </c>
      <c r="S39" s="643">
        <f t="shared" si="15"/>
        <v>340.61999999999995</v>
      </c>
      <c r="T39" s="643">
        <f t="shared" si="8"/>
        <v>3593.88</v>
      </c>
      <c r="U39" s="806"/>
      <c r="V39" s="802"/>
      <c r="W39" s="803"/>
      <c r="X39" s="804"/>
      <c r="Y39" s="805"/>
    </row>
    <row r="40" spans="2:25" ht="15" customHeight="1" x14ac:dyDescent="0.25">
      <c r="B40" s="638" t="s">
        <v>71</v>
      </c>
      <c r="C40" s="639" t="str">
        <f>IFERROR(_xlfn.XLOOKUP($G40,COM_Cadastro!#REF!,COM_Cadastro!#REF!),"")</f>
        <v/>
      </c>
      <c r="D40" s="640" t="s">
        <v>733</v>
      </c>
      <c r="E40" s="641" t="s">
        <v>377</v>
      </c>
      <c r="F40" s="640" t="s">
        <v>376</v>
      </c>
      <c r="G40" s="638" t="s">
        <v>623</v>
      </c>
      <c r="H40" s="642">
        <v>1622</v>
      </c>
      <c r="I40" s="642">
        <v>620</v>
      </c>
      <c r="J40" s="642">
        <v>528</v>
      </c>
      <c r="K40" s="642">
        <v>540</v>
      </c>
      <c r="L40" s="643">
        <f t="shared" si="0"/>
        <v>3310</v>
      </c>
      <c r="M40" s="644">
        <f t="shared" si="9"/>
        <v>129.76</v>
      </c>
      <c r="N40" s="643">
        <f t="shared" si="10"/>
        <v>135.16666666666666</v>
      </c>
      <c r="O40" s="643">
        <f t="shared" si="11"/>
        <v>45.05555555555555</v>
      </c>
      <c r="P40" s="643">
        <f t="shared" si="12"/>
        <v>14.417777777777776</v>
      </c>
      <c r="Q40" s="455">
        <f t="shared" si="13"/>
        <v>135.16666666666666</v>
      </c>
      <c r="R40" s="455">
        <f t="shared" si="14"/>
        <v>10.813333333333333</v>
      </c>
      <c r="S40" s="643">
        <f t="shared" si="15"/>
        <v>340.61999999999995</v>
      </c>
      <c r="T40" s="643">
        <f t="shared" si="8"/>
        <v>3780.38</v>
      </c>
      <c r="U40" s="806"/>
      <c r="V40" s="802"/>
      <c r="W40" s="803"/>
      <c r="X40" s="804"/>
      <c r="Y40" s="805"/>
    </row>
    <row r="41" spans="2:25" ht="15" customHeight="1" x14ac:dyDescent="0.25">
      <c r="B41" s="638" t="s">
        <v>71</v>
      </c>
      <c r="C41" s="639" t="str">
        <f>IFERROR(_xlfn.XLOOKUP($G41,COM_Cadastro!#REF!,COM_Cadastro!#REF!),"")</f>
        <v/>
      </c>
      <c r="D41" s="640" t="s">
        <v>733</v>
      </c>
      <c r="E41" s="641" t="s">
        <v>377</v>
      </c>
      <c r="F41" s="640" t="s">
        <v>376</v>
      </c>
      <c r="G41" s="638" t="s">
        <v>408</v>
      </c>
      <c r="H41" s="642">
        <v>1622</v>
      </c>
      <c r="I41" s="642">
        <v>442</v>
      </c>
      <c r="J41" s="642">
        <v>622.20000000000005</v>
      </c>
      <c r="K41" s="642">
        <v>540</v>
      </c>
      <c r="L41" s="643">
        <f t="shared" si="0"/>
        <v>3226.2</v>
      </c>
      <c r="M41" s="644">
        <f t="shared" si="9"/>
        <v>129.76</v>
      </c>
      <c r="N41" s="643">
        <f t="shared" si="10"/>
        <v>135.16666666666666</v>
      </c>
      <c r="O41" s="643">
        <f t="shared" si="11"/>
        <v>45.05555555555555</v>
      </c>
      <c r="P41" s="643">
        <f t="shared" si="12"/>
        <v>14.417777777777776</v>
      </c>
      <c r="Q41" s="455">
        <f t="shared" si="13"/>
        <v>135.16666666666666</v>
      </c>
      <c r="R41" s="455">
        <f t="shared" si="14"/>
        <v>10.813333333333333</v>
      </c>
      <c r="S41" s="643">
        <f t="shared" si="15"/>
        <v>340.61999999999995</v>
      </c>
      <c r="T41" s="643">
        <f t="shared" si="8"/>
        <v>3696.58</v>
      </c>
      <c r="U41" s="806"/>
      <c r="V41" s="802"/>
      <c r="W41" s="803"/>
      <c r="X41" s="804"/>
      <c r="Y41" s="805"/>
    </row>
    <row r="42" spans="2:25" ht="15" customHeight="1" x14ac:dyDescent="0.25">
      <c r="B42" s="638" t="s">
        <v>71</v>
      </c>
      <c r="C42" s="639" t="str">
        <f>IFERROR(_xlfn.XLOOKUP($G42,COM_Cadastro!#REF!,COM_Cadastro!#REF!),"")</f>
        <v/>
      </c>
      <c r="D42" s="640" t="s">
        <v>733</v>
      </c>
      <c r="E42" s="641" t="s">
        <v>377</v>
      </c>
      <c r="F42" s="640" t="s">
        <v>376</v>
      </c>
      <c r="G42" s="638" t="s">
        <v>424</v>
      </c>
      <c r="H42" s="642">
        <v>1622</v>
      </c>
      <c r="I42" s="642">
        <v>1855</v>
      </c>
      <c r="J42" s="642">
        <v>600</v>
      </c>
      <c r="K42" s="642">
        <v>540</v>
      </c>
      <c r="L42" s="643">
        <f t="shared" si="0"/>
        <v>4617</v>
      </c>
      <c r="M42" s="644">
        <f t="shared" si="9"/>
        <v>129.76</v>
      </c>
      <c r="N42" s="643">
        <f t="shared" si="10"/>
        <v>135.16666666666666</v>
      </c>
      <c r="O42" s="643">
        <f t="shared" si="11"/>
        <v>45.05555555555555</v>
      </c>
      <c r="P42" s="643">
        <f t="shared" si="12"/>
        <v>14.417777777777776</v>
      </c>
      <c r="Q42" s="455">
        <f t="shared" si="13"/>
        <v>135.16666666666666</v>
      </c>
      <c r="R42" s="455">
        <f t="shared" si="14"/>
        <v>10.813333333333333</v>
      </c>
      <c r="S42" s="643">
        <f t="shared" si="15"/>
        <v>340.61999999999995</v>
      </c>
      <c r="T42" s="643">
        <f t="shared" si="8"/>
        <v>5087.38</v>
      </c>
      <c r="U42" s="806"/>
      <c r="V42" s="802"/>
      <c r="W42" s="803"/>
      <c r="X42" s="804"/>
      <c r="Y42" s="805"/>
    </row>
    <row r="43" spans="2:25" ht="15" customHeight="1" x14ac:dyDescent="0.25">
      <c r="B43" s="638" t="s">
        <v>71</v>
      </c>
      <c r="C43" s="639" t="str">
        <f>IFERROR(_xlfn.XLOOKUP($G43,COM_Cadastro!#REF!,COM_Cadastro!#REF!),"")</f>
        <v/>
      </c>
      <c r="D43" s="640" t="s">
        <v>733</v>
      </c>
      <c r="E43" s="641" t="s">
        <v>377</v>
      </c>
      <c r="F43" s="640" t="s">
        <v>376</v>
      </c>
      <c r="G43" s="638" t="s">
        <v>741</v>
      </c>
      <c r="H43" s="642">
        <v>1622</v>
      </c>
      <c r="I43" s="642">
        <v>888</v>
      </c>
      <c r="J43" s="642">
        <v>326.39999999999998</v>
      </c>
      <c r="K43" s="642">
        <v>540</v>
      </c>
      <c r="L43" s="643">
        <f t="shared" si="0"/>
        <v>3376.4</v>
      </c>
      <c r="M43" s="644">
        <f t="shared" si="9"/>
        <v>129.76</v>
      </c>
      <c r="N43" s="643">
        <f t="shared" si="10"/>
        <v>135.16666666666666</v>
      </c>
      <c r="O43" s="643">
        <f t="shared" si="11"/>
        <v>45.05555555555555</v>
      </c>
      <c r="P43" s="643">
        <f t="shared" si="12"/>
        <v>14.417777777777776</v>
      </c>
      <c r="Q43" s="455">
        <f t="shared" si="13"/>
        <v>135.16666666666666</v>
      </c>
      <c r="R43" s="455">
        <f t="shared" si="14"/>
        <v>10.813333333333333</v>
      </c>
      <c r="S43" s="643">
        <f t="shared" si="15"/>
        <v>340.61999999999995</v>
      </c>
      <c r="T43" s="643">
        <f t="shared" si="8"/>
        <v>3846.7799999999997</v>
      </c>
      <c r="U43" s="806"/>
      <c r="V43" s="802"/>
      <c r="W43" s="803"/>
      <c r="X43" s="804"/>
      <c r="Y43" s="805"/>
    </row>
    <row r="44" spans="2:25" ht="15" customHeight="1" x14ac:dyDescent="0.25">
      <c r="B44" s="638" t="s">
        <v>71</v>
      </c>
      <c r="C44" s="639" t="str">
        <f>IFERROR(_xlfn.XLOOKUP($G44,COM_Cadastro!#REF!,COM_Cadastro!#REF!),"")</f>
        <v/>
      </c>
      <c r="D44" s="640" t="s">
        <v>733</v>
      </c>
      <c r="E44" s="641" t="s">
        <v>377</v>
      </c>
      <c r="F44" s="640" t="s">
        <v>376</v>
      </c>
      <c r="G44" s="638" t="s">
        <v>624</v>
      </c>
      <c r="H44" s="642">
        <v>1622</v>
      </c>
      <c r="I44" s="642">
        <v>625</v>
      </c>
      <c r="J44" s="642">
        <v>652.79999999999995</v>
      </c>
      <c r="K44" s="642">
        <v>540</v>
      </c>
      <c r="L44" s="643">
        <f t="shared" si="0"/>
        <v>3439.8</v>
      </c>
      <c r="M44" s="644">
        <f t="shared" si="9"/>
        <v>129.76</v>
      </c>
      <c r="N44" s="643">
        <f t="shared" si="10"/>
        <v>135.16666666666666</v>
      </c>
      <c r="O44" s="643">
        <f t="shared" si="11"/>
        <v>45.05555555555555</v>
      </c>
      <c r="P44" s="643">
        <f t="shared" si="12"/>
        <v>14.417777777777776</v>
      </c>
      <c r="Q44" s="455">
        <f t="shared" si="13"/>
        <v>135.16666666666666</v>
      </c>
      <c r="R44" s="455">
        <f t="shared" si="14"/>
        <v>10.813333333333333</v>
      </c>
      <c r="S44" s="643">
        <f t="shared" si="15"/>
        <v>340.61999999999995</v>
      </c>
      <c r="T44" s="643">
        <f t="shared" si="8"/>
        <v>3910.1800000000003</v>
      </c>
      <c r="U44" s="806"/>
      <c r="V44" s="802"/>
      <c r="W44" s="803"/>
      <c r="X44" s="804"/>
      <c r="Y44" s="805"/>
    </row>
    <row r="45" spans="2:25" ht="15" customHeight="1" x14ac:dyDescent="0.25">
      <c r="B45" s="638" t="s">
        <v>71</v>
      </c>
      <c r="C45" s="639" t="str">
        <f>IFERROR(_xlfn.XLOOKUP($G45,COM_Cadastro!#REF!,COM_Cadastro!#REF!),"")</f>
        <v/>
      </c>
      <c r="D45" s="640" t="s">
        <v>733</v>
      </c>
      <c r="E45" s="641" t="s">
        <v>377</v>
      </c>
      <c r="F45" s="640" t="s">
        <v>376</v>
      </c>
      <c r="G45" s="638" t="s">
        <v>460</v>
      </c>
      <c r="H45" s="642">
        <v>1622</v>
      </c>
      <c r="I45" s="642"/>
      <c r="J45" s="642">
        <v>477.6</v>
      </c>
      <c r="K45" s="642">
        <v>540</v>
      </c>
      <c r="L45" s="643">
        <f t="shared" si="0"/>
        <v>2639.6</v>
      </c>
      <c r="M45" s="644">
        <f t="shared" si="9"/>
        <v>129.76</v>
      </c>
      <c r="N45" s="643">
        <f t="shared" si="10"/>
        <v>135.16666666666666</v>
      </c>
      <c r="O45" s="643">
        <f t="shared" si="11"/>
        <v>45.05555555555555</v>
      </c>
      <c r="P45" s="643">
        <f t="shared" si="12"/>
        <v>14.417777777777776</v>
      </c>
      <c r="Q45" s="455">
        <f t="shared" si="13"/>
        <v>135.16666666666666</v>
      </c>
      <c r="R45" s="455">
        <f t="shared" si="14"/>
        <v>10.813333333333333</v>
      </c>
      <c r="S45" s="643">
        <f t="shared" si="15"/>
        <v>340.61999999999995</v>
      </c>
      <c r="T45" s="643">
        <f t="shared" si="8"/>
        <v>3109.9799999999996</v>
      </c>
      <c r="U45" s="806"/>
      <c r="V45" s="802"/>
      <c r="W45" s="803"/>
      <c r="X45" s="804"/>
      <c r="Y45" s="805"/>
    </row>
    <row r="46" spans="2:25" ht="15" customHeight="1" x14ac:dyDescent="0.25">
      <c r="B46" s="638" t="s">
        <v>71</v>
      </c>
      <c r="C46" s="639" t="str">
        <f>IFERROR(_xlfn.XLOOKUP($G46,COM_Cadastro!#REF!,COM_Cadastro!#REF!),"")</f>
        <v/>
      </c>
      <c r="D46" s="640" t="s">
        <v>733</v>
      </c>
      <c r="E46" s="641" t="s">
        <v>377</v>
      </c>
      <c r="F46" s="640" t="s">
        <v>376</v>
      </c>
      <c r="G46" s="638" t="s">
        <v>670</v>
      </c>
      <c r="H46" s="642">
        <v>1622</v>
      </c>
      <c r="I46" s="642"/>
      <c r="J46" s="642">
        <v>318.2</v>
      </c>
      <c r="K46" s="642">
        <v>540</v>
      </c>
      <c r="L46" s="643">
        <f t="shared" si="0"/>
        <v>2480.1999999999998</v>
      </c>
      <c r="M46" s="644">
        <f t="shared" si="9"/>
        <v>129.76</v>
      </c>
      <c r="N46" s="643">
        <f t="shared" si="10"/>
        <v>135.16666666666666</v>
      </c>
      <c r="O46" s="643">
        <f t="shared" si="11"/>
        <v>45.05555555555555</v>
      </c>
      <c r="P46" s="643">
        <f t="shared" si="12"/>
        <v>14.417777777777776</v>
      </c>
      <c r="Q46" s="455">
        <f t="shared" si="13"/>
        <v>135.16666666666666</v>
      </c>
      <c r="R46" s="455">
        <f t="shared" si="14"/>
        <v>10.813333333333333</v>
      </c>
      <c r="S46" s="643">
        <f t="shared" si="15"/>
        <v>340.61999999999995</v>
      </c>
      <c r="T46" s="643">
        <f t="shared" si="8"/>
        <v>2950.58</v>
      </c>
      <c r="U46" s="806"/>
      <c r="V46" s="802"/>
      <c r="W46" s="803"/>
      <c r="X46" s="804"/>
      <c r="Y46" s="805"/>
    </row>
    <row r="47" spans="2:25" ht="15" customHeight="1" x14ac:dyDescent="0.25">
      <c r="B47" s="638" t="s">
        <v>71</v>
      </c>
      <c r="C47" s="639" t="str">
        <f>IFERROR(_xlfn.XLOOKUP($G47,COM_Cadastro!#REF!,COM_Cadastro!#REF!),"")</f>
        <v/>
      </c>
      <c r="D47" s="640" t="s">
        <v>733</v>
      </c>
      <c r="E47" s="641" t="s">
        <v>377</v>
      </c>
      <c r="F47" s="640" t="s">
        <v>376</v>
      </c>
      <c r="G47" s="638" t="s">
        <v>490</v>
      </c>
      <c r="H47" s="642">
        <v>1622</v>
      </c>
      <c r="I47" s="642"/>
      <c r="J47" s="642">
        <v>532.79999999999995</v>
      </c>
      <c r="K47" s="642">
        <v>540</v>
      </c>
      <c r="L47" s="643">
        <f t="shared" si="0"/>
        <v>2694.8</v>
      </c>
      <c r="M47" s="644">
        <f t="shared" si="9"/>
        <v>129.76</v>
      </c>
      <c r="N47" s="643">
        <f t="shared" si="10"/>
        <v>135.16666666666666</v>
      </c>
      <c r="O47" s="643">
        <f t="shared" si="11"/>
        <v>45.05555555555555</v>
      </c>
      <c r="P47" s="643">
        <f t="shared" si="12"/>
        <v>14.417777777777776</v>
      </c>
      <c r="Q47" s="455">
        <f t="shared" si="13"/>
        <v>135.16666666666666</v>
      </c>
      <c r="R47" s="455">
        <f t="shared" si="14"/>
        <v>10.813333333333333</v>
      </c>
      <c r="S47" s="643">
        <f t="shared" si="15"/>
        <v>340.61999999999995</v>
      </c>
      <c r="T47" s="643">
        <f t="shared" si="8"/>
        <v>3165.1800000000003</v>
      </c>
      <c r="U47" s="806"/>
      <c r="V47" s="802"/>
      <c r="W47" s="803"/>
      <c r="X47" s="804"/>
      <c r="Y47" s="805"/>
    </row>
    <row r="48" spans="2:25" ht="15" customHeight="1" x14ac:dyDescent="0.25">
      <c r="B48" s="638" t="s">
        <v>71</v>
      </c>
      <c r="C48" s="639" t="str">
        <f>IFERROR(_xlfn.XLOOKUP($G48,COM_Cadastro!#REF!,COM_Cadastro!#REF!),"")</f>
        <v/>
      </c>
      <c r="D48" s="640" t="s">
        <v>733</v>
      </c>
      <c r="E48" s="641" t="s">
        <v>377</v>
      </c>
      <c r="F48" s="640" t="s">
        <v>376</v>
      </c>
      <c r="G48" s="638" t="s">
        <v>672</v>
      </c>
      <c r="H48" s="642">
        <v>1622</v>
      </c>
      <c r="I48" s="642"/>
      <c r="J48" s="642">
        <v>60</v>
      </c>
      <c r="K48" s="642">
        <v>135</v>
      </c>
      <c r="L48" s="643">
        <f t="shared" si="0"/>
        <v>1817</v>
      </c>
      <c r="M48" s="644">
        <f t="shared" si="9"/>
        <v>129.76</v>
      </c>
      <c r="N48" s="643">
        <f t="shared" si="10"/>
        <v>135.16666666666666</v>
      </c>
      <c r="O48" s="643">
        <f t="shared" si="11"/>
        <v>45.05555555555555</v>
      </c>
      <c r="P48" s="643">
        <f t="shared" si="12"/>
        <v>14.417777777777776</v>
      </c>
      <c r="Q48" s="455">
        <f t="shared" si="13"/>
        <v>135.16666666666666</v>
      </c>
      <c r="R48" s="455">
        <f t="shared" si="14"/>
        <v>10.813333333333333</v>
      </c>
      <c r="S48" s="643">
        <f t="shared" si="15"/>
        <v>340.61999999999995</v>
      </c>
      <c r="T48" s="643">
        <f t="shared" si="8"/>
        <v>2287.38</v>
      </c>
      <c r="U48" s="806"/>
      <c r="V48" s="802"/>
      <c r="W48" s="803"/>
      <c r="X48" s="804"/>
      <c r="Y48" s="805"/>
    </row>
    <row r="49" spans="2:25" ht="15" customHeight="1" x14ac:dyDescent="0.25">
      <c r="B49" s="638" t="s">
        <v>71</v>
      </c>
      <c r="C49" s="639" t="str">
        <f>IFERROR(_xlfn.XLOOKUP($G49,COM_Cadastro!#REF!,COM_Cadastro!#REF!),"")</f>
        <v/>
      </c>
      <c r="D49" s="640" t="s">
        <v>733</v>
      </c>
      <c r="E49" s="641" t="s">
        <v>377</v>
      </c>
      <c r="F49" s="640" t="s">
        <v>376</v>
      </c>
      <c r="G49" s="638" t="s">
        <v>522</v>
      </c>
      <c r="H49" s="642">
        <v>1622</v>
      </c>
      <c r="I49" s="642"/>
      <c r="J49" s="642">
        <v>528</v>
      </c>
      <c r="K49" s="642">
        <v>540</v>
      </c>
      <c r="L49" s="643">
        <f t="shared" si="0"/>
        <v>2690</v>
      </c>
      <c r="M49" s="644">
        <f t="shared" si="9"/>
        <v>129.76</v>
      </c>
      <c r="N49" s="643">
        <f t="shared" si="10"/>
        <v>135.16666666666666</v>
      </c>
      <c r="O49" s="643">
        <f t="shared" si="11"/>
        <v>45.05555555555555</v>
      </c>
      <c r="P49" s="643">
        <f t="shared" si="12"/>
        <v>14.417777777777776</v>
      </c>
      <c r="Q49" s="455">
        <f t="shared" si="13"/>
        <v>135.16666666666666</v>
      </c>
      <c r="R49" s="455">
        <f t="shared" si="14"/>
        <v>10.813333333333333</v>
      </c>
      <c r="S49" s="643">
        <f t="shared" si="15"/>
        <v>340.61999999999995</v>
      </c>
      <c r="T49" s="643">
        <f t="shared" si="8"/>
        <v>3160.38</v>
      </c>
      <c r="U49" s="806"/>
      <c r="V49" s="802"/>
      <c r="W49" s="803"/>
      <c r="X49" s="804"/>
      <c r="Y49" s="805"/>
    </row>
    <row r="50" spans="2:25" ht="15" customHeight="1" x14ac:dyDescent="0.25">
      <c r="B50" s="638" t="s">
        <v>71</v>
      </c>
      <c r="C50" s="639" t="str">
        <f>IFERROR(_xlfn.XLOOKUP($G50,COM_Cadastro!#REF!,COM_Cadastro!#REF!),"")</f>
        <v/>
      </c>
      <c r="D50" s="640" t="s">
        <v>733</v>
      </c>
      <c r="E50" s="641" t="s">
        <v>377</v>
      </c>
      <c r="F50" s="640" t="s">
        <v>376</v>
      </c>
      <c r="G50" s="638" t="s">
        <v>673</v>
      </c>
      <c r="H50" s="642">
        <v>1622</v>
      </c>
      <c r="I50" s="642"/>
      <c r="J50" s="642">
        <v>120</v>
      </c>
      <c r="K50" s="642">
        <v>135</v>
      </c>
      <c r="L50" s="643">
        <f t="shared" si="0"/>
        <v>1877</v>
      </c>
      <c r="M50" s="644">
        <f t="shared" si="9"/>
        <v>129.76</v>
      </c>
      <c r="N50" s="643">
        <f t="shared" si="10"/>
        <v>135.16666666666666</v>
      </c>
      <c r="O50" s="643">
        <f t="shared" si="11"/>
        <v>45.05555555555555</v>
      </c>
      <c r="P50" s="643">
        <f t="shared" si="12"/>
        <v>14.417777777777776</v>
      </c>
      <c r="Q50" s="455">
        <f t="shared" si="13"/>
        <v>135.16666666666666</v>
      </c>
      <c r="R50" s="455">
        <f t="shared" si="14"/>
        <v>10.813333333333333</v>
      </c>
      <c r="S50" s="643">
        <f t="shared" si="15"/>
        <v>340.61999999999995</v>
      </c>
      <c r="T50" s="643">
        <f t="shared" si="8"/>
        <v>2347.38</v>
      </c>
      <c r="U50" s="806"/>
      <c r="V50" s="802"/>
      <c r="W50" s="803"/>
      <c r="X50" s="804"/>
      <c r="Y50" s="805"/>
    </row>
    <row r="51" spans="2:25" ht="15" customHeight="1" x14ac:dyDescent="0.25">
      <c r="B51" s="638" t="s">
        <v>71</v>
      </c>
      <c r="C51" s="639" t="str">
        <f>IFERROR(_xlfn.XLOOKUP($G51,COM_Cadastro!#REF!,COM_Cadastro!#REF!),"")</f>
        <v/>
      </c>
      <c r="D51" s="640" t="s">
        <v>733</v>
      </c>
      <c r="E51" s="641" t="s">
        <v>377</v>
      </c>
      <c r="F51" s="640" t="s">
        <v>376</v>
      </c>
      <c r="G51" s="638" t="s">
        <v>553</v>
      </c>
      <c r="H51" s="642">
        <v>1622</v>
      </c>
      <c r="I51" s="642">
        <v>666</v>
      </c>
      <c r="J51" s="642">
        <v>383.2</v>
      </c>
      <c r="K51" s="642">
        <v>540</v>
      </c>
      <c r="L51" s="643">
        <f t="shared" si="0"/>
        <v>3211.2</v>
      </c>
      <c r="M51" s="644">
        <f t="shared" si="9"/>
        <v>129.76</v>
      </c>
      <c r="N51" s="643">
        <f t="shared" si="10"/>
        <v>135.16666666666666</v>
      </c>
      <c r="O51" s="643">
        <f t="shared" si="11"/>
        <v>45.05555555555555</v>
      </c>
      <c r="P51" s="643">
        <f t="shared" si="12"/>
        <v>14.417777777777776</v>
      </c>
      <c r="Q51" s="455">
        <f t="shared" si="13"/>
        <v>135.16666666666666</v>
      </c>
      <c r="R51" s="455">
        <f t="shared" si="14"/>
        <v>10.813333333333333</v>
      </c>
      <c r="S51" s="643">
        <f t="shared" si="15"/>
        <v>340.61999999999995</v>
      </c>
      <c r="T51" s="643">
        <f t="shared" si="8"/>
        <v>3681.58</v>
      </c>
      <c r="U51" s="806"/>
      <c r="V51" s="802"/>
      <c r="W51" s="803"/>
      <c r="X51" s="804"/>
      <c r="Y51" s="805"/>
    </row>
    <row r="52" spans="2:25" ht="15" customHeight="1" x14ac:dyDescent="0.25">
      <c r="B52" s="638" t="s">
        <v>71</v>
      </c>
      <c r="C52" s="639" t="str">
        <f>IFERROR(_xlfn.XLOOKUP($G52,COM_Cadastro!#REF!,COM_Cadastro!#REF!),"")</f>
        <v/>
      </c>
      <c r="D52" s="640" t="s">
        <v>733</v>
      </c>
      <c r="E52" s="641" t="s">
        <v>377</v>
      </c>
      <c r="F52" s="640" t="s">
        <v>376</v>
      </c>
      <c r="G52" s="638" t="s">
        <v>563</v>
      </c>
      <c r="H52" s="642">
        <v>1622</v>
      </c>
      <c r="I52" s="642">
        <v>486</v>
      </c>
      <c r="J52" s="642">
        <v>544.79999999999995</v>
      </c>
      <c r="K52" s="642">
        <v>540</v>
      </c>
      <c r="L52" s="643">
        <f t="shared" si="0"/>
        <v>3192.8</v>
      </c>
      <c r="M52" s="644">
        <f t="shared" si="9"/>
        <v>129.76</v>
      </c>
      <c r="N52" s="643">
        <f t="shared" si="10"/>
        <v>135.16666666666666</v>
      </c>
      <c r="O52" s="643">
        <f t="shared" si="11"/>
        <v>45.05555555555555</v>
      </c>
      <c r="P52" s="643">
        <f t="shared" si="12"/>
        <v>14.417777777777776</v>
      </c>
      <c r="Q52" s="455">
        <f t="shared" si="13"/>
        <v>135.16666666666666</v>
      </c>
      <c r="R52" s="455">
        <f t="shared" si="14"/>
        <v>10.813333333333333</v>
      </c>
      <c r="S52" s="643">
        <f t="shared" si="15"/>
        <v>340.61999999999995</v>
      </c>
      <c r="T52" s="643">
        <f t="shared" si="8"/>
        <v>3663.1800000000003</v>
      </c>
      <c r="U52" s="806"/>
      <c r="V52" s="802"/>
      <c r="W52" s="803"/>
      <c r="X52" s="804"/>
      <c r="Y52" s="805"/>
    </row>
    <row r="53" spans="2:25" ht="15" customHeight="1" x14ac:dyDescent="0.25">
      <c r="B53" s="638" t="s">
        <v>71</v>
      </c>
      <c r="C53" s="639" t="str">
        <f>IFERROR(_xlfn.XLOOKUP($G53,COM_Cadastro!#REF!,COM_Cadastro!#REF!),"")</f>
        <v/>
      </c>
      <c r="D53" s="640" t="s">
        <v>733</v>
      </c>
      <c r="E53" s="641" t="s">
        <v>372</v>
      </c>
      <c r="F53" s="640" t="s">
        <v>376</v>
      </c>
      <c r="G53" s="638" t="s">
        <v>743</v>
      </c>
      <c r="H53" s="642">
        <v>2600</v>
      </c>
      <c r="I53" s="642"/>
      <c r="J53" s="642">
        <v>440</v>
      </c>
      <c r="K53" s="642">
        <v>540</v>
      </c>
      <c r="L53" s="643">
        <f t="shared" si="0"/>
        <v>3580</v>
      </c>
      <c r="M53" s="644">
        <f t="shared" si="9"/>
        <v>208</v>
      </c>
      <c r="N53" s="643">
        <f t="shared" si="10"/>
        <v>216.66666666666666</v>
      </c>
      <c r="O53" s="643">
        <f t="shared" si="11"/>
        <v>72.222222222222214</v>
      </c>
      <c r="P53" s="643">
        <f t="shared" si="12"/>
        <v>23.111111111111111</v>
      </c>
      <c r="Q53" s="455">
        <f t="shared" si="13"/>
        <v>216.66666666666666</v>
      </c>
      <c r="R53" s="455">
        <f t="shared" si="14"/>
        <v>17.333333333333332</v>
      </c>
      <c r="S53" s="643">
        <f t="shared" si="15"/>
        <v>546</v>
      </c>
      <c r="T53" s="643">
        <f t="shared" si="8"/>
        <v>4334</v>
      </c>
      <c r="U53" s="806"/>
      <c r="V53" s="802"/>
      <c r="W53" s="803"/>
      <c r="X53" s="804"/>
      <c r="Y53" s="805"/>
    </row>
    <row r="54" spans="2:25" ht="15" customHeight="1" x14ac:dyDescent="0.25">
      <c r="B54" s="638" t="s">
        <v>71</v>
      </c>
      <c r="C54" s="639" t="str">
        <f>IFERROR(_xlfn.XLOOKUP($G54,COM_Cadastro!#REF!,COM_Cadastro!#REF!),"")</f>
        <v/>
      </c>
      <c r="D54" s="640" t="s">
        <v>733</v>
      </c>
      <c r="E54" s="641" t="s">
        <v>377</v>
      </c>
      <c r="F54" s="640" t="s">
        <v>376</v>
      </c>
      <c r="G54" s="638" t="s">
        <v>576</v>
      </c>
      <c r="H54" s="642">
        <v>1622</v>
      </c>
      <c r="I54" s="642"/>
      <c r="J54" s="642">
        <v>249.6</v>
      </c>
      <c r="K54" s="642">
        <v>540</v>
      </c>
      <c r="L54" s="643">
        <f t="shared" si="0"/>
        <v>2411.6</v>
      </c>
      <c r="M54" s="644">
        <f t="shared" si="9"/>
        <v>129.76</v>
      </c>
      <c r="N54" s="643">
        <f t="shared" si="10"/>
        <v>135.16666666666666</v>
      </c>
      <c r="O54" s="643">
        <f t="shared" si="11"/>
        <v>45.05555555555555</v>
      </c>
      <c r="P54" s="643">
        <f t="shared" si="12"/>
        <v>14.417777777777776</v>
      </c>
      <c r="Q54" s="455">
        <f t="shared" si="13"/>
        <v>135.16666666666666</v>
      </c>
      <c r="R54" s="455">
        <f t="shared" si="14"/>
        <v>10.813333333333333</v>
      </c>
      <c r="S54" s="643">
        <f t="shared" si="15"/>
        <v>340.61999999999995</v>
      </c>
      <c r="T54" s="643">
        <f t="shared" si="8"/>
        <v>2881.9799999999996</v>
      </c>
      <c r="U54" s="806"/>
      <c r="V54" s="802"/>
      <c r="W54" s="803"/>
      <c r="X54" s="804"/>
      <c r="Y54" s="805"/>
    </row>
    <row r="55" spans="2:25" ht="15" customHeight="1" x14ac:dyDescent="0.25">
      <c r="B55" s="638" t="s">
        <v>71</v>
      </c>
      <c r="C55" s="639" t="str">
        <f>IFERROR(_xlfn.XLOOKUP($G55,COM_Cadastro!#REF!,COM_Cadastro!#REF!),"")</f>
        <v/>
      </c>
      <c r="D55" s="640" t="s">
        <v>733</v>
      </c>
      <c r="E55" s="641" t="s">
        <v>377</v>
      </c>
      <c r="F55" s="640" t="s">
        <v>376</v>
      </c>
      <c r="G55" s="638" t="s">
        <v>579</v>
      </c>
      <c r="H55" s="642">
        <v>1622</v>
      </c>
      <c r="I55" s="642">
        <v>104</v>
      </c>
      <c r="J55" s="642">
        <v>470.4</v>
      </c>
      <c r="K55" s="642">
        <v>517.5</v>
      </c>
      <c r="L55" s="643">
        <f t="shared" si="0"/>
        <v>2713.9</v>
      </c>
      <c r="M55" s="644">
        <f t="shared" si="9"/>
        <v>129.76</v>
      </c>
      <c r="N55" s="643">
        <f t="shared" si="10"/>
        <v>135.16666666666666</v>
      </c>
      <c r="O55" s="643">
        <f t="shared" si="11"/>
        <v>45.05555555555555</v>
      </c>
      <c r="P55" s="643">
        <f t="shared" si="12"/>
        <v>14.417777777777776</v>
      </c>
      <c r="Q55" s="455">
        <f t="shared" si="13"/>
        <v>135.16666666666666</v>
      </c>
      <c r="R55" s="455">
        <f t="shared" si="14"/>
        <v>10.813333333333333</v>
      </c>
      <c r="S55" s="643">
        <f t="shared" si="15"/>
        <v>340.61999999999995</v>
      </c>
      <c r="T55" s="643">
        <f t="shared" si="8"/>
        <v>3184.2799999999997</v>
      </c>
      <c r="U55" s="806"/>
      <c r="V55" s="802"/>
      <c r="W55" s="803"/>
      <c r="X55" s="804"/>
      <c r="Y55" s="805"/>
    </row>
    <row r="56" spans="2:25" ht="15" customHeight="1" x14ac:dyDescent="0.25">
      <c r="B56" s="638" t="s">
        <v>71</v>
      </c>
      <c r="C56" s="639" t="str">
        <f>IFERROR(_xlfn.XLOOKUP($G56,COM_Cadastro!#REF!,COM_Cadastro!#REF!),"")</f>
        <v/>
      </c>
      <c r="D56" s="640" t="s">
        <v>733</v>
      </c>
      <c r="E56" s="641" t="s">
        <v>377</v>
      </c>
      <c r="F56" s="640" t="s">
        <v>376</v>
      </c>
      <c r="G56" s="638" t="s">
        <v>632</v>
      </c>
      <c r="H56" s="642">
        <v>1622</v>
      </c>
      <c r="I56" s="642"/>
      <c r="J56" s="642">
        <v>511.2</v>
      </c>
      <c r="K56" s="642">
        <v>517.5</v>
      </c>
      <c r="L56" s="643">
        <f t="shared" si="0"/>
        <v>2650.7</v>
      </c>
      <c r="M56" s="644">
        <f t="shared" si="9"/>
        <v>129.76</v>
      </c>
      <c r="N56" s="643">
        <f t="shared" si="10"/>
        <v>135.16666666666666</v>
      </c>
      <c r="O56" s="643">
        <f t="shared" si="11"/>
        <v>45.05555555555555</v>
      </c>
      <c r="P56" s="643">
        <f t="shared" si="12"/>
        <v>14.417777777777776</v>
      </c>
      <c r="Q56" s="455">
        <f t="shared" si="13"/>
        <v>135.16666666666666</v>
      </c>
      <c r="R56" s="455">
        <f t="shared" si="14"/>
        <v>10.813333333333333</v>
      </c>
      <c r="S56" s="643">
        <f t="shared" si="15"/>
        <v>340.61999999999995</v>
      </c>
      <c r="T56" s="643">
        <f t="shared" si="8"/>
        <v>3121.08</v>
      </c>
      <c r="U56" s="806"/>
      <c r="V56" s="802"/>
      <c r="W56" s="803"/>
      <c r="X56" s="804"/>
      <c r="Y56" s="805"/>
    </row>
    <row r="57" spans="2:25" ht="15" customHeight="1" x14ac:dyDescent="0.25">
      <c r="B57" s="638" t="s">
        <v>71</v>
      </c>
      <c r="C57" s="639" t="str">
        <f>IFERROR(_xlfn.XLOOKUP($G57,COM_Cadastro!#REF!,COM_Cadastro!#REF!),"")</f>
        <v/>
      </c>
      <c r="D57" s="640" t="s">
        <v>733</v>
      </c>
      <c r="E57" s="641" t="s">
        <v>377</v>
      </c>
      <c r="F57" s="640" t="s">
        <v>376</v>
      </c>
      <c r="G57" s="638" t="s">
        <v>589</v>
      </c>
      <c r="H57" s="642">
        <v>1622</v>
      </c>
      <c r="I57" s="642"/>
      <c r="J57" s="642">
        <v>480</v>
      </c>
      <c r="K57" s="642">
        <v>540</v>
      </c>
      <c r="L57" s="643">
        <f t="shared" si="0"/>
        <v>2642</v>
      </c>
      <c r="M57" s="644">
        <f t="shared" si="9"/>
        <v>129.76</v>
      </c>
      <c r="N57" s="643">
        <f t="shared" si="10"/>
        <v>135.16666666666666</v>
      </c>
      <c r="O57" s="643">
        <f t="shared" si="11"/>
        <v>45.05555555555555</v>
      </c>
      <c r="P57" s="643">
        <f t="shared" si="12"/>
        <v>14.417777777777776</v>
      </c>
      <c r="Q57" s="455">
        <f t="shared" si="13"/>
        <v>135.16666666666666</v>
      </c>
      <c r="R57" s="455">
        <f t="shared" si="14"/>
        <v>10.813333333333333</v>
      </c>
      <c r="S57" s="643">
        <f t="shared" si="15"/>
        <v>340.61999999999995</v>
      </c>
      <c r="T57" s="643">
        <f t="shared" si="8"/>
        <v>3112.38</v>
      </c>
      <c r="U57" s="806"/>
      <c r="V57" s="802"/>
      <c r="W57" s="803"/>
      <c r="X57" s="804"/>
      <c r="Y57" s="805"/>
    </row>
    <row r="58" spans="2:25" ht="15" customHeight="1" x14ac:dyDescent="0.25">
      <c r="B58" s="638" t="s">
        <v>71</v>
      </c>
      <c r="C58" s="639" t="str">
        <f>IFERROR(_xlfn.XLOOKUP($G58,COM_Cadastro!#REF!,COM_Cadastro!#REF!),"")</f>
        <v/>
      </c>
      <c r="D58" s="640" t="s">
        <v>733</v>
      </c>
      <c r="E58" s="641" t="s">
        <v>377</v>
      </c>
      <c r="F58" s="640" t="s">
        <v>376</v>
      </c>
      <c r="G58" s="638" t="s">
        <v>599</v>
      </c>
      <c r="H58" s="642">
        <v>1622</v>
      </c>
      <c r="I58" s="642">
        <v>928</v>
      </c>
      <c r="J58" s="642">
        <v>240</v>
      </c>
      <c r="K58" s="642">
        <v>540</v>
      </c>
      <c r="L58" s="643">
        <f t="shared" si="0"/>
        <v>3330</v>
      </c>
      <c r="M58" s="644">
        <f t="shared" si="9"/>
        <v>129.76</v>
      </c>
      <c r="N58" s="643">
        <f t="shared" si="10"/>
        <v>135.16666666666666</v>
      </c>
      <c r="O58" s="643">
        <f t="shared" si="11"/>
        <v>45.05555555555555</v>
      </c>
      <c r="P58" s="643">
        <f t="shared" si="12"/>
        <v>14.417777777777776</v>
      </c>
      <c r="Q58" s="455">
        <f t="shared" si="13"/>
        <v>135.16666666666666</v>
      </c>
      <c r="R58" s="455">
        <f t="shared" si="14"/>
        <v>10.813333333333333</v>
      </c>
      <c r="S58" s="643">
        <f t="shared" si="15"/>
        <v>340.61999999999995</v>
      </c>
      <c r="T58" s="643">
        <f t="shared" si="8"/>
        <v>3800.38</v>
      </c>
      <c r="U58" s="806"/>
      <c r="V58" s="802"/>
      <c r="W58" s="803"/>
      <c r="X58" s="804"/>
      <c r="Y58" s="805"/>
    </row>
    <row r="59" spans="2:25" ht="15" customHeight="1" x14ac:dyDescent="0.25">
      <c r="B59" s="638" t="s">
        <v>71</v>
      </c>
      <c r="C59" s="639" t="str">
        <f>IFERROR(_xlfn.XLOOKUP($G59,COM_Cadastro!#REF!,COM_Cadastro!#REF!),"")</f>
        <v/>
      </c>
      <c r="D59" s="640" t="s">
        <v>733</v>
      </c>
      <c r="E59" s="641" t="s">
        <v>377</v>
      </c>
      <c r="F59" s="640" t="s">
        <v>376</v>
      </c>
      <c r="G59" s="638" t="s">
        <v>603</v>
      </c>
      <c r="H59" s="642">
        <v>1622</v>
      </c>
      <c r="I59" s="642">
        <v>328</v>
      </c>
      <c r="J59" s="642">
        <v>480</v>
      </c>
      <c r="K59" s="642">
        <v>540</v>
      </c>
      <c r="L59" s="643">
        <f t="shared" si="0"/>
        <v>2970</v>
      </c>
      <c r="M59" s="644">
        <f t="shared" si="9"/>
        <v>129.76</v>
      </c>
      <c r="N59" s="643">
        <f t="shared" si="10"/>
        <v>135.16666666666666</v>
      </c>
      <c r="O59" s="643">
        <f t="shared" si="11"/>
        <v>45.05555555555555</v>
      </c>
      <c r="P59" s="643">
        <f t="shared" si="12"/>
        <v>14.417777777777776</v>
      </c>
      <c r="Q59" s="455">
        <f t="shared" si="13"/>
        <v>135.16666666666666</v>
      </c>
      <c r="R59" s="455">
        <f t="shared" si="14"/>
        <v>10.813333333333333</v>
      </c>
      <c r="S59" s="643">
        <f t="shared" si="15"/>
        <v>340.61999999999995</v>
      </c>
      <c r="T59" s="643">
        <f t="shared" si="8"/>
        <v>3440.38</v>
      </c>
      <c r="U59" s="806"/>
      <c r="V59" s="802"/>
      <c r="W59" s="803"/>
      <c r="X59" s="804"/>
      <c r="Y59" s="805"/>
    </row>
    <row r="60" spans="2:25" ht="15" customHeight="1" x14ac:dyDescent="0.25">
      <c r="B60" s="638" t="s">
        <v>71</v>
      </c>
      <c r="C60" s="639" t="str">
        <f>IFERROR(_xlfn.XLOOKUP($G60,COM_Cadastro!#REF!,COM_Cadastro!#REF!),"")</f>
        <v/>
      </c>
      <c r="D60" s="640" t="s">
        <v>733</v>
      </c>
      <c r="E60" s="641" t="s">
        <v>377</v>
      </c>
      <c r="F60" s="640" t="s">
        <v>374</v>
      </c>
      <c r="G60" s="638" t="s">
        <v>411</v>
      </c>
      <c r="H60" s="642">
        <v>1622</v>
      </c>
      <c r="I60" s="642"/>
      <c r="J60" s="642">
        <v>556.79999999999995</v>
      </c>
      <c r="K60" s="642">
        <v>540</v>
      </c>
      <c r="L60" s="643">
        <f t="shared" si="0"/>
        <v>2718.8</v>
      </c>
      <c r="M60" s="644">
        <f t="shared" si="9"/>
        <v>129.76</v>
      </c>
      <c r="N60" s="643">
        <f t="shared" si="10"/>
        <v>135.16666666666666</v>
      </c>
      <c r="O60" s="643">
        <f t="shared" si="11"/>
        <v>45.05555555555555</v>
      </c>
      <c r="P60" s="643">
        <f t="shared" si="12"/>
        <v>14.417777777777776</v>
      </c>
      <c r="Q60" s="455">
        <f t="shared" si="13"/>
        <v>135.16666666666666</v>
      </c>
      <c r="R60" s="455">
        <f t="shared" si="14"/>
        <v>10.813333333333333</v>
      </c>
      <c r="S60" s="643">
        <f t="shared" si="15"/>
        <v>340.61999999999995</v>
      </c>
      <c r="T60" s="643">
        <f t="shared" si="8"/>
        <v>3189.1800000000003</v>
      </c>
      <c r="U60" s="806"/>
      <c r="V60" s="802"/>
      <c r="W60" s="803"/>
      <c r="X60" s="804"/>
      <c r="Y60" s="805"/>
    </row>
    <row r="61" spans="2:25" ht="15" customHeight="1" x14ac:dyDescent="0.25">
      <c r="B61" s="638" t="s">
        <v>71</v>
      </c>
      <c r="C61" s="639" t="str">
        <f>IFERROR(_xlfn.XLOOKUP($G61,COM_Cadastro!#REF!,COM_Cadastro!#REF!),"")</f>
        <v/>
      </c>
      <c r="D61" s="640" t="s">
        <v>733</v>
      </c>
      <c r="E61" s="641" t="s">
        <v>377</v>
      </c>
      <c r="F61" s="640" t="s">
        <v>374</v>
      </c>
      <c r="G61" s="638" t="s">
        <v>448</v>
      </c>
      <c r="H61" s="642">
        <v>1622</v>
      </c>
      <c r="I61" s="642"/>
      <c r="J61" s="642">
        <v>573.6</v>
      </c>
      <c r="K61" s="642">
        <v>540</v>
      </c>
      <c r="L61" s="643">
        <f t="shared" si="0"/>
        <v>2735.6</v>
      </c>
      <c r="M61" s="644">
        <f t="shared" si="9"/>
        <v>129.76</v>
      </c>
      <c r="N61" s="643">
        <f t="shared" si="10"/>
        <v>135.16666666666666</v>
      </c>
      <c r="O61" s="643">
        <f t="shared" si="11"/>
        <v>45.05555555555555</v>
      </c>
      <c r="P61" s="643">
        <f t="shared" si="12"/>
        <v>14.417777777777776</v>
      </c>
      <c r="Q61" s="455">
        <f t="shared" si="13"/>
        <v>135.16666666666666</v>
      </c>
      <c r="R61" s="455">
        <f t="shared" si="14"/>
        <v>10.813333333333333</v>
      </c>
      <c r="S61" s="643">
        <f t="shared" si="15"/>
        <v>340.61999999999995</v>
      </c>
      <c r="T61" s="643">
        <f t="shared" si="8"/>
        <v>3205.9799999999996</v>
      </c>
      <c r="U61" s="806"/>
      <c r="V61" s="802"/>
      <c r="W61" s="803"/>
      <c r="X61" s="804"/>
      <c r="Y61" s="805"/>
    </row>
    <row r="62" spans="2:25" ht="15" customHeight="1" x14ac:dyDescent="0.25">
      <c r="B62" s="638" t="s">
        <v>71</v>
      </c>
      <c r="C62" s="639" t="str">
        <f>IFERROR(_xlfn.XLOOKUP($G62,COM_Cadastro!#REF!,COM_Cadastro!#REF!),"")</f>
        <v/>
      </c>
      <c r="D62" s="640" t="s">
        <v>733</v>
      </c>
      <c r="E62" s="641" t="s">
        <v>796</v>
      </c>
      <c r="F62" s="640" t="s">
        <v>374</v>
      </c>
      <c r="G62" s="638" t="s">
        <v>519</v>
      </c>
      <c r="H62" s="642">
        <v>1780</v>
      </c>
      <c r="I62" s="642">
        <v>213</v>
      </c>
      <c r="J62" s="642">
        <v>372</v>
      </c>
      <c r="K62" s="642">
        <v>540</v>
      </c>
      <c r="L62" s="643">
        <f t="shared" si="0"/>
        <v>2905</v>
      </c>
      <c r="M62" s="644">
        <f t="shared" si="9"/>
        <v>142.4</v>
      </c>
      <c r="N62" s="643">
        <f t="shared" si="10"/>
        <v>148.33333333333334</v>
      </c>
      <c r="O62" s="643">
        <f t="shared" si="11"/>
        <v>49.44444444444445</v>
      </c>
      <c r="P62" s="643">
        <f t="shared" si="12"/>
        <v>15.822222222222225</v>
      </c>
      <c r="Q62" s="455">
        <f t="shared" si="13"/>
        <v>148.33333333333334</v>
      </c>
      <c r="R62" s="455">
        <f t="shared" si="14"/>
        <v>11.866666666666667</v>
      </c>
      <c r="S62" s="643">
        <f t="shared" si="15"/>
        <v>373.80000000000007</v>
      </c>
      <c r="T62" s="643">
        <f t="shared" si="8"/>
        <v>3421.2000000000003</v>
      </c>
      <c r="U62" s="806"/>
      <c r="V62" s="802"/>
      <c r="W62" s="803"/>
      <c r="X62" s="804"/>
      <c r="Y62" s="805"/>
    </row>
    <row r="63" spans="2:25" ht="15" customHeight="1" x14ac:dyDescent="0.25">
      <c r="B63" s="638" t="s">
        <v>71</v>
      </c>
      <c r="C63" s="639" t="str">
        <f>IFERROR(_xlfn.XLOOKUP($G63,COM_Cadastro!#REF!,COM_Cadastro!#REF!),"")</f>
        <v/>
      </c>
      <c r="D63" s="640" t="s">
        <v>733</v>
      </c>
      <c r="E63" s="641" t="s">
        <v>796</v>
      </c>
      <c r="F63" s="640" t="s">
        <v>374</v>
      </c>
      <c r="G63" s="638" t="s">
        <v>542</v>
      </c>
      <c r="H63" s="642">
        <v>1780</v>
      </c>
      <c r="I63" s="642"/>
      <c r="J63" s="642">
        <v>0</v>
      </c>
      <c r="K63" s="642">
        <v>0</v>
      </c>
      <c r="L63" s="643">
        <f t="shared" si="0"/>
        <v>1780</v>
      </c>
      <c r="M63" s="644">
        <f t="shared" si="9"/>
        <v>142.4</v>
      </c>
      <c r="N63" s="643">
        <f t="shared" si="10"/>
        <v>148.33333333333334</v>
      </c>
      <c r="O63" s="643">
        <f t="shared" si="11"/>
        <v>49.44444444444445</v>
      </c>
      <c r="P63" s="643">
        <f t="shared" si="12"/>
        <v>15.822222222222225</v>
      </c>
      <c r="Q63" s="455">
        <f t="shared" si="13"/>
        <v>148.33333333333334</v>
      </c>
      <c r="R63" s="455">
        <f t="shared" si="14"/>
        <v>11.866666666666667</v>
      </c>
      <c r="S63" s="643">
        <f t="shared" si="15"/>
        <v>373.80000000000007</v>
      </c>
      <c r="T63" s="643">
        <f t="shared" si="8"/>
        <v>2296.2000000000003</v>
      </c>
      <c r="U63" s="806"/>
      <c r="V63" s="802"/>
      <c r="W63" s="803"/>
      <c r="X63" s="804"/>
      <c r="Y63" s="805"/>
    </row>
    <row r="64" spans="2:25" ht="15" customHeight="1" x14ac:dyDescent="0.25">
      <c r="B64" s="638" t="s">
        <v>71</v>
      </c>
      <c r="C64" s="639" t="str">
        <f>IFERROR(_xlfn.XLOOKUP($G64,COM_Cadastro!#REF!,COM_Cadastro!#REF!),"")</f>
        <v/>
      </c>
      <c r="D64" s="640" t="s">
        <v>733</v>
      </c>
      <c r="E64" s="641" t="s">
        <v>377</v>
      </c>
      <c r="F64" s="640" t="s">
        <v>374</v>
      </c>
      <c r="G64" s="638" t="s">
        <v>549</v>
      </c>
      <c r="H64" s="642">
        <v>1622</v>
      </c>
      <c r="I64" s="642"/>
      <c r="J64" s="642">
        <v>360</v>
      </c>
      <c r="K64" s="642">
        <v>540</v>
      </c>
      <c r="L64" s="643">
        <f t="shared" si="0"/>
        <v>2522</v>
      </c>
      <c r="M64" s="644">
        <f t="shared" si="9"/>
        <v>129.76</v>
      </c>
      <c r="N64" s="643">
        <f t="shared" si="10"/>
        <v>135.16666666666666</v>
      </c>
      <c r="O64" s="643">
        <f t="shared" si="11"/>
        <v>45.05555555555555</v>
      </c>
      <c r="P64" s="643">
        <f t="shared" si="12"/>
        <v>14.417777777777776</v>
      </c>
      <c r="Q64" s="455">
        <f t="shared" si="13"/>
        <v>135.16666666666666</v>
      </c>
      <c r="R64" s="455">
        <f t="shared" si="14"/>
        <v>10.813333333333333</v>
      </c>
      <c r="S64" s="643">
        <f t="shared" si="15"/>
        <v>340.61999999999995</v>
      </c>
      <c r="T64" s="643">
        <f t="shared" si="8"/>
        <v>2992.38</v>
      </c>
      <c r="U64" s="806"/>
      <c r="V64" s="802"/>
      <c r="W64" s="803"/>
      <c r="X64" s="804"/>
      <c r="Y64" s="805"/>
    </row>
    <row r="65" spans="2:25" ht="15" customHeight="1" x14ac:dyDescent="0.25">
      <c r="B65" s="638" t="s">
        <v>71</v>
      </c>
      <c r="C65" s="639" t="str">
        <f>IFERROR(_xlfn.XLOOKUP($G65,COM_Cadastro!#REF!,COM_Cadastro!#REF!),"")</f>
        <v/>
      </c>
      <c r="D65" s="640" t="s">
        <v>733</v>
      </c>
      <c r="E65" s="641" t="s">
        <v>796</v>
      </c>
      <c r="F65" s="640" t="s">
        <v>374</v>
      </c>
      <c r="G65" s="638" t="s">
        <v>562</v>
      </c>
      <c r="H65" s="642">
        <v>1780</v>
      </c>
      <c r="I65" s="642"/>
      <c r="J65" s="642">
        <v>427.2</v>
      </c>
      <c r="K65" s="642">
        <v>540</v>
      </c>
      <c r="L65" s="643">
        <f t="shared" si="0"/>
        <v>2747.2</v>
      </c>
      <c r="M65" s="644">
        <f t="shared" si="9"/>
        <v>142.4</v>
      </c>
      <c r="N65" s="643">
        <f t="shared" si="10"/>
        <v>148.33333333333334</v>
      </c>
      <c r="O65" s="643">
        <f t="shared" si="11"/>
        <v>49.44444444444445</v>
      </c>
      <c r="P65" s="643">
        <f t="shared" si="12"/>
        <v>15.822222222222225</v>
      </c>
      <c r="Q65" s="455">
        <f t="shared" si="13"/>
        <v>148.33333333333334</v>
      </c>
      <c r="R65" s="455">
        <f t="shared" si="14"/>
        <v>11.866666666666667</v>
      </c>
      <c r="S65" s="643">
        <f t="shared" si="15"/>
        <v>373.80000000000007</v>
      </c>
      <c r="T65" s="643">
        <f t="shared" si="8"/>
        <v>3263.4</v>
      </c>
      <c r="U65" s="806"/>
      <c r="V65" s="802"/>
      <c r="W65" s="803"/>
      <c r="X65" s="804"/>
      <c r="Y65" s="805"/>
    </row>
    <row r="66" spans="2:25" ht="15" customHeight="1" x14ac:dyDescent="0.25">
      <c r="B66" s="638" t="s">
        <v>71</v>
      </c>
      <c r="C66" s="639" t="str">
        <f>IFERROR(_xlfn.XLOOKUP($G66,COM_Cadastro!#REF!,COM_Cadastro!#REF!),"")</f>
        <v/>
      </c>
      <c r="D66" s="640" t="s">
        <v>733</v>
      </c>
      <c r="E66" s="641" t="s">
        <v>377</v>
      </c>
      <c r="F66" s="640" t="s">
        <v>374</v>
      </c>
      <c r="G66" s="638" t="s">
        <v>566</v>
      </c>
      <c r="H66" s="642">
        <v>1622</v>
      </c>
      <c r="I66" s="642"/>
      <c r="J66" s="642">
        <v>571.20000000000005</v>
      </c>
      <c r="K66" s="642">
        <v>540</v>
      </c>
      <c r="L66" s="643">
        <f t="shared" si="0"/>
        <v>2733.2</v>
      </c>
      <c r="M66" s="644">
        <f t="shared" si="9"/>
        <v>129.76</v>
      </c>
      <c r="N66" s="643">
        <f t="shared" si="10"/>
        <v>135.16666666666666</v>
      </c>
      <c r="O66" s="643">
        <f t="shared" si="11"/>
        <v>45.05555555555555</v>
      </c>
      <c r="P66" s="643">
        <f t="shared" si="12"/>
        <v>14.417777777777776</v>
      </c>
      <c r="Q66" s="455">
        <f t="shared" si="13"/>
        <v>135.16666666666666</v>
      </c>
      <c r="R66" s="455">
        <f t="shared" si="14"/>
        <v>10.813333333333333</v>
      </c>
      <c r="S66" s="643">
        <f t="shared" si="15"/>
        <v>340.61999999999995</v>
      </c>
      <c r="T66" s="643">
        <f t="shared" si="8"/>
        <v>3203.58</v>
      </c>
      <c r="U66" s="806"/>
      <c r="V66" s="802"/>
      <c r="W66" s="803"/>
      <c r="X66" s="804"/>
      <c r="Y66" s="805"/>
    </row>
    <row r="67" spans="2:25" ht="15" customHeight="1" x14ac:dyDescent="0.25">
      <c r="B67" s="638" t="s">
        <v>71</v>
      </c>
      <c r="C67" s="639" t="str">
        <f>IFERROR(_xlfn.XLOOKUP($G67,COM_Cadastro!#REF!,COM_Cadastro!#REF!),"")</f>
        <v/>
      </c>
      <c r="D67" s="640" t="s">
        <v>733</v>
      </c>
      <c r="E67" s="641" t="s">
        <v>377</v>
      </c>
      <c r="F67" s="640" t="s">
        <v>374</v>
      </c>
      <c r="G67" s="638" t="s">
        <v>604</v>
      </c>
      <c r="H67" s="642">
        <v>1622</v>
      </c>
      <c r="I67" s="642">
        <v>123</v>
      </c>
      <c r="J67" s="642">
        <v>672.72</v>
      </c>
      <c r="K67" s="642">
        <v>540</v>
      </c>
      <c r="L67" s="643">
        <f t="shared" ref="L67:L130" si="16">SUM(H67:K67)</f>
        <v>2957.7200000000003</v>
      </c>
      <c r="M67" s="644">
        <f t="shared" si="9"/>
        <v>129.76</v>
      </c>
      <c r="N67" s="643">
        <f t="shared" si="10"/>
        <v>135.16666666666666</v>
      </c>
      <c r="O67" s="643">
        <f t="shared" ref="O67:O68" si="17">N67/3</f>
        <v>45.05555555555555</v>
      </c>
      <c r="P67" s="643">
        <f t="shared" ref="P67:P68" si="18">(N67+O67)*8%</f>
        <v>14.417777777777776</v>
      </c>
      <c r="Q67" s="455">
        <f t="shared" si="13"/>
        <v>135.16666666666666</v>
      </c>
      <c r="R67" s="455">
        <f t="shared" ref="R67:R68" si="19">Q67*8%</f>
        <v>10.813333333333333</v>
      </c>
      <c r="S67" s="643">
        <f t="shared" ref="S67:S68" si="20">SUM(N67:R67)</f>
        <v>340.61999999999995</v>
      </c>
      <c r="T67" s="643">
        <f t="shared" ref="T67:T130" si="21">L67+M67+S67</f>
        <v>3428.1000000000004</v>
      </c>
      <c r="U67" s="806"/>
      <c r="V67" s="802"/>
      <c r="W67" s="803"/>
      <c r="X67" s="804"/>
      <c r="Y67" s="805"/>
    </row>
    <row r="68" spans="2:25" ht="15" customHeight="1" x14ac:dyDescent="0.25">
      <c r="B68" s="638" t="s">
        <v>71</v>
      </c>
      <c r="C68" s="639" t="str">
        <f>IFERROR(_xlfn.XLOOKUP($G68,COM_Cadastro!#REF!,COM_Cadastro!#REF!),"")</f>
        <v/>
      </c>
      <c r="D68" s="640" t="s">
        <v>733</v>
      </c>
      <c r="E68" s="641" t="s">
        <v>377</v>
      </c>
      <c r="F68" s="640" t="s">
        <v>374</v>
      </c>
      <c r="G68" s="638" t="s">
        <v>615</v>
      </c>
      <c r="H68" s="642">
        <v>1622</v>
      </c>
      <c r="I68" s="642"/>
      <c r="J68" s="642">
        <v>861.6</v>
      </c>
      <c r="K68" s="642">
        <v>540</v>
      </c>
      <c r="L68" s="643">
        <f t="shared" si="16"/>
        <v>3023.6</v>
      </c>
      <c r="M68" s="644">
        <f t="shared" si="9"/>
        <v>129.76</v>
      </c>
      <c r="N68" s="643">
        <f t="shared" si="10"/>
        <v>135.16666666666666</v>
      </c>
      <c r="O68" s="643">
        <f t="shared" si="17"/>
        <v>45.05555555555555</v>
      </c>
      <c r="P68" s="643">
        <f t="shared" si="18"/>
        <v>14.417777777777776</v>
      </c>
      <c r="Q68" s="455">
        <f t="shared" si="13"/>
        <v>135.16666666666666</v>
      </c>
      <c r="R68" s="455">
        <f t="shared" si="19"/>
        <v>10.813333333333333</v>
      </c>
      <c r="S68" s="643">
        <f t="shared" si="20"/>
        <v>340.61999999999995</v>
      </c>
      <c r="T68" s="643">
        <f t="shared" si="21"/>
        <v>3493.9799999999996</v>
      </c>
      <c r="U68" s="806"/>
      <c r="V68" s="802"/>
      <c r="W68" s="803"/>
      <c r="X68" s="804"/>
      <c r="Y68" s="805"/>
    </row>
    <row r="69" spans="2:25" ht="15" customHeight="1" x14ac:dyDescent="0.25">
      <c r="B69" s="663" t="s">
        <v>71</v>
      </c>
      <c r="C69" s="664" t="str">
        <f>IFERROR(_xlfn.XLOOKUP($G69,COM_Cadastro!#REF!,COM_Cadastro!#REF!),"")</f>
        <v/>
      </c>
      <c r="D69" s="665" t="s">
        <v>378</v>
      </c>
      <c r="E69" s="666" t="s">
        <v>378</v>
      </c>
      <c r="F69" s="665" t="s">
        <v>368</v>
      </c>
      <c r="G69" s="667" t="s">
        <v>802</v>
      </c>
      <c r="H69" s="668">
        <v>800</v>
      </c>
      <c r="I69" s="669"/>
      <c r="J69" s="669"/>
      <c r="K69" s="669"/>
      <c r="L69" s="670">
        <f t="shared" si="16"/>
        <v>800</v>
      </c>
      <c r="M69" s="670"/>
      <c r="N69" s="670"/>
      <c r="O69" s="670"/>
      <c r="P69" s="670"/>
      <c r="Q69" s="670"/>
      <c r="R69" s="670"/>
      <c r="S69" s="670"/>
      <c r="T69" s="670">
        <f t="shared" si="21"/>
        <v>800</v>
      </c>
      <c r="U69" s="807"/>
    </row>
    <row r="70" spans="2:25" ht="15" customHeight="1" x14ac:dyDescent="0.25">
      <c r="B70" s="663" t="s">
        <v>71</v>
      </c>
      <c r="C70" s="664" t="str">
        <f>IFERROR(_xlfn.XLOOKUP($G70,COM_Cadastro!#REF!,COM_Cadastro!#REF!),"")</f>
        <v/>
      </c>
      <c r="D70" s="665" t="s">
        <v>378</v>
      </c>
      <c r="E70" s="666" t="s">
        <v>378</v>
      </c>
      <c r="F70" s="665" t="s">
        <v>368</v>
      </c>
      <c r="G70" s="667" t="s">
        <v>744</v>
      </c>
      <c r="H70" s="668">
        <v>2380</v>
      </c>
      <c r="I70" s="669"/>
      <c r="J70" s="669"/>
      <c r="K70" s="669"/>
      <c r="L70" s="670">
        <f t="shared" si="16"/>
        <v>2380</v>
      </c>
      <c r="M70" s="670"/>
      <c r="N70" s="670"/>
      <c r="O70" s="670"/>
      <c r="P70" s="670"/>
      <c r="Q70" s="670"/>
      <c r="R70" s="670"/>
      <c r="S70" s="670"/>
      <c r="T70" s="670">
        <f t="shared" si="21"/>
        <v>2380</v>
      </c>
      <c r="U70" s="807"/>
    </row>
    <row r="71" spans="2:25" ht="15" customHeight="1" x14ac:dyDescent="0.25">
      <c r="B71" s="663" t="s">
        <v>71</v>
      </c>
      <c r="C71" s="664" t="str">
        <f>IFERROR(_xlfn.XLOOKUP($G71,COM_Cadastro!#REF!,COM_Cadastro!#REF!),"")</f>
        <v/>
      </c>
      <c r="D71" s="665" t="s">
        <v>378</v>
      </c>
      <c r="E71" s="666" t="s">
        <v>378</v>
      </c>
      <c r="F71" s="665" t="s">
        <v>368</v>
      </c>
      <c r="G71" s="667" t="s">
        <v>745</v>
      </c>
      <c r="H71" s="668">
        <v>3559</v>
      </c>
      <c r="I71" s="669"/>
      <c r="J71" s="669"/>
      <c r="K71" s="669"/>
      <c r="L71" s="670">
        <f t="shared" si="16"/>
        <v>3559</v>
      </c>
      <c r="M71" s="670"/>
      <c r="N71" s="670"/>
      <c r="O71" s="670"/>
      <c r="P71" s="670"/>
      <c r="Q71" s="670"/>
      <c r="R71" s="670"/>
      <c r="S71" s="670"/>
      <c r="T71" s="670">
        <f t="shared" si="21"/>
        <v>3559</v>
      </c>
      <c r="U71" s="807"/>
    </row>
    <row r="72" spans="2:25" ht="15" customHeight="1" x14ac:dyDescent="0.25">
      <c r="B72" s="663" t="s">
        <v>71</v>
      </c>
      <c r="C72" s="664" t="str">
        <f>IFERROR(_xlfn.XLOOKUP($G72,COM_Cadastro!#REF!,COM_Cadastro!#REF!),"")</f>
        <v/>
      </c>
      <c r="D72" s="665" t="s">
        <v>378</v>
      </c>
      <c r="E72" s="666" t="s">
        <v>378</v>
      </c>
      <c r="F72" s="665" t="s">
        <v>368</v>
      </c>
      <c r="G72" s="667" t="s">
        <v>393</v>
      </c>
      <c r="H72" s="668">
        <v>2530</v>
      </c>
      <c r="I72" s="669"/>
      <c r="J72" s="669"/>
      <c r="K72" s="669"/>
      <c r="L72" s="670">
        <f t="shared" si="16"/>
        <v>2530</v>
      </c>
      <c r="M72" s="670"/>
      <c r="N72" s="670"/>
      <c r="O72" s="670"/>
      <c r="P72" s="670"/>
      <c r="Q72" s="670"/>
      <c r="R72" s="670"/>
      <c r="S72" s="670"/>
      <c r="T72" s="670">
        <f t="shared" si="21"/>
        <v>2530</v>
      </c>
      <c r="U72" s="807"/>
    </row>
    <row r="73" spans="2:25" ht="15" customHeight="1" x14ac:dyDescent="0.25">
      <c r="B73" s="663" t="s">
        <v>71</v>
      </c>
      <c r="C73" s="664" t="str">
        <f>IFERROR(_xlfn.XLOOKUP($G73,COM_Cadastro!#REF!,COM_Cadastro!#REF!),"")</f>
        <v/>
      </c>
      <c r="D73" s="665" t="s">
        <v>378</v>
      </c>
      <c r="E73" s="666" t="s">
        <v>378</v>
      </c>
      <c r="F73" s="665" t="s">
        <v>368</v>
      </c>
      <c r="G73" s="667" t="s">
        <v>394</v>
      </c>
      <c r="H73" s="668">
        <v>1208</v>
      </c>
      <c r="I73" s="669"/>
      <c r="J73" s="669"/>
      <c r="K73" s="669"/>
      <c r="L73" s="670">
        <f t="shared" si="16"/>
        <v>1208</v>
      </c>
      <c r="M73" s="670"/>
      <c r="N73" s="670"/>
      <c r="O73" s="670"/>
      <c r="P73" s="670"/>
      <c r="Q73" s="670"/>
      <c r="R73" s="670"/>
      <c r="S73" s="670"/>
      <c r="T73" s="670">
        <f t="shared" si="21"/>
        <v>1208</v>
      </c>
      <c r="U73" s="807"/>
    </row>
    <row r="74" spans="2:25" ht="15" customHeight="1" x14ac:dyDescent="0.25">
      <c r="B74" s="663" t="s">
        <v>71</v>
      </c>
      <c r="C74" s="664" t="str">
        <f>IFERROR(_xlfn.XLOOKUP($G74,COM_Cadastro!#REF!,COM_Cadastro!#REF!),"")</f>
        <v/>
      </c>
      <c r="D74" s="665" t="s">
        <v>378</v>
      </c>
      <c r="E74" s="666" t="s">
        <v>378</v>
      </c>
      <c r="F74" s="665" t="s">
        <v>368</v>
      </c>
      <c r="G74" s="667" t="s">
        <v>746</v>
      </c>
      <c r="H74" s="668">
        <v>5478</v>
      </c>
      <c r="I74" s="669"/>
      <c r="J74" s="669"/>
      <c r="K74" s="669"/>
      <c r="L74" s="670">
        <f t="shared" si="16"/>
        <v>5478</v>
      </c>
      <c r="M74" s="670"/>
      <c r="N74" s="670"/>
      <c r="O74" s="670"/>
      <c r="P74" s="670"/>
      <c r="Q74" s="670"/>
      <c r="R74" s="670"/>
      <c r="S74" s="670"/>
      <c r="T74" s="670">
        <f t="shared" si="21"/>
        <v>5478</v>
      </c>
      <c r="U74" s="807"/>
    </row>
    <row r="75" spans="2:25" ht="15" customHeight="1" x14ac:dyDescent="0.25">
      <c r="B75" s="663" t="s">
        <v>71</v>
      </c>
      <c r="C75" s="664" t="str">
        <f>IFERROR(_xlfn.XLOOKUP($G75,COM_Cadastro!#REF!,COM_Cadastro!#REF!),"")</f>
        <v/>
      </c>
      <c r="D75" s="665" t="s">
        <v>378</v>
      </c>
      <c r="E75" s="666" t="s">
        <v>378</v>
      </c>
      <c r="F75" s="665" t="s">
        <v>368</v>
      </c>
      <c r="G75" s="667" t="s">
        <v>398</v>
      </c>
      <c r="H75" s="668">
        <v>2040</v>
      </c>
      <c r="I75" s="669"/>
      <c r="J75" s="669"/>
      <c r="K75" s="669"/>
      <c r="L75" s="670">
        <f t="shared" si="16"/>
        <v>2040</v>
      </c>
      <c r="M75" s="670"/>
      <c r="N75" s="670"/>
      <c r="O75" s="670"/>
      <c r="P75" s="670"/>
      <c r="Q75" s="670"/>
      <c r="R75" s="670"/>
      <c r="S75" s="670"/>
      <c r="T75" s="670">
        <f t="shared" si="21"/>
        <v>2040</v>
      </c>
      <c r="U75" s="807"/>
    </row>
    <row r="76" spans="2:25" ht="15" customHeight="1" x14ac:dyDescent="0.25">
      <c r="B76" s="663" t="s">
        <v>71</v>
      </c>
      <c r="C76" s="664" t="str">
        <f>IFERROR(_xlfn.XLOOKUP($G76,COM_Cadastro!#REF!,COM_Cadastro!#REF!),"")</f>
        <v/>
      </c>
      <c r="D76" s="665" t="s">
        <v>378</v>
      </c>
      <c r="E76" s="666" t="s">
        <v>378</v>
      </c>
      <c r="F76" s="665" t="s">
        <v>368</v>
      </c>
      <c r="G76" s="667" t="s">
        <v>747</v>
      </c>
      <c r="H76" s="668">
        <v>2530</v>
      </c>
      <c r="I76" s="669"/>
      <c r="J76" s="669"/>
      <c r="K76" s="669"/>
      <c r="L76" s="670">
        <f t="shared" si="16"/>
        <v>2530</v>
      </c>
      <c r="M76" s="670"/>
      <c r="N76" s="670"/>
      <c r="O76" s="670"/>
      <c r="P76" s="670"/>
      <c r="Q76" s="670"/>
      <c r="R76" s="670"/>
      <c r="S76" s="670"/>
      <c r="T76" s="670">
        <f t="shared" si="21"/>
        <v>2530</v>
      </c>
      <c r="U76" s="807"/>
    </row>
    <row r="77" spans="2:25" ht="15" customHeight="1" x14ac:dyDescent="0.25">
      <c r="B77" s="663" t="s">
        <v>71</v>
      </c>
      <c r="C77" s="664" t="str">
        <f>IFERROR(_xlfn.XLOOKUP($G77,COM_Cadastro!#REF!,COM_Cadastro!#REF!),"")</f>
        <v/>
      </c>
      <c r="D77" s="665" t="s">
        <v>378</v>
      </c>
      <c r="E77" s="666" t="s">
        <v>378</v>
      </c>
      <c r="F77" s="665" t="s">
        <v>368</v>
      </c>
      <c r="G77" s="667" t="s">
        <v>404</v>
      </c>
      <c r="H77" s="668">
        <v>1365</v>
      </c>
      <c r="I77" s="669"/>
      <c r="J77" s="669"/>
      <c r="K77" s="669"/>
      <c r="L77" s="670">
        <f t="shared" si="16"/>
        <v>1365</v>
      </c>
      <c r="M77" s="670"/>
      <c r="N77" s="670"/>
      <c r="O77" s="670"/>
      <c r="P77" s="670"/>
      <c r="Q77" s="670"/>
      <c r="R77" s="670"/>
      <c r="S77" s="670"/>
      <c r="T77" s="670">
        <f t="shared" si="21"/>
        <v>1365</v>
      </c>
      <c r="U77" s="807"/>
    </row>
    <row r="78" spans="2:25" ht="15" customHeight="1" x14ac:dyDescent="0.25">
      <c r="B78" s="663" t="s">
        <v>71</v>
      </c>
      <c r="C78" s="664" t="str">
        <f>IFERROR(_xlfn.XLOOKUP($G78,COM_Cadastro!#REF!,COM_Cadastro!#REF!),"")</f>
        <v/>
      </c>
      <c r="D78" s="665" t="s">
        <v>378</v>
      </c>
      <c r="E78" s="666" t="s">
        <v>378</v>
      </c>
      <c r="F78" s="665" t="s">
        <v>368</v>
      </c>
      <c r="G78" s="667" t="s">
        <v>748</v>
      </c>
      <c r="H78" s="668">
        <v>3712</v>
      </c>
      <c r="I78" s="669"/>
      <c r="J78" s="669"/>
      <c r="K78" s="669"/>
      <c r="L78" s="670">
        <f t="shared" si="16"/>
        <v>3712</v>
      </c>
      <c r="M78" s="670"/>
      <c r="N78" s="670"/>
      <c r="O78" s="670"/>
      <c r="P78" s="670"/>
      <c r="Q78" s="670"/>
      <c r="R78" s="670"/>
      <c r="S78" s="670"/>
      <c r="T78" s="670">
        <f t="shared" si="21"/>
        <v>3712</v>
      </c>
      <c r="U78" s="807"/>
    </row>
    <row r="79" spans="2:25" ht="15" customHeight="1" x14ac:dyDescent="0.25">
      <c r="B79" s="663" t="s">
        <v>71</v>
      </c>
      <c r="C79" s="664" t="str">
        <f>IFERROR(_xlfn.XLOOKUP($G79,COM_Cadastro!#REF!,COM_Cadastro!#REF!),"")</f>
        <v/>
      </c>
      <c r="D79" s="665" t="s">
        <v>378</v>
      </c>
      <c r="E79" s="666" t="s">
        <v>378</v>
      </c>
      <c r="F79" s="665" t="s">
        <v>368</v>
      </c>
      <c r="G79" s="667" t="s">
        <v>749</v>
      </c>
      <c r="H79" s="668">
        <v>1200</v>
      </c>
      <c r="I79" s="669"/>
      <c r="J79" s="669"/>
      <c r="K79" s="669"/>
      <c r="L79" s="670">
        <f t="shared" si="16"/>
        <v>1200</v>
      </c>
      <c r="M79" s="670"/>
      <c r="N79" s="670"/>
      <c r="O79" s="670"/>
      <c r="P79" s="670"/>
      <c r="Q79" s="670"/>
      <c r="R79" s="670"/>
      <c r="S79" s="670"/>
      <c r="T79" s="670">
        <f t="shared" si="21"/>
        <v>1200</v>
      </c>
      <c r="U79" s="807"/>
    </row>
    <row r="80" spans="2:25" ht="15" customHeight="1" x14ac:dyDescent="0.25">
      <c r="B80" s="663" t="s">
        <v>71</v>
      </c>
      <c r="C80" s="664" t="str">
        <f>IFERROR(_xlfn.XLOOKUP($G80,COM_Cadastro!#REF!,COM_Cadastro!#REF!),"")</f>
        <v/>
      </c>
      <c r="D80" s="665" t="s">
        <v>378</v>
      </c>
      <c r="E80" s="666" t="s">
        <v>378</v>
      </c>
      <c r="F80" s="665" t="s">
        <v>368</v>
      </c>
      <c r="G80" s="667" t="s">
        <v>425</v>
      </c>
      <c r="H80" s="668">
        <v>2310</v>
      </c>
      <c r="I80" s="669"/>
      <c r="J80" s="669"/>
      <c r="K80" s="669"/>
      <c r="L80" s="670">
        <f t="shared" si="16"/>
        <v>2310</v>
      </c>
      <c r="M80" s="670"/>
      <c r="N80" s="670"/>
      <c r="O80" s="670"/>
      <c r="P80" s="670"/>
      <c r="Q80" s="670"/>
      <c r="R80" s="670"/>
      <c r="S80" s="670"/>
      <c r="T80" s="670">
        <f t="shared" si="21"/>
        <v>2310</v>
      </c>
      <c r="U80" s="807"/>
    </row>
    <row r="81" spans="2:21" ht="15" customHeight="1" x14ac:dyDescent="0.25">
      <c r="B81" s="663" t="s">
        <v>71</v>
      </c>
      <c r="C81" s="664" t="str">
        <f>IFERROR(_xlfn.XLOOKUP($G81,COM_Cadastro!#REF!,COM_Cadastro!#REF!),"")</f>
        <v/>
      </c>
      <c r="D81" s="665" t="s">
        <v>378</v>
      </c>
      <c r="E81" s="666" t="s">
        <v>378</v>
      </c>
      <c r="F81" s="665" t="s">
        <v>368</v>
      </c>
      <c r="G81" s="667" t="s">
        <v>429</v>
      </c>
      <c r="H81" s="668">
        <v>1823</v>
      </c>
      <c r="I81" s="669"/>
      <c r="J81" s="669"/>
      <c r="K81" s="669"/>
      <c r="L81" s="670">
        <f t="shared" si="16"/>
        <v>1823</v>
      </c>
      <c r="M81" s="670"/>
      <c r="N81" s="670"/>
      <c r="O81" s="670"/>
      <c r="P81" s="670"/>
      <c r="Q81" s="670"/>
      <c r="R81" s="670"/>
      <c r="S81" s="670"/>
      <c r="T81" s="670">
        <f t="shared" si="21"/>
        <v>1823</v>
      </c>
      <c r="U81" s="807"/>
    </row>
    <row r="82" spans="2:21" ht="15" customHeight="1" x14ac:dyDescent="0.25">
      <c r="B82" s="663" t="s">
        <v>71</v>
      </c>
      <c r="C82" s="664" t="str">
        <f>IFERROR(_xlfn.XLOOKUP($G82,COM_Cadastro!#REF!,COM_Cadastro!#REF!),"")</f>
        <v/>
      </c>
      <c r="D82" s="665" t="s">
        <v>378</v>
      </c>
      <c r="E82" s="666" t="s">
        <v>378</v>
      </c>
      <c r="F82" s="665" t="s">
        <v>368</v>
      </c>
      <c r="G82" s="667" t="s">
        <v>434</v>
      </c>
      <c r="H82" s="668">
        <v>3300</v>
      </c>
      <c r="I82" s="669"/>
      <c r="J82" s="669"/>
      <c r="K82" s="669"/>
      <c r="L82" s="670">
        <f t="shared" si="16"/>
        <v>3300</v>
      </c>
      <c r="M82" s="670"/>
      <c r="N82" s="670"/>
      <c r="O82" s="670"/>
      <c r="P82" s="670"/>
      <c r="Q82" s="670"/>
      <c r="R82" s="670"/>
      <c r="S82" s="670"/>
      <c r="T82" s="670">
        <f t="shared" si="21"/>
        <v>3300</v>
      </c>
      <c r="U82" s="807"/>
    </row>
    <row r="83" spans="2:21" ht="15" customHeight="1" x14ac:dyDescent="0.25">
      <c r="B83" s="663" t="s">
        <v>71</v>
      </c>
      <c r="C83" s="664" t="str">
        <f>IFERROR(_xlfn.XLOOKUP($G83,COM_Cadastro!#REF!,COM_Cadastro!#REF!),"")</f>
        <v/>
      </c>
      <c r="D83" s="665" t="s">
        <v>378</v>
      </c>
      <c r="E83" s="666" t="s">
        <v>378</v>
      </c>
      <c r="F83" s="665" t="s">
        <v>368</v>
      </c>
      <c r="G83" s="667" t="s">
        <v>436</v>
      </c>
      <c r="H83" s="668">
        <v>902</v>
      </c>
      <c r="I83" s="669"/>
      <c r="J83" s="669"/>
      <c r="K83" s="669"/>
      <c r="L83" s="670">
        <f t="shared" si="16"/>
        <v>902</v>
      </c>
      <c r="M83" s="670"/>
      <c r="N83" s="670"/>
      <c r="O83" s="670"/>
      <c r="P83" s="670"/>
      <c r="Q83" s="670"/>
      <c r="R83" s="670"/>
      <c r="S83" s="670"/>
      <c r="T83" s="670">
        <f t="shared" si="21"/>
        <v>902</v>
      </c>
      <c r="U83" s="807"/>
    </row>
    <row r="84" spans="2:21" ht="15" customHeight="1" x14ac:dyDescent="0.25">
      <c r="B84" s="663" t="s">
        <v>71</v>
      </c>
      <c r="C84" s="664" t="str">
        <f>IFERROR(_xlfn.XLOOKUP($G84,COM_Cadastro!#REF!,COM_Cadastro!#REF!),"")</f>
        <v/>
      </c>
      <c r="D84" s="665" t="s">
        <v>378</v>
      </c>
      <c r="E84" s="666" t="s">
        <v>378</v>
      </c>
      <c r="F84" s="665" t="s">
        <v>368</v>
      </c>
      <c r="G84" s="667" t="s">
        <v>750</v>
      </c>
      <c r="H84" s="668">
        <v>2300</v>
      </c>
      <c r="I84" s="669"/>
      <c r="J84" s="669"/>
      <c r="K84" s="669"/>
      <c r="L84" s="670">
        <f t="shared" si="16"/>
        <v>2300</v>
      </c>
      <c r="M84" s="670"/>
      <c r="N84" s="670"/>
      <c r="O84" s="670"/>
      <c r="P84" s="670"/>
      <c r="Q84" s="670"/>
      <c r="R84" s="670"/>
      <c r="S84" s="670"/>
      <c r="T84" s="670">
        <f t="shared" si="21"/>
        <v>2300</v>
      </c>
      <c r="U84" s="807"/>
    </row>
    <row r="85" spans="2:21" ht="15" customHeight="1" x14ac:dyDescent="0.25">
      <c r="B85" s="663" t="s">
        <v>71</v>
      </c>
      <c r="C85" s="664" t="str">
        <f>IFERROR(_xlfn.XLOOKUP($G85,COM_Cadastro!#REF!,COM_Cadastro!#REF!),"")</f>
        <v/>
      </c>
      <c r="D85" s="665" t="s">
        <v>378</v>
      </c>
      <c r="E85" s="666" t="s">
        <v>378</v>
      </c>
      <c r="F85" s="665" t="s">
        <v>368</v>
      </c>
      <c r="G85" s="667" t="s">
        <v>442</v>
      </c>
      <c r="H85" s="668">
        <v>1740</v>
      </c>
      <c r="I85" s="669"/>
      <c r="J85" s="669"/>
      <c r="K85" s="669"/>
      <c r="L85" s="670">
        <f t="shared" si="16"/>
        <v>1740</v>
      </c>
      <c r="M85" s="670"/>
      <c r="N85" s="670"/>
      <c r="O85" s="670"/>
      <c r="P85" s="670"/>
      <c r="Q85" s="670"/>
      <c r="R85" s="670"/>
      <c r="S85" s="670"/>
      <c r="T85" s="670">
        <f t="shared" si="21"/>
        <v>1740</v>
      </c>
      <c r="U85" s="807"/>
    </row>
    <row r="86" spans="2:21" ht="15" customHeight="1" x14ac:dyDescent="0.25">
      <c r="B86" s="663" t="s">
        <v>71</v>
      </c>
      <c r="C86" s="664" t="str">
        <f>IFERROR(_xlfn.XLOOKUP($G86,COM_Cadastro!#REF!,COM_Cadastro!#REF!),"")</f>
        <v/>
      </c>
      <c r="D86" s="665" t="s">
        <v>378</v>
      </c>
      <c r="E86" s="666" t="s">
        <v>378</v>
      </c>
      <c r="F86" s="665" t="s">
        <v>368</v>
      </c>
      <c r="G86" s="667" t="s">
        <v>445</v>
      </c>
      <c r="H86" s="668">
        <v>1920</v>
      </c>
      <c r="I86" s="669"/>
      <c r="J86" s="669"/>
      <c r="K86" s="669"/>
      <c r="L86" s="670">
        <f t="shared" si="16"/>
        <v>1920</v>
      </c>
      <c r="M86" s="670"/>
      <c r="N86" s="670"/>
      <c r="O86" s="670"/>
      <c r="P86" s="670"/>
      <c r="Q86" s="670"/>
      <c r="R86" s="670"/>
      <c r="S86" s="670"/>
      <c r="T86" s="670">
        <f t="shared" si="21"/>
        <v>1920</v>
      </c>
      <c r="U86" s="807"/>
    </row>
    <row r="87" spans="2:21" ht="15" customHeight="1" x14ac:dyDescent="0.25">
      <c r="B87" s="663" t="s">
        <v>71</v>
      </c>
      <c r="C87" s="664" t="str">
        <f>IFERROR(_xlfn.XLOOKUP($G87,COM_Cadastro!#REF!,COM_Cadastro!#REF!),"")</f>
        <v/>
      </c>
      <c r="D87" s="665" t="s">
        <v>378</v>
      </c>
      <c r="E87" s="666" t="s">
        <v>378</v>
      </c>
      <c r="F87" s="665" t="s">
        <v>368</v>
      </c>
      <c r="G87" s="667" t="s">
        <v>449</v>
      </c>
      <c r="H87" s="668">
        <v>1320</v>
      </c>
      <c r="I87" s="669"/>
      <c r="J87" s="669"/>
      <c r="K87" s="669"/>
      <c r="L87" s="670">
        <f t="shared" si="16"/>
        <v>1320</v>
      </c>
      <c r="M87" s="670"/>
      <c r="N87" s="670"/>
      <c r="O87" s="670"/>
      <c r="P87" s="670"/>
      <c r="Q87" s="670"/>
      <c r="R87" s="670"/>
      <c r="S87" s="670"/>
      <c r="T87" s="670">
        <f t="shared" si="21"/>
        <v>1320</v>
      </c>
      <c r="U87" s="807"/>
    </row>
    <row r="88" spans="2:21" ht="15" customHeight="1" x14ac:dyDescent="0.25">
      <c r="B88" s="663" t="s">
        <v>71</v>
      </c>
      <c r="C88" s="664" t="str">
        <f>IFERROR(_xlfn.XLOOKUP($G88,COM_Cadastro!#REF!,COM_Cadastro!#REF!),"")</f>
        <v/>
      </c>
      <c r="D88" s="665" t="s">
        <v>378</v>
      </c>
      <c r="E88" s="666" t="s">
        <v>378</v>
      </c>
      <c r="F88" s="665" t="s">
        <v>368</v>
      </c>
      <c r="G88" s="667" t="s">
        <v>454</v>
      </c>
      <c r="H88" s="668">
        <v>2260</v>
      </c>
      <c r="I88" s="669"/>
      <c r="J88" s="669"/>
      <c r="K88" s="669"/>
      <c r="L88" s="670">
        <f t="shared" si="16"/>
        <v>2260</v>
      </c>
      <c r="M88" s="670"/>
      <c r="N88" s="670"/>
      <c r="O88" s="670"/>
      <c r="P88" s="670"/>
      <c r="Q88" s="670"/>
      <c r="R88" s="670"/>
      <c r="S88" s="670"/>
      <c r="T88" s="670">
        <f t="shared" si="21"/>
        <v>2260</v>
      </c>
      <c r="U88" s="807"/>
    </row>
    <row r="89" spans="2:21" ht="15" customHeight="1" x14ac:dyDescent="0.25">
      <c r="B89" s="663" t="s">
        <v>71</v>
      </c>
      <c r="C89" s="664" t="str">
        <f>IFERROR(_xlfn.XLOOKUP($G89,COM_Cadastro!#REF!,COM_Cadastro!#REF!),"")</f>
        <v/>
      </c>
      <c r="D89" s="665" t="s">
        <v>378</v>
      </c>
      <c r="E89" s="666" t="s">
        <v>378</v>
      </c>
      <c r="F89" s="665" t="s">
        <v>368</v>
      </c>
      <c r="G89" s="667" t="s">
        <v>468</v>
      </c>
      <c r="H89" s="668">
        <v>1260</v>
      </c>
      <c r="I89" s="669"/>
      <c r="J89" s="669"/>
      <c r="K89" s="669"/>
      <c r="L89" s="670">
        <f t="shared" si="16"/>
        <v>1260</v>
      </c>
      <c r="M89" s="670"/>
      <c r="N89" s="670"/>
      <c r="O89" s="670"/>
      <c r="P89" s="670"/>
      <c r="Q89" s="670"/>
      <c r="R89" s="670"/>
      <c r="S89" s="670"/>
      <c r="T89" s="670">
        <f t="shared" si="21"/>
        <v>1260</v>
      </c>
      <c r="U89" s="807"/>
    </row>
    <row r="90" spans="2:21" ht="15" customHeight="1" x14ac:dyDescent="0.25">
      <c r="B90" s="663" t="s">
        <v>71</v>
      </c>
      <c r="C90" s="664" t="str">
        <f>IFERROR(_xlfn.XLOOKUP($G90,COM_Cadastro!#REF!,COM_Cadastro!#REF!),"")</f>
        <v/>
      </c>
      <c r="D90" s="665" t="s">
        <v>378</v>
      </c>
      <c r="E90" s="666" t="s">
        <v>378</v>
      </c>
      <c r="F90" s="665" t="s">
        <v>368</v>
      </c>
      <c r="G90" s="667" t="s">
        <v>472</v>
      </c>
      <c r="H90" s="668">
        <v>720</v>
      </c>
      <c r="I90" s="669"/>
      <c r="J90" s="669"/>
      <c r="K90" s="669"/>
      <c r="L90" s="670">
        <f t="shared" si="16"/>
        <v>720</v>
      </c>
      <c r="M90" s="670"/>
      <c r="N90" s="670"/>
      <c r="O90" s="670"/>
      <c r="P90" s="670"/>
      <c r="Q90" s="670"/>
      <c r="R90" s="670"/>
      <c r="S90" s="670"/>
      <c r="T90" s="670">
        <f t="shared" si="21"/>
        <v>720</v>
      </c>
      <c r="U90" s="807"/>
    </row>
    <row r="91" spans="2:21" ht="15" customHeight="1" x14ac:dyDescent="0.25">
      <c r="B91" s="663" t="s">
        <v>71</v>
      </c>
      <c r="C91" s="664" t="str">
        <f>IFERROR(_xlfn.XLOOKUP($G91,COM_Cadastro!#REF!,COM_Cadastro!#REF!),"")</f>
        <v/>
      </c>
      <c r="D91" s="665" t="s">
        <v>378</v>
      </c>
      <c r="E91" s="666" t="s">
        <v>378</v>
      </c>
      <c r="F91" s="665" t="s">
        <v>368</v>
      </c>
      <c r="G91" s="667" t="s">
        <v>751</v>
      </c>
      <c r="H91" s="668">
        <v>2530</v>
      </c>
      <c r="I91" s="669"/>
      <c r="J91" s="669"/>
      <c r="K91" s="669"/>
      <c r="L91" s="670">
        <f t="shared" si="16"/>
        <v>2530</v>
      </c>
      <c r="M91" s="670"/>
      <c r="N91" s="670"/>
      <c r="O91" s="670"/>
      <c r="P91" s="670"/>
      <c r="Q91" s="670"/>
      <c r="R91" s="670"/>
      <c r="S91" s="670"/>
      <c r="T91" s="670">
        <f t="shared" si="21"/>
        <v>2530</v>
      </c>
      <c r="U91" s="807"/>
    </row>
    <row r="92" spans="2:21" ht="15" customHeight="1" x14ac:dyDescent="0.25">
      <c r="B92" s="663" t="s">
        <v>71</v>
      </c>
      <c r="C92" s="664" t="str">
        <f>IFERROR(_xlfn.XLOOKUP($G92,COM_Cadastro!#REF!,COM_Cadastro!#REF!),"")</f>
        <v/>
      </c>
      <c r="D92" s="665" t="s">
        <v>378</v>
      </c>
      <c r="E92" s="666" t="s">
        <v>378</v>
      </c>
      <c r="F92" s="665" t="s">
        <v>368</v>
      </c>
      <c r="G92" s="667" t="s">
        <v>752</v>
      </c>
      <c r="H92" s="668">
        <v>1510</v>
      </c>
      <c r="I92" s="669"/>
      <c r="J92" s="669"/>
      <c r="K92" s="669"/>
      <c r="L92" s="670">
        <f t="shared" si="16"/>
        <v>1510</v>
      </c>
      <c r="M92" s="670"/>
      <c r="N92" s="670"/>
      <c r="O92" s="670"/>
      <c r="P92" s="670"/>
      <c r="Q92" s="670"/>
      <c r="R92" s="670"/>
      <c r="S92" s="670"/>
      <c r="T92" s="670">
        <f t="shared" si="21"/>
        <v>1510</v>
      </c>
      <c r="U92" s="807"/>
    </row>
    <row r="93" spans="2:21" ht="15" customHeight="1" x14ac:dyDescent="0.25">
      <c r="B93" s="663" t="s">
        <v>71</v>
      </c>
      <c r="C93" s="664" t="str">
        <f>IFERROR(_xlfn.XLOOKUP($G93,COM_Cadastro!#REF!,COM_Cadastro!#REF!),"")</f>
        <v/>
      </c>
      <c r="D93" s="665" t="s">
        <v>378</v>
      </c>
      <c r="E93" s="666" t="s">
        <v>378</v>
      </c>
      <c r="F93" s="665" t="s">
        <v>368</v>
      </c>
      <c r="G93" s="667" t="s">
        <v>753</v>
      </c>
      <c r="H93" s="668">
        <v>2537</v>
      </c>
      <c r="I93" s="669"/>
      <c r="J93" s="669"/>
      <c r="K93" s="669"/>
      <c r="L93" s="670">
        <f t="shared" si="16"/>
        <v>2537</v>
      </c>
      <c r="M93" s="670"/>
      <c r="N93" s="670"/>
      <c r="O93" s="670"/>
      <c r="P93" s="670"/>
      <c r="Q93" s="670"/>
      <c r="R93" s="670"/>
      <c r="S93" s="670"/>
      <c r="T93" s="670">
        <f t="shared" si="21"/>
        <v>2537</v>
      </c>
      <c r="U93" s="807"/>
    </row>
    <row r="94" spans="2:21" ht="15" customHeight="1" x14ac:dyDescent="0.25">
      <c r="B94" s="663" t="s">
        <v>71</v>
      </c>
      <c r="C94" s="664" t="str">
        <f>IFERROR(_xlfn.XLOOKUP($G94,COM_Cadastro!#REF!,COM_Cadastro!#REF!),"")</f>
        <v/>
      </c>
      <c r="D94" s="665" t="s">
        <v>378</v>
      </c>
      <c r="E94" s="666" t="s">
        <v>378</v>
      </c>
      <c r="F94" s="665" t="s">
        <v>368</v>
      </c>
      <c r="G94" s="667" t="s">
        <v>487</v>
      </c>
      <c r="H94" s="668">
        <v>2080</v>
      </c>
      <c r="I94" s="669"/>
      <c r="J94" s="669"/>
      <c r="K94" s="669"/>
      <c r="L94" s="670">
        <f t="shared" si="16"/>
        <v>2080</v>
      </c>
      <c r="M94" s="670"/>
      <c r="N94" s="670"/>
      <c r="O94" s="670"/>
      <c r="P94" s="670"/>
      <c r="Q94" s="670"/>
      <c r="R94" s="670"/>
      <c r="S94" s="670"/>
      <c r="T94" s="670">
        <f t="shared" si="21"/>
        <v>2080</v>
      </c>
      <c r="U94" s="807"/>
    </row>
    <row r="95" spans="2:21" ht="15" customHeight="1" x14ac:dyDescent="0.25">
      <c r="B95" s="663" t="s">
        <v>71</v>
      </c>
      <c r="C95" s="664" t="str">
        <f>IFERROR(_xlfn.XLOOKUP($G95,COM_Cadastro!#REF!,COM_Cadastro!#REF!),"")</f>
        <v/>
      </c>
      <c r="D95" s="665" t="s">
        <v>378</v>
      </c>
      <c r="E95" s="666" t="s">
        <v>378</v>
      </c>
      <c r="F95" s="665" t="s">
        <v>368</v>
      </c>
      <c r="G95" s="667" t="s">
        <v>489</v>
      </c>
      <c r="H95" s="668">
        <v>2020</v>
      </c>
      <c r="I95" s="669"/>
      <c r="J95" s="669"/>
      <c r="K95" s="669"/>
      <c r="L95" s="670">
        <f t="shared" si="16"/>
        <v>2020</v>
      </c>
      <c r="M95" s="670"/>
      <c r="N95" s="670"/>
      <c r="O95" s="670"/>
      <c r="P95" s="670"/>
      <c r="Q95" s="670"/>
      <c r="R95" s="670"/>
      <c r="S95" s="670"/>
      <c r="T95" s="670">
        <f t="shared" si="21"/>
        <v>2020</v>
      </c>
      <c r="U95" s="807"/>
    </row>
    <row r="96" spans="2:21" ht="15" customHeight="1" x14ac:dyDescent="0.25">
      <c r="B96" s="663" t="s">
        <v>71</v>
      </c>
      <c r="C96" s="664" t="str">
        <f>IFERROR(_xlfn.XLOOKUP($G96,COM_Cadastro!#REF!,COM_Cadastro!#REF!),"")</f>
        <v/>
      </c>
      <c r="D96" s="665" t="s">
        <v>378</v>
      </c>
      <c r="E96" s="666" t="s">
        <v>378</v>
      </c>
      <c r="F96" s="665" t="s">
        <v>368</v>
      </c>
      <c r="G96" s="667" t="s">
        <v>754</v>
      </c>
      <c r="H96" s="668">
        <v>4509</v>
      </c>
      <c r="I96" s="669"/>
      <c r="J96" s="669"/>
      <c r="K96" s="669"/>
      <c r="L96" s="670">
        <f t="shared" si="16"/>
        <v>4509</v>
      </c>
      <c r="M96" s="670"/>
      <c r="N96" s="670"/>
      <c r="O96" s="670"/>
      <c r="P96" s="670"/>
      <c r="Q96" s="670"/>
      <c r="R96" s="670"/>
      <c r="S96" s="670"/>
      <c r="T96" s="670">
        <f t="shared" si="21"/>
        <v>4509</v>
      </c>
      <c r="U96" s="807"/>
    </row>
    <row r="97" spans="2:21" ht="15" customHeight="1" x14ac:dyDescent="0.25">
      <c r="B97" s="663" t="s">
        <v>71</v>
      </c>
      <c r="C97" s="664" t="str">
        <f>IFERROR(_xlfn.XLOOKUP($G97,COM_Cadastro!#REF!,COM_Cadastro!#REF!),"")</f>
        <v/>
      </c>
      <c r="D97" s="665" t="s">
        <v>378</v>
      </c>
      <c r="E97" s="666" t="s">
        <v>378</v>
      </c>
      <c r="F97" s="665" t="s">
        <v>368</v>
      </c>
      <c r="G97" s="667" t="s">
        <v>755</v>
      </c>
      <c r="H97" s="668">
        <v>1200</v>
      </c>
      <c r="I97" s="669"/>
      <c r="J97" s="669"/>
      <c r="K97" s="669"/>
      <c r="L97" s="670">
        <f t="shared" si="16"/>
        <v>1200</v>
      </c>
      <c r="M97" s="670"/>
      <c r="N97" s="670"/>
      <c r="O97" s="670"/>
      <c r="P97" s="670"/>
      <c r="Q97" s="670"/>
      <c r="R97" s="670"/>
      <c r="S97" s="670"/>
      <c r="T97" s="670">
        <f t="shared" si="21"/>
        <v>1200</v>
      </c>
      <c r="U97" s="807"/>
    </row>
    <row r="98" spans="2:21" ht="15" customHeight="1" x14ac:dyDescent="0.25">
      <c r="B98" s="663" t="s">
        <v>71</v>
      </c>
      <c r="C98" s="664" t="str">
        <f>IFERROR(_xlfn.XLOOKUP($G98,COM_Cadastro!#REF!,COM_Cadastro!#REF!),"")</f>
        <v/>
      </c>
      <c r="D98" s="665" t="s">
        <v>378</v>
      </c>
      <c r="E98" s="666" t="s">
        <v>378</v>
      </c>
      <c r="F98" s="665" t="s">
        <v>368</v>
      </c>
      <c r="G98" s="667" t="s">
        <v>496</v>
      </c>
      <c r="H98" s="668">
        <v>2305</v>
      </c>
      <c r="I98" s="669"/>
      <c r="J98" s="669"/>
      <c r="K98" s="669"/>
      <c r="L98" s="670">
        <f t="shared" si="16"/>
        <v>2305</v>
      </c>
      <c r="M98" s="670"/>
      <c r="N98" s="670"/>
      <c r="O98" s="670"/>
      <c r="P98" s="670"/>
      <c r="Q98" s="670"/>
      <c r="R98" s="670"/>
      <c r="S98" s="670"/>
      <c r="T98" s="670">
        <f t="shared" si="21"/>
        <v>2305</v>
      </c>
      <c r="U98" s="807"/>
    </row>
    <row r="99" spans="2:21" ht="15" customHeight="1" x14ac:dyDescent="0.25">
      <c r="B99" s="663" t="s">
        <v>71</v>
      </c>
      <c r="C99" s="664" t="str">
        <f>IFERROR(_xlfn.XLOOKUP($G99,COM_Cadastro!#REF!,COM_Cadastro!#REF!),"")</f>
        <v/>
      </c>
      <c r="D99" s="665" t="s">
        <v>378</v>
      </c>
      <c r="E99" s="666" t="s">
        <v>378</v>
      </c>
      <c r="F99" s="665" t="s">
        <v>368</v>
      </c>
      <c r="G99" s="667" t="s">
        <v>756</v>
      </c>
      <c r="H99" s="668">
        <v>1997</v>
      </c>
      <c r="I99" s="669"/>
      <c r="J99" s="669"/>
      <c r="K99" s="669"/>
      <c r="L99" s="670">
        <f t="shared" si="16"/>
        <v>1997</v>
      </c>
      <c r="M99" s="670"/>
      <c r="N99" s="670"/>
      <c r="O99" s="670"/>
      <c r="P99" s="670"/>
      <c r="Q99" s="670"/>
      <c r="R99" s="670"/>
      <c r="S99" s="670"/>
      <c r="T99" s="670">
        <f t="shared" si="21"/>
        <v>1997</v>
      </c>
      <c r="U99" s="807"/>
    </row>
    <row r="100" spans="2:21" ht="15" customHeight="1" x14ac:dyDescent="0.25">
      <c r="B100" s="663" t="s">
        <v>71</v>
      </c>
      <c r="C100" s="664" t="str">
        <f>IFERROR(_xlfn.XLOOKUP($G100,COM_Cadastro!#REF!,COM_Cadastro!#REF!),"")</f>
        <v/>
      </c>
      <c r="D100" s="665" t="s">
        <v>378</v>
      </c>
      <c r="E100" s="666" t="s">
        <v>378</v>
      </c>
      <c r="F100" s="665" t="s">
        <v>368</v>
      </c>
      <c r="G100" s="667" t="s">
        <v>500</v>
      </c>
      <c r="H100" s="668">
        <v>2500.1999999999998</v>
      </c>
      <c r="I100" s="669"/>
      <c r="J100" s="669"/>
      <c r="K100" s="669"/>
      <c r="L100" s="670">
        <f t="shared" si="16"/>
        <v>2500.1999999999998</v>
      </c>
      <c r="M100" s="670"/>
      <c r="N100" s="670"/>
      <c r="O100" s="670"/>
      <c r="P100" s="670"/>
      <c r="Q100" s="670"/>
      <c r="R100" s="670"/>
      <c r="S100" s="670"/>
      <c r="T100" s="670">
        <f t="shared" si="21"/>
        <v>2500.1999999999998</v>
      </c>
      <c r="U100" s="807"/>
    </row>
    <row r="101" spans="2:21" ht="15" customHeight="1" x14ac:dyDescent="0.25">
      <c r="B101" s="663" t="s">
        <v>71</v>
      </c>
      <c r="C101" s="664" t="str">
        <f>IFERROR(_xlfn.XLOOKUP($G101,COM_Cadastro!#REF!,COM_Cadastro!#REF!),"")</f>
        <v/>
      </c>
      <c r="D101" s="665" t="s">
        <v>378</v>
      </c>
      <c r="E101" s="666" t="s">
        <v>378</v>
      </c>
      <c r="F101" s="665" t="s">
        <v>368</v>
      </c>
      <c r="G101" s="667" t="s">
        <v>504</v>
      </c>
      <c r="H101" s="668">
        <v>2070</v>
      </c>
      <c r="I101" s="669"/>
      <c r="J101" s="669"/>
      <c r="K101" s="669"/>
      <c r="L101" s="670">
        <f t="shared" si="16"/>
        <v>2070</v>
      </c>
      <c r="M101" s="670"/>
      <c r="N101" s="670"/>
      <c r="O101" s="670"/>
      <c r="P101" s="670"/>
      <c r="Q101" s="670"/>
      <c r="R101" s="670"/>
      <c r="S101" s="670"/>
      <c r="T101" s="670">
        <f t="shared" si="21"/>
        <v>2070</v>
      </c>
      <c r="U101" s="807"/>
    </row>
    <row r="102" spans="2:21" ht="15" customHeight="1" x14ac:dyDescent="0.25">
      <c r="B102" s="663" t="s">
        <v>71</v>
      </c>
      <c r="C102" s="664" t="str">
        <f>IFERROR(_xlfn.XLOOKUP($G102,COM_Cadastro!#REF!,COM_Cadastro!#REF!),"")</f>
        <v/>
      </c>
      <c r="D102" s="665" t="s">
        <v>378</v>
      </c>
      <c r="E102" s="666" t="s">
        <v>378</v>
      </c>
      <c r="F102" s="665" t="s">
        <v>368</v>
      </c>
      <c r="G102" s="667" t="s">
        <v>521</v>
      </c>
      <c r="H102" s="668">
        <v>2760</v>
      </c>
      <c r="I102" s="669"/>
      <c r="J102" s="669"/>
      <c r="K102" s="669"/>
      <c r="L102" s="670">
        <f t="shared" si="16"/>
        <v>2760</v>
      </c>
      <c r="M102" s="670"/>
      <c r="N102" s="670"/>
      <c r="O102" s="670"/>
      <c r="P102" s="670"/>
      <c r="Q102" s="670"/>
      <c r="R102" s="670"/>
      <c r="S102" s="670"/>
      <c r="T102" s="670">
        <f t="shared" si="21"/>
        <v>2760</v>
      </c>
      <c r="U102" s="807"/>
    </row>
    <row r="103" spans="2:21" ht="15" customHeight="1" x14ac:dyDescent="0.25">
      <c r="B103" s="663" t="s">
        <v>71</v>
      </c>
      <c r="C103" s="664" t="str">
        <f>IFERROR(_xlfn.XLOOKUP($G103,COM_Cadastro!#REF!,COM_Cadastro!#REF!),"")</f>
        <v/>
      </c>
      <c r="D103" s="665" t="s">
        <v>378</v>
      </c>
      <c r="E103" s="666" t="s">
        <v>378</v>
      </c>
      <c r="F103" s="665" t="s">
        <v>368</v>
      </c>
      <c r="G103" s="667" t="s">
        <v>757</v>
      </c>
      <c r="H103" s="668">
        <v>5020</v>
      </c>
      <c r="I103" s="669"/>
      <c r="J103" s="669"/>
      <c r="K103" s="669"/>
      <c r="L103" s="670">
        <f t="shared" si="16"/>
        <v>5020</v>
      </c>
      <c r="M103" s="670"/>
      <c r="N103" s="670"/>
      <c r="O103" s="670"/>
      <c r="P103" s="670"/>
      <c r="Q103" s="670"/>
      <c r="R103" s="670"/>
      <c r="S103" s="670"/>
      <c r="T103" s="670">
        <f t="shared" si="21"/>
        <v>5020</v>
      </c>
      <c r="U103" s="807"/>
    </row>
    <row r="104" spans="2:21" ht="15" customHeight="1" x14ac:dyDescent="0.25">
      <c r="B104" s="663" t="s">
        <v>71</v>
      </c>
      <c r="C104" s="664" t="str">
        <f>IFERROR(_xlfn.XLOOKUP($G104,COM_Cadastro!#REF!,COM_Cadastro!#REF!),"")</f>
        <v/>
      </c>
      <c r="D104" s="665" t="s">
        <v>378</v>
      </c>
      <c r="E104" s="666" t="s">
        <v>378</v>
      </c>
      <c r="F104" s="665" t="s">
        <v>368</v>
      </c>
      <c r="G104" s="667" t="s">
        <v>527</v>
      </c>
      <c r="H104" s="668">
        <v>4429</v>
      </c>
      <c r="I104" s="669"/>
      <c r="J104" s="669"/>
      <c r="K104" s="669"/>
      <c r="L104" s="670">
        <f t="shared" si="16"/>
        <v>4429</v>
      </c>
      <c r="M104" s="670"/>
      <c r="N104" s="670"/>
      <c r="O104" s="670"/>
      <c r="P104" s="670"/>
      <c r="Q104" s="670"/>
      <c r="R104" s="670"/>
      <c r="S104" s="670"/>
      <c r="T104" s="670">
        <f t="shared" si="21"/>
        <v>4429</v>
      </c>
      <c r="U104" s="807"/>
    </row>
    <row r="105" spans="2:21" ht="15" customHeight="1" x14ac:dyDescent="0.25">
      <c r="B105" s="663" t="s">
        <v>71</v>
      </c>
      <c r="C105" s="664" t="str">
        <f>IFERROR(_xlfn.XLOOKUP($G105,COM_Cadastro!#REF!,COM_Cadastro!#REF!),"")</f>
        <v/>
      </c>
      <c r="D105" s="665" t="s">
        <v>378</v>
      </c>
      <c r="E105" s="666" t="s">
        <v>378</v>
      </c>
      <c r="F105" s="665" t="s">
        <v>368</v>
      </c>
      <c r="G105" s="667" t="s">
        <v>758</v>
      </c>
      <c r="H105" s="668">
        <v>2098</v>
      </c>
      <c r="I105" s="669"/>
      <c r="J105" s="669"/>
      <c r="K105" s="669"/>
      <c r="L105" s="670">
        <f t="shared" si="16"/>
        <v>2098</v>
      </c>
      <c r="M105" s="670"/>
      <c r="N105" s="670"/>
      <c r="O105" s="670"/>
      <c r="P105" s="670"/>
      <c r="Q105" s="670"/>
      <c r="R105" s="670"/>
      <c r="S105" s="670"/>
      <c r="T105" s="670">
        <f t="shared" si="21"/>
        <v>2098</v>
      </c>
      <c r="U105" s="807"/>
    </row>
    <row r="106" spans="2:21" ht="15" customHeight="1" x14ac:dyDescent="0.25">
      <c r="B106" s="663" t="s">
        <v>71</v>
      </c>
      <c r="C106" s="664" t="str">
        <f>IFERROR(_xlfn.XLOOKUP($G106,COM_Cadastro!#REF!,COM_Cadastro!#REF!),"")</f>
        <v/>
      </c>
      <c r="D106" s="665" t="s">
        <v>378</v>
      </c>
      <c r="E106" s="666" t="s">
        <v>378</v>
      </c>
      <c r="F106" s="665" t="s">
        <v>368</v>
      </c>
      <c r="G106" s="667" t="s">
        <v>803</v>
      </c>
      <c r="H106" s="668">
        <v>1036.5999999999999</v>
      </c>
      <c r="I106" s="669"/>
      <c r="J106" s="669"/>
      <c r="K106" s="669"/>
      <c r="L106" s="670">
        <f t="shared" si="16"/>
        <v>1036.5999999999999</v>
      </c>
      <c r="M106" s="670"/>
      <c r="N106" s="670"/>
      <c r="O106" s="670"/>
      <c r="P106" s="670"/>
      <c r="Q106" s="670"/>
      <c r="R106" s="670"/>
      <c r="S106" s="670"/>
      <c r="T106" s="670">
        <f t="shared" si="21"/>
        <v>1036.5999999999999</v>
      </c>
    </row>
    <row r="107" spans="2:21" ht="15" customHeight="1" x14ac:dyDescent="0.25">
      <c r="B107" s="663" t="s">
        <v>71</v>
      </c>
      <c r="C107" s="664" t="str">
        <f>IFERROR(_xlfn.XLOOKUP($G107,COM_Cadastro!#REF!,COM_Cadastro!#REF!),"")</f>
        <v/>
      </c>
      <c r="D107" s="665" t="s">
        <v>378</v>
      </c>
      <c r="E107" s="666" t="s">
        <v>378</v>
      </c>
      <c r="F107" s="665" t="s">
        <v>368</v>
      </c>
      <c r="G107" s="667" t="s">
        <v>759</v>
      </c>
      <c r="H107" s="668">
        <v>1770</v>
      </c>
      <c r="I107" s="669"/>
      <c r="J107" s="669"/>
      <c r="K107" s="669"/>
      <c r="L107" s="670">
        <f t="shared" si="16"/>
        <v>1770</v>
      </c>
      <c r="M107" s="670"/>
      <c r="N107" s="670"/>
      <c r="O107" s="670"/>
      <c r="P107" s="670"/>
      <c r="Q107" s="670"/>
      <c r="R107" s="670"/>
      <c r="S107" s="670"/>
      <c r="T107" s="670">
        <f t="shared" si="21"/>
        <v>1770</v>
      </c>
    </row>
    <row r="108" spans="2:21" ht="15" customHeight="1" x14ac:dyDescent="0.25">
      <c r="B108" s="663" t="s">
        <v>71</v>
      </c>
      <c r="C108" s="664" t="str">
        <f>IFERROR(_xlfn.XLOOKUP($G108,COM_Cadastro!#REF!,COM_Cadastro!#REF!),"")</f>
        <v/>
      </c>
      <c r="D108" s="665" t="s">
        <v>378</v>
      </c>
      <c r="E108" s="666" t="s">
        <v>378</v>
      </c>
      <c r="F108" s="665" t="s">
        <v>368</v>
      </c>
      <c r="G108" s="667" t="s">
        <v>760</v>
      </c>
      <c r="H108" s="668">
        <v>1980</v>
      </c>
      <c r="I108" s="669"/>
      <c r="J108" s="669"/>
      <c r="K108" s="669"/>
      <c r="L108" s="670">
        <f t="shared" si="16"/>
        <v>1980</v>
      </c>
      <c r="M108" s="670"/>
      <c r="N108" s="670"/>
      <c r="O108" s="670"/>
      <c r="P108" s="670"/>
      <c r="Q108" s="670"/>
      <c r="R108" s="670"/>
      <c r="S108" s="670"/>
      <c r="T108" s="670">
        <f t="shared" si="21"/>
        <v>1980</v>
      </c>
    </row>
    <row r="109" spans="2:21" ht="15" customHeight="1" x14ac:dyDescent="0.25">
      <c r="B109" s="663" t="s">
        <v>71</v>
      </c>
      <c r="C109" s="664" t="str">
        <f>IFERROR(_xlfn.XLOOKUP($G109,COM_Cadastro!#REF!,COM_Cadastro!#REF!),"")</f>
        <v/>
      </c>
      <c r="D109" s="665" t="s">
        <v>378</v>
      </c>
      <c r="E109" s="666" t="s">
        <v>378</v>
      </c>
      <c r="F109" s="665" t="s">
        <v>368</v>
      </c>
      <c r="G109" s="667" t="s">
        <v>572</v>
      </c>
      <c r="H109" s="668">
        <v>2100</v>
      </c>
      <c r="I109" s="669"/>
      <c r="J109" s="669"/>
      <c r="K109" s="669"/>
      <c r="L109" s="670">
        <f t="shared" si="16"/>
        <v>2100</v>
      </c>
      <c r="M109" s="670"/>
      <c r="N109" s="670"/>
      <c r="O109" s="670"/>
      <c r="P109" s="670"/>
      <c r="Q109" s="670"/>
      <c r="R109" s="670"/>
      <c r="S109" s="670"/>
      <c r="T109" s="670">
        <f t="shared" si="21"/>
        <v>2100</v>
      </c>
    </row>
    <row r="110" spans="2:21" ht="15" customHeight="1" x14ac:dyDescent="0.25">
      <c r="B110" s="663" t="s">
        <v>71</v>
      </c>
      <c r="C110" s="664" t="str">
        <f>IFERROR(_xlfn.XLOOKUP($G110,COM_Cadastro!#REF!,COM_Cadastro!#REF!),"")</f>
        <v/>
      </c>
      <c r="D110" s="665" t="s">
        <v>378</v>
      </c>
      <c r="E110" s="666" t="s">
        <v>378</v>
      </c>
      <c r="F110" s="665" t="s">
        <v>368</v>
      </c>
      <c r="G110" s="667" t="s">
        <v>577</v>
      </c>
      <c r="H110" s="668">
        <v>3300</v>
      </c>
      <c r="I110" s="669"/>
      <c r="J110" s="669"/>
      <c r="K110" s="669"/>
      <c r="L110" s="670">
        <f t="shared" si="16"/>
        <v>3300</v>
      </c>
      <c r="M110" s="670"/>
      <c r="N110" s="670"/>
      <c r="O110" s="670"/>
      <c r="P110" s="670"/>
      <c r="Q110" s="670"/>
      <c r="R110" s="670"/>
      <c r="S110" s="670"/>
      <c r="T110" s="670">
        <f t="shared" si="21"/>
        <v>3300</v>
      </c>
    </row>
    <row r="111" spans="2:21" ht="15" customHeight="1" x14ac:dyDescent="0.25">
      <c r="B111" s="663" t="s">
        <v>71</v>
      </c>
      <c r="C111" s="664" t="str">
        <f>IFERROR(_xlfn.XLOOKUP($G111,COM_Cadastro!#REF!,COM_Cadastro!#REF!),"")</f>
        <v/>
      </c>
      <c r="D111" s="665" t="s">
        <v>378</v>
      </c>
      <c r="E111" s="666" t="s">
        <v>378</v>
      </c>
      <c r="F111" s="665" t="s">
        <v>368</v>
      </c>
      <c r="G111" s="667" t="s">
        <v>583</v>
      </c>
      <c r="H111" s="668">
        <v>3783</v>
      </c>
      <c r="I111" s="669"/>
      <c r="J111" s="669"/>
      <c r="K111" s="669"/>
      <c r="L111" s="670">
        <f t="shared" si="16"/>
        <v>3783</v>
      </c>
      <c r="M111" s="670"/>
      <c r="N111" s="670"/>
      <c r="O111" s="670"/>
      <c r="P111" s="670"/>
      <c r="Q111" s="670"/>
      <c r="R111" s="670"/>
      <c r="S111" s="670"/>
      <c r="T111" s="670">
        <f t="shared" si="21"/>
        <v>3783</v>
      </c>
    </row>
    <row r="112" spans="2:21" ht="15" customHeight="1" x14ac:dyDescent="0.25">
      <c r="B112" s="663" t="s">
        <v>71</v>
      </c>
      <c r="C112" s="664" t="str">
        <f>IFERROR(_xlfn.XLOOKUP($G112,COM_Cadastro!#REF!,COM_Cadastro!#REF!),"")</f>
        <v/>
      </c>
      <c r="D112" s="665" t="s">
        <v>378</v>
      </c>
      <c r="E112" s="666" t="s">
        <v>378</v>
      </c>
      <c r="F112" s="665" t="s">
        <v>368</v>
      </c>
      <c r="G112" s="667" t="s">
        <v>585</v>
      </c>
      <c r="H112" s="668">
        <v>1080</v>
      </c>
      <c r="I112" s="669"/>
      <c r="J112" s="669"/>
      <c r="K112" s="669"/>
      <c r="L112" s="670">
        <f t="shared" si="16"/>
        <v>1080</v>
      </c>
      <c r="M112" s="670"/>
      <c r="N112" s="670"/>
      <c r="O112" s="670"/>
      <c r="P112" s="670"/>
      <c r="Q112" s="670"/>
      <c r="R112" s="670"/>
      <c r="S112" s="670"/>
      <c r="T112" s="670">
        <f t="shared" si="21"/>
        <v>1080</v>
      </c>
    </row>
    <row r="113" spans="2:20" ht="15" customHeight="1" x14ac:dyDescent="0.25">
      <c r="B113" s="663" t="s">
        <v>71</v>
      </c>
      <c r="C113" s="664" t="str">
        <f>IFERROR(_xlfn.XLOOKUP($G113,COM_Cadastro!#REF!,COM_Cadastro!#REF!),"")</f>
        <v/>
      </c>
      <c r="D113" s="665" t="s">
        <v>378</v>
      </c>
      <c r="E113" s="666" t="s">
        <v>378</v>
      </c>
      <c r="F113" s="665" t="s">
        <v>368</v>
      </c>
      <c r="G113" s="667" t="s">
        <v>761</v>
      </c>
      <c r="H113" s="668">
        <v>1760</v>
      </c>
      <c r="I113" s="669"/>
      <c r="J113" s="669"/>
      <c r="K113" s="669"/>
      <c r="L113" s="670">
        <f t="shared" si="16"/>
        <v>1760</v>
      </c>
      <c r="M113" s="670"/>
      <c r="N113" s="670"/>
      <c r="O113" s="670"/>
      <c r="P113" s="670"/>
      <c r="Q113" s="670"/>
      <c r="R113" s="670"/>
      <c r="S113" s="670"/>
      <c r="T113" s="670">
        <f t="shared" si="21"/>
        <v>1760</v>
      </c>
    </row>
    <row r="114" spans="2:20" ht="15" customHeight="1" x14ac:dyDescent="0.25">
      <c r="B114" s="663" t="s">
        <v>71</v>
      </c>
      <c r="C114" s="664" t="str">
        <f>IFERROR(_xlfn.XLOOKUP($G114,COM_Cadastro!#REF!,COM_Cadastro!#REF!),"")</f>
        <v/>
      </c>
      <c r="D114" s="665" t="s">
        <v>378</v>
      </c>
      <c r="E114" s="666" t="s">
        <v>378</v>
      </c>
      <c r="F114" s="665" t="s">
        <v>368</v>
      </c>
      <c r="G114" s="667" t="s">
        <v>592</v>
      </c>
      <c r="H114" s="668">
        <v>2160</v>
      </c>
      <c r="I114" s="669"/>
      <c r="J114" s="669"/>
      <c r="K114" s="669"/>
      <c r="L114" s="670">
        <f t="shared" si="16"/>
        <v>2160</v>
      </c>
      <c r="M114" s="670"/>
      <c r="N114" s="670"/>
      <c r="O114" s="670"/>
      <c r="P114" s="670"/>
      <c r="Q114" s="670"/>
      <c r="R114" s="670"/>
      <c r="S114" s="670"/>
      <c r="T114" s="670">
        <f t="shared" si="21"/>
        <v>2160</v>
      </c>
    </row>
    <row r="115" spans="2:20" ht="15" customHeight="1" x14ac:dyDescent="0.25">
      <c r="B115" s="663" t="s">
        <v>71</v>
      </c>
      <c r="C115" s="664" t="str">
        <f>IFERROR(_xlfn.XLOOKUP($G115,COM_Cadastro!#REF!,COM_Cadastro!#REF!),"")</f>
        <v/>
      </c>
      <c r="D115" s="665" t="s">
        <v>378</v>
      </c>
      <c r="E115" s="666" t="s">
        <v>378</v>
      </c>
      <c r="F115" s="665" t="s">
        <v>371</v>
      </c>
      <c r="G115" s="667" t="s">
        <v>762</v>
      </c>
      <c r="H115" s="668">
        <v>2438</v>
      </c>
      <c r="I115" s="669"/>
      <c r="J115" s="669"/>
      <c r="K115" s="669"/>
      <c r="L115" s="670">
        <f t="shared" si="16"/>
        <v>2438</v>
      </c>
      <c r="M115" s="670"/>
      <c r="N115" s="670"/>
      <c r="O115" s="670"/>
      <c r="P115" s="670"/>
      <c r="Q115" s="670"/>
      <c r="R115" s="670"/>
      <c r="S115" s="670"/>
      <c r="T115" s="670">
        <f t="shared" si="21"/>
        <v>2438</v>
      </c>
    </row>
    <row r="116" spans="2:20" ht="15" customHeight="1" x14ac:dyDescent="0.25">
      <c r="B116" s="663" t="s">
        <v>71</v>
      </c>
      <c r="C116" s="664" t="str">
        <f>IFERROR(_xlfn.XLOOKUP($G116,COM_Cadastro!#REF!,COM_Cadastro!#REF!),"")</f>
        <v/>
      </c>
      <c r="D116" s="665" t="s">
        <v>378</v>
      </c>
      <c r="E116" s="666" t="s">
        <v>378</v>
      </c>
      <c r="F116" s="665" t="s">
        <v>371</v>
      </c>
      <c r="G116" s="667" t="s">
        <v>763</v>
      </c>
      <c r="H116" s="668">
        <v>2193</v>
      </c>
      <c r="I116" s="669"/>
      <c r="J116" s="669"/>
      <c r="K116" s="669"/>
      <c r="L116" s="670">
        <f t="shared" si="16"/>
        <v>2193</v>
      </c>
      <c r="M116" s="670"/>
      <c r="N116" s="670"/>
      <c r="O116" s="670"/>
      <c r="P116" s="670"/>
      <c r="Q116" s="670"/>
      <c r="R116" s="670"/>
      <c r="S116" s="670"/>
      <c r="T116" s="670">
        <f t="shared" si="21"/>
        <v>2193</v>
      </c>
    </row>
    <row r="117" spans="2:20" ht="15" customHeight="1" x14ac:dyDescent="0.25">
      <c r="B117" s="663" t="s">
        <v>71</v>
      </c>
      <c r="C117" s="664" t="str">
        <f>IFERROR(_xlfn.XLOOKUP($G117,COM_Cadastro!#REF!,COM_Cadastro!#REF!),"")</f>
        <v/>
      </c>
      <c r="D117" s="665" t="s">
        <v>378</v>
      </c>
      <c r="E117" s="666" t="s">
        <v>378</v>
      </c>
      <c r="F117" s="665" t="s">
        <v>371</v>
      </c>
      <c r="G117" s="667" t="s">
        <v>764</v>
      </c>
      <c r="H117" s="668">
        <v>441</v>
      </c>
      <c r="I117" s="669"/>
      <c r="J117" s="669"/>
      <c r="K117" s="669"/>
      <c r="L117" s="670">
        <f t="shared" si="16"/>
        <v>441</v>
      </c>
      <c r="M117" s="670"/>
      <c r="N117" s="670"/>
      <c r="O117" s="670"/>
      <c r="P117" s="670"/>
      <c r="Q117" s="670"/>
      <c r="R117" s="670"/>
      <c r="S117" s="670"/>
      <c r="T117" s="670">
        <f t="shared" si="21"/>
        <v>441</v>
      </c>
    </row>
    <row r="118" spans="2:20" ht="15" customHeight="1" x14ac:dyDescent="0.25">
      <c r="B118" s="663" t="s">
        <v>71</v>
      </c>
      <c r="C118" s="664" t="str">
        <f>IFERROR(_xlfn.XLOOKUP($G118,COM_Cadastro!#REF!,COM_Cadastro!#REF!),"")</f>
        <v/>
      </c>
      <c r="D118" s="665" t="s">
        <v>378</v>
      </c>
      <c r="E118" s="666" t="s">
        <v>378</v>
      </c>
      <c r="F118" s="665" t="s">
        <v>371</v>
      </c>
      <c r="G118" s="667" t="s">
        <v>419</v>
      </c>
      <c r="H118" s="668">
        <v>1540</v>
      </c>
      <c r="I118" s="669"/>
      <c r="J118" s="669"/>
      <c r="K118" s="669"/>
      <c r="L118" s="670">
        <f t="shared" si="16"/>
        <v>1540</v>
      </c>
      <c r="M118" s="670"/>
      <c r="N118" s="670"/>
      <c r="O118" s="670"/>
      <c r="P118" s="670"/>
      <c r="Q118" s="670"/>
      <c r="R118" s="670"/>
      <c r="S118" s="670"/>
      <c r="T118" s="670">
        <f t="shared" si="21"/>
        <v>1540</v>
      </c>
    </row>
    <row r="119" spans="2:20" ht="15" customHeight="1" x14ac:dyDescent="0.25">
      <c r="B119" s="663" t="s">
        <v>71</v>
      </c>
      <c r="C119" s="664" t="str">
        <f>IFERROR(_xlfn.XLOOKUP($G119,COM_Cadastro!#REF!,COM_Cadastro!#REF!),"")</f>
        <v/>
      </c>
      <c r="D119" s="665" t="s">
        <v>378</v>
      </c>
      <c r="E119" s="666" t="s">
        <v>378</v>
      </c>
      <c r="F119" s="665" t="s">
        <v>371</v>
      </c>
      <c r="G119" s="667" t="s">
        <v>438</v>
      </c>
      <c r="H119" s="668">
        <v>2735</v>
      </c>
      <c r="I119" s="669"/>
      <c r="J119" s="669"/>
      <c r="K119" s="669"/>
      <c r="L119" s="670">
        <f t="shared" si="16"/>
        <v>2735</v>
      </c>
      <c r="M119" s="670"/>
      <c r="N119" s="670"/>
      <c r="O119" s="670"/>
      <c r="P119" s="670"/>
      <c r="Q119" s="670"/>
      <c r="R119" s="670"/>
      <c r="S119" s="670"/>
      <c r="T119" s="670">
        <f t="shared" si="21"/>
        <v>2735</v>
      </c>
    </row>
    <row r="120" spans="2:20" ht="15" customHeight="1" x14ac:dyDescent="0.25">
      <c r="B120" s="663" t="s">
        <v>71</v>
      </c>
      <c r="C120" s="664" t="str">
        <f>IFERROR(_xlfn.XLOOKUP($G120,COM_Cadastro!#REF!,COM_Cadastro!#REF!),"")</f>
        <v/>
      </c>
      <c r="D120" s="665" t="s">
        <v>378</v>
      </c>
      <c r="E120" s="666" t="s">
        <v>378</v>
      </c>
      <c r="F120" s="665" t="s">
        <v>371</v>
      </c>
      <c r="G120" s="667" t="s">
        <v>765</v>
      </c>
      <c r="H120" s="668">
        <v>1890</v>
      </c>
      <c r="I120" s="669"/>
      <c r="J120" s="669"/>
      <c r="K120" s="669"/>
      <c r="L120" s="670">
        <f t="shared" si="16"/>
        <v>1890</v>
      </c>
      <c r="M120" s="670"/>
      <c r="N120" s="670"/>
      <c r="O120" s="670"/>
      <c r="P120" s="670"/>
      <c r="Q120" s="670"/>
      <c r="R120" s="670"/>
      <c r="S120" s="670"/>
      <c r="T120" s="670">
        <f t="shared" si="21"/>
        <v>1890</v>
      </c>
    </row>
    <row r="121" spans="2:20" ht="15" customHeight="1" x14ac:dyDescent="0.25">
      <c r="B121" s="663" t="s">
        <v>71</v>
      </c>
      <c r="C121" s="664" t="str">
        <f>IFERROR(_xlfn.XLOOKUP($G121,COM_Cadastro!#REF!,COM_Cadastro!#REF!),"")</f>
        <v/>
      </c>
      <c r="D121" s="665" t="s">
        <v>378</v>
      </c>
      <c r="E121" s="666" t="s">
        <v>378</v>
      </c>
      <c r="F121" s="665" t="s">
        <v>371</v>
      </c>
      <c r="G121" s="667" t="s">
        <v>447</v>
      </c>
      <c r="H121" s="668">
        <v>1696</v>
      </c>
      <c r="I121" s="669"/>
      <c r="J121" s="669"/>
      <c r="K121" s="669"/>
      <c r="L121" s="670">
        <f t="shared" si="16"/>
        <v>1696</v>
      </c>
      <c r="M121" s="670"/>
      <c r="N121" s="670"/>
      <c r="O121" s="670"/>
      <c r="P121" s="670"/>
      <c r="Q121" s="670"/>
      <c r="R121" s="670"/>
      <c r="S121" s="670"/>
      <c r="T121" s="670">
        <f t="shared" si="21"/>
        <v>1696</v>
      </c>
    </row>
    <row r="122" spans="2:20" ht="15" customHeight="1" x14ac:dyDescent="0.25">
      <c r="B122" s="663" t="s">
        <v>71</v>
      </c>
      <c r="C122" s="664" t="str">
        <f>IFERROR(_xlfn.XLOOKUP($G122,COM_Cadastro!#REF!,COM_Cadastro!#REF!),"")</f>
        <v/>
      </c>
      <c r="D122" s="665" t="s">
        <v>378</v>
      </c>
      <c r="E122" s="666" t="s">
        <v>378</v>
      </c>
      <c r="F122" s="665" t="s">
        <v>371</v>
      </c>
      <c r="G122" s="667" t="s">
        <v>787</v>
      </c>
      <c r="H122" s="668">
        <v>1200</v>
      </c>
      <c r="I122" s="669"/>
      <c r="J122" s="669"/>
      <c r="K122" s="669"/>
      <c r="L122" s="670">
        <f t="shared" si="16"/>
        <v>1200</v>
      </c>
      <c r="M122" s="670"/>
      <c r="N122" s="670"/>
      <c r="O122" s="670"/>
      <c r="P122" s="670"/>
      <c r="Q122" s="670"/>
      <c r="R122" s="670"/>
      <c r="S122" s="670"/>
      <c r="T122" s="670">
        <f t="shared" si="21"/>
        <v>1200</v>
      </c>
    </row>
    <row r="123" spans="2:20" ht="15" customHeight="1" x14ac:dyDescent="0.25">
      <c r="B123" s="663" t="s">
        <v>71</v>
      </c>
      <c r="C123" s="664" t="str">
        <f>IFERROR(_xlfn.XLOOKUP($G123,COM_Cadastro!#REF!,COM_Cadastro!#REF!),"")</f>
        <v/>
      </c>
      <c r="D123" s="665" t="s">
        <v>378</v>
      </c>
      <c r="E123" s="666" t="s">
        <v>378</v>
      </c>
      <c r="F123" s="665" t="s">
        <v>371</v>
      </c>
      <c r="G123" s="667" t="s">
        <v>462</v>
      </c>
      <c r="H123" s="668">
        <v>600</v>
      </c>
      <c r="I123" s="669"/>
      <c r="J123" s="669"/>
      <c r="K123" s="669"/>
      <c r="L123" s="670">
        <f t="shared" si="16"/>
        <v>600</v>
      </c>
      <c r="M123" s="670"/>
      <c r="N123" s="670"/>
      <c r="O123" s="670"/>
      <c r="P123" s="670"/>
      <c r="Q123" s="670"/>
      <c r="R123" s="670"/>
      <c r="S123" s="670"/>
      <c r="T123" s="670">
        <f t="shared" si="21"/>
        <v>600</v>
      </c>
    </row>
    <row r="124" spans="2:20" ht="15" customHeight="1" x14ac:dyDescent="0.25">
      <c r="B124" s="663" t="s">
        <v>71</v>
      </c>
      <c r="C124" s="664" t="str">
        <f>IFERROR(_xlfn.XLOOKUP($G124,COM_Cadastro!#REF!,COM_Cadastro!#REF!),"")</f>
        <v/>
      </c>
      <c r="D124" s="665" t="s">
        <v>378</v>
      </c>
      <c r="E124" s="666" t="s">
        <v>378</v>
      </c>
      <c r="F124" s="665" t="s">
        <v>371</v>
      </c>
      <c r="G124" s="667" t="s">
        <v>466</v>
      </c>
      <c r="H124" s="668">
        <v>2100</v>
      </c>
      <c r="I124" s="669"/>
      <c r="J124" s="669"/>
      <c r="K124" s="669"/>
      <c r="L124" s="670">
        <f t="shared" si="16"/>
        <v>2100</v>
      </c>
      <c r="M124" s="670"/>
      <c r="N124" s="670"/>
      <c r="O124" s="670"/>
      <c r="P124" s="670"/>
      <c r="Q124" s="670"/>
      <c r="R124" s="670"/>
      <c r="S124" s="670"/>
      <c r="T124" s="670">
        <f t="shared" si="21"/>
        <v>2100</v>
      </c>
    </row>
    <row r="125" spans="2:20" ht="15" customHeight="1" x14ac:dyDescent="0.25">
      <c r="B125" s="663" t="s">
        <v>71</v>
      </c>
      <c r="C125" s="664" t="str">
        <f>IFERROR(_xlfn.XLOOKUP($G125,COM_Cadastro!#REF!,COM_Cadastro!#REF!),"")</f>
        <v/>
      </c>
      <c r="D125" s="665" t="s">
        <v>378</v>
      </c>
      <c r="E125" s="666" t="s">
        <v>378</v>
      </c>
      <c r="F125" s="665" t="s">
        <v>371</v>
      </c>
      <c r="G125" s="667" t="s">
        <v>471</v>
      </c>
      <c r="H125" s="668">
        <v>1520</v>
      </c>
      <c r="I125" s="669"/>
      <c r="J125" s="669"/>
      <c r="K125" s="669"/>
      <c r="L125" s="670">
        <f t="shared" si="16"/>
        <v>1520</v>
      </c>
      <c r="M125" s="670"/>
      <c r="N125" s="670"/>
      <c r="O125" s="670"/>
      <c r="P125" s="670"/>
      <c r="Q125" s="670"/>
      <c r="R125" s="670"/>
      <c r="S125" s="670"/>
      <c r="T125" s="670">
        <f t="shared" si="21"/>
        <v>1520</v>
      </c>
    </row>
    <row r="126" spans="2:20" ht="15" customHeight="1" x14ac:dyDescent="0.25">
      <c r="B126" s="663" t="s">
        <v>71</v>
      </c>
      <c r="C126" s="664" t="str">
        <f>IFERROR(_xlfn.XLOOKUP($G126,COM_Cadastro!#REF!,COM_Cadastro!#REF!),"")</f>
        <v/>
      </c>
      <c r="D126" s="665" t="s">
        <v>378</v>
      </c>
      <c r="E126" s="666" t="s">
        <v>378</v>
      </c>
      <c r="F126" s="665" t="s">
        <v>371</v>
      </c>
      <c r="G126" s="667" t="s">
        <v>766</v>
      </c>
      <c r="H126" s="668">
        <v>1442</v>
      </c>
      <c r="I126" s="669"/>
      <c r="J126" s="669"/>
      <c r="K126" s="669"/>
      <c r="L126" s="670">
        <f t="shared" si="16"/>
        <v>1442</v>
      </c>
      <c r="M126" s="670"/>
      <c r="N126" s="670"/>
      <c r="O126" s="670"/>
      <c r="P126" s="670"/>
      <c r="Q126" s="670"/>
      <c r="R126" s="670"/>
      <c r="S126" s="670"/>
      <c r="T126" s="670">
        <f t="shared" si="21"/>
        <v>1442</v>
      </c>
    </row>
    <row r="127" spans="2:20" ht="15" customHeight="1" x14ac:dyDescent="0.25">
      <c r="B127" s="663" t="s">
        <v>71</v>
      </c>
      <c r="C127" s="664" t="str">
        <f>IFERROR(_xlfn.XLOOKUP($G127,COM_Cadastro!#REF!,COM_Cadastro!#REF!),"")</f>
        <v/>
      </c>
      <c r="D127" s="665" t="s">
        <v>378</v>
      </c>
      <c r="E127" s="666" t="s">
        <v>378</v>
      </c>
      <c r="F127" s="665" t="s">
        <v>371</v>
      </c>
      <c r="G127" s="667" t="s">
        <v>767</v>
      </c>
      <c r="H127" s="668">
        <v>654</v>
      </c>
      <c r="I127" s="669"/>
      <c r="J127" s="669"/>
      <c r="K127" s="669"/>
      <c r="L127" s="670">
        <f t="shared" si="16"/>
        <v>654</v>
      </c>
      <c r="M127" s="670"/>
      <c r="N127" s="670"/>
      <c r="O127" s="670"/>
      <c r="P127" s="670"/>
      <c r="Q127" s="670"/>
      <c r="R127" s="670"/>
      <c r="S127" s="670"/>
      <c r="T127" s="670">
        <f t="shared" si="21"/>
        <v>654</v>
      </c>
    </row>
    <row r="128" spans="2:20" ht="15" customHeight="1" x14ac:dyDescent="0.25">
      <c r="B128" s="663" t="s">
        <v>71</v>
      </c>
      <c r="C128" s="664" t="str">
        <f>IFERROR(_xlfn.XLOOKUP($G128,COM_Cadastro!#REF!,COM_Cadastro!#REF!),"")</f>
        <v/>
      </c>
      <c r="D128" s="665" t="s">
        <v>378</v>
      </c>
      <c r="E128" s="666" t="s">
        <v>378</v>
      </c>
      <c r="F128" s="665" t="s">
        <v>371</v>
      </c>
      <c r="G128" s="667" t="s">
        <v>483</v>
      </c>
      <c r="H128" s="668">
        <v>2482</v>
      </c>
      <c r="I128" s="669"/>
      <c r="J128" s="669"/>
      <c r="K128" s="669"/>
      <c r="L128" s="670">
        <f t="shared" si="16"/>
        <v>2482</v>
      </c>
      <c r="M128" s="670"/>
      <c r="N128" s="670"/>
      <c r="O128" s="670"/>
      <c r="P128" s="670"/>
      <c r="Q128" s="670"/>
      <c r="R128" s="670"/>
      <c r="S128" s="670"/>
      <c r="T128" s="670">
        <f t="shared" si="21"/>
        <v>2482</v>
      </c>
    </row>
    <row r="129" spans="2:20" ht="15" customHeight="1" x14ac:dyDescent="0.25">
      <c r="B129" s="663" t="s">
        <v>71</v>
      </c>
      <c r="C129" s="664" t="str">
        <f>IFERROR(_xlfn.XLOOKUP($G129,COM_Cadastro!#REF!,COM_Cadastro!#REF!),"")</f>
        <v/>
      </c>
      <c r="D129" s="665" t="s">
        <v>378</v>
      </c>
      <c r="E129" s="666" t="s">
        <v>378</v>
      </c>
      <c r="F129" s="665" t="s">
        <v>371</v>
      </c>
      <c r="G129" s="667" t="s">
        <v>768</v>
      </c>
      <c r="H129" s="668">
        <v>1300</v>
      </c>
      <c r="I129" s="669"/>
      <c r="J129" s="669"/>
      <c r="K129" s="669"/>
      <c r="L129" s="670">
        <f t="shared" si="16"/>
        <v>1300</v>
      </c>
      <c r="M129" s="670"/>
      <c r="N129" s="670"/>
      <c r="O129" s="670"/>
      <c r="P129" s="670"/>
      <c r="Q129" s="670"/>
      <c r="R129" s="670"/>
      <c r="S129" s="670"/>
      <c r="T129" s="670">
        <f t="shared" si="21"/>
        <v>1300</v>
      </c>
    </row>
    <row r="130" spans="2:20" ht="15" customHeight="1" x14ac:dyDescent="0.25">
      <c r="B130" s="663" t="s">
        <v>71</v>
      </c>
      <c r="C130" s="664" t="str">
        <f>IFERROR(_xlfn.XLOOKUP($G130,COM_Cadastro!#REF!,COM_Cadastro!#REF!),"")</f>
        <v/>
      </c>
      <c r="D130" s="665" t="s">
        <v>378</v>
      </c>
      <c r="E130" s="666" t="s">
        <v>378</v>
      </c>
      <c r="F130" s="665" t="s">
        <v>371</v>
      </c>
      <c r="G130" s="667" t="s">
        <v>488</v>
      </c>
      <c r="H130" s="668">
        <v>1385</v>
      </c>
      <c r="I130" s="669"/>
      <c r="J130" s="669"/>
      <c r="K130" s="669"/>
      <c r="L130" s="670">
        <f t="shared" si="16"/>
        <v>1385</v>
      </c>
      <c r="M130" s="670"/>
      <c r="N130" s="670"/>
      <c r="O130" s="670"/>
      <c r="P130" s="670"/>
      <c r="Q130" s="670"/>
      <c r="R130" s="670"/>
      <c r="S130" s="670"/>
      <c r="T130" s="670">
        <f t="shared" si="21"/>
        <v>1385</v>
      </c>
    </row>
    <row r="131" spans="2:20" ht="15" customHeight="1" x14ac:dyDescent="0.25">
      <c r="B131" s="663" t="s">
        <v>71</v>
      </c>
      <c r="C131" s="664" t="str">
        <f>IFERROR(_xlfn.XLOOKUP($G131,COM_Cadastro!#REF!,COM_Cadastro!#REF!),"")</f>
        <v/>
      </c>
      <c r="D131" s="665" t="s">
        <v>378</v>
      </c>
      <c r="E131" s="666" t="s">
        <v>378</v>
      </c>
      <c r="F131" s="665" t="s">
        <v>371</v>
      </c>
      <c r="G131" s="667" t="s">
        <v>804</v>
      </c>
      <c r="H131" s="668">
        <v>1554</v>
      </c>
      <c r="I131" s="669"/>
      <c r="J131" s="669"/>
      <c r="K131" s="669"/>
      <c r="L131" s="670">
        <f t="shared" ref="L131:L194" si="22">SUM(H131:K131)</f>
        <v>1554</v>
      </c>
      <c r="M131" s="670"/>
      <c r="N131" s="670"/>
      <c r="O131" s="670"/>
      <c r="P131" s="670"/>
      <c r="Q131" s="670"/>
      <c r="R131" s="670"/>
      <c r="S131" s="670"/>
      <c r="T131" s="670">
        <f t="shared" ref="T131:T194" si="23">L131+M131+S131</f>
        <v>1554</v>
      </c>
    </row>
    <row r="132" spans="2:20" ht="15" customHeight="1" x14ac:dyDescent="0.25">
      <c r="B132" s="663" t="s">
        <v>71</v>
      </c>
      <c r="C132" s="664" t="str">
        <f>IFERROR(_xlfn.XLOOKUP($G132,COM_Cadastro!#REF!,COM_Cadastro!#REF!),"")</f>
        <v/>
      </c>
      <c r="D132" s="665" t="s">
        <v>378</v>
      </c>
      <c r="E132" s="666" t="s">
        <v>378</v>
      </c>
      <c r="F132" s="665" t="s">
        <v>371</v>
      </c>
      <c r="G132" s="667" t="s">
        <v>510</v>
      </c>
      <c r="H132" s="668">
        <v>1700</v>
      </c>
      <c r="I132" s="669"/>
      <c r="J132" s="669"/>
      <c r="K132" s="669"/>
      <c r="L132" s="670">
        <f t="shared" si="22"/>
        <v>1700</v>
      </c>
      <c r="M132" s="670"/>
      <c r="N132" s="670"/>
      <c r="O132" s="670"/>
      <c r="P132" s="670"/>
      <c r="Q132" s="670"/>
      <c r="R132" s="670"/>
      <c r="S132" s="670"/>
      <c r="T132" s="670">
        <f t="shared" si="23"/>
        <v>1700</v>
      </c>
    </row>
    <row r="133" spans="2:20" ht="15" customHeight="1" x14ac:dyDescent="0.25">
      <c r="B133" s="663" t="s">
        <v>71</v>
      </c>
      <c r="C133" s="664" t="str">
        <f>IFERROR(_xlfn.XLOOKUP($G133,COM_Cadastro!#REF!,COM_Cadastro!#REF!),"")</f>
        <v/>
      </c>
      <c r="D133" s="665" t="s">
        <v>378</v>
      </c>
      <c r="E133" s="666" t="s">
        <v>378</v>
      </c>
      <c r="F133" s="665" t="s">
        <v>371</v>
      </c>
      <c r="G133" s="667" t="s">
        <v>518</v>
      </c>
      <c r="H133" s="668">
        <v>700</v>
      </c>
      <c r="I133" s="669"/>
      <c r="J133" s="669"/>
      <c r="K133" s="669"/>
      <c r="L133" s="670">
        <f t="shared" si="22"/>
        <v>700</v>
      </c>
      <c r="M133" s="670"/>
      <c r="N133" s="670"/>
      <c r="O133" s="670"/>
      <c r="P133" s="670"/>
      <c r="Q133" s="670"/>
      <c r="R133" s="670"/>
      <c r="S133" s="670"/>
      <c r="T133" s="670">
        <f t="shared" si="23"/>
        <v>700</v>
      </c>
    </row>
    <row r="134" spans="2:20" ht="15" customHeight="1" x14ac:dyDescent="0.25">
      <c r="B134" s="663" t="s">
        <v>71</v>
      </c>
      <c r="C134" s="664" t="str">
        <f>IFERROR(_xlfn.XLOOKUP($G134,COM_Cadastro!#REF!,COM_Cadastro!#REF!),"")</f>
        <v/>
      </c>
      <c r="D134" s="665" t="s">
        <v>378</v>
      </c>
      <c r="E134" s="666" t="s">
        <v>378</v>
      </c>
      <c r="F134" s="665" t="s">
        <v>371</v>
      </c>
      <c r="G134" s="667" t="s">
        <v>525</v>
      </c>
      <c r="H134" s="668">
        <v>3094</v>
      </c>
      <c r="I134" s="669"/>
      <c r="J134" s="669"/>
      <c r="K134" s="669"/>
      <c r="L134" s="670">
        <f t="shared" si="22"/>
        <v>3094</v>
      </c>
      <c r="M134" s="670"/>
      <c r="N134" s="670"/>
      <c r="O134" s="670"/>
      <c r="P134" s="670"/>
      <c r="Q134" s="670"/>
      <c r="R134" s="670"/>
      <c r="S134" s="670"/>
      <c r="T134" s="670">
        <f t="shared" si="23"/>
        <v>3094</v>
      </c>
    </row>
    <row r="135" spans="2:20" ht="15" customHeight="1" x14ac:dyDescent="0.25">
      <c r="B135" s="663" t="s">
        <v>71</v>
      </c>
      <c r="C135" s="664" t="str">
        <f>IFERROR(_xlfn.XLOOKUP($G135,COM_Cadastro!#REF!,COM_Cadastro!#REF!),"")</f>
        <v/>
      </c>
      <c r="D135" s="665" t="s">
        <v>378</v>
      </c>
      <c r="E135" s="666" t="s">
        <v>378</v>
      </c>
      <c r="F135" s="665" t="s">
        <v>371</v>
      </c>
      <c r="G135" s="667" t="s">
        <v>535</v>
      </c>
      <c r="H135" s="668">
        <v>404</v>
      </c>
      <c r="I135" s="669"/>
      <c r="J135" s="669"/>
      <c r="K135" s="669"/>
      <c r="L135" s="670">
        <f t="shared" si="22"/>
        <v>404</v>
      </c>
      <c r="M135" s="670"/>
      <c r="N135" s="670"/>
      <c r="O135" s="670"/>
      <c r="P135" s="670"/>
      <c r="Q135" s="670"/>
      <c r="R135" s="670"/>
      <c r="S135" s="670"/>
      <c r="T135" s="670">
        <f t="shared" si="23"/>
        <v>404</v>
      </c>
    </row>
    <row r="136" spans="2:20" ht="15" customHeight="1" x14ac:dyDescent="0.25">
      <c r="B136" s="663" t="s">
        <v>71</v>
      </c>
      <c r="C136" s="664" t="str">
        <f>IFERROR(_xlfn.XLOOKUP($G136,COM_Cadastro!#REF!,COM_Cadastro!#REF!),"")</f>
        <v/>
      </c>
      <c r="D136" s="665" t="s">
        <v>378</v>
      </c>
      <c r="E136" s="666" t="s">
        <v>378</v>
      </c>
      <c r="F136" s="665" t="s">
        <v>371</v>
      </c>
      <c r="G136" s="667" t="s">
        <v>541</v>
      </c>
      <c r="H136" s="668">
        <v>1856</v>
      </c>
      <c r="I136" s="669"/>
      <c r="J136" s="669"/>
      <c r="K136" s="669"/>
      <c r="L136" s="670">
        <f t="shared" si="22"/>
        <v>1856</v>
      </c>
      <c r="M136" s="670"/>
      <c r="N136" s="670"/>
      <c r="O136" s="670"/>
      <c r="P136" s="670"/>
      <c r="Q136" s="670"/>
      <c r="R136" s="670"/>
      <c r="S136" s="670"/>
      <c r="T136" s="670">
        <f t="shared" si="23"/>
        <v>1856</v>
      </c>
    </row>
    <row r="137" spans="2:20" ht="15" customHeight="1" x14ac:dyDescent="0.25">
      <c r="B137" s="663" t="s">
        <v>71</v>
      </c>
      <c r="C137" s="664" t="str">
        <f>IFERROR(_xlfn.XLOOKUP($G137,COM_Cadastro!#REF!,COM_Cadastro!#REF!),"")</f>
        <v/>
      </c>
      <c r="D137" s="665" t="s">
        <v>378</v>
      </c>
      <c r="E137" s="666" t="s">
        <v>378</v>
      </c>
      <c r="F137" s="665" t="s">
        <v>371</v>
      </c>
      <c r="G137" s="667" t="s">
        <v>769</v>
      </c>
      <c r="H137" s="668">
        <v>400</v>
      </c>
      <c r="I137" s="669"/>
      <c r="J137" s="669"/>
      <c r="K137" s="669"/>
      <c r="L137" s="670">
        <f t="shared" si="22"/>
        <v>400</v>
      </c>
      <c r="M137" s="670"/>
      <c r="N137" s="670"/>
      <c r="O137" s="670"/>
      <c r="P137" s="670"/>
      <c r="Q137" s="670"/>
      <c r="R137" s="670"/>
      <c r="S137" s="670"/>
      <c r="T137" s="670">
        <f t="shared" si="23"/>
        <v>400</v>
      </c>
    </row>
    <row r="138" spans="2:20" ht="15" customHeight="1" x14ac:dyDescent="0.25">
      <c r="B138" s="663" t="s">
        <v>71</v>
      </c>
      <c r="C138" s="664" t="str">
        <f>IFERROR(_xlfn.XLOOKUP($G138,COM_Cadastro!#REF!,COM_Cadastro!#REF!),"")</f>
        <v/>
      </c>
      <c r="D138" s="665" t="s">
        <v>378</v>
      </c>
      <c r="E138" s="666" t="s">
        <v>378</v>
      </c>
      <c r="F138" s="665" t="s">
        <v>371</v>
      </c>
      <c r="G138" s="667" t="s">
        <v>554</v>
      </c>
      <c r="H138" s="668">
        <v>500</v>
      </c>
      <c r="I138" s="669"/>
      <c r="J138" s="669"/>
      <c r="K138" s="669"/>
      <c r="L138" s="670">
        <f t="shared" si="22"/>
        <v>500</v>
      </c>
      <c r="M138" s="670"/>
      <c r="N138" s="670"/>
      <c r="O138" s="670"/>
      <c r="P138" s="670"/>
      <c r="Q138" s="670"/>
      <c r="R138" s="670"/>
      <c r="S138" s="670"/>
      <c r="T138" s="670">
        <f t="shared" si="23"/>
        <v>500</v>
      </c>
    </row>
    <row r="139" spans="2:20" ht="15" customHeight="1" x14ac:dyDescent="0.25">
      <c r="B139" s="663" t="s">
        <v>71</v>
      </c>
      <c r="C139" s="664" t="str">
        <f>IFERROR(_xlfn.XLOOKUP($G139,COM_Cadastro!#REF!,COM_Cadastro!#REF!),"")</f>
        <v/>
      </c>
      <c r="D139" s="665" t="s">
        <v>378</v>
      </c>
      <c r="E139" s="666" t="s">
        <v>378</v>
      </c>
      <c r="F139" s="665" t="s">
        <v>371</v>
      </c>
      <c r="G139" s="667" t="s">
        <v>556</v>
      </c>
      <c r="H139" s="668">
        <v>1650</v>
      </c>
      <c r="I139" s="669"/>
      <c r="J139" s="669"/>
      <c r="K139" s="669"/>
      <c r="L139" s="670">
        <f t="shared" si="22"/>
        <v>1650</v>
      </c>
      <c r="M139" s="670"/>
      <c r="N139" s="670"/>
      <c r="O139" s="670"/>
      <c r="P139" s="670"/>
      <c r="Q139" s="670"/>
      <c r="R139" s="670"/>
      <c r="S139" s="670"/>
      <c r="T139" s="670">
        <f t="shared" si="23"/>
        <v>1650</v>
      </c>
    </row>
    <row r="140" spans="2:20" ht="15" customHeight="1" x14ac:dyDescent="0.25">
      <c r="B140" s="663" t="s">
        <v>71</v>
      </c>
      <c r="C140" s="664" t="str">
        <f>IFERROR(_xlfn.XLOOKUP($G140,COM_Cadastro!#REF!,COM_Cadastro!#REF!),"")</f>
        <v/>
      </c>
      <c r="D140" s="665" t="s">
        <v>378</v>
      </c>
      <c r="E140" s="666" t="s">
        <v>378</v>
      </c>
      <c r="F140" s="665" t="s">
        <v>371</v>
      </c>
      <c r="G140" s="667" t="s">
        <v>771</v>
      </c>
      <c r="H140" s="668">
        <v>1966</v>
      </c>
      <c r="I140" s="669"/>
      <c r="J140" s="669"/>
      <c r="K140" s="669"/>
      <c r="L140" s="670">
        <f t="shared" si="22"/>
        <v>1966</v>
      </c>
      <c r="M140" s="670"/>
      <c r="N140" s="670"/>
      <c r="O140" s="670"/>
      <c r="P140" s="670"/>
      <c r="Q140" s="670"/>
      <c r="R140" s="670"/>
      <c r="S140" s="670"/>
      <c r="T140" s="670">
        <f t="shared" si="23"/>
        <v>1966</v>
      </c>
    </row>
    <row r="141" spans="2:20" ht="15" customHeight="1" x14ac:dyDescent="0.25">
      <c r="B141" s="663" t="s">
        <v>71</v>
      </c>
      <c r="C141" s="664" t="str">
        <f>IFERROR(_xlfn.XLOOKUP($G141,COM_Cadastro!#REF!,COM_Cadastro!#REF!),"")</f>
        <v/>
      </c>
      <c r="D141" s="665" t="s">
        <v>378</v>
      </c>
      <c r="E141" s="666" t="s">
        <v>378</v>
      </c>
      <c r="F141" s="665" t="s">
        <v>371</v>
      </c>
      <c r="G141" s="667" t="s">
        <v>587</v>
      </c>
      <c r="H141" s="668">
        <v>1186</v>
      </c>
      <c r="I141" s="669"/>
      <c r="J141" s="669"/>
      <c r="K141" s="669"/>
      <c r="L141" s="670">
        <f t="shared" si="22"/>
        <v>1186</v>
      </c>
      <c r="M141" s="670"/>
      <c r="N141" s="670"/>
      <c r="O141" s="670"/>
      <c r="P141" s="670"/>
      <c r="Q141" s="670"/>
      <c r="R141" s="670"/>
      <c r="S141" s="670"/>
      <c r="T141" s="670">
        <f t="shared" si="23"/>
        <v>1186</v>
      </c>
    </row>
    <row r="142" spans="2:20" ht="15" customHeight="1" x14ac:dyDescent="0.25">
      <c r="B142" s="663" t="s">
        <v>71</v>
      </c>
      <c r="C142" s="664" t="str">
        <f>IFERROR(_xlfn.XLOOKUP($G142,COM_Cadastro!#REF!,COM_Cadastro!#REF!),"")</f>
        <v/>
      </c>
      <c r="D142" s="665" t="s">
        <v>378</v>
      </c>
      <c r="E142" s="666" t="s">
        <v>378</v>
      </c>
      <c r="F142" s="665" t="s">
        <v>371</v>
      </c>
      <c r="G142" s="667" t="s">
        <v>772</v>
      </c>
      <c r="H142" s="668">
        <v>3600</v>
      </c>
      <c r="I142" s="669"/>
      <c r="J142" s="669"/>
      <c r="K142" s="669"/>
      <c r="L142" s="670">
        <f t="shared" si="22"/>
        <v>3600</v>
      </c>
      <c r="M142" s="670"/>
      <c r="N142" s="670"/>
      <c r="O142" s="670"/>
      <c r="P142" s="670"/>
      <c r="Q142" s="670"/>
      <c r="R142" s="670"/>
      <c r="S142" s="670"/>
      <c r="T142" s="670">
        <f t="shared" si="23"/>
        <v>3600</v>
      </c>
    </row>
    <row r="143" spans="2:20" ht="15" customHeight="1" x14ac:dyDescent="0.25">
      <c r="B143" s="663" t="s">
        <v>71</v>
      </c>
      <c r="C143" s="664" t="str">
        <f>IFERROR(_xlfn.XLOOKUP($G143,COM_Cadastro!#REF!,COM_Cadastro!#REF!),"")</f>
        <v/>
      </c>
      <c r="D143" s="665" t="s">
        <v>378</v>
      </c>
      <c r="E143" s="666" t="s">
        <v>378</v>
      </c>
      <c r="F143" s="665" t="s">
        <v>371</v>
      </c>
      <c r="G143" s="667" t="s">
        <v>773</v>
      </c>
      <c r="H143" s="668">
        <v>800</v>
      </c>
      <c r="I143" s="669"/>
      <c r="J143" s="669"/>
      <c r="K143" s="669"/>
      <c r="L143" s="670">
        <f t="shared" si="22"/>
        <v>800</v>
      </c>
      <c r="M143" s="670"/>
      <c r="N143" s="670"/>
      <c r="O143" s="670"/>
      <c r="P143" s="670"/>
      <c r="Q143" s="670"/>
      <c r="R143" s="670"/>
      <c r="S143" s="670"/>
      <c r="T143" s="670">
        <f t="shared" si="23"/>
        <v>800</v>
      </c>
    </row>
    <row r="144" spans="2:20" ht="15" customHeight="1" x14ac:dyDescent="0.25">
      <c r="B144" s="663" t="s">
        <v>71</v>
      </c>
      <c r="C144" s="664" t="str">
        <f>IFERROR(_xlfn.XLOOKUP($G144,COM_Cadastro!#REF!,COM_Cadastro!#REF!),"")</f>
        <v/>
      </c>
      <c r="D144" s="665" t="s">
        <v>378</v>
      </c>
      <c r="E144" s="666" t="s">
        <v>378</v>
      </c>
      <c r="F144" s="665" t="s">
        <v>371</v>
      </c>
      <c r="G144" s="667" t="s">
        <v>774</v>
      </c>
      <c r="H144" s="668">
        <v>1700</v>
      </c>
      <c r="I144" s="669"/>
      <c r="J144" s="669"/>
      <c r="K144" s="669"/>
      <c r="L144" s="670">
        <f t="shared" si="22"/>
        <v>1700</v>
      </c>
      <c r="M144" s="670"/>
      <c r="N144" s="670"/>
      <c r="O144" s="670"/>
      <c r="P144" s="670"/>
      <c r="Q144" s="670"/>
      <c r="R144" s="670"/>
      <c r="S144" s="670"/>
      <c r="T144" s="670">
        <f t="shared" si="23"/>
        <v>1700</v>
      </c>
    </row>
    <row r="145" spans="2:20" ht="15" customHeight="1" x14ac:dyDescent="0.25">
      <c r="B145" s="663" t="s">
        <v>71</v>
      </c>
      <c r="C145" s="664" t="str">
        <f>IFERROR(_xlfn.XLOOKUP($G145,COM_Cadastro!#REF!,COM_Cadastro!#REF!),"")</f>
        <v/>
      </c>
      <c r="D145" s="665" t="s">
        <v>378</v>
      </c>
      <c r="E145" s="666" t="s">
        <v>378</v>
      </c>
      <c r="F145" s="665" t="s">
        <v>371</v>
      </c>
      <c r="G145" s="667" t="s">
        <v>775</v>
      </c>
      <c r="H145" s="668">
        <v>900</v>
      </c>
      <c r="I145" s="669"/>
      <c r="J145" s="669"/>
      <c r="K145" s="669"/>
      <c r="L145" s="670">
        <f t="shared" si="22"/>
        <v>900</v>
      </c>
      <c r="M145" s="670"/>
      <c r="N145" s="670"/>
      <c r="O145" s="670"/>
      <c r="P145" s="670"/>
      <c r="Q145" s="670"/>
      <c r="R145" s="670"/>
      <c r="S145" s="670"/>
      <c r="T145" s="670">
        <f t="shared" si="23"/>
        <v>900</v>
      </c>
    </row>
    <row r="146" spans="2:20" ht="15" customHeight="1" x14ac:dyDescent="0.25">
      <c r="B146" s="663" t="s">
        <v>71</v>
      </c>
      <c r="C146" s="664" t="str">
        <f>IFERROR(_xlfn.XLOOKUP($G146,COM_Cadastro!#REF!,COM_Cadastro!#REF!),"")</f>
        <v/>
      </c>
      <c r="D146" s="665" t="s">
        <v>378</v>
      </c>
      <c r="E146" s="666" t="s">
        <v>378</v>
      </c>
      <c r="F146" s="665" t="s">
        <v>376</v>
      </c>
      <c r="G146" s="667" t="s">
        <v>776</v>
      </c>
      <c r="H146" s="668">
        <v>2520</v>
      </c>
      <c r="I146" s="669"/>
      <c r="J146" s="669"/>
      <c r="K146" s="669"/>
      <c r="L146" s="670">
        <f t="shared" si="22"/>
        <v>2520</v>
      </c>
      <c r="M146" s="670"/>
      <c r="N146" s="670"/>
      <c r="O146" s="670"/>
      <c r="P146" s="670"/>
      <c r="Q146" s="670"/>
      <c r="R146" s="670"/>
      <c r="S146" s="670"/>
      <c r="T146" s="670">
        <f t="shared" si="23"/>
        <v>2520</v>
      </c>
    </row>
    <row r="147" spans="2:20" ht="15" customHeight="1" x14ac:dyDescent="0.25">
      <c r="B147" s="663" t="s">
        <v>71</v>
      </c>
      <c r="C147" s="664" t="str">
        <f>IFERROR(_xlfn.XLOOKUP($G147,COM_Cadastro!#REF!,COM_Cadastro!#REF!),"")</f>
        <v/>
      </c>
      <c r="D147" s="665" t="s">
        <v>378</v>
      </c>
      <c r="E147" s="666" t="s">
        <v>378</v>
      </c>
      <c r="F147" s="665" t="s">
        <v>376</v>
      </c>
      <c r="G147" s="667" t="s">
        <v>777</v>
      </c>
      <c r="H147" s="668">
        <v>2520</v>
      </c>
      <c r="I147" s="669"/>
      <c r="J147" s="669"/>
      <c r="K147" s="669"/>
      <c r="L147" s="670">
        <f t="shared" si="22"/>
        <v>2520</v>
      </c>
      <c r="M147" s="670"/>
      <c r="N147" s="670"/>
      <c r="O147" s="670"/>
      <c r="P147" s="670"/>
      <c r="Q147" s="670"/>
      <c r="R147" s="670"/>
      <c r="S147" s="670"/>
      <c r="T147" s="670">
        <f t="shared" si="23"/>
        <v>2520</v>
      </c>
    </row>
    <row r="148" spans="2:20" ht="15" customHeight="1" x14ac:dyDescent="0.25">
      <c r="B148" s="663" t="s">
        <v>71</v>
      </c>
      <c r="C148" s="664" t="str">
        <f>IFERROR(_xlfn.XLOOKUP($G148,COM_Cadastro!#REF!,COM_Cadastro!#REF!),"")</f>
        <v/>
      </c>
      <c r="D148" s="665" t="s">
        <v>378</v>
      </c>
      <c r="E148" s="666" t="s">
        <v>378</v>
      </c>
      <c r="F148" s="665" t="s">
        <v>376</v>
      </c>
      <c r="G148" s="667" t="s">
        <v>391</v>
      </c>
      <c r="H148" s="668">
        <v>2193</v>
      </c>
      <c r="I148" s="669"/>
      <c r="J148" s="669"/>
      <c r="K148" s="669"/>
      <c r="L148" s="670">
        <f t="shared" si="22"/>
        <v>2193</v>
      </c>
      <c r="M148" s="670"/>
      <c r="N148" s="670"/>
      <c r="O148" s="670"/>
      <c r="P148" s="670"/>
      <c r="Q148" s="670"/>
      <c r="R148" s="670"/>
      <c r="S148" s="670"/>
      <c r="T148" s="670">
        <f t="shared" si="23"/>
        <v>2193</v>
      </c>
    </row>
    <row r="149" spans="2:20" ht="15" customHeight="1" x14ac:dyDescent="0.25">
      <c r="B149" s="663" t="s">
        <v>71</v>
      </c>
      <c r="C149" s="664" t="str">
        <f>IFERROR(_xlfn.XLOOKUP($G149,COM_Cadastro!#REF!,COM_Cadastro!#REF!),"")</f>
        <v/>
      </c>
      <c r="D149" s="665" t="s">
        <v>378</v>
      </c>
      <c r="E149" s="666" t="s">
        <v>378</v>
      </c>
      <c r="F149" s="665" t="s">
        <v>376</v>
      </c>
      <c r="G149" s="667" t="s">
        <v>778</v>
      </c>
      <c r="H149" s="668">
        <v>2520</v>
      </c>
      <c r="I149" s="669"/>
      <c r="J149" s="669"/>
      <c r="K149" s="669"/>
      <c r="L149" s="670">
        <f t="shared" si="22"/>
        <v>2520</v>
      </c>
      <c r="M149" s="670"/>
      <c r="N149" s="670"/>
      <c r="O149" s="670"/>
      <c r="P149" s="670"/>
      <c r="Q149" s="670"/>
      <c r="R149" s="670"/>
      <c r="S149" s="670"/>
      <c r="T149" s="670">
        <f t="shared" si="23"/>
        <v>2520</v>
      </c>
    </row>
    <row r="150" spans="2:20" ht="15" customHeight="1" x14ac:dyDescent="0.25">
      <c r="B150" s="663" t="s">
        <v>71</v>
      </c>
      <c r="C150" s="664" t="str">
        <f>IFERROR(_xlfn.XLOOKUP($G150,COM_Cadastro!#REF!,COM_Cadastro!#REF!),"")</f>
        <v/>
      </c>
      <c r="D150" s="665" t="s">
        <v>378</v>
      </c>
      <c r="E150" s="666" t="s">
        <v>378</v>
      </c>
      <c r="F150" s="665" t="s">
        <v>376</v>
      </c>
      <c r="G150" s="667" t="s">
        <v>410</v>
      </c>
      <c r="H150" s="668">
        <v>2130</v>
      </c>
      <c r="I150" s="669"/>
      <c r="J150" s="669"/>
      <c r="K150" s="669"/>
      <c r="L150" s="670">
        <f t="shared" si="22"/>
        <v>2130</v>
      </c>
      <c r="M150" s="670"/>
      <c r="N150" s="670"/>
      <c r="O150" s="670"/>
      <c r="P150" s="670"/>
      <c r="Q150" s="670"/>
      <c r="R150" s="670"/>
      <c r="S150" s="670"/>
      <c r="T150" s="670">
        <f t="shared" si="23"/>
        <v>2130</v>
      </c>
    </row>
    <row r="151" spans="2:20" ht="15" customHeight="1" x14ac:dyDescent="0.25">
      <c r="B151" s="663" t="s">
        <v>71</v>
      </c>
      <c r="C151" s="664" t="str">
        <f>IFERROR(_xlfn.XLOOKUP($G151,COM_Cadastro!#REF!,COM_Cadastro!#REF!),"")</f>
        <v/>
      </c>
      <c r="D151" s="665" t="s">
        <v>378</v>
      </c>
      <c r="E151" s="666" t="s">
        <v>378</v>
      </c>
      <c r="F151" s="665" t="s">
        <v>376</v>
      </c>
      <c r="G151" s="667" t="s">
        <v>446</v>
      </c>
      <c r="H151" s="668">
        <v>2056</v>
      </c>
      <c r="I151" s="669"/>
      <c r="J151" s="669"/>
      <c r="K151" s="669"/>
      <c r="L151" s="670">
        <f t="shared" si="22"/>
        <v>2056</v>
      </c>
      <c r="M151" s="670"/>
      <c r="N151" s="670"/>
      <c r="O151" s="670"/>
      <c r="P151" s="670"/>
      <c r="Q151" s="670"/>
      <c r="R151" s="670"/>
      <c r="S151" s="670"/>
      <c r="T151" s="670">
        <f t="shared" si="23"/>
        <v>2056</v>
      </c>
    </row>
    <row r="152" spans="2:20" ht="15" customHeight="1" x14ac:dyDescent="0.25">
      <c r="B152" s="663" t="s">
        <v>71</v>
      </c>
      <c r="C152" s="664" t="str">
        <f>IFERROR(_xlfn.XLOOKUP($G152,COM_Cadastro!#REF!,COM_Cadastro!#REF!),"")</f>
        <v/>
      </c>
      <c r="D152" s="665" t="s">
        <v>378</v>
      </c>
      <c r="E152" s="666" t="s">
        <v>378</v>
      </c>
      <c r="F152" s="665" t="s">
        <v>376</v>
      </c>
      <c r="G152" s="667" t="s">
        <v>467</v>
      </c>
      <c r="H152" s="668">
        <v>3316</v>
      </c>
      <c r="I152" s="669"/>
      <c r="J152" s="669"/>
      <c r="K152" s="669"/>
      <c r="L152" s="670">
        <f t="shared" si="22"/>
        <v>3316</v>
      </c>
      <c r="M152" s="670"/>
      <c r="N152" s="670"/>
      <c r="O152" s="670"/>
      <c r="P152" s="670"/>
      <c r="Q152" s="670"/>
      <c r="R152" s="670"/>
      <c r="S152" s="670"/>
      <c r="T152" s="670">
        <f t="shared" si="23"/>
        <v>3316</v>
      </c>
    </row>
    <row r="153" spans="2:20" ht="15" customHeight="1" x14ac:dyDescent="0.25">
      <c r="B153" s="663" t="s">
        <v>71</v>
      </c>
      <c r="C153" s="664" t="str">
        <f>IFERROR(_xlfn.XLOOKUP($G153,COM_Cadastro!#REF!,COM_Cadastro!#REF!),"")</f>
        <v/>
      </c>
      <c r="D153" s="665" t="s">
        <v>378</v>
      </c>
      <c r="E153" s="666" t="s">
        <v>378</v>
      </c>
      <c r="F153" s="665" t="s">
        <v>376</v>
      </c>
      <c r="G153" s="667" t="s">
        <v>536</v>
      </c>
      <c r="H153" s="668">
        <v>2120</v>
      </c>
      <c r="I153" s="669"/>
      <c r="J153" s="669"/>
      <c r="K153" s="669"/>
      <c r="L153" s="670">
        <f t="shared" si="22"/>
        <v>2120</v>
      </c>
      <c r="M153" s="670"/>
      <c r="N153" s="670"/>
      <c r="O153" s="670"/>
      <c r="P153" s="670"/>
      <c r="Q153" s="670"/>
      <c r="R153" s="670"/>
      <c r="S153" s="670"/>
      <c r="T153" s="670">
        <f t="shared" si="23"/>
        <v>2120</v>
      </c>
    </row>
    <row r="154" spans="2:20" ht="15" customHeight="1" x14ac:dyDescent="0.25">
      <c r="B154" s="663" t="s">
        <v>71</v>
      </c>
      <c r="C154" s="664" t="str">
        <f>IFERROR(_xlfn.XLOOKUP($G154,COM_Cadastro!#REF!,COM_Cadastro!#REF!),"")</f>
        <v/>
      </c>
      <c r="D154" s="665" t="s">
        <v>378</v>
      </c>
      <c r="E154" s="666" t="s">
        <v>378</v>
      </c>
      <c r="F154" s="665" t="s">
        <v>376</v>
      </c>
      <c r="G154" s="667" t="s">
        <v>385</v>
      </c>
      <c r="H154" s="668">
        <v>820</v>
      </c>
      <c r="I154" s="669"/>
      <c r="J154" s="669"/>
      <c r="K154" s="669"/>
      <c r="L154" s="670">
        <f t="shared" si="22"/>
        <v>820</v>
      </c>
      <c r="M154" s="670"/>
      <c r="N154" s="670"/>
      <c r="O154" s="670"/>
      <c r="P154" s="670"/>
      <c r="Q154" s="670"/>
      <c r="R154" s="670"/>
      <c r="S154" s="670"/>
      <c r="T154" s="670">
        <f t="shared" si="23"/>
        <v>820</v>
      </c>
    </row>
    <row r="155" spans="2:20" ht="15" customHeight="1" x14ac:dyDescent="0.25">
      <c r="B155" s="663" t="s">
        <v>71</v>
      </c>
      <c r="C155" s="664" t="str">
        <f>IFERROR(_xlfn.XLOOKUP($G155,COM_Cadastro!#REF!,COM_Cadastro!#REF!),"")</f>
        <v/>
      </c>
      <c r="D155" s="665" t="s">
        <v>378</v>
      </c>
      <c r="E155" s="666" t="s">
        <v>378</v>
      </c>
      <c r="F155" s="665" t="s">
        <v>376</v>
      </c>
      <c r="G155" s="667" t="s">
        <v>396</v>
      </c>
      <c r="H155" s="668">
        <v>3300</v>
      </c>
      <c r="I155" s="669"/>
      <c r="J155" s="669"/>
      <c r="K155" s="669"/>
      <c r="L155" s="670">
        <f t="shared" si="22"/>
        <v>3300</v>
      </c>
      <c r="M155" s="670"/>
      <c r="N155" s="670"/>
      <c r="O155" s="670"/>
      <c r="P155" s="670"/>
      <c r="Q155" s="670"/>
      <c r="R155" s="670"/>
      <c r="S155" s="670"/>
      <c r="T155" s="670">
        <f t="shared" si="23"/>
        <v>3300</v>
      </c>
    </row>
    <row r="156" spans="2:20" ht="15" customHeight="1" x14ac:dyDescent="0.25">
      <c r="B156" s="663" t="s">
        <v>71</v>
      </c>
      <c r="C156" s="664" t="str">
        <f>IFERROR(_xlfn.XLOOKUP($G156,COM_Cadastro!#REF!,COM_Cadastro!#REF!),"")</f>
        <v/>
      </c>
      <c r="D156" s="665" t="s">
        <v>378</v>
      </c>
      <c r="E156" s="666" t="s">
        <v>378</v>
      </c>
      <c r="F156" s="665" t="s">
        <v>376</v>
      </c>
      <c r="G156" s="667" t="s">
        <v>453</v>
      </c>
      <c r="H156" s="668">
        <v>1320</v>
      </c>
      <c r="I156" s="669"/>
      <c r="J156" s="669"/>
      <c r="K156" s="669"/>
      <c r="L156" s="670">
        <f t="shared" si="22"/>
        <v>1320</v>
      </c>
      <c r="M156" s="670"/>
      <c r="N156" s="670"/>
      <c r="O156" s="670"/>
      <c r="P156" s="670"/>
      <c r="Q156" s="670"/>
      <c r="R156" s="670"/>
      <c r="S156" s="670"/>
      <c r="T156" s="670">
        <f t="shared" si="23"/>
        <v>1320</v>
      </c>
    </row>
    <row r="157" spans="2:20" ht="15" customHeight="1" x14ac:dyDescent="0.25">
      <c r="B157" s="663" t="s">
        <v>71</v>
      </c>
      <c r="C157" s="664" t="str">
        <f>IFERROR(_xlfn.XLOOKUP($G157,COM_Cadastro!#REF!,COM_Cadastro!#REF!),"")</f>
        <v/>
      </c>
      <c r="D157" s="665" t="s">
        <v>378</v>
      </c>
      <c r="E157" s="666" t="s">
        <v>378</v>
      </c>
      <c r="F157" s="665" t="s">
        <v>374</v>
      </c>
      <c r="G157" s="667" t="s">
        <v>456</v>
      </c>
      <c r="H157" s="668">
        <v>2960</v>
      </c>
      <c r="I157" s="669"/>
      <c r="J157" s="669"/>
      <c r="K157" s="669"/>
      <c r="L157" s="670">
        <f t="shared" si="22"/>
        <v>2960</v>
      </c>
      <c r="M157" s="670"/>
      <c r="N157" s="670"/>
      <c r="O157" s="670"/>
      <c r="P157" s="670"/>
      <c r="Q157" s="670"/>
      <c r="R157" s="670"/>
      <c r="S157" s="670"/>
      <c r="T157" s="670">
        <f t="shared" si="23"/>
        <v>2960</v>
      </c>
    </row>
    <row r="158" spans="2:20" ht="15" customHeight="1" x14ac:dyDescent="0.25">
      <c r="B158" s="663" t="s">
        <v>71</v>
      </c>
      <c r="C158" s="664" t="str">
        <f>IFERROR(_xlfn.XLOOKUP($G158,COM_Cadastro!#REF!,COM_Cadastro!#REF!),"")</f>
        <v/>
      </c>
      <c r="D158" s="665" t="s">
        <v>378</v>
      </c>
      <c r="E158" s="666" t="s">
        <v>378</v>
      </c>
      <c r="F158" s="665" t="s">
        <v>374</v>
      </c>
      <c r="G158" s="667" t="s">
        <v>480</v>
      </c>
      <c r="H158" s="668">
        <v>2420</v>
      </c>
      <c r="I158" s="669"/>
      <c r="J158" s="669"/>
      <c r="K158" s="669"/>
      <c r="L158" s="670">
        <f t="shared" si="22"/>
        <v>2420</v>
      </c>
      <c r="M158" s="670"/>
      <c r="N158" s="670"/>
      <c r="O158" s="670"/>
      <c r="P158" s="670"/>
      <c r="Q158" s="670"/>
      <c r="R158" s="670"/>
      <c r="S158" s="670"/>
      <c r="T158" s="670">
        <f t="shared" si="23"/>
        <v>2420</v>
      </c>
    </row>
    <row r="159" spans="2:20" ht="15" customHeight="1" x14ac:dyDescent="0.25">
      <c r="B159" s="663" t="s">
        <v>71</v>
      </c>
      <c r="C159" s="664" t="str">
        <f>IFERROR(_xlfn.XLOOKUP($G159,COM_Cadastro!#REF!,COM_Cadastro!#REF!),"")</f>
        <v/>
      </c>
      <c r="D159" s="665" t="s">
        <v>378</v>
      </c>
      <c r="E159" s="666" t="s">
        <v>378</v>
      </c>
      <c r="F159" s="665" t="s">
        <v>374</v>
      </c>
      <c r="G159" s="667" t="s">
        <v>779</v>
      </c>
      <c r="H159" s="668">
        <v>2598</v>
      </c>
      <c r="I159" s="669"/>
      <c r="J159" s="669"/>
      <c r="K159" s="669"/>
      <c r="L159" s="670">
        <f t="shared" si="22"/>
        <v>2598</v>
      </c>
      <c r="M159" s="670"/>
      <c r="N159" s="670"/>
      <c r="O159" s="670"/>
      <c r="P159" s="670"/>
      <c r="Q159" s="670"/>
      <c r="R159" s="670"/>
      <c r="S159" s="670"/>
      <c r="T159" s="670">
        <f t="shared" si="23"/>
        <v>2598</v>
      </c>
    </row>
    <row r="160" spans="2:20" ht="15" customHeight="1" x14ac:dyDescent="0.25">
      <c r="B160" s="663" t="s">
        <v>71</v>
      </c>
      <c r="C160" s="664" t="str">
        <f>IFERROR(_xlfn.XLOOKUP($G160,COM_Cadastro!#REF!,COM_Cadastro!#REF!),"")</f>
        <v/>
      </c>
      <c r="D160" s="665" t="s">
        <v>378</v>
      </c>
      <c r="E160" s="666" t="s">
        <v>378</v>
      </c>
      <c r="F160" s="665" t="s">
        <v>374</v>
      </c>
      <c r="G160" s="667" t="s">
        <v>568</v>
      </c>
      <c r="H160" s="668">
        <v>1500</v>
      </c>
      <c r="I160" s="669"/>
      <c r="J160" s="669"/>
      <c r="K160" s="669"/>
      <c r="L160" s="670">
        <f t="shared" si="22"/>
        <v>1500</v>
      </c>
      <c r="M160" s="670"/>
      <c r="N160" s="670"/>
      <c r="O160" s="670"/>
      <c r="P160" s="670"/>
      <c r="Q160" s="670"/>
      <c r="R160" s="670"/>
      <c r="S160" s="670"/>
      <c r="T160" s="670">
        <f t="shared" si="23"/>
        <v>1500</v>
      </c>
    </row>
    <row r="161" spans="2:20" ht="15" customHeight="1" x14ac:dyDescent="0.25">
      <c r="B161" s="663" t="s">
        <v>71</v>
      </c>
      <c r="C161" s="664" t="str">
        <f>IFERROR(_xlfn.XLOOKUP($G161,COM_Cadastro!#REF!,COM_Cadastro!#REF!),"")</f>
        <v/>
      </c>
      <c r="D161" s="665" t="s">
        <v>734</v>
      </c>
      <c r="E161" s="666" t="s">
        <v>780</v>
      </c>
      <c r="F161" s="665" t="s">
        <v>368</v>
      </c>
      <c r="G161" s="667" t="s">
        <v>578</v>
      </c>
      <c r="H161" s="668">
        <v>95</v>
      </c>
      <c r="I161" s="669"/>
      <c r="J161" s="669"/>
      <c r="K161" s="669"/>
      <c r="L161" s="670">
        <f t="shared" si="22"/>
        <v>95</v>
      </c>
      <c r="M161" s="670"/>
      <c r="N161" s="670"/>
      <c r="O161" s="670"/>
      <c r="P161" s="670"/>
      <c r="Q161" s="670"/>
      <c r="R161" s="670"/>
      <c r="S161" s="670"/>
      <c r="T161" s="670">
        <f t="shared" si="23"/>
        <v>95</v>
      </c>
    </row>
    <row r="162" spans="2:20" ht="15" customHeight="1" x14ac:dyDescent="0.25">
      <c r="B162" s="663" t="s">
        <v>71</v>
      </c>
      <c r="C162" s="664" t="str">
        <f>IFERROR(_xlfn.XLOOKUP($G162,COM_Cadastro!#REF!,COM_Cadastro!#REF!),"")</f>
        <v/>
      </c>
      <c r="D162" s="665" t="s">
        <v>734</v>
      </c>
      <c r="E162" s="666" t="s">
        <v>780</v>
      </c>
      <c r="F162" s="665" t="s">
        <v>368</v>
      </c>
      <c r="G162" s="667" t="s">
        <v>781</v>
      </c>
      <c r="H162" s="668">
        <v>540</v>
      </c>
      <c r="I162" s="669"/>
      <c r="J162" s="669"/>
      <c r="K162" s="669"/>
      <c r="L162" s="670">
        <f t="shared" si="22"/>
        <v>540</v>
      </c>
      <c r="M162" s="670"/>
      <c r="N162" s="670"/>
      <c r="O162" s="670"/>
      <c r="P162" s="670"/>
      <c r="Q162" s="670"/>
      <c r="R162" s="670"/>
      <c r="S162" s="670"/>
      <c r="T162" s="670">
        <f t="shared" si="23"/>
        <v>540</v>
      </c>
    </row>
    <row r="163" spans="2:20" ht="15" customHeight="1" x14ac:dyDescent="0.25">
      <c r="B163" s="663" t="s">
        <v>71</v>
      </c>
      <c r="C163" s="664" t="str">
        <f>IFERROR(_xlfn.XLOOKUP($G163,COM_Cadastro!#REF!,COM_Cadastro!#REF!),"")</f>
        <v/>
      </c>
      <c r="D163" s="665" t="s">
        <v>734</v>
      </c>
      <c r="E163" s="666" t="s">
        <v>780</v>
      </c>
      <c r="F163" s="665" t="s">
        <v>368</v>
      </c>
      <c r="G163" s="667" t="s">
        <v>782</v>
      </c>
      <c r="H163" s="668">
        <v>2100</v>
      </c>
      <c r="I163" s="669"/>
      <c r="J163" s="669"/>
      <c r="K163" s="669"/>
      <c r="L163" s="670">
        <f t="shared" si="22"/>
        <v>2100</v>
      </c>
      <c r="M163" s="670"/>
      <c r="N163" s="670"/>
      <c r="O163" s="670"/>
      <c r="P163" s="670"/>
      <c r="Q163" s="670"/>
      <c r="R163" s="670"/>
      <c r="S163" s="670"/>
      <c r="T163" s="670">
        <f t="shared" si="23"/>
        <v>2100</v>
      </c>
    </row>
    <row r="164" spans="2:20" ht="15" customHeight="1" x14ac:dyDescent="0.25">
      <c r="B164" s="663" t="s">
        <v>71</v>
      </c>
      <c r="C164" s="664" t="str">
        <f>IFERROR(_xlfn.XLOOKUP($G164,COM_Cadastro!#REF!,COM_Cadastro!#REF!),"")</f>
        <v/>
      </c>
      <c r="D164" s="665" t="s">
        <v>734</v>
      </c>
      <c r="E164" s="666" t="s">
        <v>780</v>
      </c>
      <c r="F164" s="665" t="s">
        <v>368</v>
      </c>
      <c r="G164" s="667" t="s">
        <v>783</v>
      </c>
      <c r="H164" s="668">
        <v>983</v>
      </c>
      <c r="I164" s="669"/>
      <c r="J164" s="669"/>
      <c r="K164" s="669"/>
      <c r="L164" s="670">
        <f t="shared" si="22"/>
        <v>983</v>
      </c>
      <c r="M164" s="670"/>
      <c r="N164" s="670"/>
      <c r="O164" s="670"/>
      <c r="P164" s="670"/>
      <c r="Q164" s="670"/>
      <c r="R164" s="670"/>
      <c r="S164" s="670"/>
      <c r="T164" s="670">
        <f t="shared" si="23"/>
        <v>983</v>
      </c>
    </row>
    <row r="165" spans="2:20" ht="15" customHeight="1" x14ac:dyDescent="0.25">
      <c r="B165" s="663" t="s">
        <v>71</v>
      </c>
      <c r="C165" s="664" t="str">
        <f>IFERROR(_xlfn.XLOOKUP($G165,COM_Cadastro!#REF!,COM_Cadastro!#REF!),"")</f>
        <v/>
      </c>
      <c r="D165" s="665" t="s">
        <v>734</v>
      </c>
      <c r="E165" s="666" t="s">
        <v>780</v>
      </c>
      <c r="F165" s="665" t="s">
        <v>368</v>
      </c>
      <c r="G165" s="667" t="s">
        <v>805</v>
      </c>
      <c r="H165" s="668">
        <v>80</v>
      </c>
      <c r="I165" s="669"/>
      <c r="J165" s="669"/>
      <c r="K165" s="669"/>
      <c r="L165" s="670">
        <f t="shared" si="22"/>
        <v>80</v>
      </c>
      <c r="M165" s="670"/>
      <c r="N165" s="670"/>
      <c r="O165" s="670"/>
      <c r="P165" s="670"/>
      <c r="Q165" s="670"/>
      <c r="R165" s="670"/>
      <c r="S165" s="670"/>
      <c r="T165" s="670">
        <f t="shared" si="23"/>
        <v>80</v>
      </c>
    </row>
    <row r="166" spans="2:20" ht="15" customHeight="1" x14ac:dyDescent="0.25">
      <c r="B166" s="663" t="s">
        <v>71</v>
      </c>
      <c r="C166" s="664" t="str">
        <f>IFERROR(_xlfn.XLOOKUP($G166,COM_Cadastro!#REF!,COM_Cadastro!#REF!),"")</f>
        <v/>
      </c>
      <c r="D166" s="665" t="s">
        <v>734</v>
      </c>
      <c r="E166" s="666" t="s">
        <v>780</v>
      </c>
      <c r="F166" s="665" t="s">
        <v>368</v>
      </c>
      <c r="G166" s="667" t="s">
        <v>806</v>
      </c>
      <c r="H166" s="668">
        <v>2160</v>
      </c>
      <c r="I166" s="669"/>
      <c r="J166" s="669"/>
      <c r="K166" s="669"/>
      <c r="L166" s="670">
        <f t="shared" si="22"/>
        <v>2160</v>
      </c>
      <c r="M166" s="670"/>
      <c r="N166" s="670"/>
      <c r="O166" s="670"/>
      <c r="P166" s="670"/>
      <c r="Q166" s="670"/>
      <c r="R166" s="670"/>
      <c r="S166" s="670"/>
      <c r="T166" s="670">
        <f t="shared" si="23"/>
        <v>2160</v>
      </c>
    </row>
    <row r="167" spans="2:20" ht="15" customHeight="1" x14ac:dyDescent="0.25">
      <c r="B167" s="663" t="s">
        <v>71</v>
      </c>
      <c r="C167" s="664" t="str">
        <f>IFERROR(_xlfn.XLOOKUP($G167,COM_Cadastro!#REF!,COM_Cadastro!#REF!),"")</f>
        <v/>
      </c>
      <c r="D167" s="665" t="s">
        <v>734</v>
      </c>
      <c r="E167" s="666" t="s">
        <v>780</v>
      </c>
      <c r="F167" s="665" t="s">
        <v>368</v>
      </c>
      <c r="G167" s="667" t="s">
        <v>746</v>
      </c>
      <c r="H167" s="668">
        <v>220</v>
      </c>
      <c r="I167" s="669"/>
      <c r="J167" s="669"/>
      <c r="K167" s="669"/>
      <c r="L167" s="670">
        <f t="shared" si="22"/>
        <v>220</v>
      </c>
      <c r="M167" s="670"/>
      <c r="N167" s="670"/>
      <c r="O167" s="670"/>
      <c r="P167" s="670"/>
      <c r="Q167" s="670"/>
      <c r="R167" s="670"/>
      <c r="S167" s="670"/>
      <c r="T167" s="670">
        <f t="shared" si="23"/>
        <v>220</v>
      </c>
    </row>
    <row r="168" spans="2:20" ht="15" customHeight="1" x14ac:dyDescent="0.25">
      <c r="B168" s="663" t="s">
        <v>71</v>
      </c>
      <c r="C168" s="664" t="str">
        <f>IFERROR(_xlfn.XLOOKUP($G168,COM_Cadastro!#REF!,COM_Cadastro!#REF!),"")</f>
        <v/>
      </c>
      <c r="D168" s="665" t="s">
        <v>734</v>
      </c>
      <c r="E168" s="666" t="s">
        <v>780</v>
      </c>
      <c r="F168" s="665" t="s">
        <v>368</v>
      </c>
      <c r="G168" s="667" t="s">
        <v>427</v>
      </c>
      <c r="H168" s="668">
        <v>2000</v>
      </c>
      <c r="I168" s="669"/>
      <c r="J168" s="669"/>
      <c r="K168" s="669"/>
      <c r="L168" s="670">
        <f t="shared" si="22"/>
        <v>2000</v>
      </c>
      <c r="M168" s="670"/>
      <c r="N168" s="670"/>
      <c r="O168" s="670"/>
      <c r="P168" s="670"/>
      <c r="Q168" s="670"/>
      <c r="R168" s="670"/>
      <c r="S168" s="670"/>
      <c r="T168" s="670">
        <f t="shared" si="23"/>
        <v>2000</v>
      </c>
    </row>
    <row r="169" spans="2:20" ht="15" customHeight="1" x14ac:dyDescent="0.25">
      <c r="B169" s="663" t="s">
        <v>71</v>
      </c>
      <c r="C169" s="664" t="str">
        <f>IFERROR(_xlfn.XLOOKUP($G169,COM_Cadastro!#REF!,COM_Cadastro!#REF!),"")</f>
        <v/>
      </c>
      <c r="D169" s="665" t="s">
        <v>734</v>
      </c>
      <c r="E169" s="666" t="s">
        <v>780</v>
      </c>
      <c r="F169" s="665" t="s">
        <v>368</v>
      </c>
      <c r="G169" s="667" t="s">
        <v>437</v>
      </c>
      <c r="H169" s="668">
        <v>400</v>
      </c>
      <c r="I169" s="669"/>
      <c r="J169" s="669"/>
      <c r="K169" s="669"/>
      <c r="L169" s="670">
        <f t="shared" si="22"/>
        <v>400</v>
      </c>
      <c r="M169" s="670"/>
      <c r="N169" s="670"/>
      <c r="O169" s="670"/>
      <c r="P169" s="670"/>
      <c r="Q169" s="670"/>
      <c r="R169" s="670"/>
      <c r="S169" s="670"/>
      <c r="T169" s="670">
        <f t="shared" si="23"/>
        <v>400</v>
      </c>
    </row>
    <row r="170" spans="2:20" ht="15" customHeight="1" x14ac:dyDescent="0.25">
      <c r="B170" s="663" t="s">
        <v>71</v>
      </c>
      <c r="C170" s="664" t="str">
        <f>IFERROR(_xlfn.XLOOKUP($G170,COM_Cadastro!#REF!,COM_Cadastro!#REF!),"")</f>
        <v/>
      </c>
      <c r="D170" s="665" t="s">
        <v>734</v>
      </c>
      <c r="E170" s="666" t="s">
        <v>780</v>
      </c>
      <c r="F170" s="665" t="s">
        <v>368</v>
      </c>
      <c r="G170" s="667" t="s">
        <v>784</v>
      </c>
      <c r="H170" s="668">
        <v>1235</v>
      </c>
      <c r="I170" s="669"/>
      <c r="J170" s="669"/>
      <c r="K170" s="669"/>
      <c r="L170" s="670">
        <f t="shared" si="22"/>
        <v>1235</v>
      </c>
      <c r="M170" s="670"/>
      <c r="N170" s="670"/>
      <c r="O170" s="670"/>
      <c r="P170" s="670"/>
      <c r="Q170" s="670"/>
      <c r="R170" s="670"/>
      <c r="S170" s="670"/>
      <c r="T170" s="670">
        <f t="shared" si="23"/>
        <v>1235</v>
      </c>
    </row>
    <row r="171" spans="2:20" ht="15" customHeight="1" x14ac:dyDescent="0.25">
      <c r="B171" s="663" t="s">
        <v>71</v>
      </c>
      <c r="C171" s="664" t="str">
        <f>IFERROR(_xlfn.XLOOKUP($G171,COM_Cadastro!#REF!,COM_Cadastro!#REF!),"")</f>
        <v/>
      </c>
      <c r="D171" s="665" t="s">
        <v>734</v>
      </c>
      <c r="E171" s="666" t="s">
        <v>780</v>
      </c>
      <c r="F171" s="665" t="s">
        <v>368</v>
      </c>
      <c r="G171" s="667" t="s">
        <v>470</v>
      </c>
      <c r="H171" s="668">
        <v>1350</v>
      </c>
      <c r="I171" s="669"/>
      <c r="J171" s="669"/>
      <c r="K171" s="669"/>
      <c r="L171" s="670">
        <f t="shared" si="22"/>
        <v>1350</v>
      </c>
      <c r="M171" s="670"/>
      <c r="N171" s="670"/>
      <c r="O171" s="670"/>
      <c r="P171" s="670"/>
      <c r="Q171" s="670"/>
      <c r="R171" s="670"/>
      <c r="S171" s="670"/>
      <c r="T171" s="670">
        <f t="shared" si="23"/>
        <v>1350</v>
      </c>
    </row>
    <row r="172" spans="2:20" ht="15" customHeight="1" x14ac:dyDescent="0.25">
      <c r="B172" s="663" t="s">
        <v>71</v>
      </c>
      <c r="C172" s="664" t="str">
        <f>IFERROR(_xlfn.XLOOKUP($G172,COM_Cadastro!#REF!,COM_Cadastro!#REF!),"")</f>
        <v/>
      </c>
      <c r="D172" s="665" t="s">
        <v>734</v>
      </c>
      <c r="E172" s="666" t="s">
        <v>780</v>
      </c>
      <c r="F172" s="665" t="s">
        <v>368</v>
      </c>
      <c r="G172" s="667" t="s">
        <v>476</v>
      </c>
      <c r="H172" s="668">
        <v>1082</v>
      </c>
      <c r="I172" s="669"/>
      <c r="J172" s="669"/>
      <c r="K172" s="669"/>
      <c r="L172" s="670">
        <f t="shared" si="22"/>
        <v>1082</v>
      </c>
      <c r="M172" s="670"/>
      <c r="N172" s="670"/>
      <c r="O172" s="670"/>
      <c r="P172" s="670"/>
      <c r="Q172" s="670"/>
      <c r="R172" s="670"/>
      <c r="S172" s="670"/>
      <c r="T172" s="670">
        <f t="shared" si="23"/>
        <v>1082</v>
      </c>
    </row>
    <row r="173" spans="2:20" ht="15" customHeight="1" x14ac:dyDescent="0.25">
      <c r="B173" s="663" t="s">
        <v>71</v>
      </c>
      <c r="C173" s="664" t="str">
        <f>IFERROR(_xlfn.XLOOKUP($G173,COM_Cadastro!#REF!,COM_Cadastro!#REF!),"")</f>
        <v/>
      </c>
      <c r="D173" s="665" t="s">
        <v>734</v>
      </c>
      <c r="E173" s="666" t="s">
        <v>780</v>
      </c>
      <c r="F173" s="665" t="s">
        <v>368</v>
      </c>
      <c r="G173" s="667" t="s">
        <v>493</v>
      </c>
      <c r="H173" s="668">
        <v>1100</v>
      </c>
      <c r="I173" s="669"/>
      <c r="J173" s="669"/>
      <c r="K173" s="669"/>
      <c r="L173" s="670">
        <f t="shared" si="22"/>
        <v>1100</v>
      </c>
      <c r="M173" s="670"/>
      <c r="N173" s="670"/>
      <c r="O173" s="670"/>
      <c r="P173" s="670"/>
      <c r="Q173" s="670"/>
      <c r="R173" s="670"/>
      <c r="S173" s="670"/>
      <c r="T173" s="670">
        <f t="shared" si="23"/>
        <v>1100</v>
      </c>
    </row>
    <row r="174" spans="2:20" ht="15" customHeight="1" x14ac:dyDescent="0.25">
      <c r="B174" s="663" t="s">
        <v>71</v>
      </c>
      <c r="C174" s="664" t="str">
        <f>IFERROR(_xlfn.XLOOKUP($G174,COM_Cadastro!#REF!,COM_Cadastro!#REF!),"")</f>
        <v/>
      </c>
      <c r="D174" s="665" t="s">
        <v>734</v>
      </c>
      <c r="E174" s="666" t="s">
        <v>780</v>
      </c>
      <c r="F174" s="665" t="s">
        <v>368</v>
      </c>
      <c r="G174" s="667" t="s">
        <v>807</v>
      </c>
      <c r="H174" s="668">
        <v>160</v>
      </c>
      <c r="I174" s="669"/>
      <c r="J174" s="669"/>
      <c r="K174" s="669"/>
      <c r="L174" s="670">
        <f t="shared" si="22"/>
        <v>160</v>
      </c>
      <c r="M174" s="670"/>
      <c r="N174" s="670"/>
      <c r="O174" s="670"/>
      <c r="P174" s="670"/>
      <c r="Q174" s="670"/>
      <c r="R174" s="670"/>
      <c r="S174" s="670"/>
      <c r="T174" s="670">
        <f t="shared" si="23"/>
        <v>160</v>
      </c>
    </row>
    <row r="175" spans="2:20" ht="15" customHeight="1" x14ac:dyDescent="0.25">
      <c r="B175" s="663" t="s">
        <v>71</v>
      </c>
      <c r="C175" s="664" t="str">
        <f>IFERROR(_xlfn.XLOOKUP($G175,COM_Cadastro!#REF!,COM_Cadastro!#REF!),"")</f>
        <v/>
      </c>
      <c r="D175" s="665" t="s">
        <v>734</v>
      </c>
      <c r="E175" s="666" t="s">
        <v>780</v>
      </c>
      <c r="F175" s="665" t="s">
        <v>368</v>
      </c>
      <c r="G175" s="667" t="s">
        <v>785</v>
      </c>
      <c r="H175" s="668">
        <v>1680</v>
      </c>
      <c r="I175" s="669"/>
      <c r="J175" s="669"/>
      <c r="K175" s="669"/>
      <c r="L175" s="670">
        <f t="shared" si="22"/>
        <v>1680</v>
      </c>
      <c r="M175" s="670"/>
      <c r="N175" s="670"/>
      <c r="O175" s="670"/>
      <c r="P175" s="670"/>
      <c r="Q175" s="670"/>
      <c r="R175" s="670"/>
      <c r="S175" s="670"/>
      <c r="T175" s="670">
        <f t="shared" si="23"/>
        <v>1680</v>
      </c>
    </row>
    <row r="176" spans="2:20" ht="15" customHeight="1" x14ac:dyDescent="0.25">
      <c r="B176" s="663" t="s">
        <v>71</v>
      </c>
      <c r="C176" s="664" t="str">
        <f>IFERROR(_xlfn.XLOOKUP($G176,COM_Cadastro!#REF!,COM_Cadastro!#REF!),"")</f>
        <v/>
      </c>
      <c r="D176" s="665" t="s">
        <v>734</v>
      </c>
      <c r="E176" s="666" t="s">
        <v>780</v>
      </c>
      <c r="F176" s="665" t="s">
        <v>368</v>
      </c>
      <c r="G176" s="667" t="s">
        <v>808</v>
      </c>
      <c r="H176" s="668">
        <v>100</v>
      </c>
      <c r="I176" s="669"/>
      <c r="J176" s="669"/>
      <c r="K176" s="669"/>
      <c r="L176" s="670">
        <f t="shared" si="22"/>
        <v>100</v>
      </c>
      <c r="M176" s="670"/>
      <c r="N176" s="670"/>
      <c r="O176" s="670"/>
      <c r="P176" s="670"/>
      <c r="Q176" s="670"/>
      <c r="R176" s="670"/>
      <c r="S176" s="670"/>
      <c r="T176" s="670">
        <f t="shared" si="23"/>
        <v>100</v>
      </c>
    </row>
    <row r="177" spans="2:20" ht="15" customHeight="1" x14ac:dyDescent="0.25">
      <c r="B177" s="663" t="s">
        <v>71</v>
      </c>
      <c r="C177" s="664" t="str">
        <f>IFERROR(_xlfn.XLOOKUP($G177,COM_Cadastro!#REF!,COM_Cadastro!#REF!),"")</f>
        <v/>
      </c>
      <c r="D177" s="665" t="s">
        <v>734</v>
      </c>
      <c r="E177" s="666" t="s">
        <v>780</v>
      </c>
      <c r="F177" s="665" t="s">
        <v>368</v>
      </c>
      <c r="G177" s="667" t="s">
        <v>547</v>
      </c>
      <c r="H177" s="668">
        <v>760</v>
      </c>
      <c r="I177" s="669"/>
      <c r="J177" s="669"/>
      <c r="K177" s="669"/>
      <c r="L177" s="670">
        <f t="shared" si="22"/>
        <v>760</v>
      </c>
      <c r="M177" s="670"/>
      <c r="N177" s="670"/>
      <c r="O177" s="670"/>
      <c r="P177" s="670"/>
      <c r="Q177" s="670"/>
      <c r="R177" s="670"/>
      <c r="S177" s="670"/>
      <c r="T177" s="670">
        <f t="shared" si="23"/>
        <v>760</v>
      </c>
    </row>
    <row r="178" spans="2:20" ht="15" customHeight="1" x14ac:dyDescent="0.25">
      <c r="B178" s="663" t="s">
        <v>71</v>
      </c>
      <c r="C178" s="664" t="str">
        <f>IFERROR(_xlfn.XLOOKUP($G178,COM_Cadastro!#REF!,COM_Cadastro!#REF!),"")</f>
        <v/>
      </c>
      <c r="D178" s="665" t="s">
        <v>734</v>
      </c>
      <c r="E178" s="666" t="s">
        <v>780</v>
      </c>
      <c r="F178" s="665" t="s">
        <v>368</v>
      </c>
      <c r="G178" s="667" t="s">
        <v>550</v>
      </c>
      <c r="H178" s="668">
        <v>180</v>
      </c>
      <c r="I178" s="669"/>
      <c r="J178" s="669"/>
      <c r="K178" s="669"/>
      <c r="L178" s="670">
        <f t="shared" si="22"/>
        <v>180</v>
      </c>
      <c r="M178" s="670"/>
      <c r="N178" s="670"/>
      <c r="O178" s="670"/>
      <c r="P178" s="670"/>
      <c r="Q178" s="670"/>
      <c r="R178" s="670"/>
      <c r="S178" s="670"/>
      <c r="T178" s="670">
        <f t="shared" si="23"/>
        <v>180</v>
      </c>
    </row>
    <row r="179" spans="2:20" ht="15" customHeight="1" x14ac:dyDescent="0.25">
      <c r="B179" s="663" t="s">
        <v>71</v>
      </c>
      <c r="C179" s="664" t="str">
        <f>IFERROR(_xlfn.XLOOKUP($G179,COM_Cadastro!#REF!,COM_Cadastro!#REF!),"")</f>
        <v/>
      </c>
      <c r="D179" s="665" t="s">
        <v>734</v>
      </c>
      <c r="E179" s="666" t="s">
        <v>780</v>
      </c>
      <c r="F179" s="665" t="s">
        <v>368</v>
      </c>
      <c r="G179" s="667" t="s">
        <v>561</v>
      </c>
      <c r="H179" s="668">
        <v>50</v>
      </c>
      <c r="I179" s="669"/>
      <c r="J179" s="669"/>
      <c r="K179" s="669"/>
      <c r="L179" s="670">
        <f t="shared" si="22"/>
        <v>50</v>
      </c>
      <c r="M179" s="670"/>
      <c r="N179" s="670"/>
      <c r="O179" s="670"/>
      <c r="P179" s="670"/>
      <c r="Q179" s="670"/>
      <c r="R179" s="670"/>
      <c r="S179" s="670"/>
      <c r="T179" s="670">
        <f t="shared" si="23"/>
        <v>50</v>
      </c>
    </row>
    <row r="180" spans="2:20" ht="15" customHeight="1" x14ac:dyDescent="0.25">
      <c r="B180" s="663" t="s">
        <v>71</v>
      </c>
      <c r="C180" s="664" t="str">
        <f>IFERROR(_xlfn.XLOOKUP($G180,COM_Cadastro!#REF!,COM_Cadastro!#REF!),"")</f>
        <v/>
      </c>
      <c r="D180" s="665" t="s">
        <v>734</v>
      </c>
      <c r="E180" s="666" t="s">
        <v>780</v>
      </c>
      <c r="F180" s="665" t="s">
        <v>368</v>
      </c>
      <c r="G180" s="667" t="s">
        <v>593</v>
      </c>
      <c r="H180" s="668">
        <v>1400</v>
      </c>
      <c r="I180" s="669"/>
      <c r="J180" s="669"/>
      <c r="K180" s="669"/>
      <c r="L180" s="670">
        <f t="shared" si="22"/>
        <v>1400</v>
      </c>
      <c r="M180" s="670"/>
      <c r="N180" s="670"/>
      <c r="O180" s="670"/>
      <c r="P180" s="670"/>
      <c r="Q180" s="670"/>
      <c r="R180" s="670"/>
      <c r="S180" s="670"/>
      <c r="T180" s="670">
        <f t="shared" si="23"/>
        <v>1400</v>
      </c>
    </row>
    <row r="181" spans="2:20" ht="15" customHeight="1" x14ac:dyDescent="0.25">
      <c r="B181" s="663" t="s">
        <v>71</v>
      </c>
      <c r="C181" s="664" t="str">
        <f>IFERROR(_xlfn.XLOOKUP($G181,COM_Cadastro!#REF!,COM_Cadastro!#REF!),"")</f>
        <v/>
      </c>
      <c r="D181" s="665" t="s">
        <v>734</v>
      </c>
      <c r="E181" s="666" t="s">
        <v>780</v>
      </c>
      <c r="F181" s="665" t="s">
        <v>371</v>
      </c>
      <c r="G181" s="667" t="s">
        <v>387</v>
      </c>
      <c r="H181" s="668">
        <v>500</v>
      </c>
      <c r="I181" s="669"/>
      <c r="J181" s="669"/>
      <c r="K181" s="669"/>
      <c r="L181" s="670">
        <f t="shared" si="22"/>
        <v>500</v>
      </c>
      <c r="M181" s="670"/>
      <c r="N181" s="670"/>
      <c r="O181" s="670"/>
      <c r="P181" s="670"/>
      <c r="Q181" s="670"/>
      <c r="R181" s="670"/>
      <c r="S181" s="670"/>
      <c r="T181" s="670">
        <f t="shared" si="23"/>
        <v>500</v>
      </c>
    </row>
    <row r="182" spans="2:20" ht="15" customHeight="1" x14ac:dyDescent="0.25">
      <c r="B182" s="663" t="s">
        <v>71</v>
      </c>
      <c r="C182" s="664" t="str">
        <f>IFERROR(_xlfn.XLOOKUP($G182,COM_Cadastro!#REF!,COM_Cadastro!#REF!),"")</f>
        <v/>
      </c>
      <c r="D182" s="665" t="s">
        <v>734</v>
      </c>
      <c r="E182" s="666" t="s">
        <v>780</v>
      </c>
      <c r="F182" s="665" t="s">
        <v>371</v>
      </c>
      <c r="G182" s="667" t="s">
        <v>679</v>
      </c>
      <c r="H182" s="668">
        <v>400</v>
      </c>
      <c r="I182" s="669"/>
      <c r="J182" s="669"/>
      <c r="K182" s="669"/>
      <c r="L182" s="670">
        <f t="shared" si="22"/>
        <v>400</v>
      </c>
      <c r="M182" s="670"/>
      <c r="N182" s="670"/>
      <c r="O182" s="670"/>
      <c r="P182" s="670"/>
      <c r="Q182" s="670"/>
      <c r="R182" s="670"/>
      <c r="S182" s="670"/>
      <c r="T182" s="670">
        <f t="shared" si="23"/>
        <v>400</v>
      </c>
    </row>
    <row r="183" spans="2:20" ht="15" customHeight="1" x14ac:dyDescent="0.25">
      <c r="B183" s="663" t="s">
        <v>71</v>
      </c>
      <c r="C183" s="664" t="str">
        <f>IFERROR(_xlfn.XLOOKUP($G183,COM_Cadastro!#REF!,COM_Cadastro!#REF!),"")</f>
        <v/>
      </c>
      <c r="D183" s="665" t="s">
        <v>734</v>
      </c>
      <c r="E183" s="666" t="s">
        <v>780</v>
      </c>
      <c r="F183" s="665" t="s">
        <v>371</v>
      </c>
      <c r="G183" s="667" t="s">
        <v>787</v>
      </c>
      <c r="H183" s="668">
        <v>1300</v>
      </c>
      <c r="I183" s="669"/>
      <c r="J183" s="669"/>
      <c r="K183" s="669"/>
      <c r="L183" s="670">
        <f t="shared" si="22"/>
        <v>1300</v>
      </c>
      <c r="M183" s="670"/>
      <c r="N183" s="670"/>
      <c r="O183" s="670"/>
      <c r="P183" s="670"/>
      <c r="Q183" s="670"/>
      <c r="R183" s="670"/>
      <c r="S183" s="670"/>
      <c r="T183" s="670">
        <f t="shared" si="23"/>
        <v>1300</v>
      </c>
    </row>
    <row r="184" spans="2:20" ht="15" customHeight="1" x14ac:dyDescent="0.25">
      <c r="B184" s="663" t="s">
        <v>71</v>
      </c>
      <c r="C184" s="664" t="str">
        <f>IFERROR(_xlfn.XLOOKUP($G184,COM_Cadastro!#REF!,COM_Cadastro!#REF!),"")</f>
        <v/>
      </c>
      <c r="D184" s="665" t="s">
        <v>734</v>
      </c>
      <c r="E184" s="666" t="s">
        <v>780</v>
      </c>
      <c r="F184" s="665" t="s">
        <v>371</v>
      </c>
      <c r="G184" s="667" t="s">
        <v>809</v>
      </c>
      <c r="H184" s="668">
        <v>80</v>
      </c>
      <c r="I184" s="669"/>
      <c r="J184" s="669"/>
      <c r="K184" s="669"/>
      <c r="L184" s="670">
        <f t="shared" si="22"/>
        <v>80</v>
      </c>
      <c r="M184" s="670"/>
      <c r="N184" s="670"/>
      <c r="O184" s="670"/>
      <c r="P184" s="670"/>
      <c r="Q184" s="670"/>
      <c r="R184" s="670"/>
      <c r="S184" s="670"/>
      <c r="T184" s="670">
        <f t="shared" si="23"/>
        <v>80</v>
      </c>
    </row>
    <row r="185" spans="2:20" ht="15" customHeight="1" x14ac:dyDescent="0.25">
      <c r="B185" s="663" t="s">
        <v>71</v>
      </c>
      <c r="C185" s="664" t="str">
        <f>IFERROR(_xlfn.XLOOKUP($G185,COM_Cadastro!#REF!,COM_Cadastro!#REF!),"")</f>
        <v/>
      </c>
      <c r="D185" s="665" t="s">
        <v>734</v>
      </c>
      <c r="E185" s="666" t="s">
        <v>780</v>
      </c>
      <c r="F185" s="665" t="s">
        <v>371</v>
      </c>
      <c r="G185" s="667" t="s">
        <v>768</v>
      </c>
      <c r="H185" s="668">
        <v>160</v>
      </c>
      <c r="I185" s="669"/>
      <c r="J185" s="669"/>
      <c r="K185" s="669"/>
      <c r="L185" s="670">
        <f t="shared" si="22"/>
        <v>160</v>
      </c>
      <c r="M185" s="670"/>
      <c r="N185" s="670"/>
      <c r="O185" s="670"/>
      <c r="P185" s="670"/>
      <c r="Q185" s="670"/>
      <c r="R185" s="670"/>
      <c r="S185" s="670"/>
      <c r="T185" s="670">
        <f t="shared" si="23"/>
        <v>160</v>
      </c>
    </row>
    <row r="186" spans="2:20" ht="15" customHeight="1" x14ac:dyDescent="0.25">
      <c r="B186" s="663" t="s">
        <v>71</v>
      </c>
      <c r="C186" s="664" t="str">
        <f>IFERROR(_xlfn.XLOOKUP($G186,COM_Cadastro!#REF!,COM_Cadastro!#REF!),"")</f>
        <v/>
      </c>
      <c r="D186" s="665" t="s">
        <v>734</v>
      </c>
      <c r="E186" s="666" t="s">
        <v>780</v>
      </c>
      <c r="F186" s="665" t="s">
        <v>371</v>
      </c>
      <c r="G186" s="667" t="s">
        <v>810</v>
      </c>
      <c r="H186" s="668">
        <v>80</v>
      </c>
      <c r="I186" s="669"/>
      <c r="J186" s="669"/>
      <c r="K186" s="669"/>
      <c r="L186" s="670">
        <f t="shared" si="22"/>
        <v>80</v>
      </c>
      <c r="M186" s="670"/>
      <c r="N186" s="670"/>
      <c r="O186" s="670"/>
      <c r="P186" s="670"/>
      <c r="Q186" s="670"/>
      <c r="R186" s="670"/>
      <c r="S186" s="670"/>
      <c r="T186" s="670">
        <f t="shared" si="23"/>
        <v>80</v>
      </c>
    </row>
    <row r="187" spans="2:20" ht="15" customHeight="1" x14ac:dyDescent="0.25">
      <c r="B187" s="663" t="s">
        <v>71</v>
      </c>
      <c r="C187" s="664" t="str">
        <f>IFERROR(_xlfn.XLOOKUP($G187,COM_Cadastro!#REF!,COM_Cadastro!#REF!),"")</f>
        <v/>
      </c>
      <c r="D187" s="665" t="s">
        <v>734</v>
      </c>
      <c r="E187" s="666" t="s">
        <v>780</v>
      </c>
      <c r="F187" s="665" t="s">
        <v>371</v>
      </c>
      <c r="G187" s="667" t="s">
        <v>718</v>
      </c>
      <c r="H187" s="668">
        <v>80</v>
      </c>
      <c r="I187" s="669"/>
      <c r="J187" s="669"/>
      <c r="K187" s="669"/>
      <c r="L187" s="670">
        <f t="shared" si="22"/>
        <v>80</v>
      </c>
      <c r="M187" s="670"/>
      <c r="N187" s="670"/>
      <c r="O187" s="670"/>
      <c r="P187" s="670"/>
      <c r="Q187" s="670"/>
      <c r="R187" s="670"/>
      <c r="S187" s="670"/>
      <c r="T187" s="670">
        <f t="shared" si="23"/>
        <v>80</v>
      </c>
    </row>
    <row r="188" spans="2:20" ht="15" customHeight="1" x14ac:dyDescent="0.25">
      <c r="B188" s="663" t="s">
        <v>71</v>
      </c>
      <c r="C188" s="664" t="str">
        <f>IFERROR(_xlfn.XLOOKUP($G188,COM_Cadastro!#REF!,COM_Cadastro!#REF!),"")</f>
        <v/>
      </c>
      <c r="D188" s="665" t="s">
        <v>734</v>
      </c>
      <c r="E188" s="666" t="s">
        <v>780</v>
      </c>
      <c r="F188" s="665" t="s">
        <v>371</v>
      </c>
      <c r="G188" s="667" t="s">
        <v>811</v>
      </c>
      <c r="H188" s="668">
        <v>400</v>
      </c>
      <c r="I188" s="669"/>
      <c r="J188" s="669"/>
      <c r="K188" s="669"/>
      <c r="L188" s="670">
        <f t="shared" si="22"/>
        <v>400</v>
      </c>
      <c r="M188" s="670"/>
      <c r="N188" s="670"/>
      <c r="O188" s="670"/>
      <c r="P188" s="670"/>
      <c r="Q188" s="670"/>
      <c r="R188" s="670"/>
      <c r="S188" s="670"/>
      <c r="T188" s="670">
        <f t="shared" si="23"/>
        <v>400</v>
      </c>
    </row>
    <row r="189" spans="2:20" ht="15" customHeight="1" x14ac:dyDescent="0.25">
      <c r="B189" s="663" t="s">
        <v>71</v>
      </c>
      <c r="C189" s="664" t="str">
        <f>IFERROR(_xlfn.XLOOKUP($G189,COM_Cadastro!#REF!,COM_Cadastro!#REF!),"")</f>
        <v/>
      </c>
      <c r="D189" s="665" t="s">
        <v>734</v>
      </c>
      <c r="E189" s="666" t="s">
        <v>780</v>
      </c>
      <c r="F189" s="665" t="s">
        <v>374</v>
      </c>
      <c r="G189" s="667" t="s">
        <v>788</v>
      </c>
      <c r="H189" s="668">
        <v>1186</v>
      </c>
      <c r="I189" s="669"/>
      <c r="J189" s="669"/>
      <c r="K189" s="669"/>
      <c r="L189" s="670">
        <f t="shared" si="22"/>
        <v>1186</v>
      </c>
      <c r="M189" s="670"/>
      <c r="N189" s="670"/>
      <c r="O189" s="670"/>
      <c r="P189" s="670"/>
      <c r="Q189" s="670"/>
      <c r="R189" s="670"/>
      <c r="S189" s="670"/>
      <c r="T189" s="670">
        <f t="shared" si="23"/>
        <v>1186</v>
      </c>
    </row>
    <row r="190" spans="2:20" ht="15" customHeight="1" x14ac:dyDescent="0.25">
      <c r="B190" s="663" t="s">
        <v>71</v>
      </c>
      <c r="C190" s="664" t="str">
        <f>IFERROR(_xlfn.XLOOKUP($G190,COM_Cadastro!#REF!,COM_Cadastro!#REF!),"")</f>
        <v/>
      </c>
      <c r="D190" s="665" t="s">
        <v>734</v>
      </c>
      <c r="E190" s="666" t="s">
        <v>780</v>
      </c>
      <c r="F190" s="665" t="s">
        <v>374</v>
      </c>
      <c r="G190" s="667" t="s">
        <v>409</v>
      </c>
      <c r="H190" s="668">
        <v>3387</v>
      </c>
      <c r="I190" s="669"/>
      <c r="J190" s="669"/>
      <c r="K190" s="669"/>
      <c r="L190" s="670">
        <f t="shared" si="22"/>
        <v>3387</v>
      </c>
      <c r="M190" s="670"/>
      <c r="N190" s="670"/>
      <c r="O190" s="670"/>
      <c r="P190" s="670"/>
      <c r="Q190" s="670"/>
      <c r="R190" s="670"/>
      <c r="S190" s="670"/>
      <c r="T190" s="670">
        <f t="shared" si="23"/>
        <v>3387</v>
      </c>
    </row>
    <row r="191" spans="2:20" ht="15" customHeight="1" x14ac:dyDescent="0.25">
      <c r="B191" s="663" t="s">
        <v>71</v>
      </c>
      <c r="C191" s="664" t="str">
        <f>IFERROR(_xlfn.XLOOKUP($G191,COM_Cadastro!#REF!,COM_Cadastro!#REF!),"")</f>
        <v/>
      </c>
      <c r="D191" s="665" t="s">
        <v>734</v>
      </c>
      <c r="E191" s="666" t="s">
        <v>780</v>
      </c>
      <c r="F191" s="665" t="s">
        <v>374</v>
      </c>
      <c r="G191" s="667" t="s">
        <v>412</v>
      </c>
      <c r="H191" s="668">
        <v>2674</v>
      </c>
      <c r="I191" s="669"/>
      <c r="J191" s="669"/>
      <c r="K191" s="669"/>
      <c r="L191" s="670">
        <f t="shared" si="22"/>
        <v>2674</v>
      </c>
      <c r="M191" s="670"/>
      <c r="N191" s="670"/>
      <c r="O191" s="670"/>
      <c r="P191" s="670"/>
      <c r="Q191" s="670"/>
      <c r="R191" s="670"/>
      <c r="S191" s="670"/>
      <c r="T191" s="670">
        <f t="shared" si="23"/>
        <v>2674</v>
      </c>
    </row>
    <row r="192" spans="2:20" ht="15" customHeight="1" x14ac:dyDescent="0.25">
      <c r="B192" s="663" t="s">
        <v>71</v>
      </c>
      <c r="C192" s="664" t="str">
        <f>IFERROR(_xlfn.XLOOKUP($G192,COM_Cadastro!#REF!,COM_Cadastro!#REF!),"")</f>
        <v/>
      </c>
      <c r="D192" s="665" t="s">
        <v>734</v>
      </c>
      <c r="E192" s="666" t="s">
        <v>780</v>
      </c>
      <c r="F192" s="665" t="s">
        <v>374</v>
      </c>
      <c r="G192" s="667" t="s">
        <v>439</v>
      </c>
      <c r="H192" s="668">
        <v>300</v>
      </c>
      <c r="I192" s="669"/>
      <c r="J192" s="669"/>
      <c r="K192" s="669"/>
      <c r="L192" s="670">
        <f t="shared" si="22"/>
        <v>300</v>
      </c>
      <c r="M192" s="670"/>
      <c r="N192" s="670"/>
      <c r="O192" s="670"/>
      <c r="P192" s="670"/>
      <c r="Q192" s="670"/>
      <c r="R192" s="670"/>
      <c r="S192" s="670"/>
      <c r="T192" s="670">
        <f t="shared" si="23"/>
        <v>300</v>
      </c>
    </row>
    <row r="193" spans="2:20" ht="15" customHeight="1" x14ac:dyDescent="0.25">
      <c r="B193" s="663" t="s">
        <v>71</v>
      </c>
      <c r="C193" s="664" t="str">
        <f>IFERROR(_xlfn.XLOOKUP($G193,COM_Cadastro!#REF!,COM_Cadastro!#REF!),"")</f>
        <v/>
      </c>
      <c r="D193" s="665" t="s">
        <v>734</v>
      </c>
      <c r="E193" s="666" t="s">
        <v>780</v>
      </c>
      <c r="F193" s="665" t="s">
        <v>374</v>
      </c>
      <c r="G193" s="667" t="s">
        <v>455</v>
      </c>
      <c r="H193" s="668">
        <v>1082</v>
      </c>
      <c r="I193" s="669"/>
      <c r="J193" s="669"/>
      <c r="K193" s="669"/>
      <c r="L193" s="670">
        <f t="shared" si="22"/>
        <v>1082</v>
      </c>
      <c r="M193" s="670"/>
      <c r="N193" s="670"/>
      <c r="O193" s="670"/>
      <c r="P193" s="670"/>
      <c r="Q193" s="670"/>
      <c r="R193" s="670"/>
      <c r="S193" s="670"/>
      <c r="T193" s="670">
        <f t="shared" si="23"/>
        <v>1082</v>
      </c>
    </row>
    <row r="194" spans="2:20" ht="15" customHeight="1" x14ac:dyDescent="0.25">
      <c r="B194" s="663" t="s">
        <v>71</v>
      </c>
      <c r="C194" s="664" t="str">
        <f>IFERROR(_xlfn.XLOOKUP($G194,COM_Cadastro!#REF!,COM_Cadastro!#REF!),"")</f>
        <v/>
      </c>
      <c r="D194" s="665" t="s">
        <v>734</v>
      </c>
      <c r="E194" s="666" t="s">
        <v>780</v>
      </c>
      <c r="F194" s="665" t="s">
        <v>374</v>
      </c>
      <c r="G194" s="667" t="s">
        <v>477</v>
      </c>
      <c r="H194" s="668">
        <v>900</v>
      </c>
      <c r="I194" s="669"/>
      <c r="J194" s="669"/>
      <c r="K194" s="669"/>
      <c r="L194" s="670">
        <f t="shared" si="22"/>
        <v>900</v>
      </c>
      <c r="M194" s="670"/>
      <c r="N194" s="670"/>
      <c r="O194" s="670"/>
      <c r="P194" s="670"/>
      <c r="Q194" s="670"/>
      <c r="R194" s="670"/>
      <c r="S194" s="670"/>
      <c r="T194" s="670">
        <f t="shared" si="23"/>
        <v>900</v>
      </c>
    </row>
    <row r="195" spans="2:20" ht="15" customHeight="1" x14ac:dyDescent="0.25">
      <c r="B195" s="663" t="s">
        <v>71</v>
      </c>
      <c r="C195" s="664" t="str">
        <f>IFERROR(_xlfn.XLOOKUP($G195,COM_Cadastro!#REF!,COM_Cadastro!#REF!),"")</f>
        <v/>
      </c>
      <c r="D195" s="665" t="s">
        <v>734</v>
      </c>
      <c r="E195" s="666" t="s">
        <v>780</v>
      </c>
      <c r="F195" s="665" t="s">
        <v>374</v>
      </c>
      <c r="G195" s="667" t="s">
        <v>530</v>
      </c>
      <c r="H195" s="668">
        <v>1924</v>
      </c>
      <c r="I195" s="669"/>
      <c r="J195" s="669"/>
      <c r="K195" s="669"/>
      <c r="L195" s="670">
        <f t="shared" ref="L195:L204" si="24">SUM(H195:K195)</f>
        <v>1924</v>
      </c>
      <c r="M195" s="670"/>
      <c r="N195" s="670"/>
      <c r="O195" s="670"/>
      <c r="P195" s="670"/>
      <c r="Q195" s="670"/>
      <c r="R195" s="670"/>
      <c r="S195" s="670"/>
      <c r="T195" s="670">
        <f t="shared" ref="T195:T204" si="25">L195+M195+S195</f>
        <v>1924</v>
      </c>
    </row>
    <row r="196" spans="2:20" ht="15" customHeight="1" x14ac:dyDescent="0.25">
      <c r="B196" s="663" t="s">
        <v>71</v>
      </c>
      <c r="C196" s="664" t="str">
        <f>IFERROR(_xlfn.XLOOKUP($G196,COM_Cadastro!#REF!,COM_Cadastro!#REF!),"")</f>
        <v/>
      </c>
      <c r="D196" s="665" t="s">
        <v>734</v>
      </c>
      <c r="E196" s="666" t="s">
        <v>780</v>
      </c>
      <c r="F196" s="665" t="s">
        <v>374</v>
      </c>
      <c r="G196" s="667" t="s">
        <v>789</v>
      </c>
      <c r="H196" s="668">
        <v>390</v>
      </c>
      <c r="I196" s="669"/>
      <c r="J196" s="669"/>
      <c r="K196" s="669"/>
      <c r="L196" s="670">
        <f t="shared" si="24"/>
        <v>390</v>
      </c>
      <c r="M196" s="670"/>
      <c r="N196" s="670"/>
      <c r="O196" s="670"/>
      <c r="P196" s="670"/>
      <c r="Q196" s="670"/>
      <c r="R196" s="670"/>
      <c r="S196" s="670"/>
      <c r="T196" s="670">
        <f t="shared" si="25"/>
        <v>390</v>
      </c>
    </row>
    <row r="197" spans="2:20" ht="15" customHeight="1" x14ac:dyDescent="0.25">
      <c r="B197" s="663" t="s">
        <v>71</v>
      </c>
      <c r="C197" s="664" t="str">
        <f>IFERROR(_xlfn.XLOOKUP($G197,COM_Cadastro!#REF!,COM_Cadastro!#REF!),"")</f>
        <v/>
      </c>
      <c r="D197" s="665" t="s">
        <v>734</v>
      </c>
      <c r="E197" s="666" t="s">
        <v>780</v>
      </c>
      <c r="F197" s="665" t="s">
        <v>374</v>
      </c>
      <c r="G197" s="667" t="s">
        <v>605</v>
      </c>
      <c r="H197" s="668">
        <v>120</v>
      </c>
      <c r="I197" s="669"/>
      <c r="J197" s="669"/>
      <c r="K197" s="669"/>
      <c r="L197" s="670">
        <f t="shared" si="24"/>
        <v>120</v>
      </c>
      <c r="M197" s="670"/>
      <c r="N197" s="670"/>
      <c r="O197" s="670"/>
      <c r="P197" s="670"/>
      <c r="Q197" s="670"/>
      <c r="R197" s="670"/>
      <c r="S197" s="670"/>
      <c r="T197" s="670">
        <f t="shared" si="25"/>
        <v>120</v>
      </c>
    </row>
    <row r="198" spans="2:20" ht="15" customHeight="1" x14ac:dyDescent="0.25">
      <c r="B198" s="663" t="s">
        <v>71</v>
      </c>
      <c r="C198" s="664" t="str">
        <f>IFERROR(_xlfn.XLOOKUP($G198,COM_Cadastro!#REF!,COM_Cadastro!#REF!),"")</f>
        <v/>
      </c>
      <c r="D198" s="665" t="s">
        <v>736</v>
      </c>
      <c r="E198" s="666" t="s">
        <v>812</v>
      </c>
      <c r="F198" s="665" t="s">
        <v>371</v>
      </c>
      <c r="G198" s="667" t="s">
        <v>405</v>
      </c>
      <c r="H198" s="668">
        <v>10000</v>
      </c>
      <c r="I198" s="669">
        <v>0</v>
      </c>
      <c r="J198" s="669">
        <v>0</v>
      </c>
      <c r="K198" s="669"/>
      <c r="L198" s="670">
        <f t="shared" si="24"/>
        <v>10000</v>
      </c>
      <c r="M198" s="670">
        <f t="shared" ref="M198:M204" si="26">H198*8%</f>
        <v>800</v>
      </c>
      <c r="N198" s="670">
        <f t="shared" ref="N198:N204" si="27">H198/12</f>
        <v>833.33333333333337</v>
      </c>
      <c r="O198" s="670">
        <f t="shared" ref="O198:O204" si="28">N198/3</f>
        <v>277.77777777777777</v>
      </c>
      <c r="P198" s="670">
        <f t="shared" ref="P198:P204" si="29">(N198+O198)*8%</f>
        <v>88.888888888888886</v>
      </c>
      <c r="Q198" s="670">
        <f t="shared" ref="Q198:Q204" si="30">H198/12</f>
        <v>833.33333333333337</v>
      </c>
      <c r="R198" s="670">
        <f t="shared" ref="R198:R204" si="31">Q198*8%</f>
        <v>66.666666666666671</v>
      </c>
      <c r="S198" s="670">
        <f t="shared" ref="S198:S204" si="32">SUM(N198:R198)</f>
        <v>2100</v>
      </c>
      <c r="T198" s="670">
        <f t="shared" si="25"/>
        <v>12900</v>
      </c>
    </row>
    <row r="199" spans="2:20" ht="15" customHeight="1" x14ac:dyDescent="0.25">
      <c r="B199" s="663" t="s">
        <v>71</v>
      </c>
      <c r="C199" s="664" t="str">
        <f>IFERROR(_xlfn.XLOOKUP($G199,COM_Cadastro!#REF!,COM_Cadastro!#REF!),"")</f>
        <v/>
      </c>
      <c r="D199" s="665" t="s">
        <v>736</v>
      </c>
      <c r="E199" s="666" t="s">
        <v>812</v>
      </c>
      <c r="F199" s="665" t="s">
        <v>368</v>
      </c>
      <c r="G199" s="667" t="s">
        <v>552</v>
      </c>
      <c r="H199" s="668">
        <v>0</v>
      </c>
      <c r="I199" s="669">
        <v>0</v>
      </c>
      <c r="J199" s="669">
        <v>6321.1</v>
      </c>
      <c r="K199" s="669"/>
      <c r="L199" s="670">
        <f t="shared" si="24"/>
        <v>6321.1</v>
      </c>
      <c r="M199" s="670">
        <f t="shared" si="26"/>
        <v>0</v>
      </c>
      <c r="N199" s="670">
        <f t="shared" si="27"/>
        <v>0</v>
      </c>
      <c r="O199" s="670">
        <f t="shared" si="28"/>
        <v>0</v>
      </c>
      <c r="P199" s="670">
        <f t="shared" si="29"/>
        <v>0</v>
      </c>
      <c r="Q199" s="670">
        <f t="shared" si="30"/>
        <v>0</v>
      </c>
      <c r="R199" s="670">
        <f t="shared" si="31"/>
        <v>0</v>
      </c>
      <c r="S199" s="670">
        <f t="shared" si="32"/>
        <v>0</v>
      </c>
      <c r="T199" s="670">
        <f t="shared" si="25"/>
        <v>6321.1</v>
      </c>
    </row>
    <row r="200" spans="2:20" ht="15" customHeight="1" x14ac:dyDescent="0.25">
      <c r="B200" s="663" t="s">
        <v>71</v>
      </c>
      <c r="C200" s="664" t="str">
        <f>IFERROR(_xlfn.XLOOKUP($G200,COM_Cadastro!#REF!,COM_Cadastro!#REF!),"")</f>
        <v/>
      </c>
      <c r="D200" s="665" t="s">
        <v>736</v>
      </c>
      <c r="E200" s="666" t="s">
        <v>812</v>
      </c>
      <c r="F200" s="665" t="s">
        <v>376</v>
      </c>
      <c r="G200" s="667" t="s">
        <v>515</v>
      </c>
      <c r="H200" s="668">
        <v>0</v>
      </c>
      <c r="I200" s="669">
        <v>0</v>
      </c>
      <c r="J200" s="669">
        <v>12795.27</v>
      </c>
      <c r="K200" s="669"/>
      <c r="L200" s="670">
        <f t="shared" si="24"/>
        <v>12795.27</v>
      </c>
      <c r="M200" s="670">
        <f t="shared" si="26"/>
        <v>0</v>
      </c>
      <c r="N200" s="670">
        <f t="shared" si="27"/>
        <v>0</v>
      </c>
      <c r="O200" s="670">
        <f t="shared" si="28"/>
        <v>0</v>
      </c>
      <c r="P200" s="670">
        <f t="shared" si="29"/>
        <v>0</v>
      </c>
      <c r="Q200" s="670">
        <f t="shared" si="30"/>
        <v>0</v>
      </c>
      <c r="R200" s="670">
        <f t="shared" si="31"/>
        <v>0</v>
      </c>
      <c r="S200" s="670">
        <f t="shared" si="32"/>
        <v>0</v>
      </c>
      <c r="T200" s="670">
        <f t="shared" si="25"/>
        <v>12795.27</v>
      </c>
    </row>
    <row r="201" spans="2:20" ht="15" customHeight="1" x14ac:dyDescent="0.25">
      <c r="B201" s="663" t="s">
        <v>71</v>
      </c>
      <c r="C201" s="664" t="str">
        <f>IFERROR(_xlfn.XLOOKUP($G201,COM_Cadastro!#REF!,COM_Cadastro!#REF!),"")</f>
        <v/>
      </c>
      <c r="D201" s="665" t="s">
        <v>736</v>
      </c>
      <c r="E201" s="666" t="s">
        <v>812</v>
      </c>
      <c r="F201" s="665" t="s">
        <v>368</v>
      </c>
      <c r="G201" s="667" t="s">
        <v>528</v>
      </c>
      <c r="H201" s="668">
        <v>0</v>
      </c>
      <c r="I201" s="669">
        <v>0</v>
      </c>
      <c r="J201" s="669">
        <v>8614.69</v>
      </c>
      <c r="K201" s="669"/>
      <c r="L201" s="670">
        <f t="shared" si="24"/>
        <v>8614.69</v>
      </c>
      <c r="M201" s="670">
        <f t="shared" si="26"/>
        <v>0</v>
      </c>
      <c r="N201" s="670">
        <f t="shared" si="27"/>
        <v>0</v>
      </c>
      <c r="O201" s="670">
        <f t="shared" si="28"/>
        <v>0</v>
      </c>
      <c r="P201" s="670">
        <f t="shared" si="29"/>
        <v>0</v>
      </c>
      <c r="Q201" s="670">
        <f t="shared" si="30"/>
        <v>0</v>
      </c>
      <c r="R201" s="670">
        <f t="shared" si="31"/>
        <v>0</v>
      </c>
      <c r="S201" s="670">
        <f t="shared" si="32"/>
        <v>0</v>
      </c>
      <c r="T201" s="670">
        <f t="shared" si="25"/>
        <v>8614.69</v>
      </c>
    </row>
    <row r="202" spans="2:20" ht="15" customHeight="1" x14ac:dyDescent="0.25">
      <c r="B202" s="663" t="s">
        <v>71</v>
      </c>
      <c r="C202" s="664" t="str">
        <f>IFERROR(_xlfn.XLOOKUP($G202,COM_Cadastro!#REF!,COM_Cadastro!#REF!),"")</f>
        <v/>
      </c>
      <c r="D202" s="665" t="s">
        <v>736</v>
      </c>
      <c r="E202" s="666" t="s">
        <v>812</v>
      </c>
      <c r="F202" s="665" t="s">
        <v>374</v>
      </c>
      <c r="G202" s="667" t="s">
        <v>570</v>
      </c>
      <c r="H202" s="668">
        <v>0</v>
      </c>
      <c r="I202" s="669">
        <v>0</v>
      </c>
      <c r="J202" s="669">
        <v>5506.85</v>
      </c>
      <c r="K202" s="669"/>
      <c r="L202" s="670">
        <f t="shared" si="24"/>
        <v>5506.85</v>
      </c>
      <c r="M202" s="670">
        <f t="shared" si="26"/>
        <v>0</v>
      </c>
      <c r="N202" s="670">
        <f t="shared" si="27"/>
        <v>0</v>
      </c>
      <c r="O202" s="670">
        <f t="shared" si="28"/>
        <v>0</v>
      </c>
      <c r="P202" s="670">
        <f t="shared" si="29"/>
        <v>0</v>
      </c>
      <c r="Q202" s="670">
        <f t="shared" si="30"/>
        <v>0</v>
      </c>
      <c r="R202" s="670">
        <f t="shared" si="31"/>
        <v>0</v>
      </c>
      <c r="S202" s="670">
        <f t="shared" si="32"/>
        <v>0</v>
      </c>
      <c r="T202" s="670">
        <f t="shared" si="25"/>
        <v>5506.85</v>
      </c>
    </row>
    <row r="203" spans="2:20" ht="15" customHeight="1" x14ac:dyDescent="0.25">
      <c r="B203" s="663" t="s">
        <v>71</v>
      </c>
      <c r="C203" s="664" t="str">
        <f>IFERROR(_xlfn.XLOOKUP($G203,COM_Cadastro!#REF!,COM_Cadastro!#REF!),"")</f>
        <v/>
      </c>
      <c r="D203" s="665" t="s">
        <v>736</v>
      </c>
      <c r="E203" s="666" t="s">
        <v>813</v>
      </c>
      <c r="F203" s="665" t="s">
        <v>368</v>
      </c>
      <c r="G203" s="667" t="s">
        <v>612</v>
      </c>
      <c r="H203" s="668">
        <v>4700</v>
      </c>
      <c r="I203" s="669">
        <v>0</v>
      </c>
      <c r="J203" s="669">
        <v>0</v>
      </c>
      <c r="K203" s="669"/>
      <c r="L203" s="670">
        <f t="shared" si="24"/>
        <v>4700</v>
      </c>
      <c r="M203" s="670">
        <f t="shared" si="26"/>
        <v>376</v>
      </c>
      <c r="N203" s="670">
        <f t="shared" si="27"/>
        <v>391.66666666666669</v>
      </c>
      <c r="O203" s="670">
        <f t="shared" si="28"/>
        <v>130.55555555555557</v>
      </c>
      <c r="P203" s="670">
        <f t="shared" si="29"/>
        <v>41.777777777777786</v>
      </c>
      <c r="Q203" s="670">
        <f t="shared" si="30"/>
        <v>391.66666666666669</v>
      </c>
      <c r="R203" s="670">
        <f t="shared" si="31"/>
        <v>31.333333333333336</v>
      </c>
      <c r="S203" s="670">
        <f t="shared" si="32"/>
        <v>987.00000000000011</v>
      </c>
      <c r="T203" s="670">
        <f t="shared" si="25"/>
        <v>6063</v>
      </c>
    </row>
    <row r="204" spans="2:20" ht="15" customHeight="1" x14ac:dyDescent="0.25">
      <c r="B204" s="663" t="s">
        <v>71</v>
      </c>
      <c r="C204" s="664" t="str">
        <f>IFERROR(_xlfn.XLOOKUP($G204,COM_Cadastro!#REF!,COM_Cadastro!#REF!),"")</f>
        <v/>
      </c>
      <c r="D204" s="665" t="s">
        <v>736</v>
      </c>
      <c r="E204" s="666" t="s">
        <v>814</v>
      </c>
      <c r="F204" s="665" t="s">
        <v>368</v>
      </c>
      <c r="G204" s="667" t="s">
        <v>414</v>
      </c>
      <c r="H204" s="668">
        <v>7314.7</v>
      </c>
      <c r="I204" s="669">
        <v>0</v>
      </c>
      <c r="J204" s="669">
        <v>0</v>
      </c>
      <c r="K204" s="669"/>
      <c r="L204" s="670">
        <f t="shared" si="24"/>
        <v>7314.7</v>
      </c>
      <c r="M204" s="670">
        <f t="shared" si="26"/>
        <v>585.17600000000004</v>
      </c>
      <c r="N204" s="670">
        <f t="shared" si="27"/>
        <v>609.55833333333328</v>
      </c>
      <c r="O204" s="670">
        <f t="shared" si="28"/>
        <v>203.1861111111111</v>
      </c>
      <c r="P204" s="670">
        <f t="shared" si="29"/>
        <v>65.019555555555556</v>
      </c>
      <c r="Q204" s="670">
        <f t="shared" si="30"/>
        <v>609.55833333333328</v>
      </c>
      <c r="R204" s="670">
        <f t="shared" si="31"/>
        <v>48.764666666666663</v>
      </c>
      <c r="S204" s="670">
        <f t="shared" si="32"/>
        <v>1536.087</v>
      </c>
      <c r="T204" s="670">
        <f t="shared" si="25"/>
        <v>9435.9629999999997</v>
      </c>
    </row>
    <row r="205" spans="2:20" ht="15" customHeight="1" x14ac:dyDescent="0.25">
      <c r="G205" s="724">
        <f>COUNTA(G3:G204)</f>
        <v>202</v>
      </c>
      <c r="H205" s="655">
        <f t="shared" ref="H205:T205" si="33">SUM(H3:H204)</f>
        <v>364206.41000000003</v>
      </c>
      <c r="I205" s="655">
        <f t="shared" si="33"/>
        <v>12823</v>
      </c>
      <c r="J205" s="655">
        <f t="shared" si="33"/>
        <v>58442.549999999996</v>
      </c>
      <c r="K205" s="655">
        <f t="shared" si="33"/>
        <v>31050</v>
      </c>
      <c r="L205" s="725">
        <f t="shared" si="33"/>
        <v>466521.96</v>
      </c>
      <c r="M205" s="725">
        <f t="shared" si="33"/>
        <v>11556.608800000005</v>
      </c>
      <c r="N205" s="725">
        <f t="shared" si="33"/>
        <v>12038.134166666667</v>
      </c>
      <c r="O205" s="725">
        <f t="shared" si="33"/>
        <v>4012.7113888888912</v>
      </c>
      <c r="P205" s="725">
        <f t="shared" si="33"/>
        <v>1284.0676444444455</v>
      </c>
      <c r="Q205" s="725">
        <f t="shared" si="33"/>
        <v>12038.134166666667</v>
      </c>
      <c r="R205" s="725">
        <f t="shared" si="33"/>
        <v>963.05073333333257</v>
      </c>
      <c r="S205" s="725">
        <f t="shared" si="33"/>
        <v>30336.098099999977</v>
      </c>
      <c r="T205" s="725">
        <f t="shared" si="33"/>
        <v>508414.66689999995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FF0000"/>
  </sheetPr>
  <dimension ref="B2:Y200"/>
  <sheetViews>
    <sheetView showGridLines="0" zoomScale="80" zoomScaleNormal="80" workbookViewId="0">
      <selection activeCell="Y17" sqref="Y17"/>
    </sheetView>
  </sheetViews>
  <sheetFormatPr defaultColWidth="8.5703125" defaultRowHeight="15" x14ac:dyDescent="0.25"/>
  <cols>
    <col min="2" max="2" width="6.5703125" bestFit="1" customWidth="1"/>
    <col min="3" max="3" width="18.85546875" bestFit="1" customWidth="1"/>
    <col min="4" max="4" width="5" bestFit="1" customWidth="1"/>
    <col min="5" max="5" width="15.28515625" bestFit="1" customWidth="1"/>
    <col min="6" max="6" width="4.140625" bestFit="1" customWidth="1"/>
    <col min="7" max="7" width="39.5703125" bestFit="1" customWidth="1"/>
    <col min="8" max="8" width="12" bestFit="1" customWidth="1"/>
    <col min="9" max="10" width="10.85546875" bestFit="1" customWidth="1"/>
    <col min="11" max="11" width="11.7109375" bestFit="1" customWidth="1"/>
    <col min="12" max="12" width="12" bestFit="1" customWidth="1"/>
    <col min="13" max="14" width="10.85546875" bestFit="1" customWidth="1"/>
    <col min="15" max="15" width="9.85546875" bestFit="1" customWidth="1"/>
    <col min="16" max="16" width="10.28515625" bestFit="1" customWidth="1"/>
    <col min="17" max="17" width="10.85546875" bestFit="1" customWidth="1"/>
    <col min="18" max="18" width="11.28515625" bestFit="1" customWidth="1"/>
    <col min="19" max="19" width="10.85546875" bestFit="1" customWidth="1"/>
    <col min="20" max="20" width="12" bestFit="1" customWidth="1"/>
    <col min="21" max="21" width="11.7109375" bestFit="1" customWidth="1"/>
    <col min="22" max="22" width="12" bestFit="1" customWidth="1"/>
    <col min="23" max="23" width="1.85546875" customWidth="1"/>
    <col min="24" max="24" width="6.7109375" bestFit="1" customWidth="1"/>
    <col min="25" max="25" width="13" bestFit="1" customWidth="1"/>
  </cols>
  <sheetData>
    <row r="2" spans="2:25" ht="15" customHeight="1" x14ac:dyDescent="0.25">
      <c r="B2" s="628" t="s">
        <v>106</v>
      </c>
      <c r="C2" s="628" t="s">
        <v>218</v>
      </c>
      <c r="D2" s="628" t="s">
        <v>729</v>
      </c>
      <c r="E2" s="628" t="s">
        <v>730</v>
      </c>
      <c r="F2" s="628" t="s">
        <v>731</v>
      </c>
      <c r="G2" s="628" t="s">
        <v>158</v>
      </c>
      <c r="H2" s="629" t="s">
        <v>190</v>
      </c>
      <c r="I2" s="629" t="s">
        <v>213</v>
      </c>
      <c r="J2" s="629" t="s">
        <v>95</v>
      </c>
      <c r="K2" s="629" t="s">
        <v>94</v>
      </c>
      <c r="L2" s="630" t="s">
        <v>199</v>
      </c>
      <c r="M2" s="631" t="s">
        <v>36</v>
      </c>
      <c r="N2" s="632" t="s">
        <v>40</v>
      </c>
      <c r="O2" s="632" t="s">
        <v>169</v>
      </c>
      <c r="P2" s="632" t="s">
        <v>203</v>
      </c>
      <c r="Q2" s="632" t="s">
        <v>204</v>
      </c>
      <c r="R2" s="632" t="s">
        <v>205</v>
      </c>
      <c r="S2" s="633" t="s">
        <v>210</v>
      </c>
      <c r="T2" s="818" t="s">
        <v>13</v>
      </c>
      <c r="U2" s="811" t="s">
        <v>189</v>
      </c>
      <c r="V2" s="812">
        <v>46023</v>
      </c>
      <c r="W2" s="820"/>
      <c r="X2" s="813" t="s">
        <v>729</v>
      </c>
      <c r="Y2" s="813" t="s">
        <v>732</v>
      </c>
    </row>
    <row r="3" spans="2:25" ht="15" customHeight="1" x14ac:dyDescent="0.25">
      <c r="B3" s="638" t="s">
        <v>72</v>
      </c>
      <c r="C3" s="639" t="str">
        <f>IFERROR(_xlfn.XLOOKUP($G3,COM_Cadastro!#REF!,COM_Cadastro!#REF!),"")</f>
        <v/>
      </c>
      <c r="D3" s="640" t="s">
        <v>733</v>
      </c>
      <c r="E3" s="641" t="s">
        <v>377</v>
      </c>
      <c r="F3" s="640" t="s">
        <v>444</v>
      </c>
      <c r="G3" s="638" t="s">
        <v>578</v>
      </c>
      <c r="H3" s="642">
        <v>728.18</v>
      </c>
      <c r="I3" s="642"/>
      <c r="J3" s="642">
        <v>408</v>
      </c>
      <c r="K3" s="642">
        <v>270</v>
      </c>
      <c r="L3" s="643">
        <f t="shared" ref="L3:L34" si="0">SUM(H3:K3)</f>
        <v>1406.1799999999998</v>
      </c>
      <c r="M3" s="644">
        <f t="shared" ref="M3:M34" si="1">H3*8%</f>
        <v>58.254399999999997</v>
      </c>
      <c r="N3" s="643">
        <f t="shared" ref="N3:N34" si="2">H3/12</f>
        <v>60.681666666666665</v>
      </c>
      <c r="O3" s="643">
        <f t="shared" ref="O3:O34" si="3">N3/3</f>
        <v>20.22722222222222</v>
      </c>
      <c r="P3" s="643">
        <f t="shared" ref="P3:P34" si="4">(N3+O3)*8%</f>
        <v>6.4727111111111109</v>
      </c>
      <c r="Q3" s="455">
        <f t="shared" ref="Q3:Q34" si="5">H3/12</f>
        <v>60.681666666666665</v>
      </c>
      <c r="R3" s="455">
        <f t="shared" ref="R3:R34" si="6">Q3*8%</f>
        <v>4.8545333333333334</v>
      </c>
      <c r="S3" s="643">
        <f t="shared" ref="S3:S34" si="7">SUM(N3:R3)</f>
        <v>152.9178</v>
      </c>
      <c r="T3" s="801">
        <f t="shared" ref="T3:T34" si="8">L3+M3+S3</f>
        <v>1617.3521999999998</v>
      </c>
      <c r="U3" s="824" t="s">
        <v>89</v>
      </c>
      <c r="V3" s="814">
        <f>H200</f>
        <v>362837.99000000005</v>
      </c>
      <c r="W3" s="820"/>
      <c r="X3" s="815" t="s">
        <v>733</v>
      </c>
      <c r="Y3" s="816">
        <f>COUNTIF($D$3:$D$199,X3)</f>
        <v>69</v>
      </c>
    </row>
    <row r="4" spans="2:25" ht="15" customHeight="1" x14ac:dyDescent="0.25">
      <c r="B4" s="638" t="s">
        <v>72</v>
      </c>
      <c r="C4" s="639" t="str">
        <f>IFERROR(_xlfn.XLOOKUP($G4,COM_Cadastro!#REF!,COM_Cadastro!#REF!),"")</f>
        <v/>
      </c>
      <c r="D4" s="640" t="s">
        <v>733</v>
      </c>
      <c r="E4" s="641" t="s">
        <v>377</v>
      </c>
      <c r="F4" s="640" t="s">
        <v>444</v>
      </c>
      <c r="G4" s="638" t="s">
        <v>606</v>
      </c>
      <c r="H4" s="642">
        <v>1622</v>
      </c>
      <c r="I4" s="642"/>
      <c r="J4" s="642">
        <v>255</v>
      </c>
      <c r="K4" s="642">
        <v>562</v>
      </c>
      <c r="L4" s="643">
        <f t="shared" si="0"/>
        <v>2439</v>
      </c>
      <c r="M4" s="644">
        <f t="shared" si="1"/>
        <v>129.76</v>
      </c>
      <c r="N4" s="643">
        <f t="shared" si="2"/>
        <v>135.16666666666666</v>
      </c>
      <c r="O4" s="643">
        <f t="shared" si="3"/>
        <v>45.05555555555555</v>
      </c>
      <c r="P4" s="643">
        <f t="shared" si="4"/>
        <v>14.417777777777776</v>
      </c>
      <c r="Q4" s="455">
        <f t="shared" si="5"/>
        <v>135.16666666666666</v>
      </c>
      <c r="R4" s="455">
        <f t="shared" si="6"/>
        <v>10.813333333333333</v>
      </c>
      <c r="S4" s="643">
        <f t="shared" si="7"/>
        <v>340.61999999999995</v>
      </c>
      <c r="T4" s="801">
        <f t="shared" si="8"/>
        <v>2909.38</v>
      </c>
      <c r="U4" s="825" t="s">
        <v>213</v>
      </c>
      <c r="V4" s="814">
        <f>I200</f>
        <v>12017</v>
      </c>
      <c r="W4" s="820"/>
      <c r="X4" s="815" t="s">
        <v>378</v>
      </c>
      <c r="Y4" s="816">
        <f>COUNTIF($D$3:$D$199,X4)</f>
        <v>93</v>
      </c>
    </row>
    <row r="5" spans="2:25" ht="15" customHeight="1" x14ac:dyDescent="0.25">
      <c r="B5" s="638" t="s">
        <v>72</v>
      </c>
      <c r="C5" s="639" t="str">
        <f>IFERROR(_xlfn.XLOOKUP($G5,COM_Cadastro!#REF!,COM_Cadastro!#REF!),"")</f>
        <v/>
      </c>
      <c r="D5" s="640" t="s">
        <v>733</v>
      </c>
      <c r="E5" s="641" t="s">
        <v>377</v>
      </c>
      <c r="F5" s="640" t="s">
        <v>368</v>
      </c>
      <c r="G5" s="638" t="s">
        <v>689</v>
      </c>
      <c r="H5" s="642">
        <v>1780</v>
      </c>
      <c r="I5" s="642"/>
      <c r="J5" s="642">
        <v>0</v>
      </c>
      <c r="K5" s="642">
        <v>585</v>
      </c>
      <c r="L5" s="643">
        <f t="shared" si="0"/>
        <v>2365</v>
      </c>
      <c r="M5" s="644">
        <f t="shared" si="1"/>
        <v>142.4</v>
      </c>
      <c r="N5" s="643">
        <f t="shared" si="2"/>
        <v>148.33333333333334</v>
      </c>
      <c r="O5" s="643">
        <f t="shared" si="3"/>
        <v>49.44444444444445</v>
      </c>
      <c r="P5" s="643">
        <f t="shared" si="4"/>
        <v>15.822222222222225</v>
      </c>
      <c r="Q5" s="455">
        <f t="shared" si="5"/>
        <v>148.33333333333334</v>
      </c>
      <c r="R5" s="455">
        <f t="shared" si="6"/>
        <v>11.866666666666667</v>
      </c>
      <c r="S5" s="643">
        <f t="shared" si="7"/>
        <v>373.80000000000007</v>
      </c>
      <c r="T5" s="801">
        <f t="shared" si="8"/>
        <v>2881.2000000000003</v>
      </c>
      <c r="U5" s="825" t="s">
        <v>95</v>
      </c>
      <c r="V5" s="814">
        <f>J200</f>
        <v>64273.149999999994</v>
      </c>
      <c r="W5" s="820"/>
      <c r="X5" s="815" t="s">
        <v>734</v>
      </c>
      <c r="Y5" s="816">
        <f>COUNTIF($D$3:$D$199,X5)</f>
        <v>27</v>
      </c>
    </row>
    <row r="6" spans="2:25" ht="15" customHeight="1" x14ac:dyDescent="0.25">
      <c r="B6" s="638" t="s">
        <v>72</v>
      </c>
      <c r="C6" s="639" t="str">
        <f>IFERROR(_xlfn.XLOOKUP($G6,COM_Cadastro!#REF!,COM_Cadastro!#REF!),"")</f>
        <v/>
      </c>
      <c r="D6" s="640" t="s">
        <v>733</v>
      </c>
      <c r="E6" s="641" t="s">
        <v>609</v>
      </c>
      <c r="F6" s="640" t="s">
        <v>368</v>
      </c>
      <c r="G6" s="638" t="s">
        <v>791</v>
      </c>
      <c r="H6" s="642">
        <v>4000</v>
      </c>
      <c r="I6" s="642"/>
      <c r="J6" s="642">
        <v>0</v>
      </c>
      <c r="K6" s="642">
        <v>0</v>
      </c>
      <c r="L6" s="643">
        <f t="shared" si="0"/>
        <v>4000</v>
      </c>
      <c r="M6" s="644">
        <f t="shared" si="1"/>
        <v>320</v>
      </c>
      <c r="N6" s="643">
        <f t="shared" si="2"/>
        <v>333.33333333333331</v>
      </c>
      <c r="O6" s="643">
        <f t="shared" si="3"/>
        <v>111.1111111111111</v>
      </c>
      <c r="P6" s="643">
        <f t="shared" si="4"/>
        <v>35.55555555555555</v>
      </c>
      <c r="Q6" s="455">
        <f t="shared" si="5"/>
        <v>333.33333333333331</v>
      </c>
      <c r="R6" s="455">
        <f t="shared" si="6"/>
        <v>26.666666666666664</v>
      </c>
      <c r="S6" s="643">
        <f t="shared" si="7"/>
        <v>839.99999999999989</v>
      </c>
      <c r="T6" s="801">
        <f t="shared" si="8"/>
        <v>5160</v>
      </c>
      <c r="U6" s="825" t="s">
        <v>94</v>
      </c>
      <c r="V6" s="814">
        <f>K200</f>
        <v>33502</v>
      </c>
      <c r="W6" s="820"/>
      <c r="X6" s="815" t="s">
        <v>736</v>
      </c>
      <c r="Y6" s="816">
        <f>COUNTIF($D$3:$D$199,X6)</f>
        <v>8</v>
      </c>
    </row>
    <row r="7" spans="2:25" ht="15" customHeight="1" x14ac:dyDescent="0.25">
      <c r="B7" s="638" t="s">
        <v>72</v>
      </c>
      <c r="C7" s="639" t="str">
        <f>IFERROR(_xlfn.XLOOKUP($G7,COM_Cadastro!#REF!,COM_Cadastro!#REF!),"")</f>
        <v/>
      </c>
      <c r="D7" s="640" t="s">
        <v>733</v>
      </c>
      <c r="E7" s="641" t="s">
        <v>377</v>
      </c>
      <c r="F7" s="640" t="s">
        <v>368</v>
      </c>
      <c r="G7" s="638" t="s">
        <v>792</v>
      </c>
      <c r="H7" s="642">
        <v>2500</v>
      </c>
      <c r="I7" s="642">
        <v>704</v>
      </c>
      <c r="J7" s="642">
        <v>514.79999999999995</v>
      </c>
      <c r="K7" s="642">
        <v>585</v>
      </c>
      <c r="L7" s="643">
        <f t="shared" si="0"/>
        <v>4303.8</v>
      </c>
      <c r="M7" s="644">
        <f t="shared" si="1"/>
        <v>200</v>
      </c>
      <c r="N7" s="643">
        <f t="shared" si="2"/>
        <v>208.33333333333334</v>
      </c>
      <c r="O7" s="643">
        <f t="shared" si="3"/>
        <v>69.444444444444443</v>
      </c>
      <c r="P7" s="643">
        <f t="shared" si="4"/>
        <v>22.222222222222221</v>
      </c>
      <c r="Q7" s="455">
        <f t="shared" si="5"/>
        <v>208.33333333333334</v>
      </c>
      <c r="R7" s="455">
        <f t="shared" si="6"/>
        <v>16.666666666666668</v>
      </c>
      <c r="S7" s="643">
        <f t="shared" si="7"/>
        <v>525</v>
      </c>
      <c r="T7" s="801">
        <f t="shared" si="8"/>
        <v>5028.8</v>
      </c>
      <c r="U7" s="824" t="s">
        <v>36</v>
      </c>
      <c r="V7" s="814">
        <f>M200</f>
        <v>12654.159200000006</v>
      </c>
      <c r="W7" s="820"/>
      <c r="X7" s="815" t="s">
        <v>167</v>
      </c>
      <c r="Y7" s="813">
        <f>SUM(Y3:Y6)</f>
        <v>197</v>
      </c>
    </row>
    <row r="8" spans="2:25" ht="15" customHeight="1" x14ac:dyDescent="0.25">
      <c r="B8" s="638" t="s">
        <v>72</v>
      </c>
      <c r="C8" s="639" t="str">
        <f>IFERROR(_xlfn.XLOOKUP($G8,COM_Cadastro!#REF!,COM_Cadastro!#REF!),"")</f>
        <v/>
      </c>
      <c r="D8" s="640" t="s">
        <v>733</v>
      </c>
      <c r="E8" s="641" t="s">
        <v>377</v>
      </c>
      <c r="F8" s="640" t="s">
        <v>368</v>
      </c>
      <c r="G8" s="638" t="s">
        <v>427</v>
      </c>
      <c r="H8" s="642">
        <v>1780</v>
      </c>
      <c r="I8" s="642"/>
      <c r="J8" s="642">
        <v>265.2</v>
      </c>
      <c r="K8" s="642">
        <v>585</v>
      </c>
      <c r="L8" s="643">
        <f t="shared" si="0"/>
        <v>2630.2</v>
      </c>
      <c r="M8" s="644">
        <f t="shared" si="1"/>
        <v>142.4</v>
      </c>
      <c r="N8" s="643">
        <f t="shared" si="2"/>
        <v>148.33333333333334</v>
      </c>
      <c r="O8" s="643">
        <f t="shared" si="3"/>
        <v>49.44444444444445</v>
      </c>
      <c r="P8" s="643">
        <f t="shared" si="4"/>
        <v>15.822222222222225</v>
      </c>
      <c r="Q8" s="455">
        <f t="shared" si="5"/>
        <v>148.33333333333334</v>
      </c>
      <c r="R8" s="455">
        <f t="shared" si="6"/>
        <v>11.866666666666667</v>
      </c>
      <c r="S8" s="643">
        <f t="shared" si="7"/>
        <v>373.80000000000007</v>
      </c>
      <c r="T8" s="801">
        <f t="shared" si="8"/>
        <v>3146.4</v>
      </c>
      <c r="U8" s="824" t="s">
        <v>212</v>
      </c>
      <c r="V8" s="814">
        <f>S200</f>
        <v>33217.167899999964</v>
      </c>
      <c r="W8" s="820"/>
      <c r="X8" s="822"/>
      <c r="Y8" s="823"/>
    </row>
    <row r="9" spans="2:25" ht="15" customHeight="1" x14ac:dyDescent="0.25">
      <c r="B9" s="638" t="s">
        <v>72</v>
      </c>
      <c r="C9" s="639" t="str">
        <f>IFERROR(_xlfn.XLOOKUP($G9,COM_Cadastro!#REF!,COM_Cadastro!#REF!),"")</f>
        <v/>
      </c>
      <c r="D9" s="640" t="s">
        <v>733</v>
      </c>
      <c r="E9" s="641" t="s">
        <v>377</v>
      </c>
      <c r="F9" s="640" t="s">
        <v>368</v>
      </c>
      <c r="G9" s="638" t="s">
        <v>663</v>
      </c>
      <c r="H9" s="642">
        <v>1622</v>
      </c>
      <c r="I9" s="642"/>
      <c r="J9" s="642">
        <v>530.4</v>
      </c>
      <c r="K9" s="642">
        <v>585</v>
      </c>
      <c r="L9" s="643">
        <f t="shared" si="0"/>
        <v>2737.4</v>
      </c>
      <c r="M9" s="644">
        <f t="shared" si="1"/>
        <v>129.76</v>
      </c>
      <c r="N9" s="643">
        <f t="shared" si="2"/>
        <v>135.16666666666666</v>
      </c>
      <c r="O9" s="643">
        <f t="shared" si="3"/>
        <v>45.05555555555555</v>
      </c>
      <c r="P9" s="643">
        <f t="shared" si="4"/>
        <v>14.417777777777776</v>
      </c>
      <c r="Q9" s="455">
        <f t="shared" si="5"/>
        <v>135.16666666666666</v>
      </c>
      <c r="R9" s="455">
        <f t="shared" si="6"/>
        <v>10.813333333333333</v>
      </c>
      <c r="S9" s="643">
        <f t="shared" si="7"/>
        <v>340.61999999999995</v>
      </c>
      <c r="T9" s="801">
        <f t="shared" si="8"/>
        <v>3207.7799999999997</v>
      </c>
      <c r="U9" s="825" t="s">
        <v>13</v>
      </c>
      <c r="V9" s="817">
        <f>SUM(V3:V8)</f>
        <v>518501.46709999995</v>
      </c>
      <c r="W9" s="820"/>
      <c r="X9" s="822"/>
      <c r="Y9" s="823"/>
    </row>
    <row r="10" spans="2:25" ht="15" customHeight="1" x14ac:dyDescent="0.25">
      <c r="B10" s="638" t="s">
        <v>72</v>
      </c>
      <c r="C10" s="639" t="str">
        <f>IFERROR(_xlfn.XLOOKUP($G10,COM_Cadastro!#REF!,COM_Cadastro!#REF!),"")</f>
        <v/>
      </c>
      <c r="D10" s="640" t="s">
        <v>733</v>
      </c>
      <c r="E10" s="641" t="s">
        <v>377</v>
      </c>
      <c r="F10" s="640" t="s">
        <v>368</v>
      </c>
      <c r="G10" s="638" t="s">
        <v>706</v>
      </c>
      <c r="H10" s="642">
        <v>1622</v>
      </c>
      <c r="I10" s="642"/>
      <c r="J10" s="642"/>
      <c r="K10" s="642"/>
      <c r="L10" s="643">
        <f t="shared" si="0"/>
        <v>1622</v>
      </c>
      <c r="M10" s="644">
        <f t="shared" si="1"/>
        <v>129.76</v>
      </c>
      <c r="N10" s="643">
        <f t="shared" si="2"/>
        <v>135.16666666666666</v>
      </c>
      <c r="O10" s="643">
        <f t="shared" si="3"/>
        <v>45.05555555555555</v>
      </c>
      <c r="P10" s="643">
        <f t="shared" si="4"/>
        <v>14.417777777777776</v>
      </c>
      <c r="Q10" s="455">
        <f t="shared" si="5"/>
        <v>135.16666666666666</v>
      </c>
      <c r="R10" s="455">
        <f t="shared" si="6"/>
        <v>10.813333333333333</v>
      </c>
      <c r="S10" s="643">
        <f t="shared" si="7"/>
        <v>340.61999999999995</v>
      </c>
      <c r="T10" s="643">
        <f t="shared" si="8"/>
        <v>2092.38</v>
      </c>
      <c r="U10" s="806"/>
      <c r="V10" s="821"/>
      <c r="W10" s="820"/>
      <c r="X10" s="822"/>
      <c r="Y10" s="823"/>
    </row>
    <row r="11" spans="2:25" ht="15" customHeight="1" x14ac:dyDescent="0.25">
      <c r="B11" s="638" t="s">
        <v>72</v>
      </c>
      <c r="C11" s="639" t="str">
        <f>IFERROR(_xlfn.XLOOKUP($G11,COM_Cadastro!#REF!,COM_Cadastro!#REF!),"")</f>
        <v/>
      </c>
      <c r="D11" s="640" t="s">
        <v>733</v>
      </c>
      <c r="E11" s="641" t="s">
        <v>377</v>
      </c>
      <c r="F11" s="640" t="s">
        <v>368</v>
      </c>
      <c r="G11" s="638" t="s">
        <v>516</v>
      </c>
      <c r="H11" s="642">
        <v>1622</v>
      </c>
      <c r="I11" s="642"/>
      <c r="J11" s="642">
        <v>265.2</v>
      </c>
      <c r="K11" s="642">
        <v>585</v>
      </c>
      <c r="L11" s="643">
        <f t="shared" si="0"/>
        <v>2472.1999999999998</v>
      </c>
      <c r="M11" s="644">
        <f t="shared" si="1"/>
        <v>129.76</v>
      </c>
      <c r="N11" s="643">
        <f t="shared" si="2"/>
        <v>135.16666666666666</v>
      </c>
      <c r="O11" s="643">
        <f t="shared" si="3"/>
        <v>45.05555555555555</v>
      </c>
      <c r="P11" s="643">
        <f t="shared" si="4"/>
        <v>14.417777777777776</v>
      </c>
      <c r="Q11" s="455">
        <f t="shared" si="5"/>
        <v>135.16666666666666</v>
      </c>
      <c r="R11" s="455">
        <f t="shared" si="6"/>
        <v>10.813333333333333</v>
      </c>
      <c r="S11" s="643">
        <f t="shared" si="7"/>
        <v>340.61999999999995</v>
      </c>
      <c r="T11" s="643">
        <f t="shared" si="8"/>
        <v>2942.58</v>
      </c>
      <c r="U11" s="806"/>
      <c r="V11" s="821"/>
      <c r="W11" s="820"/>
      <c r="X11" s="822"/>
      <c r="Y11" s="823"/>
    </row>
    <row r="12" spans="2:25" ht="15" customHeight="1" x14ac:dyDescent="0.25">
      <c r="B12" s="638" t="s">
        <v>72</v>
      </c>
      <c r="C12" s="639" t="str">
        <f>IFERROR(_xlfn.XLOOKUP($G12,COM_Cadastro!#REF!,COM_Cadastro!#REF!),"")</f>
        <v/>
      </c>
      <c r="D12" s="640" t="s">
        <v>733</v>
      </c>
      <c r="E12" s="641" t="s">
        <v>377</v>
      </c>
      <c r="F12" s="640" t="s">
        <v>368</v>
      </c>
      <c r="G12" s="638" t="s">
        <v>793</v>
      </c>
      <c r="H12" s="642">
        <v>1622</v>
      </c>
      <c r="I12" s="642"/>
      <c r="J12" s="642">
        <v>265.2</v>
      </c>
      <c r="K12" s="642">
        <v>585</v>
      </c>
      <c r="L12" s="643">
        <f t="shared" si="0"/>
        <v>2472.1999999999998</v>
      </c>
      <c r="M12" s="644">
        <f t="shared" si="1"/>
        <v>129.76</v>
      </c>
      <c r="N12" s="643">
        <f t="shared" si="2"/>
        <v>135.16666666666666</v>
      </c>
      <c r="O12" s="643">
        <f t="shared" si="3"/>
        <v>45.05555555555555</v>
      </c>
      <c r="P12" s="643">
        <f t="shared" si="4"/>
        <v>14.417777777777776</v>
      </c>
      <c r="Q12" s="455">
        <f t="shared" si="5"/>
        <v>135.16666666666666</v>
      </c>
      <c r="R12" s="455">
        <f t="shared" si="6"/>
        <v>10.813333333333333</v>
      </c>
      <c r="S12" s="643">
        <f t="shared" si="7"/>
        <v>340.61999999999995</v>
      </c>
      <c r="T12" s="643">
        <f t="shared" si="8"/>
        <v>2942.58</v>
      </c>
      <c r="U12" s="806"/>
      <c r="V12" s="821"/>
      <c r="W12" s="820"/>
      <c r="X12" s="822"/>
      <c r="Y12" s="823"/>
    </row>
    <row r="13" spans="2:25" ht="15" customHeight="1" x14ac:dyDescent="0.25">
      <c r="B13" s="638" t="s">
        <v>72</v>
      </c>
      <c r="C13" s="639" t="str">
        <f>IFERROR(_xlfn.XLOOKUP($G13,COM_Cadastro!#REF!,COM_Cadastro!#REF!),"")</f>
        <v/>
      </c>
      <c r="D13" s="640" t="s">
        <v>733</v>
      </c>
      <c r="E13" s="641" t="s">
        <v>609</v>
      </c>
      <c r="F13" s="640" t="s">
        <v>368</v>
      </c>
      <c r="G13" s="638" t="s">
        <v>794</v>
      </c>
      <c r="H13" s="642">
        <v>4000</v>
      </c>
      <c r="I13" s="642"/>
      <c r="J13" s="642">
        <v>0</v>
      </c>
      <c r="K13" s="642">
        <v>0</v>
      </c>
      <c r="L13" s="643">
        <f t="shared" si="0"/>
        <v>4000</v>
      </c>
      <c r="M13" s="644">
        <f t="shared" si="1"/>
        <v>320</v>
      </c>
      <c r="N13" s="643">
        <f t="shared" si="2"/>
        <v>333.33333333333331</v>
      </c>
      <c r="O13" s="643">
        <f t="shared" si="3"/>
        <v>111.1111111111111</v>
      </c>
      <c r="P13" s="643">
        <f t="shared" si="4"/>
        <v>35.55555555555555</v>
      </c>
      <c r="Q13" s="455">
        <f t="shared" si="5"/>
        <v>333.33333333333331</v>
      </c>
      <c r="R13" s="455">
        <f t="shared" si="6"/>
        <v>26.666666666666664</v>
      </c>
      <c r="S13" s="643">
        <f t="shared" si="7"/>
        <v>839.99999999999989</v>
      </c>
      <c r="T13" s="643">
        <f t="shared" si="8"/>
        <v>5160</v>
      </c>
      <c r="U13" s="806"/>
      <c r="V13" s="821"/>
      <c r="W13" s="820"/>
      <c r="X13" s="822"/>
      <c r="Y13" s="823"/>
    </row>
    <row r="14" spans="2:25" ht="15" customHeight="1" x14ac:dyDescent="0.25">
      <c r="B14" s="638" t="s">
        <v>72</v>
      </c>
      <c r="C14" s="639" t="str">
        <f>IFERROR(_xlfn.XLOOKUP($G14,COM_Cadastro!#REF!,COM_Cadastro!#REF!),"")</f>
        <v/>
      </c>
      <c r="D14" s="640" t="s">
        <v>733</v>
      </c>
      <c r="E14" s="641" t="s">
        <v>609</v>
      </c>
      <c r="F14" s="640" t="s">
        <v>368</v>
      </c>
      <c r="G14" s="638" t="s">
        <v>795</v>
      </c>
      <c r="H14" s="642">
        <v>4000</v>
      </c>
      <c r="I14" s="642"/>
      <c r="J14" s="642">
        <v>1490.81</v>
      </c>
      <c r="K14" s="642">
        <v>585</v>
      </c>
      <c r="L14" s="643">
        <f t="shared" si="0"/>
        <v>6075.8099999999995</v>
      </c>
      <c r="M14" s="644">
        <f t="shared" si="1"/>
        <v>320</v>
      </c>
      <c r="N14" s="643">
        <f t="shared" si="2"/>
        <v>333.33333333333331</v>
      </c>
      <c r="O14" s="643">
        <f t="shared" si="3"/>
        <v>111.1111111111111</v>
      </c>
      <c r="P14" s="643">
        <f t="shared" si="4"/>
        <v>35.55555555555555</v>
      </c>
      <c r="Q14" s="455">
        <f t="shared" si="5"/>
        <v>333.33333333333331</v>
      </c>
      <c r="R14" s="455">
        <f t="shared" si="6"/>
        <v>26.666666666666664</v>
      </c>
      <c r="S14" s="643">
        <f t="shared" si="7"/>
        <v>839.99999999999989</v>
      </c>
      <c r="T14" s="643">
        <f t="shared" si="8"/>
        <v>7235.8099999999995</v>
      </c>
      <c r="U14" s="806"/>
      <c r="V14" s="821"/>
      <c r="W14" s="820"/>
      <c r="X14" s="822"/>
      <c r="Y14" s="823"/>
    </row>
    <row r="15" spans="2:25" ht="15" customHeight="1" x14ac:dyDescent="0.25">
      <c r="B15" s="638" t="s">
        <v>72</v>
      </c>
      <c r="C15" s="639" t="str">
        <f>IFERROR(_xlfn.XLOOKUP($G15,COM_Cadastro!#REF!,COM_Cadastro!#REF!),"")</f>
        <v/>
      </c>
      <c r="D15" s="640" t="s">
        <v>733</v>
      </c>
      <c r="E15" s="641" t="s">
        <v>609</v>
      </c>
      <c r="F15" s="640" t="s">
        <v>368</v>
      </c>
      <c r="G15" s="638" t="s">
        <v>815</v>
      </c>
      <c r="H15" s="642">
        <v>4000</v>
      </c>
      <c r="I15" s="642"/>
      <c r="J15" s="642">
        <v>0</v>
      </c>
      <c r="K15" s="642">
        <v>270</v>
      </c>
      <c r="L15" s="643">
        <f t="shared" si="0"/>
        <v>4270</v>
      </c>
      <c r="M15" s="644">
        <f t="shared" si="1"/>
        <v>320</v>
      </c>
      <c r="N15" s="643">
        <f t="shared" si="2"/>
        <v>333.33333333333331</v>
      </c>
      <c r="O15" s="643">
        <f t="shared" si="3"/>
        <v>111.1111111111111</v>
      </c>
      <c r="P15" s="643">
        <f t="shared" si="4"/>
        <v>35.55555555555555</v>
      </c>
      <c r="Q15" s="455">
        <f t="shared" si="5"/>
        <v>333.33333333333331</v>
      </c>
      <c r="R15" s="455">
        <f t="shared" si="6"/>
        <v>26.666666666666664</v>
      </c>
      <c r="S15" s="643">
        <f t="shared" si="7"/>
        <v>839.99999999999989</v>
      </c>
      <c r="T15" s="643">
        <f t="shared" si="8"/>
        <v>5430</v>
      </c>
      <c r="U15" s="806"/>
      <c r="V15" s="821"/>
      <c r="W15" s="820"/>
      <c r="X15" s="822"/>
      <c r="Y15" s="823"/>
    </row>
    <row r="16" spans="2:25" ht="15" customHeight="1" x14ac:dyDescent="0.25">
      <c r="B16" s="638" t="s">
        <v>72</v>
      </c>
      <c r="C16" s="639" t="str">
        <f>IFERROR(_xlfn.XLOOKUP($G16,COM_Cadastro!#REF!,COM_Cadastro!#REF!),"")</f>
        <v/>
      </c>
      <c r="D16" s="640" t="s">
        <v>733</v>
      </c>
      <c r="E16" s="641" t="s">
        <v>372</v>
      </c>
      <c r="F16" s="640" t="s">
        <v>371</v>
      </c>
      <c r="G16" s="638" t="s">
        <v>370</v>
      </c>
      <c r="H16" s="642">
        <v>1900</v>
      </c>
      <c r="I16" s="642">
        <v>1352</v>
      </c>
      <c r="J16" s="642">
        <v>430</v>
      </c>
      <c r="K16" s="642">
        <v>585</v>
      </c>
      <c r="L16" s="643">
        <f t="shared" si="0"/>
        <v>4267</v>
      </c>
      <c r="M16" s="644">
        <f t="shared" si="1"/>
        <v>152</v>
      </c>
      <c r="N16" s="643">
        <f t="shared" si="2"/>
        <v>158.33333333333334</v>
      </c>
      <c r="O16" s="643">
        <f t="shared" si="3"/>
        <v>52.777777777777779</v>
      </c>
      <c r="P16" s="643">
        <f t="shared" si="4"/>
        <v>16.888888888888889</v>
      </c>
      <c r="Q16" s="455">
        <f t="shared" si="5"/>
        <v>158.33333333333334</v>
      </c>
      <c r="R16" s="455">
        <f t="shared" si="6"/>
        <v>12.666666666666668</v>
      </c>
      <c r="S16" s="643">
        <f t="shared" si="7"/>
        <v>399.00000000000006</v>
      </c>
      <c r="T16" s="643">
        <f t="shared" si="8"/>
        <v>4818</v>
      </c>
      <c r="U16" s="806"/>
      <c r="V16" s="821"/>
      <c r="W16" s="820"/>
      <c r="X16" s="822"/>
      <c r="Y16" s="823"/>
    </row>
    <row r="17" spans="2:25" ht="15" customHeight="1" x14ac:dyDescent="0.25">
      <c r="B17" s="638" t="s">
        <v>72</v>
      </c>
      <c r="C17" s="639" t="str">
        <f>IFERROR(_xlfn.XLOOKUP($G17,COM_Cadastro!#REF!,COM_Cadastro!#REF!),"")</f>
        <v/>
      </c>
      <c r="D17" s="640" t="s">
        <v>733</v>
      </c>
      <c r="E17" s="641" t="s">
        <v>796</v>
      </c>
      <c r="F17" s="640" t="s">
        <v>371</v>
      </c>
      <c r="G17" s="638" t="s">
        <v>637</v>
      </c>
      <c r="H17" s="642">
        <v>1022.73</v>
      </c>
      <c r="I17" s="642"/>
      <c r="J17" s="642">
        <v>0</v>
      </c>
      <c r="K17" s="642">
        <v>270</v>
      </c>
      <c r="L17" s="643">
        <f t="shared" si="0"/>
        <v>1292.73</v>
      </c>
      <c r="M17" s="644">
        <f t="shared" si="1"/>
        <v>81.818399999999997</v>
      </c>
      <c r="N17" s="643">
        <f t="shared" si="2"/>
        <v>85.227500000000006</v>
      </c>
      <c r="O17" s="643">
        <f t="shared" si="3"/>
        <v>28.409166666666668</v>
      </c>
      <c r="P17" s="643">
        <f t="shared" si="4"/>
        <v>9.090933333333334</v>
      </c>
      <c r="Q17" s="455">
        <f t="shared" si="5"/>
        <v>85.227500000000006</v>
      </c>
      <c r="R17" s="455">
        <f t="shared" si="6"/>
        <v>6.8182000000000009</v>
      </c>
      <c r="S17" s="643">
        <f t="shared" si="7"/>
        <v>214.77330000000001</v>
      </c>
      <c r="T17" s="643">
        <f t="shared" si="8"/>
        <v>1589.3217000000002</v>
      </c>
      <c r="U17" s="806"/>
      <c r="V17" s="821"/>
      <c r="W17" s="820"/>
      <c r="X17" s="822"/>
      <c r="Y17" s="823"/>
    </row>
    <row r="18" spans="2:25" ht="15" customHeight="1" x14ac:dyDescent="0.25">
      <c r="B18" s="638" t="s">
        <v>72</v>
      </c>
      <c r="C18" s="639" t="str">
        <f>IFERROR(_xlfn.XLOOKUP($G18,COM_Cadastro!#REF!,COM_Cadastro!#REF!),"")</f>
        <v/>
      </c>
      <c r="D18" s="640" t="s">
        <v>733</v>
      </c>
      <c r="E18" s="641" t="s">
        <v>796</v>
      </c>
      <c r="F18" s="640" t="s">
        <v>371</v>
      </c>
      <c r="G18" s="638" t="s">
        <v>640</v>
      </c>
      <c r="H18" s="642">
        <v>1780</v>
      </c>
      <c r="I18" s="642"/>
      <c r="J18" s="642">
        <v>416</v>
      </c>
      <c r="K18" s="642">
        <v>585</v>
      </c>
      <c r="L18" s="643">
        <f t="shared" si="0"/>
        <v>2781</v>
      </c>
      <c r="M18" s="644">
        <f t="shared" si="1"/>
        <v>142.4</v>
      </c>
      <c r="N18" s="643">
        <f t="shared" si="2"/>
        <v>148.33333333333334</v>
      </c>
      <c r="O18" s="643">
        <f t="shared" si="3"/>
        <v>49.44444444444445</v>
      </c>
      <c r="P18" s="643">
        <f t="shared" si="4"/>
        <v>15.822222222222225</v>
      </c>
      <c r="Q18" s="455">
        <f t="shared" si="5"/>
        <v>148.33333333333334</v>
      </c>
      <c r="R18" s="455">
        <f t="shared" si="6"/>
        <v>11.866666666666667</v>
      </c>
      <c r="S18" s="643">
        <f t="shared" si="7"/>
        <v>373.80000000000007</v>
      </c>
      <c r="T18" s="643">
        <f t="shared" si="8"/>
        <v>3297.2000000000003</v>
      </c>
      <c r="U18" s="806"/>
      <c r="V18" s="821"/>
      <c r="W18" s="820"/>
      <c r="X18" s="822"/>
      <c r="Y18" s="823"/>
    </row>
    <row r="19" spans="2:25" ht="15" customHeight="1" x14ac:dyDescent="0.25">
      <c r="B19" s="638" t="s">
        <v>72</v>
      </c>
      <c r="C19" s="639" t="str">
        <f>IFERROR(_xlfn.XLOOKUP($G19,COM_Cadastro!#REF!,COM_Cadastro!#REF!),"")</f>
        <v/>
      </c>
      <c r="D19" s="640" t="s">
        <v>733</v>
      </c>
      <c r="E19" s="641" t="s">
        <v>796</v>
      </c>
      <c r="F19" s="640" t="s">
        <v>371</v>
      </c>
      <c r="G19" s="638" t="s">
        <v>677</v>
      </c>
      <c r="H19" s="642">
        <v>1780</v>
      </c>
      <c r="I19" s="642"/>
      <c r="J19" s="642">
        <v>175</v>
      </c>
      <c r="K19" s="642">
        <v>585</v>
      </c>
      <c r="L19" s="643">
        <f t="shared" si="0"/>
        <v>2540</v>
      </c>
      <c r="M19" s="644">
        <f t="shared" si="1"/>
        <v>142.4</v>
      </c>
      <c r="N19" s="643">
        <f t="shared" si="2"/>
        <v>148.33333333333334</v>
      </c>
      <c r="O19" s="643">
        <f t="shared" si="3"/>
        <v>49.44444444444445</v>
      </c>
      <c r="P19" s="643">
        <f t="shared" si="4"/>
        <v>15.822222222222225</v>
      </c>
      <c r="Q19" s="455">
        <f t="shared" si="5"/>
        <v>148.33333333333334</v>
      </c>
      <c r="R19" s="455">
        <f t="shared" si="6"/>
        <v>11.866666666666667</v>
      </c>
      <c r="S19" s="643">
        <f t="shared" si="7"/>
        <v>373.80000000000007</v>
      </c>
      <c r="T19" s="643">
        <f t="shared" si="8"/>
        <v>3056.2000000000003</v>
      </c>
      <c r="U19" s="806"/>
      <c r="V19" s="821"/>
      <c r="W19" s="820"/>
      <c r="X19" s="822"/>
      <c r="Y19" s="823"/>
    </row>
    <row r="20" spans="2:25" ht="15" customHeight="1" x14ac:dyDescent="0.25">
      <c r="B20" s="638" t="s">
        <v>72</v>
      </c>
      <c r="C20" s="639" t="str">
        <f>IFERROR(_xlfn.XLOOKUP($G20,COM_Cadastro!#REF!,COM_Cadastro!#REF!),"")</f>
        <v/>
      </c>
      <c r="D20" s="640" t="s">
        <v>733</v>
      </c>
      <c r="E20" s="641" t="s">
        <v>796</v>
      </c>
      <c r="F20" s="640" t="s">
        <v>371</v>
      </c>
      <c r="G20" s="638" t="s">
        <v>797</v>
      </c>
      <c r="H20" s="642">
        <v>1780</v>
      </c>
      <c r="I20" s="642"/>
      <c r="J20" s="642">
        <v>416</v>
      </c>
      <c r="K20" s="642">
        <v>585</v>
      </c>
      <c r="L20" s="643">
        <f t="shared" si="0"/>
        <v>2781</v>
      </c>
      <c r="M20" s="644">
        <f t="shared" si="1"/>
        <v>142.4</v>
      </c>
      <c r="N20" s="643">
        <f t="shared" si="2"/>
        <v>148.33333333333334</v>
      </c>
      <c r="O20" s="643">
        <f t="shared" si="3"/>
        <v>49.44444444444445</v>
      </c>
      <c r="P20" s="643">
        <f t="shared" si="4"/>
        <v>15.822222222222225</v>
      </c>
      <c r="Q20" s="455">
        <f t="shared" si="5"/>
        <v>148.33333333333334</v>
      </c>
      <c r="R20" s="455">
        <f t="shared" si="6"/>
        <v>11.866666666666667</v>
      </c>
      <c r="S20" s="643">
        <f t="shared" si="7"/>
        <v>373.80000000000007</v>
      </c>
      <c r="T20" s="643">
        <f t="shared" si="8"/>
        <v>3297.2000000000003</v>
      </c>
      <c r="U20" s="806"/>
      <c r="V20" s="821"/>
      <c r="W20" s="820"/>
      <c r="X20" s="822"/>
      <c r="Y20" s="823"/>
    </row>
    <row r="21" spans="2:25" ht="15" customHeight="1" x14ac:dyDescent="0.25">
      <c r="B21" s="638" t="s">
        <v>72</v>
      </c>
      <c r="C21" s="639" t="str">
        <f>IFERROR(_xlfn.XLOOKUP($G21,COM_Cadastro!#REF!,COM_Cadastro!#REF!),"")</f>
        <v/>
      </c>
      <c r="D21" s="640" t="s">
        <v>733</v>
      </c>
      <c r="E21" s="641" t="s">
        <v>796</v>
      </c>
      <c r="F21" s="640" t="s">
        <v>371</v>
      </c>
      <c r="G21" s="638" t="s">
        <v>695</v>
      </c>
      <c r="H21" s="642">
        <v>1780</v>
      </c>
      <c r="I21" s="642"/>
      <c r="J21" s="642">
        <v>378</v>
      </c>
      <c r="K21" s="642">
        <v>585</v>
      </c>
      <c r="L21" s="643">
        <f t="shared" si="0"/>
        <v>2743</v>
      </c>
      <c r="M21" s="644">
        <f t="shared" si="1"/>
        <v>142.4</v>
      </c>
      <c r="N21" s="643">
        <f t="shared" si="2"/>
        <v>148.33333333333334</v>
      </c>
      <c r="O21" s="643">
        <f t="shared" si="3"/>
        <v>49.44444444444445</v>
      </c>
      <c r="P21" s="643">
        <f t="shared" si="4"/>
        <v>15.822222222222225</v>
      </c>
      <c r="Q21" s="455">
        <f t="shared" si="5"/>
        <v>148.33333333333334</v>
      </c>
      <c r="R21" s="455">
        <f t="shared" si="6"/>
        <v>11.866666666666667</v>
      </c>
      <c r="S21" s="643">
        <f t="shared" si="7"/>
        <v>373.80000000000007</v>
      </c>
      <c r="T21" s="643">
        <f t="shared" si="8"/>
        <v>3259.2000000000003</v>
      </c>
      <c r="U21" s="806"/>
      <c r="V21" s="821"/>
      <c r="W21" s="820"/>
      <c r="X21" s="822"/>
      <c r="Y21" s="823"/>
    </row>
    <row r="22" spans="2:25" ht="15" customHeight="1" x14ac:dyDescent="0.25">
      <c r="B22" s="638" t="s">
        <v>72</v>
      </c>
      <c r="C22" s="639" t="str">
        <f>IFERROR(_xlfn.XLOOKUP($G22,COM_Cadastro!#REF!,COM_Cadastro!#REF!),"")</f>
        <v/>
      </c>
      <c r="D22" s="640" t="s">
        <v>733</v>
      </c>
      <c r="E22" s="641" t="s">
        <v>796</v>
      </c>
      <c r="F22" s="640" t="s">
        <v>371</v>
      </c>
      <c r="G22" s="638" t="s">
        <v>697</v>
      </c>
      <c r="H22" s="642">
        <v>1780</v>
      </c>
      <c r="I22" s="642"/>
      <c r="J22" s="642">
        <v>453</v>
      </c>
      <c r="K22" s="642">
        <v>315</v>
      </c>
      <c r="L22" s="643">
        <f t="shared" si="0"/>
        <v>2548</v>
      </c>
      <c r="M22" s="644">
        <f t="shared" si="1"/>
        <v>142.4</v>
      </c>
      <c r="N22" s="643">
        <f t="shared" si="2"/>
        <v>148.33333333333334</v>
      </c>
      <c r="O22" s="643">
        <f t="shared" si="3"/>
        <v>49.44444444444445</v>
      </c>
      <c r="P22" s="643">
        <f t="shared" si="4"/>
        <v>15.822222222222225</v>
      </c>
      <c r="Q22" s="455">
        <f t="shared" si="5"/>
        <v>148.33333333333334</v>
      </c>
      <c r="R22" s="455">
        <f t="shared" si="6"/>
        <v>11.866666666666667</v>
      </c>
      <c r="S22" s="643">
        <f t="shared" si="7"/>
        <v>373.80000000000007</v>
      </c>
      <c r="T22" s="643">
        <f t="shared" si="8"/>
        <v>3064.2000000000003</v>
      </c>
      <c r="U22" s="806"/>
      <c r="V22" s="821"/>
      <c r="W22" s="820"/>
      <c r="X22" s="822"/>
      <c r="Y22" s="823"/>
    </row>
    <row r="23" spans="2:25" ht="15" customHeight="1" x14ac:dyDescent="0.25">
      <c r="B23" s="638" t="s">
        <v>72</v>
      </c>
      <c r="C23" s="639" t="str">
        <f>IFERROR(_xlfn.XLOOKUP($G23,COM_Cadastro!#REF!,COM_Cadastro!#REF!),"")</f>
        <v/>
      </c>
      <c r="D23" s="640" t="s">
        <v>733</v>
      </c>
      <c r="E23" s="641" t="s">
        <v>796</v>
      </c>
      <c r="F23" s="640" t="s">
        <v>371</v>
      </c>
      <c r="G23" s="638" t="s">
        <v>678</v>
      </c>
      <c r="H23" s="642">
        <v>1780</v>
      </c>
      <c r="I23" s="642"/>
      <c r="J23" s="642">
        <v>252</v>
      </c>
      <c r="K23" s="642">
        <v>450</v>
      </c>
      <c r="L23" s="643">
        <f t="shared" si="0"/>
        <v>2482</v>
      </c>
      <c r="M23" s="644">
        <f t="shared" si="1"/>
        <v>142.4</v>
      </c>
      <c r="N23" s="643">
        <f t="shared" si="2"/>
        <v>148.33333333333334</v>
      </c>
      <c r="O23" s="643">
        <f t="shared" si="3"/>
        <v>49.44444444444445</v>
      </c>
      <c r="P23" s="643">
        <f t="shared" si="4"/>
        <v>15.822222222222225</v>
      </c>
      <c r="Q23" s="455">
        <f t="shared" si="5"/>
        <v>148.33333333333334</v>
      </c>
      <c r="R23" s="455">
        <f t="shared" si="6"/>
        <v>11.866666666666667</v>
      </c>
      <c r="S23" s="643">
        <f t="shared" si="7"/>
        <v>373.80000000000007</v>
      </c>
      <c r="T23" s="643">
        <f t="shared" si="8"/>
        <v>2998.2000000000003</v>
      </c>
      <c r="U23" s="806"/>
      <c r="V23" s="821"/>
      <c r="W23" s="820"/>
      <c r="X23" s="822"/>
      <c r="Y23" s="823"/>
    </row>
    <row r="24" spans="2:25" ht="15" customHeight="1" x14ac:dyDescent="0.25">
      <c r="B24" s="638" t="s">
        <v>72</v>
      </c>
      <c r="C24" s="639" t="str">
        <f>IFERROR(_xlfn.XLOOKUP($G24,COM_Cadastro!#REF!,COM_Cadastro!#REF!),"")</f>
        <v/>
      </c>
      <c r="D24" s="640" t="s">
        <v>733</v>
      </c>
      <c r="E24" s="641" t="s">
        <v>796</v>
      </c>
      <c r="F24" s="640" t="s">
        <v>371</v>
      </c>
      <c r="G24" s="638" t="s">
        <v>679</v>
      </c>
      <c r="H24" s="642">
        <v>1900</v>
      </c>
      <c r="I24" s="642"/>
      <c r="J24" s="642">
        <v>789.6</v>
      </c>
      <c r="K24" s="642">
        <v>540</v>
      </c>
      <c r="L24" s="643">
        <f t="shared" si="0"/>
        <v>3229.6</v>
      </c>
      <c r="M24" s="644">
        <f t="shared" si="1"/>
        <v>152</v>
      </c>
      <c r="N24" s="643">
        <f t="shared" si="2"/>
        <v>158.33333333333334</v>
      </c>
      <c r="O24" s="643">
        <f t="shared" si="3"/>
        <v>52.777777777777779</v>
      </c>
      <c r="P24" s="643">
        <f t="shared" si="4"/>
        <v>16.888888888888889</v>
      </c>
      <c r="Q24" s="455">
        <f t="shared" si="5"/>
        <v>158.33333333333334</v>
      </c>
      <c r="R24" s="455">
        <f t="shared" si="6"/>
        <v>12.666666666666668</v>
      </c>
      <c r="S24" s="643">
        <f t="shared" si="7"/>
        <v>399.00000000000006</v>
      </c>
      <c r="T24" s="643">
        <f t="shared" si="8"/>
        <v>3780.6</v>
      </c>
      <c r="U24" s="806"/>
      <c r="V24" s="821"/>
      <c r="W24" s="820"/>
      <c r="X24" s="822"/>
      <c r="Y24" s="823"/>
    </row>
    <row r="25" spans="2:25" ht="15" customHeight="1" x14ac:dyDescent="0.25">
      <c r="B25" s="638" t="s">
        <v>72</v>
      </c>
      <c r="C25" s="639" t="str">
        <f>IFERROR(_xlfn.XLOOKUP($G25,COM_Cadastro!#REF!,COM_Cadastro!#REF!),"")</f>
        <v/>
      </c>
      <c r="D25" s="640" t="s">
        <v>733</v>
      </c>
      <c r="E25" s="641" t="s">
        <v>377</v>
      </c>
      <c r="F25" s="640" t="s">
        <v>371</v>
      </c>
      <c r="G25" s="638" t="s">
        <v>798</v>
      </c>
      <c r="H25" s="642">
        <v>1780</v>
      </c>
      <c r="I25" s="642"/>
      <c r="J25" s="642">
        <v>324</v>
      </c>
      <c r="K25" s="642">
        <v>540</v>
      </c>
      <c r="L25" s="643">
        <f t="shared" si="0"/>
        <v>2644</v>
      </c>
      <c r="M25" s="644">
        <f t="shared" si="1"/>
        <v>142.4</v>
      </c>
      <c r="N25" s="643">
        <f t="shared" si="2"/>
        <v>148.33333333333334</v>
      </c>
      <c r="O25" s="643">
        <f t="shared" si="3"/>
        <v>49.44444444444445</v>
      </c>
      <c r="P25" s="643">
        <f t="shared" si="4"/>
        <v>15.822222222222225</v>
      </c>
      <c r="Q25" s="455">
        <f t="shared" si="5"/>
        <v>148.33333333333334</v>
      </c>
      <c r="R25" s="455">
        <f t="shared" si="6"/>
        <v>11.866666666666667</v>
      </c>
      <c r="S25" s="643">
        <f t="shared" si="7"/>
        <v>373.80000000000007</v>
      </c>
      <c r="T25" s="643">
        <f t="shared" si="8"/>
        <v>3160.2000000000003</v>
      </c>
      <c r="U25" s="806"/>
      <c r="V25" s="821"/>
      <c r="W25" s="820"/>
      <c r="X25" s="822"/>
      <c r="Y25" s="823"/>
    </row>
    <row r="26" spans="2:25" ht="15" customHeight="1" x14ac:dyDescent="0.25">
      <c r="B26" s="638" t="s">
        <v>72</v>
      </c>
      <c r="C26" s="639" t="str">
        <f>IFERROR(_xlfn.XLOOKUP($G26,COM_Cadastro!#REF!,COM_Cadastro!#REF!),"")</f>
        <v/>
      </c>
      <c r="D26" s="640" t="s">
        <v>733</v>
      </c>
      <c r="E26" s="641" t="s">
        <v>796</v>
      </c>
      <c r="F26" s="640" t="s">
        <v>371</v>
      </c>
      <c r="G26" s="638" t="s">
        <v>646</v>
      </c>
      <c r="H26" s="642">
        <v>1780</v>
      </c>
      <c r="I26" s="642"/>
      <c r="J26" s="642">
        <v>546</v>
      </c>
      <c r="K26" s="642">
        <v>585</v>
      </c>
      <c r="L26" s="643">
        <f t="shared" si="0"/>
        <v>2911</v>
      </c>
      <c r="M26" s="644">
        <f t="shared" si="1"/>
        <v>142.4</v>
      </c>
      <c r="N26" s="643">
        <f t="shared" si="2"/>
        <v>148.33333333333334</v>
      </c>
      <c r="O26" s="643">
        <f t="shared" si="3"/>
        <v>49.44444444444445</v>
      </c>
      <c r="P26" s="643">
        <f t="shared" si="4"/>
        <v>15.822222222222225</v>
      </c>
      <c r="Q26" s="455">
        <f t="shared" si="5"/>
        <v>148.33333333333334</v>
      </c>
      <c r="R26" s="455">
        <f t="shared" si="6"/>
        <v>11.866666666666667</v>
      </c>
      <c r="S26" s="643">
        <f t="shared" si="7"/>
        <v>373.80000000000007</v>
      </c>
      <c r="T26" s="643">
        <f t="shared" si="8"/>
        <v>3427.2000000000003</v>
      </c>
      <c r="U26" s="806"/>
      <c r="V26" s="821"/>
      <c r="W26" s="820"/>
      <c r="X26" s="822"/>
      <c r="Y26" s="823"/>
    </row>
    <row r="27" spans="2:25" ht="15" customHeight="1" x14ac:dyDescent="0.25">
      <c r="B27" s="638" t="s">
        <v>72</v>
      </c>
      <c r="C27" s="639" t="str">
        <f>IFERROR(_xlfn.XLOOKUP($G27,COM_Cadastro!#REF!,COM_Cadastro!#REF!),"")</f>
        <v/>
      </c>
      <c r="D27" s="640" t="s">
        <v>733</v>
      </c>
      <c r="E27" s="641" t="s">
        <v>796</v>
      </c>
      <c r="F27" s="640" t="s">
        <v>371</v>
      </c>
      <c r="G27" s="638" t="s">
        <v>648</v>
      </c>
      <c r="H27" s="642">
        <v>1780</v>
      </c>
      <c r="I27" s="642"/>
      <c r="J27" s="642">
        <v>0</v>
      </c>
      <c r="K27" s="642">
        <v>585</v>
      </c>
      <c r="L27" s="643">
        <f t="shared" si="0"/>
        <v>2365</v>
      </c>
      <c r="M27" s="644">
        <f t="shared" si="1"/>
        <v>142.4</v>
      </c>
      <c r="N27" s="643">
        <f t="shared" si="2"/>
        <v>148.33333333333334</v>
      </c>
      <c r="O27" s="643">
        <f t="shared" si="3"/>
        <v>49.44444444444445</v>
      </c>
      <c r="P27" s="643">
        <f t="shared" si="4"/>
        <v>15.822222222222225</v>
      </c>
      <c r="Q27" s="455">
        <f t="shared" si="5"/>
        <v>148.33333333333334</v>
      </c>
      <c r="R27" s="455">
        <f t="shared" si="6"/>
        <v>11.866666666666667</v>
      </c>
      <c r="S27" s="643">
        <f t="shared" si="7"/>
        <v>373.80000000000007</v>
      </c>
      <c r="T27" s="643">
        <f t="shared" si="8"/>
        <v>2881.2000000000003</v>
      </c>
      <c r="U27" s="806"/>
      <c r="V27" s="821"/>
      <c r="W27" s="820"/>
      <c r="X27" s="822"/>
      <c r="Y27" s="823"/>
    </row>
    <row r="28" spans="2:25" ht="15" customHeight="1" x14ac:dyDescent="0.25">
      <c r="B28" s="638" t="s">
        <v>72</v>
      </c>
      <c r="C28" s="639" t="str">
        <f>IFERROR(_xlfn.XLOOKUP($G28,COM_Cadastro!#REF!,COM_Cadastro!#REF!),"")</f>
        <v/>
      </c>
      <c r="D28" s="640" t="s">
        <v>733</v>
      </c>
      <c r="E28" s="641" t="s">
        <v>377</v>
      </c>
      <c r="F28" s="640" t="s">
        <v>371</v>
      </c>
      <c r="G28" s="638" t="s">
        <v>509</v>
      </c>
      <c r="H28" s="642">
        <v>1780</v>
      </c>
      <c r="I28" s="642"/>
      <c r="J28" s="642">
        <v>390</v>
      </c>
      <c r="K28" s="642">
        <v>540</v>
      </c>
      <c r="L28" s="643">
        <f t="shared" si="0"/>
        <v>2710</v>
      </c>
      <c r="M28" s="644">
        <f t="shared" si="1"/>
        <v>142.4</v>
      </c>
      <c r="N28" s="643">
        <f t="shared" si="2"/>
        <v>148.33333333333334</v>
      </c>
      <c r="O28" s="643">
        <f t="shared" si="3"/>
        <v>49.44444444444445</v>
      </c>
      <c r="P28" s="643">
        <f t="shared" si="4"/>
        <v>15.822222222222225</v>
      </c>
      <c r="Q28" s="455">
        <f t="shared" si="5"/>
        <v>148.33333333333334</v>
      </c>
      <c r="R28" s="455">
        <f t="shared" si="6"/>
        <v>11.866666666666667</v>
      </c>
      <c r="S28" s="643">
        <f t="shared" si="7"/>
        <v>373.80000000000007</v>
      </c>
      <c r="T28" s="643">
        <f t="shared" si="8"/>
        <v>3226.2000000000003</v>
      </c>
      <c r="U28" s="806"/>
      <c r="V28" s="821"/>
      <c r="W28" s="820"/>
      <c r="X28" s="822"/>
      <c r="Y28" s="823"/>
    </row>
    <row r="29" spans="2:25" ht="15" customHeight="1" x14ac:dyDescent="0.25">
      <c r="B29" s="638" t="s">
        <v>72</v>
      </c>
      <c r="C29" s="639" t="str">
        <f>IFERROR(_xlfn.XLOOKUP($G29,COM_Cadastro!#REF!,COM_Cadastro!#REF!),"")</f>
        <v/>
      </c>
      <c r="D29" s="640" t="s">
        <v>733</v>
      </c>
      <c r="E29" s="641" t="s">
        <v>377</v>
      </c>
      <c r="F29" s="640" t="s">
        <v>371</v>
      </c>
      <c r="G29" s="638" t="s">
        <v>650</v>
      </c>
      <c r="H29" s="642">
        <v>1622</v>
      </c>
      <c r="I29" s="642"/>
      <c r="J29" s="642">
        <v>0</v>
      </c>
      <c r="K29" s="642">
        <v>0</v>
      </c>
      <c r="L29" s="643">
        <f t="shared" si="0"/>
        <v>1622</v>
      </c>
      <c r="M29" s="644">
        <f t="shared" si="1"/>
        <v>129.76</v>
      </c>
      <c r="N29" s="643">
        <f t="shared" si="2"/>
        <v>135.16666666666666</v>
      </c>
      <c r="O29" s="643">
        <f t="shared" si="3"/>
        <v>45.05555555555555</v>
      </c>
      <c r="P29" s="643">
        <f t="shared" si="4"/>
        <v>14.417777777777776</v>
      </c>
      <c r="Q29" s="455">
        <f t="shared" si="5"/>
        <v>135.16666666666666</v>
      </c>
      <c r="R29" s="455">
        <f t="shared" si="6"/>
        <v>10.813333333333333</v>
      </c>
      <c r="S29" s="643">
        <f t="shared" si="7"/>
        <v>340.61999999999995</v>
      </c>
      <c r="T29" s="643">
        <f t="shared" si="8"/>
        <v>2092.38</v>
      </c>
      <c r="U29" s="806"/>
      <c r="V29" s="821"/>
      <c r="W29" s="820"/>
      <c r="X29" s="822"/>
      <c r="Y29" s="823"/>
    </row>
    <row r="30" spans="2:25" ht="15" customHeight="1" x14ac:dyDescent="0.25">
      <c r="B30" s="638" t="s">
        <v>72</v>
      </c>
      <c r="C30" s="639" t="str">
        <f>IFERROR(_xlfn.XLOOKUP($G30,COM_Cadastro!#REF!,COM_Cadastro!#REF!),"")</f>
        <v/>
      </c>
      <c r="D30" s="640" t="s">
        <v>733</v>
      </c>
      <c r="E30" s="641" t="s">
        <v>796</v>
      </c>
      <c r="F30" s="640" t="s">
        <v>371</v>
      </c>
      <c r="G30" s="638" t="s">
        <v>799</v>
      </c>
      <c r="H30" s="642">
        <v>1780</v>
      </c>
      <c r="I30" s="642">
        <v>103</v>
      </c>
      <c r="J30" s="642">
        <v>540.79999999999995</v>
      </c>
      <c r="K30" s="642">
        <v>585</v>
      </c>
      <c r="L30" s="643">
        <f t="shared" si="0"/>
        <v>3008.8</v>
      </c>
      <c r="M30" s="644">
        <f t="shared" si="1"/>
        <v>142.4</v>
      </c>
      <c r="N30" s="643">
        <f t="shared" si="2"/>
        <v>148.33333333333334</v>
      </c>
      <c r="O30" s="643">
        <f t="shared" si="3"/>
        <v>49.44444444444445</v>
      </c>
      <c r="P30" s="643">
        <f t="shared" si="4"/>
        <v>15.822222222222225</v>
      </c>
      <c r="Q30" s="455">
        <f t="shared" si="5"/>
        <v>148.33333333333334</v>
      </c>
      <c r="R30" s="455">
        <f t="shared" si="6"/>
        <v>11.866666666666667</v>
      </c>
      <c r="S30" s="643">
        <f t="shared" si="7"/>
        <v>373.80000000000007</v>
      </c>
      <c r="T30" s="643">
        <f t="shared" si="8"/>
        <v>3525.0000000000005</v>
      </c>
      <c r="U30" s="806"/>
      <c r="V30" s="821"/>
      <c r="W30" s="820"/>
      <c r="X30" s="822"/>
      <c r="Y30" s="823"/>
    </row>
    <row r="31" spans="2:25" ht="15" customHeight="1" x14ac:dyDescent="0.25">
      <c r="B31" s="638" t="s">
        <v>72</v>
      </c>
      <c r="C31" s="639" t="str">
        <f>IFERROR(_xlfn.XLOOKUP($G31,COM_Cadastro!#REF!,COM_Cadastro!#REF!),"")</f>
        <v/>
      </c>
      <c r="D31" s="640" t="s">
        <v>733</v>
      </c>
      <c r="E31" s="641" t="s">
        <v>796</v>
      </c>
      <c r="F31" s="640" t="s">
        <v>371</v>
      </c>
      <c r="G31" s="638" t="s">
        <v>686</v>
      </c>
      <c r="H31" s="642">
        <v>1780</v>
      </c>
      <c r="I31" s="642">
        <v>1842</v>
      </c>
      <c r="J31" s="642">
        <v>650</v>
      </c>
      <c r="K31" s="642">
        <v>585</v>
      </c>
      <c r="L31" s="643">
        <f t="shared" si="0"/>
        <v>4857</v>
      </c>
      <c r="M31" s="644">
        <f t="shared" si="1"/>
        <v>142.4</v>
      </c>
      <c r="N31" s="643">
        <f t="shared" si="2"/>
        <v>148.33333333333334</v>
      </c>
      <c r="O31" s="643">
        <f t="shared" si="3"/>
        <v>49.44444444444445</v>
      </c>
      <c r="P31" s="643">
        <f t="shared" si="4"/>
        <v>15.822222222222225</v>
      </c>
      <c r="Q31" s="455">
        <f t="shared" si="5"/>
        <v>148.33333333333334</v>
      </c>
      <c r="R31" s="455">
        <f t="shared" si="6"/>
        <v>11.866666666666667</v>
      </c>
      <c r="S31" s="643">
        <f t="shared" si="7"/>
        <v>373.80000000000007</v>
      </c>
      <c r="T31" s="643">
        <f t="shared" si="8"/>
        <v>5373.2</v>
      </c>
      <c r="U31" s="806"/>
      <c r="V31" s="821"/>
      <c r="W31" s="820"/>
      <c r="X31" s="822"/>
      <c r="Y31" s="823"/>
    </row>
    <row r="32" spans="2:25" ht="15" customHeight="1" x14ac:dyDescent="0.25">
      <c r="B32" s="638" t="s">
        <v>72</v>
      </c>
      <c r="C32" s="639" t="str">
        <f>IFERROR(_xlfn.XLOOKUP($G32,COM_Cadastro!#REF!,COM_Cadastro!#REF!),"")</f>
        <v/>
      </c>
      <c r="D32" s="640" t="s">
        <v>733</v>
      </c>
      <c r="E32" s="641" t="s">
        <v>800</v>
      </c>
      <c r="F32" s="640" t="s">
        <v>371</v>
      </c>
      <c r="G32" s="638" t="s">
        <v>569</v>
      </c>
      <c r="H32" s="642">
        <v>4000</v>
      </c>
      <c r="I32" s="642"/>
      <c r="J32" s="642">
        <v>86.21</v>
      </c>
      <c r="K32" s="642">
        <v>585</v>
      </c>
      <c r="L32" s="643">
        <f t="shared" si="0"/>
        <v>4671.21</v>
      </c>
      <c r="M32" s="644">
        <f t="shared" si="1"/>
        <v>320</v>
      </c>
      <c r="N32" s="643">
        <f t="shared" si="2"/>
        <v>333.33333333333331</v>
      </c>
      <c r="O32" s="643">
        <f t="shared" si="3"/>
        <v>111.1111111111111</v>
      </c>
      <c r="P32" s="643">
        <f t="shared" si="4"/>
        <v>35.55555555555555</v>
      </c>
      <c r="Q32" s="455">
        <f t="shared" si="5"/>
        <v>333.33333333333331</v>
      </c>
      <c r="R32" s="455">
        <f t="shared" si="6"/>
        <v>26.666666666666664</v>
      </c>
      <c r="S32" s="643">
        <f t="shared" si="7"/>
        <v>839.99999999999989</v>
      </c>
      <c r="T32" s="643">
        <f t="shared" si="8"/>
        <v>5831.21</v>
      </c>
      <c r="U32" s="806"/>
      <c r="V32" s="821"/>
      <c r="W32" s="820"/>
      <c r="X32" s="822"/>
      <c r="Y32" s="823"/>
    </row>
    <row r="33" spans="2:25" ht="15" customHeight="1" x14ac:dyDescent="0.25">
      <c r="B33" s="638" t="s">
        <v>72</v>
      </c>
      <c r="C33" s="639" t="str">
        <f>IFERROR(_xlfn.XLOOKUP($G33,COM_Cadastro!#REF!,COM_Cadastro!#REF!),"")</f>
        <v/>
      </c>
      <c r="D33" s="640" t="s">
        <v>733</v>
      </c>
      <c r="E33" s="641" t="s">
        <v>377</v>
      </c>
      <c r="F33" s="640" t="s">
        <v>371</v>
      </c>
      <c r="G33" s="638" t="s">
        <v>654</v>
      </c>
      <c r="H33" s="642">
        <v>1622</v>
      </c>
      <c r="I33" s="642">
        <v>104</v>
      </c>
      <c r="J33" s="642">
        <v>400</v>
      </c>
      <c r="K33" s="642">
        <v>585</v>
      </c>
      <c r="L33" s="643">
        <f t="shared" si="0"/>
        <v>2711</v>
      </c>
      <c r="M33" s="644">
        <f t="shared" si="1"/>
        <v>129.76</v>
      </c>
      <c r="N33" s="643">
        <f t="shared" si="2"/>
        <v>135.16666666666666</v>
      </c>
      <c r="O33" s="643">
        <f t="shared" si="3"/>
        <v>45.05555555555555</v>
      </c>
      <c r="P33" s="643">
        <f t="shared" si="4"/>
        <v>14.417777777777776</v>
      </c>
      <c r="Q33" s="455">
        <f t="shared" si="5"/>
        <v>135.16666666666666</v>
      </c>
      <c r="R33" s="455">
        <f t="shared" si="6"/>
        <v>10.813333333333333</v>
      </c>
      <c r="S33" s="643">
        <f t="shared" si="7"/>
        <v>340.61999999999995</v>
      </c>
      <c r="T33" s="643">
        <f t="shared" si="8"/>
        <v>3181.38</v>
      </c>
      <c r="U33" s="806"/>
      <c r="V33" s="821"/>
      <c r="W33" s="820"/>
      <c r="X33" s="822"/>
      <c r="Y33" s="823"/>
    </row>
    <row r="34" spans="2:25" ht="15" customHeight="1" x14ac:dyDescent="0.25">
      <c r="B34" s="638" t="s">
        <v>72</v>
      </c>
      <c r="C34" s="639" t="str">
        <f>IFERROR(_xlfn.XLOOKUP($G34,COM_Cadastro!#REF!,COM_Cadastro!#REF!),"")</f>
        <v/>
      </c>
      <c r="D34" s="640" t="s">
        <v>733</v>
      </c>
      <c r="E34" s="641" t="s">
        <v>372</v>
      </c>
      <c r="F34" s="640" t="s">
        <v>371</v>
      </c>
      <c r="G34" s="638" t="s">
        <v>601</v>
      </c>
      <c r="H34" s="642">
        <v>2620</v>
      </c>
      <c r="I34" s="642"/>
      <c r="J34" s="642">
        <v>490</v>
      </c>
      <c r="K34" s="642">
        <v>585</v>
      </c>
      <c r="L34" s="643">
        <f t="shared" si="0"/>
        <v>3695</v>
      </c>
      <c r="M34" s="644">
        <f t="shared" si="1"/>
        <v>209.6</v>
      </c>
      <c r="N34" s="643">
        <f t="shared" si="2"/>
        <v>218.33333333333334</v>
      </c>
      <c r="O34" s="643">
        <f t="shared" si="3"/>
        <v>72.777777777777786</v>
      </c>
      <c r="P34" s="643">
        <f t="shared" si="4"/>
        <v>23.288888888888891</v>
      </c>
      <c r="Q34" s="455">
        <f t="shared" si="5"/>
        <v>218.33333333333334</v>
      </c>
      <c r="R34" s="455">
        <f t="shared" si="6"/>
        <v>17.466666666666669</v>
      </c>
      <c r="S34" s="643">
        <f t="shared" si="7"/>
        <v>550.20000000000005</v>
      </c>
      <c r="T34" s="643">
        <f t="shared" si="8"/>
        <v>4454.8</v>
      </c>
      <c r="U34" s="806"/>
      <c r="V34" s="821"/>
      <c r="W34" s="820"/>
      <c r="X34" s="822"/>
      <c r="Y34" s="823"/>
    </row>
    <row r="35" spans="2:25" ht="15" customHeight="1" x14ac:dyDescent="0.25">
      <c r="B35" s="638" t="s">
        <v>72</v>
      </c>
      <c r="C35" s="639" t="str">
        <f>IFERROR(_xlfn.XLOOKUP($G35,COM_Cadastro!#REF!,COM_Cadastro!#REF!),"")</f>
        <v/>
      </c>
      <c r="D35" s="640" t="s">
        <v>733</v>
      </c>
      <c r="E35" s="641" t="s">
        <v>377</v>
      </c>
      <c r="F35" s="640" t="s">
        <v>371</v>
      </c>
      <c r="G35" s="638" t="s">
        <v>655</v>
      </c>
      <c r="H35" s="642">
        <v>1780</v>
      </c>
      <c r="I35" s="642"/>
      <c r="J35" s="642">
        <v>520</v>
      </c>
      <c r="K35" s="642">
        <v>585</v>
      </c>
      <c r="L35" s="643">
        <f t="shared" ref="L35:L66" si="9">SUM(H35:K35)</f>
        <v>2885</v>
      </c>
      <c r="M35" s="644">
        <f t="shared" ref="M35:M71" si="10">H35*8%</f>
        <v>142.4</v>
      </c>
      <c r="N35" s="643">
        <f t="shared" ref="N35:N71" si="11">H35/12</f>
        <v>148.33333333333334</v>
      </c>
      <c r="O35" s="643">
        <f t="shared" ref="O35:O66" si="12">N35/3</f>
        <v>49.44444444444445</v>
      </c>
      <c r="P35" s="643">
        <f t="shared" ref="P35:P66" si="13">(N35+O35)*8%</f>
        <v>15.822222222222225</v>
      </c>
      <c r="Q35" s="455">
        <f t="shared" ref="Q35:Q71" si="14">H35/12</f>
        <v>148.33333333333334</v>
      </c>
      <c r="R35" s="455">
        <f t="shared" ref="R35:R66" si="15">Q35*8%</f>
        <v>11.866666666666667</v>
      </c>
      <c r="S35" s="643">
        <f t="shared" ref="S35:S66" si="16">SUM(N35:R35)</f>
        <v>373.80000000000007</v>
      </c>
      <c r="T35" s="643">
        <f t="shared" ref="T35:T66" si="17">L35+M35+S35</f>
        <v>3401.2000000000003</v>
      </c>
      <c r="U35" s="806"/>
      <c r="V35" s="821"/>
      <c r="W35" s="820"/>
      <c r="X35" s="822"/>
      <c r="Y35" s="823"/>
    </row>
    <row r="36" spans="2:25" ht="15" customHeight="1" x14ac:dyDescent="0.25">
      <c r="B36" s="638" t="s">
        <v>72</v>
      </c>
      <c r="C36" s="639" t="str">
        <f>IFERROR(_xlfn.XLOOKUP($G36,COM_Cadastro!#REF!,COM_Cadastro!#REF!),"")</f>
        <v/>
      </c>
      <c r="D36" s="640" t="s">
        <v>733</v>
      </c>
      <c r="E36" s="641" t="s">
        <v>377</v>
      </c>
      <c r="F36" s="640" t="s">
        <v>371</v>
      </c>
      <c r="G36" s="638" t="s">
        <v>611</v>
      </c>
      <c r="H36" s="642">
        <v>1900</v>
      </c>
      <c r="I36" s="642"/>
      <c r="J36" s="642">
        <v>475.7</v>
      </c>
      <c r="K36" s="642">
        <v>585</v>
      </c>
      <c r="L36" s="643">
        <f t="shared" si="9"/>
        <v>2960.7</v>
      </c>
      <c r="M36" s="644">
        <f t="shared" si="10"/>
        <v>152</v>
      </c>
      <c r="N36" s="643">
        <f t="shared" si="11"/>
        <v>158.33333333333334</v>
      </c>
      <c r="O36" s="643">
        <f t="shared" si="12"/>
        <v>52.777777777777779</v>
      </c>
      <c r="P36" s="643">
        <f t="shared" si="13"/>
        <v>16.888888888888889</v>
      </c>
      <c r="Q36" s="455">
        <f t="shared" si="14"/>
        <v>158.33333333333334</v>
      </c>
      <c r="R36" s="455">
        <f t="shared" si="15"/>
        <v>12.666666666666668</v>
      </c>
      <c r="S36" s="643">
        <f t="shared" si="16"/>
        <v>399.00000000000006</v>
      </c>
      <c r="T36" s="643">
        <f t="shared" si="17"/>
        <v>3511.7</v>
      </c>
      <c r="U36" s="806"/>
      <c r="V36" s="821"/>
      <c r="W36" s="820"/>
      <c r="X36" s="822"/>
      <c r="Y36" s="823"/>
    </row>
    <row r="37" spans="2:25" ht="15" customHeight="1" x14ac:dyDescent="0.25">
      <c r="B37" s="638" t="s">
        <v>72</v>
      </c>
      <c r="C37" s="639" t="str">
        <f>IFERROR(_xlfn.XLOOKUP($G37,COM_Cadastro!#REF!,COM_Cadastro!#REF!),"")</f>
        <v/>
      </c>
      <c r="D37" s="640" t="s">
        <v>733</v>
      </c>
      <c r="E37" s="641" t="s">
        <v>377</v>
      </c>
      <c r="F37" s="640" t="s">
        <v>376</v>
      </c>
      <c r="G37" s="638" t="s">
        <v>375</v>
      </c>
      <c r="H37" s="642">
        <v>1622</v>
      </c>
      <c r="I37" s="642"/>
      <c r="J37" s="642">
        <v>286</v>
      </c>
      <c r="K37" s="642">
        <v>270</v>
      </c>
      <c r="L37" s="643">
        <f t="shared" si="9"/>
        <v>2178</v>
      </c>
      <c r="M37" s="644">
        <f t="shared" si="10"/>
        <v>129.76</v>
      </c>
      <c r="N37" s="643">
        <f t="shared" si="11"/>
        <v>135.16666666666666</v>
      </c>
      <c r="O37" s="643">
        <f t="shared" si="12"/>
        <v>45.05555555555555</v>
      </c>
      <c r="P37" s="643">
        <f t="shared" si="13"/>
        <v>14.417777777777776</v>
      </c>
      <c r="Q37" s="455">
        <f t="shared" si="14"/>
        <v>135.16666666666666</v>
      </c>
      <c r="R37" s="455">
        <f t="shared" si="15"/>
        <v>10.813333333333333</v>
      </c>
      <c r="S37" s="643">
        <f t="shared" si="16"/>
        <v>340.61999999999995</v>
      </c>
      <c r="T37" s="643">
        <f t="shared" si="17"/>
        <v>2648.38</v>
      </c>
      <c r="U37" s="806"/>
      <c r="V37" s="821"/>
      <c r="W37" s="820"/>
      <c r="X37" s="822"/>
      <c r="Y37" s="823"/>
    </row>
    <row r="38" spans="2:25" ht="15" customHeight="1" x14ac:dyDescent="0.25">
      <c r="B38" s="638" t="s">
        <v>72</v>
      </c>
      <c r="C38" s="639" t="str">
        <f>IFERROR(_xlfn.XLOOKUP($G38,COM_Cadastro!#REF!,COM_Cadastro!#REF!),"")</f>
        <v/>
      </c>
      <c r="D38" s="640" t="s">
        <v>733</v>
      </c>
      <c r="E38" s="641" t="s">
        <v>377</v>
      </c>
      <c r="F38" s="640" t="s">
        <v>376</v>
      </c>
      <c r="G38" s="638" t="s">
        <v>619</v>
      </c>
      <c r="H38" s="642">
        <v>1622</v>
      </c>
      <c r="I38" s="642"/>
      <c r="J38" s="642">
        <v>766.8</v>
      </c>
      <c r="K38" s="642">
        <v>585</v>
      </c>
      <c r="L38" s="643">
        <f t="shared" si="9"/>
        <v>2973.8</v>
      </c>
      <c r="M38" s="644">
        <f t="shared" si="10"/>
        <v>129.76</v>
      </c>
      <c r="N38" s="643">
        <f t="shared" si="11"/>
        <v>135.16666666666666</v>
      </c>
      <c r="O38" s="643">
        <f t="shared" si="12"/>
        <v>45.05555555555555</v>
      </c>
      <c r="P38" s="643">
        <f t="shared" si="13"/>
        <v>14.417777777777776</v>
      </c>
      <c r="Q38" s="455">
        <f t="shared" si="14"/>
        <v>135.16666666666666</v>
      </c>
      <c r="R38" s="455">
        <f t="shared" si="15"/>
        <v>10.813333333333333</v>
      </c>
      <c r="S38" s="643">
        <f t="shared" si="16"/>
        <v>340.61999999999995</v>
      </c>
      <c r="T38" s="643">
        <f t="shared" si="17"/>
        <v>3444.1800000000003</v>
      </c>
      <c r="U38" s="806"/>
      <c r="V38" s="821"/>
      <c r="W38" s="820"/>
      <c r="X38" s="822"/>
      <c r="Y38" s="823"/>
    </row>
    <row r="39" spans="2:25" ht="15" customHeight="1" x14ac:dyDescent="0.25">
      <c r="B39" s="638" t="s">
        <v>72</v>
      </c>
      <c r="C39" s="639" t="str">
        <f>IFERROR(_xlfn.XLOOKUP($G39,COM_Cadastro!#REF!,COM_Cadastro!#REF!),"")</f>
        <v/>
      </c>
      <c r="D39" s="640" t="s">
        <v>733</v>
      </c>
      <c r="E39" s="641" t="s">
        <v>377</v>
      </c>
      <c r="F39" s="640" t="s">
        <v>376</v>
      </c>
      <c r="G39" s="638" t="s">
        <v>386</v>
      </c>
      <c r="H39" s="642">
        <v>1622</v>
      </c>
      <c r="I39" s="642">
        <v>598</v>
      </c>
      <c r="J39" s="642">
        <v>572</v>
      </c>
      <c r="K39" s="642">
        <v>585</v>
      </c>
      <c r="L39" s="643">
        <f t="shared" si="9"/>
        <v>3377</v>
      </c>
      <c r="M39" s="644">
        <f t="shared" si="10"/>
        <v>129.76</v>
      </c>
      <c r="N39" s="643">
        <f t="shared" si="11"/>
        <v>135.16666666666666</v>
      </c>
      <c r="O39" s="643">
        <f t="shared" si="12"/>
        <v>45.05555555555555</v>
      </c>
      <c r="P39" s="643">
        <f t="shared" si="13"/>
        <v>14.417777777777776</v>
      </c>
      <c r="Q39" s="455">
        <f t="shared" si="14"/>
        <v>135.16666666666666</v>
      </c>
      <c r="R39" s="455">
        <f t="shared" si="15"/>
        <v>10.813333333333333</v>
      </c>
      <c r="S39" s="643">
        <f t="shared" si="16"/>
        <v>340.61999999999995</v>
      </c>
      <c r="T39" s="643">
        <f t="shared" si="17"/>
        <v>3847.38</v>
      </c>
      <c r="U39" s="806"/>
      <c r="V39" s="821"/>
      <c r="W39" s="820"/>
      <c r="X39" s="822"/>
      <c r="Y39" s="823"/>
    </row>
    <row r="40" spans="2:25" ht="15" customHeight="1" x14ac:dyDescent="0.25">
      <c r="B40" s="638" t="s">
        <v>72</v>
      </c>
      <c r="C40" s="639" t="str">
        <f>IFERROR(_xlfn.XLOOKUP($G40,COM_Cadastro!#REF!,COM_Cadastro!#REF!),"")</f>
        <v/>
      </c>
      <c r="D40" s="640" t="s">
        <v>733</v>
      </c>
      <c r="E40" s="641" t="s">
        <v>372</v>
      </c>
      <c r="F40" s="640" t="s">
        <v>376</v>
      </c>
      <c r="G40" s="638" t="s">
        <v>395</v>
      </c>
      <c r="H40" s="642">
        <v>2620</v>
      </c>
      <c r="I40" s="642"/>
      <c r="J40" s="642">
        <v>600</v>
      </c>
      <c r="K40" s="642">
        <v>585</v>
      </c>
      <c r="L40" s="643">
        <f t="shared" si="9"/>
        <v>3805</v>
      </c>
      <c r="M40" s="644">
        <f t="shared" si="10"/>
        <v>209.6</v>
      </c>
      <c r="N40" s="643">
        <f t="shared" si="11"/>
        <v>218.33333333333334</v>
      </c>
      <c r="O40" s="643">
        <f t="shared" si="12"/>
        <v>72.777777777777786</v>
      </c>
      <c r="P40" s="643">
        <f t="shared" si="13"/>
        <v>23.288888888888891</v>
      </c>
      <c r="Q40" s="455">
        <f t="shared" si="14"/>
        <v>218.33333333333334</v>
      </c>
      <c r="R40" s="455">
        <f t="shared" si="15"/>
        <v>17.466666666666669</v>
      </c>
      <c r="S40" s="643">
        <f t="shared" si="16"/>
        <v>550.20000000000005</v>
      </c>
      <c r="T40" s="643">
        <f t="shared" si="17"/>
        <v>4564.8</v>
      </c>
      <c r="U40" s="806"/>
      <c r="V40" s="821"/>
      <c r="W40" s="820"/>
      <c r="X40" s="822"/>
      <c r="Y40" s="823"/>
    </row>
    <row r="41" spans="2:25" ht="15" customHeight="1" x14ac:dyDescent="0.25">
      <c r="B41" s="638" t="s">
        <v>72</v>
      </c>
      <c r="C41" s="639" t="str">
        <f>IFERROR(_xlfn.XLOOKUP($G41,COM_Cadastro!#REF!,COM_Cadastro!#REF!),"")</f>
        <v/>
      </c>
      <c r="D41" s="640" t="s">
        <v>733</v>
      </c>
      <c r="E41" s="641" t="s">
        <v>377</v>
      </c>
      <c r="F41" s="640" t="s">
        <v>376</v>
      </c>
      <c r="G41" s="638" t="s">
        <v>400</v>
      </c>
      <c r="H41" s="642">
        <v>1622</v>
      </c>
      <c r="I41" s="642">
        <v>2194</v>
      </c>
      <c r="J41" s="642">
        <v>390</v>
      </c>
      <c r="K41" s="642">
        <v>585</v>
      </c>
      <c r="L41" s="643">
        <f t="shared" si="9"/>
        <v>4791</v>
      </c>
      <c r="M41" s="644">
        <f t="shared" si="10"/>
        <v>129.76</v>
      </c>
      <c r="N41" s="643">
        <f t="shared" si="11"/>
        <v>135.16666666666666</v>
      </c>
      <c r="O41" s="643">
        <f t="shared" si="12"/>
        <v>45.05555555555555</v>
      </c>
      <c r="P41" s="643">
        <f t="shared" si="13"/>
        <v>14.417777777777776</v>
      </c>
      <c r="Q41" s="455">
        <f t="shared" si="14"/>
        <v>135.16666666666666</v>
      </c>
      <c r="R41" s="455">
        <f t="shared" si="15"/>
        <v>10.813333333333333</v>
      </c>
      <c r="S41" s="643">
        <f t="shared" si="16"/>
        <v>340.61999999999995</v>
      </c>
      <c r="T41" s="643">
        <f t="shared" si="17"/>
        <v>5261.38</v>
      </c>
      <c r="U41" s="806"/>
      <c r="V41" s="821"/>
      <c r="W41" s="820"/>
      <c r="X41" s="822"/>
      <c r="Y41" s="823"/>
    </row>
    <row r="42" spans="2:25" ht="15" customHeight="1" x14ac:dyDescent="0.25">
      <c r="B42" s="638" t="s">
        <v>72</v>
      </c>
      <c r="C42" s="639" t="str">
        <f>IFERROR(_xlfn.XLOOKUP($G42,COM_Cadastro!#REF!,COM_Cadastro!#REF!),"")</f>
        <v/>
      </c>
      <c r="D42" s="640" t="s">
        <v>733</v>
      </c>
      <c r="E42" s="641" t="s">
        <v>377</v>
      </c>
      <c r="F42" s="640" t="s">
        <v>376</v>
      </c>
      <c r="G42" s="638" t="s">
        <v>402</v>
      </c>
      <c r="H42" s="642">
        <v>1622</v>
      </c>
      <c r="I42" s="642">
        <v>431</v>
      </c>
      <c r="J42" s="642">
        <v>528</v>
      </c>
      <c r="K42" s="642">
        <v>540</v>
      </c>
      <c r="L42" s="643">
        <f t="shared" si="9"/>
        <v>3121</v>
      </c>
      <c r="M42" s="644">
        <f t="shared" si="10"/>
        <v>129.76</v>
      </c>
      <c r="N42" s="643">
        <f t="shared" si="11"/>
        <v>135.16666666666666</v>
      </c>
      <c r="O42" s="643">
        <f t="shared" si="12"/>
        <v>45.05555555555555</v>
      </c>
      <c r="P42" s="643">
        <f t="shared" si="13"/>
        <v>14.417777777777776</v>
      </c>
      <c r="Q42" s="455">
        <f t="shared" si="14"/>
        <v>135.16666666666666</v>
      </c>
      <c r="R42" s="455">
        <f t="shared" si="15"/>
        <v>10.813333333333333</v>
      </c>
      <c r="S42" s="643">
        <f t="shared" si="16"/>
        <v>340.61999999999995</v>
      </c>
      <c r="T42" s="643">
        <f t="shared" si="17"/>
        <v>3591.38</v>
      </c>
      <c r="U42" s="806"/>
      <c r="V42" s="821"/>
      <c r="W42" s="820"/>
      <c r="X42" s="822"/>
      <c r="Y42" s="823"/>
    </row>
    <row r="43" spans="2:25" ht="15" customHeight="1" x14ac:dyDescent="0.25">
      <c r="B43" s="638" t="s">
        <v>72</v>
      </c>
      <c r="C43" s="639" t="str">
        <f>IFERROR(_xlfn.XLOOKUP($G43,COM_Cadastro!#REF!,COM_Cadastro!#REF!),"")</f>
        <v/>
      </c>
      <c r="D43" s="640" t="s">
        <v>733</v>
      </c>
      <c r="E43" s="641" t="s">
        <v>377</v>
      </c>
      <c r="F43" s="640" t="s">
        <v>376</v>
      </c>
      <c r="G43" s="638" t="s">
        <v>623</v>
      </c>
      <c r="H43" s="642">
        <v>1622</v>
      </c>
      <c r="I43" s="642">
        <v>574</v>
      </c>
      <c r="J43" s="642">
        <v>572</v>
      </c>
      <c r="K43" s="642">
        <v>585</v>
      </c>
      <c r="L43" s="643">
        <f t="shared" si="9"/>
        <v>3353</v>
      </c>
      <c r="M43" s="644">
        <f t="shared" si="10"/>
        <v>129.76</v>
      </c>
      <c r="N43" s="643">
        <f t="shared" si="11"/>
        <v>135.16666666666666</v>
      </c>
      <c r="O43" s="643">
        <f t="shared" si="12"/>
        <v>45.05555555555555</v>
      </c>
      <c r="P43" s="643">
        <f t="shared" si="13"/>
        <v>14.417777777777776</v>
      </c>
      <c r="Q43" s="455">
        <f t="shared" si="14"/>
        <v>135.16666666666666</v>
      </c>
      <c r="R43" s="455">
        <f t="shared" si="15"/>
        <v>10.813333333333333</v>
      </c>
      <c r="S43" s="643">
        <f t="shared" si="16"/>
        <v>340.61999999999995</v>
      </c>
      <c r="T43" s="643">
        <f t="shared" si="17"/>
        <v>3823.38</v>
      </c>
      <c r="U43" s="806"/>
      <c r="V43" s="821"/>
      <c r="W43" s="820"/>
      <c r="X43" s="822"/>
      <c r="Y43" s="823"/>
    </row>
    <row r="44" spans="2:25" ht="15" customHeight="1" x14ac:dyDescent="0.25">
      <c r="B44" s="638" t="s">
        <v>72</v>
      </c>
      <c r="C44" s="639" t="str">
        <f>IFERROR(_xlfn.XLOOKUP($G44,COM_Cadastro!#REF!,COM_Cadastro!#REF!),"")</f>
        <v/>
      </c>
      <c r="D44" s="640" t="s">
        <v>733</v>
      </c>
      <c r="E44" s="641" t="s">
        <v>377</v>
      </c>
      <c r="F44" s="640" t="s">
        <v>376</v>
      </c>
      <c r="G44" s="638" t="s">
        <v>408</v>
      </c>
      <c r="H44" s="642">
        <v>1622</v>
      </c>
      <c r="I44" s="642"/>
      <c r="J44" s="642">
        <v>709.8</v>
      </c>
      <c r="K44" s="642">
        <v>585</v>
      </c>
      <c r="L44" s="643">
        <f t="shared" si="9"/>
        <v>2916.8</v>
      </c>
      <c r="M44" s="644">
        <f t="shared" si="10"/>
        <v>129.76</v>
      </c>
      <c r="N44" s="643">
        <f t="shared" si="11"/>
        <v>135.16666666666666</v>
      </c>
      <c r="O44" s="643">
        <f t="shared" si="12"/>
        <v>45.05555555555555</v>
      </c>
      <c r="P44" s="643">
        <f t="shared" si="13"/>
        <v>14.417777777777776</v>
      </c>
      <c r="Q44" s="455">
        <f t="shared" si="14"/>
        <v>135.16666666666666</v>
      </c>
      <c r="R44" s="455">
        <f t="shared" si="15"/>
        <v>10.813333333333333</v>
      </c>
      <c r="S44" s="643">
        <f t="shared" si="16"/>
        <v>340.61999999999995</v>
      </c>
      <c r="T44" s="643">
        <f t="shared" si="17"/>
        <v>3387.1800000000003</v>
      </c>
      <c r="U44" s="806"/>
      <c r="V44" s="821"/>
      <c r="W44" s="820"/>
      <c r="X44" s="822"/>
      <c r="Y44" s="823"/>
    </row>
    <row r="45" spans="2:25" ht="15" customHeight="1" x14ac:dyDescent="0.25">
      <c r="B45" s="638" t="s">
        <v>72</v>
      </c>
      <c r="C45" s="639" t="str">
        <f>IFERROR(_xlfn.XLOOKUP($G45,COM_Cadastro!#REF!,COM_Cadastro!#REF!),"")</f>
        <v/>
      </c>
      <c r="D45" s="640" t="s">
        <v>733</v>
      </c>
      <c r="E45" s="641" t="s">
        <v>377</v>
      </c>
      <c r="F45" s="640" t="s">
        <v>376</v>
      </c>
      <c r="G45" s="638" t="s">
        <v>424</v>
      </c>
      <c r="H45" s="642">
        <v>1622</v>
      </c>
      <c r="I45" s="642">
        <v>1176</v>
      </c>
      <c r="J45" s="642">
        <v>650</v>
      </c>
      <c r="K45" s="642">
        <v>585</v>
      </c>
      <c r="L45" s="643">
        <f t="shared" si="9"/>
        <v>4033</v>
      </c>
      <c r="M45" s="644">
        <f t="shared" si="10"/>
        <v>129.76</v>
      </c>
      <c r="N45" s="643">
        <f t="shared" si="11"/>
        <v>135.16666666666666</v>
      </c>
      <c r="O45" s="643">
        <f t="shared" si="12"/>
        <v>45.05555555555555</v>
      </c>
      <c r="P45" s="643">
        <f t="shared" si="13"/>
        <v>14.417777777777776</v>
      </c>
      <c r="Q45" s="455">
        <f t="shared" si="14"/>
        <v>135.16666666666666</v>
      </c>
      <c r="R45" s="455">
        <f t="shared" si="15"/>
        <v>10.813333333333333</v>
      </c>
      <c r="S45" s="643">
        <f t="shared" si="16"/>
        <v>340.61999999999995</v>
      </c>
      <c r="T45" s="643">
        <f t="shared" si="17"/>
        <v>4503.38</v>
      </c>
      <c r="U45" s="806"/>
      <c r="V45" s="821"/>
      <c r="W45" s="820"/>
      <c r="X45" s="822"/>
      <c r="Y45" s="823"/>
    </row>
    <row r="46" spans="2:25" ht="15" customHeight="1" x14ac:dyDescent="0.25">
      <c r="B46" s="638" t="s">
        <v>72</v>
      </c>
      <c r="C46" s="639" t="str">
        <f>IFERROR(_xlfn.XLOOKUP($G46,COM_Cadastro!#REF!,COM_Cadastro!#REF!),"")</f>
        <v/>
      </c>
      <c r="D46" s="640" t="s">
        <v>733</v>
      </c>
      <c r="E46" s="641" t="s">
        <v>377</v>
      </c>
      <c r="F46" s="640" t="s">
        <v>376</v>
      </c>
      <c r="G46" s="638" t="s">
        <v>693</v>
      </c>
      <c r="H46" s="642">
        <v>1622</v>
      </c>
      <c r="I46" s="642"/>
      <c r="J46" s="642">
        <v>280</v>
      </c>
      <c r="K46" s="642">
        <v>517.5</v>
      </c>
      <c r="L46" s="643">
        <f t="shared" si="9"/>
        <v>2419.5</v>
      </c>
      <c r="M46" s="644">
        <f t="shared" si="10"/>
        <v>129.76</v>
      </c>
      <c r="N46" s="643">
        <f t="shared" si="11"/>
        <v>135.16666666666666</v>
      </c>
      <c r="O46" s="643">
        <f t="shared" si="12"/>
        <v>45.05555555555555</v>
      </c>
      <c r="P46" s="643">
        <f t="shared" si="13"/>
        <v>14.417777777777776</v>
      </c>
      <c r="Q46" s="455">
        <f t="shared" si="14"/>
        <v>135.16666666666666</v>
      </c>
      <c r="R46" s="455">
        <f t="shared" si="15"/>
        <v>10.813333333333333</v>
      </c>
      <c r="S46" s="643">
        <f t="shared" si="16"/>
        <v>340.61999999999995</v>
      </c>
      <c r="T46" s="643">
        <f t="shared" si="17"/>
        <v>2889.88</v>
      </c>
      <c r="U46" s="806"/>
      <c r="V46" s="821"/>
      <c r="W46" s="820"/>
      <c r="X46" s="822"/>
      <c r="Y46" s="823"/>
    </row>
    <row r="47" spans="2:25" ht="15" customHeight="1" x14ac:dyDescent="0.25">
      <c r="B47" s="638" t="s">
        <v>72</v>
      </c>
      <c r="C47" s="639" t="str">
        <f>IFERROR(_xlfn.XLOOKUP($G47,COM_Cadastro!#REF!,COM_Cadastro!#REF!),"")</f>
        <v/>
      </c>
      <c r="D47" s="640" t="s">
        <v>733</v>
      </c>
      <c r="E47" s="641" t="s">
        <v>377</v>
      </c>
      <c r="F47" s="640" t="s">
        <v>376</v>
      </c>
      <c r="G47" s="638" t="s">
        <v>741</v>
      </c>
      <c r="H47" s="642">
        <v>1622</v>
      </c>
      <c r="I47" s="642"/>
      <c r="J47" s="642">
        <v>0</v>
      </c>
      <c r="K47" s="642">
        <v>0</v>
      </c>
      <c r="L47" s="643">
        <f t="shared" si="9"/>
        <v>1622</v>
      </c>
      <c r="M47" s="644">
        <f t="shared" si="10"/>
        <v>129.76</v>
      </c>
      <c r="N47" s="643">
        <f t="shared" si="11"/>
        <v>135.16666666666666</v>
      </c>
      <c r="O47" s="643">
        <f t="shared" si="12"/>
        <v>45.05555555555555</v>
      </c>
      <c r="P47" s="643">
        <f t="shared" si="13"/>
        <v>14.417777777777776</v>
      </c>
      <c r="Q47" s="455">
        <f t="shared" si="14"/>
        <v>135.16666666666666</v>
      </c>
      <c r="R47" s="455">
        <f t="shared" si="15"/>
        <v>10.813333333333333</v>
      </c>
      <c r="S47" s="643">
        <f t="shared" si="16"/>
        <v>340.61999999999995</v>
      </c>
      <c r="T47" s="643">
        <f t="shared" si="17"/>
        <v>2092.38</v>
      </c>
      <c r="U47" s="806"/>
      <c r="V47" s="821"/>
      <c r="W47" s="820"/>
      <c r="X47" s="822"/>
      <c r="Y47" s="823"/>
    </row>
    <row r="48" spans="2:25" ht="15" customHeight="1" x14ac:dyDescent="0.25">
      <c r="B48" s="638" t="s">
        <v>72</v>
      </c>
      <c r="C48" s="639" t="str">
        <f>IFERROR(_xlfn.XLOOKUP($G48,COM_Cadastro!#REF!,COM_Cadastro!#REF!),"")</f>
        <v/>
      </c>
      <c r="D48" s="640" t="s">
        <v>733</v>
      </c>
      <c r="E48" s="641" t="s">
        <v>377</v>
      </c>
      <c r="F48" s="640" t="s">
        <v>376</v>
      </c>
      <c r="G48" s="638" t="s">
        <v>624</v>
      </c>
      <c r="H48" s="642">
        <v>1622</v>
      </c>
      <c r="I48" s="642"/>
      <c r="J48" s="642">
        <v>726.8</v>
      </c>
      <c r="K48" s="642">
        <v>585</v>
      </c>
      <c r="L48" s="643">
        <f t="shared" si="9"/>
        <v>2933.8</v>
      </c>
      <c r="M48" s="644">
        <f t="shared" si="10"/>
        <v>129.76</v>
      </c>
      <c r="N48" s="643">
        <f t="shared" si="11"/>
        <v>135.16666666666666</v>
      </c>
      <c r="O48" s="643">
        <f t="shared" si="12"/>
        <v>45.05555555555555</v>
      </c>
      <c r="P48" s="643">
        <f t="shared" si="13"/>
        <v>14.417777777777776</v>
      </c>
      <c r="Q48" s="455">
        <f t="shared" si="14"/>
        <v>135.16666666666666</v>
      </c>
      <c r="R48" s="455">
        <f t="shared" si="15"/>
        <v>10.813333333333333</v>
      </c>
      <c r="S48" s="643">
        <f t="shared" si="16"/>
        <v>340.61999999999995</v>
      </c>
      <c r="T48" s="643">
        <f t="shared" si="17"/>
        <v>3404.1800000000003</v>
      </c>
      <c r="U48" s="806"/>
      <c r="V48" s="821"/>
      <c r="W48" s="820"/>
      <c r="X48" s="822"/>
      <c r="Y48" s="823"/>
    </row>
    <row r="49" spans="2:25" ht="15" customHeight="1" x14ac:dyDescent="0.25">
      <c r="B49" s="638" t="s">
        <v>72</v>
      </c>
      <c r="C49" s="639" t="str">
        <f>IFERROR(_xlfn.XLOOKUP($G49,COM_Cadastro!#REF!,COM_Cadastro!#REF!),"")</f>
        <v/>
      </c>
      <c r="D49" s="640" t="s">
        <v>733</v>
      </c>
      <c r="E49" s="641" t="s">
        <v>377</v>
      </c>
      <c r="F49" s="640" t="s">
        <v>376</v>
      </c>
      <c r="G49" s="638" t="s">
        <v>460</v>
      </c>
      <c r="H49" s="642">
        <v>1622</v>
      </c>
      <c r="I49" s="642"/>
      <c r="J49" s="642">
        <v>517.4</v>
      </c>
      <c r="K49" s="642">
        <v>585</v>
      </c>
      <c r="L49" s="643">
        <f t="shared" si="9"/>
        <v>2724.4</v>
      </c>
      <c r="M49" s="644">
        <f t="shared" si="10"/>
        <v>129.76</v>
      </c>
      <c r="N49" s="643">
        <f t="shared" si="11"/>
        <v>135.16666666666666</v>
      </c>
      <c r="O49" s="643">
        <f t="shared" si="12"/>
        <v>45.05555555555555</v>
      </c>
      <c r="P49" s="643">
        <f t="shared" si="13"/>
        <v>14.417777777777776</v>
      </c>
      <c r="Q49" s="455">
        <f t="shared" si="14"/>
        <v>135.16666666666666</v>
      </c>
      <c r="R49" s="455">
        <f t="shared" si="15"/>
        <v>10.813333333333333</v>
      </c>
      <c r="S49" s="643">
        <f t="shared" si="16"/>
        <v>340.61999999999995</v>
      </c>
      <c r="T49" s="643">
        <f t="shared" si="17"/>
        <v>3194.7799999999997</v>
      </c>
      <c r="U49" s="806"/>
      <c r="V49" s="821"/>
      <c r="W49" s="820"/>
      <c r="X49" s="822"/>
      <c r="Y49" s="823"/>
    </row>
    <row r="50" spans="2:25" ht="15" customHeight="1" x14ac:dyDescent="0.25">
      <c r="B50" s="638" t="s">
        <v>72</v>
      </c>
      <c r="C50" s="639" t="str">
        <f>IFERROR(_xlfn.XLOOKUP($G50,COM_Cadastro!#REF!,COM_Cadastro!#REF!),"")</f>
        <v/>
      </c>
      <c r="D50" s="640" t="s">
        <v>733</v>
      </c>
      <c r="E50" s="641" t="s">
        <v>377</v>
      </c>
      <c r="F50" s="640" t="s">
        <v>376</v>
      </c>
      <c r="G50" s="638" t="s">
        <v>670</v>
      </c>
      <c r="H50" s="642">
        <v>1622</v>
      </c>
      <c r="I50" s="642"/>
      <c r="J50" s="642">
        <v>670.8</v>
      </c>
      <c r="K50" s="642">
        <v>585</v>
      </c>
      <c r="L50" s="643">
        <f t="shared" si="9"/>
        <v>2877.8</v>
      </c>
      <c r="M50" s="644">
        <f t="shared" si="10"/>
        <v>129.76</v>
      </c>
      <c r="N50" s="643">
        <f t="shared" si="11"/>
        <v>135.16666666666666</v>
      </c>
      <c r="O50" s="643">
        <f t="shared" si="12"/>
        <v>45.05555555555555</v>
      </c>
      <c r="P50" s="643">
        <f t="shared" si="13"/>
        <v>14.417777777777776</v>
      </c>
      <c r="Q50" s="455">
        <f t="shared" si="14"/>
        <v>135.16666666666666</v>
      </c>
      <c r="R50" s="455">
        <f t="shared" si="15"/>
        <v>10.813333333333333</v>
      </c>
      <c r="S50" s="643">
        <f t="shared" si="16"/>
        <v>340.61999999999995</v>
      </c>
      <c r="T50" s="643">
        <f t="shared" si="17"/>
        <v>3348.1800000000003</v>
      </c>
      <c r="U50" s="806"/>
      <c r="V50" s="821"/>
      <c r="W50" s="820"/>
      <c r="X50" s="822"/>
      <c r="Y50" s="823"/>
    </row>
    <row r="51" spans="2:25" ht="15" customHeight="1" x14ac:dyDescent="0.25">
      <c r="B51" s="638" t="s">
        <v>72</v>
      </c>
      <c r="C51" s="639" t="str">
        <f>IFERROR(_xlfn.XLOOKUP($G51,COM_Cadastro!#REF!,COM_Cadastro!#REF!),"")</f>
        <v/>
      </c>
      <c r="D51" s="640" t="s">
        <v>733</v>
      </c>
      <c r="E51" s="641" t="s">
        <v>377</v>
      </c>
      <c r="F51" s="640" t="s">
        <v>376</v>
      </c>
      <c r="G51" s="638" t="s">
        <v>490</v>
      </c>
      <c r="H51" s="642">
        <v>1622</v>
      </c>
      <c r="I51" s="642"/>
      <c r="J51" s="642">
        <v>532.79999999999995</v>
      </c>
      <c r="K51" s="642">
        <v>540</v>
      </c>
      <c r="L51" s="643">
        <f t="shared" si="9"/>
        <v>2694.8</v>
      </c>
      <c r="M51" s="644">
        <f t="shared" si="10"/>
        <v>129.76</v>
      </c>
      <c r="N51" s="643">
        <f t="shared" si="11"/>
        <v>135.16666666666666</v>
      </c>
      <c r="O51" s="643">
        <f t="shared" si="12"/>
        <v>45.05555555555555</v>
      </c>
      <c r="P51" s="643">
        <f t="shared" si="13"/>
        <v>14.417777777777776</v>
      </c>
      <c r="Q51" s="455">
        <f t="shared" si="14"/>
        <v>135.16666666666666</v>
      </c>
      <c r="R51" s="455">
        <f t="shared" si="15"/>
        <v>10.813333333333333</v>
      </c>
      <c r="S51" s="643">
        <f t="shared" si="16"/>
        <v>340.61999999999995</v>
      </c>
      <c r="T51" s="643">
        <f t="shared" si="17"/>
        <v>3165.1800000000003</v>
      </c>
      <c r="U51" s="806"/>
      <c r="V51" s="821"/>
      <c r="W51" s="820"/>
      <c r="X51" s="822"/>
      <c r="Y51" s="823"/>
    </row>
    <row r="52" spans="2:25" ht="15" customHeight="1" x14ac:dyDescent="0.25">
      <c r="B52" s="638" t="s">
        <v>72</v>
      </c>
      <c r="C52" s="639" t="str">
        <f>IFERROR(_xlfn.XLOOKUP($G52,COM_Cadastro!#REF!,COM_Cadastro!#REF!),"")</f>
        <v/>
      </c>
      <c r="D52" s="640" t="s">
        <v>733</v>
      </c>
      <c r="E52" s="641" t="s">
        <v>377</v>
      </c>
      <c r="F52" s="640" t="s">
        <v>376</v>
      </c>
      <c r="G52" s="638" t="s">
        <v>672</v>
      </c>
      <c r="H52" s="642">
        <v>1622</v>
      </c>
      <c r="I52" s="642"/>
      <c r="J52" s="642">
        <v>260</v>
      </c>
      <c r="K52" s="642">
        <v>585</v>
      </c>
      <c r="L52" s="643">
        <f t="shared" si="9"/>
        <v>2467</v>
      </c>
      <c r="M52" s="644">
        <f t="shared" si="10"/>
        <v>129.76</v>
      </c>
      <c r="N52" s="643">
        <f t="shared" si="11"/>
        <v>135.16666666666666</v>
      </c>
      <c r="O52" s="643">
        <f t="shared" si="12"/>
        <v>45.05555555555555</v>
      </c>
      <c r="P52" s="643">
        <f t="shared" si="13"/>
        <v>14.417777777777776</v>
      </c>
      <c r="Q52" s="455">
        <f t="shared" si="14"/>
        <v>135.16666666666666</v>
      </c>
      <c r="R52" s="455">
        <f t="shared" si="15"/>
        <v>10.813333333333333</v>
      </c>
      <c r="S52" s="643">
        <f t="shared" si="16"/>
        <v>340.61999999999995</v>
      </c>
      <c r="T52" s="643">
        <f t="shared" si="17"/>
        <v>2937.38</v>
      </c>
      <c r="U52" s="806"/>
      <c r="V52" s="821"/>
      <c r="W52" s="820"/>
      <c r="X52" s="822"/>
      <c r="Y52" s="823"/>
    </row>
    <row r="53" spans="2:25" ht="15" customHeight="1" x14ac:dyDescent="0.25">
      <c r="B53" s="638" t="s">
        <v>72</v>
      </c>
      <c r="C53" s="639" t="str">
        <f>IFERROR(_xlfn.XLOOKUP($G53,COM_Cadastro!#REF!,COM_Cadastro!#REF!),"")</f>
        <v/>
      </c>
      <c r="D53" s="640" t="s">
        <v>733</v>
      </c>
      <c r="E53" s="641" t="s">
        <v>377</v>
      </c>
      <c r="F53" s="640" t="s">
        <v>376</v>
      </c>
      <c r="G53" s="638" t="s">
        <v>522</v>
      </c>
      <c r="H53" s="642">
        <v>1622</v>
      </c>
      <c r="I53" s="642"/>
      <c r="J53" s="642">
        <v>572</v>
      </c>
      <c r="K53" s="642">
        <v>585</v>
      </c>
      <c r="L53" s="643">
        <f t="shared" si="9"/>
        <v>2779</v>
      </c>
      <c r="M53" s="644">
        <f t="shared" si="10"/>
        <v>129.76</v>
      </c>
      <c r="N53" s="643">
        <f t="shared" si="11"/>
        <v>135.16666666666666</v>
      </c>
      <c r="O53" s="643">
        <f t="shared" si="12"/>
        <v>45.05555555555555</v>
      </c>
      <c r="P53" s="643">
        <f t="shared" si="13"/>
        <v>14.417777777777776</v>
      </c>
      <c r="Q53" s="455">
        <f t="shared" si="14"/>
        <v>135.16666666666666</v>
      </c>
      <c r="R53" s="455">
        <f t="shared" si="15"/>
        <v>10.813333333333333</v>
      </c>
      <c r="S53" s="643">
        <f t="shared" si="16"/>
        <v>340.61999999999995</v>
      </c>
      <c r="T53" s="643">
        <f t="shared" si="17"/>
        <v>3249.38</v>
      </c>
      <c r="U53" s="806"/>
      <c r="V53" s="821"/>
      <c r="W53" s="820"/>
      <c r="X53" s="822"/>
      <c r="Y53" s="823"/>
    </row>
    <row r="54" spans="2:25" ht="15" customHeight="1" x14ac:dyDescent="0.25">
      <c r="B54" s="638" t="s">
        <v>72</v>
      </c>
      <c r="C54" s="639" t="str">
        <f>IFERROR(_xlfn.XLOOKUP($G54,COM_Cadastro!#REF!,COM_Cadastro!#REF!),"")</f>
        <v/>
      </c>
      <c r="D54" s="640" t="s">
        <v>733</v>
      </c>
      <c r="E54" s="641" t="s">
        <v>377</v>
      </c>
      <c r="F54" s="640" t="s">
        <v>376</v>
      </c>
      <c r="G54" s="638" t="s">
        <v>673</v>
      </c>
      <c r="H54" s="642">
        <v>1622</v>
      </c>
      <c r="I54" s="642"/>
      <c r="J54" s="642">
        <v>520</v>
      </c>
      <c r="K54" s="642">
        <v>585</v>
      </c>
      <c r="L54" s="643">
        <f t="shared" si="9"/>
        <v>2727</v>
      </c>
      <c r="M54" s="644">
        <f t="shared" si="10"/>
        <v>129.76</v>
      </c>
      <c r="N54" s="643">
        <f t="shared" si="11"/>
        <v>135.16666666666666</v>
      </c>
      <c r="O54" s="643">
        <f t="shared" si="12"/>
        <v>45.05555555555555</v>
      </c>
      <c r="P54" s="643">
        <f t="shared" si="13"/>
        <v>14.417777777777776</v>
      </c>
      <c r="Q54" s="455">
        <f t="shared" si="14"/>
        <v>135.16666666666666</v>
      </c>
      <c r="R54" s="455">
        <f t="shared" si="15"/>
        <v>10.813333333333333</v>
      </c>
      <c r="S54" s="643">
        <f t="shared" si="16"/>
        <v>340.61999999999995</v>
      </c>
      <c r="T54" s="643">
        <f t="shared" si="17"/>
        <v>3197.38</v>
      </c>
      <c r="U54" s="806"/>
      <c r="V54" s="821"/>
      <c r="W54" s="820"/>
      <c r="X54" s="822"/>
      <c r="Y54" s="823"/>
    </row>
    <row r="55" spans="2:25" ht="15" customHeight="1" x14ac:dyDescent="0.25">
      <c r="B55" s="638" t="s">
        <v>72</v>
      </c>
      <c r="C55" s="639" t="str">
        <f>IFERROR(_xlfn.XLOOKUP($G55,COM_Cadastro!#REF!,COM_Cadastro!#REF!),"")</f>
        <v/>
      </c>
      <c r="D55" s="640" t="s">
        <v>733</v>
      </c>
      <c r="E55" s="641" t="s">
        <v>377</v>
      </c>
      <c r="F55" s="640" t="s">
        <v>376</v>
      </c>
      <c r="G55" s="638" t="s">
        <v>553</v>
      </c>
      <c r="H55" s="642">
        <v>1622</v>
      </c>
      <c r="I55" s="642">
        <v>594</v>
      </c>
      <c r="J55" s="642">
        <v>329.2</v>
      </c>
      <c r="K55" s="642">
        <v>585</v>
      </c>
      <c r="L55" s="643">
        <f t="shared" si="9"/>
        <v>3130.2</v>
      </c>
      <c r="M55" s="644">
        <f t="shared" si="10"/>
        <v>129.76</v>
      </c>
      <c r="N55" s="643">
        <f t="shared" si="11"/>
        <v>135.16666666666666</v>
      </c>
      <c r="O55" s="643">
        <f t="shared" si="12"/>
        <v>45.05555555555555</v>
      </c>
      <c r="P55" s="643">
        <f t="shared" si="13"/>
        <v>14.417777777777776</v>
      </c>
      <c r="Q55" s="455">
        <f t="shared" si="14"/>
        <v>135.16666666666666</v>
      </c>
      <c r="R55" s="455">
        <f t="shared" si="15"/>
        <v>10.813333333333333</v>
      </c>
      <c r="S55" s="643">
        <f t="shared" si="16"/>
        <v>340.61999999999995</v>
      </c>
      <c r="T55" s="643">
        <f t="shared" si="17"/>
        <v>3600.58</v>
      </c>
      <c r="U55" s="806"/>
      <c r="V55" s="821"/>
      <c r="W55" s="820"/>
      <c r="X55" s="822"/>
      <c r="Y55" s="823"/>
    </row>
    <row r="56" spans="2:25" ht="15" customHeight="1" x14ac:dyDescent="0.25">
      <c r="B56" s="638" t="s">
        <v>72</v>
      </c>
      <c r="C56" s="639" t="str">
        <f>IFERROR(_xlfn.XLOOKUP($G56,COM_Cadastro!#REF!,COM_Cadastro!#REF!),"")</f>
        <v/>
      </c>
      <c r="D56" s="640" t="s">
        <v>733</v>
      </c>
      <c r="E56" s="641" t="s">
        <v>377</v>
      </c>
      <c r="F56" s="640" t="s">
        <v>376</v>
      </c>
      <c r="G56" s="638" t="s">
        <v>563</v>
      </c>
      <c r="H56" s="642">
        <v>1622</v>
      </c>
      <c r="I56" s="642">
        <v>984</v>
      </c>
      <c r="J56" s="642">
        <v>601.4</v>
      </c>
      <c r="K56" s="642">
        <v>585</v>
      </c>
      <c r="L56" s="643">
        <f t="shared" si="9"/>
        <v>3792.4</v>
      </c>
      <c r="M56" s="644">
        <f t="shared" si="10"/>
        <v>129.76</v>
      </c>
      <c r="N56" s="643">
        <f t="shared" si="11"/>
        <v>135.16666666666666</v>
      </c>
      <c r="O56" s="643">
        <f t="shared" si="12"/>
        <v>45.05555555555555</v>
      </c>
      <c r="P56" s="643">
        <f t="shared" si="13"/>
        <v>14.417777777777776</v>
      </c>
      <c r="Q56" s="455">
        <f t="shared" si="14"/>
        <v>135.16666666666666</v>
      </c>
      <c r="R56" s="455">
        <f t="shared" si="15"/>
        <v>10.813333333333333</v>
      </c>
      <c r="S56" s="643">
        <f t="shared" si="16"/>
        <v>340.61999999999995</v>
      </c>
      <c r="T56" s="643">
        <f t="shared" si="17"/>
        <v>4262.78</v>
      </c>
      <c r="U56" s="806"/>
      <c r="V56" s="821"/>
      <c r="W56" s="820"/>
      <c r="X56" s="822"/>
      <c r="Y56" s="823"/>
    </row>
    <row r="57" spans="2:25" ht="15" customHeight="1" x14ac:dyDescent="0.25">
      <c r="B57" s="638" t="s">
        <v>72</v>
      </c>
      <c r="C57" s="639" t="str">
        <f>IFERROR(_xlfn.XLOOKUP($G57,COM_Cadastro!#REF!,COM_Cadastro!#REF!),"")</f>
        <v/>
      </c>
      <c r="D57" s="640" t="s">
        <v>733</v>
      </c>
      <c r="E57" s="641" t="s">
        <v>372</v>
      </c>
      <c r="F57" s="640" t="s">
        <v>376</v>
      </c>
      <c r="G57" s="638" t="s">
        <v>743</v>
      </c>
      <c r="H57" s="642">
        <v>2600</v>
      </c>
      <c r="I57" s="642"/>
      <c r="J57" s="642">
        <v>440</v>
      </c>
      <c r="K57" s="642">
        <v>585</v>
      </c>
      <c r="L57" s="643">
        <f t="shared" si="9"/>
        <v>3625</v>
      </c>
      <c r="M57" s="644">
        <f t="shared" si="10"/>
        <v>208</v>
      </c>
      <c r="N57" s="643">
        <f t="shared" si="11"/>
        <v>216.66666666666666</v>
      </c>
      <c r="O57" s="643">
        <f t="shared" si="12"/>
        <v>72.222222222222214</v>
      </c>
      <c r="P57" s="643">
        <f t="shared" si="13"/>
        <v>23.111111111111111</v>
      </c>
      <c r="Q57" s="455">
        <f t="shared" si="14"/>
        <v>216.66666666666666</v>
      </c>
      <c r="R57" s="455">
        <f t="shared" si="15"/>
        <v>17.333333333333332</v>
      </c>
      <c r="S57" s="643">
        <f t="shared" si="16"/>
        <v>546</v>
      </c>
      <c r="T57" s="643">
        <f t="shared" si="17"/>
        <v>4379</v>
      </c>
      <c r="U57" s="806"/>
      <c r="V57" s="821"/>
      <c r="W57" s="820"/>
      <c r="X57" s="822"/>
      <c r="Y57" s="823"/>
    </row>
    <row r="58" spans="2:25" ht="15" customHeight="1" x14ac:dyDescent="0.25">
      <c r="B58" s="638" t="s">
        <v>72</v>
      </c>
      <c r="C58" s="639" t="str">
        <f>IFERROR(_xlfn.XLOOKUP($G58,COM_Cadastro!#REF!,COM_Cadastro!#REF!),"")</f>
        <v/>
      </c>
      <c r="D58" s="640" t="s">
        <v>733</v>
      </c>
      <c r="E58" s="641" t="s">
        <v>377</v>
      </c>
      <c r="F58" s="640" t="s">
        <v>376</v>
      </c>
      <c r="G58" s="638" t="s">
        <v>576</v>
      </c>
      <c r="H58" s="642">
        <v>1622</v>
      </c>
      <c r="I58" s="642"/>
      <c r="J58" s="642">
        <v>540.79999999999995</v>
      </c>
      <c r="K58" s="642">
        <v>585</v>
      </c>
      <c r="L58" s="643">
        <f t="shared" si="9"/>
        <v>2747.8</v>
      </c>
      <c r="M58" s="644">
        <f t="shared" si="10"/>
        <v>129.76</v>
      </c>
      <c r="N58" s="643">
        <f t="shared" si="11"/>
        <v>135.16666666666666</v>
      </c>
      <c r="O58" s="643">
        <f t="shared" si="12"/>
        <v>45.05555555555555</v>
      </c>
      <c r="P58" s="643">
        <f t="shared" si="13"/>
        <v>14.417777777777776</v>
      </c>
      <c r="Q58" s="455">
        <f t="shared" si="14"/>
        <v>135.16666666666666</v>
      </c>
      <c r="R58" s="455">
        <f t="shared" si="15"/>
        <v>10.813333333333333</v>
      </c>
      <c r="S58" s="643">
        <f t="shared" si="16"/>
        <v>340.61999999999995</v>
      </c>
      <c r="T58" s="643">
        <f t="shared" si="17"/>
        <v>3218.1800000000003</v>
      </c>
      <c r="U58" s="806"/>
      <c r="V58" s="821"/>
      <c r="W58" s="820"/>
      <c r="X58" s="822"/>
      <c r="Y58" s="823"/>
    </row>
    <row r="59" spans="2:25" ht="15" customHeight="1" x14ac:dyDescent="0.25">
      <c r="B59" s="638" t="s">
        <v>72</v>
      </c>
      <c r="C59" s="639" t="str">
        <f>IFERROR(_xlfn.XLOOKUP($G59,COM_Cadastro!#REF!,COM_Cadastro!#REF!),"")</f>
        <v/>
      </c>
      <c r="D59" s="640" t="s">
        <v>733</v>
      </c>
      <c r="E59" s="641" t="s">
        <v>377</v>
      </c>
      <c r="F59" s="640" t="s">
        <v>376</v>
      </c>
      <c r="G59" s="638" t="s">
        <v>579</v>
      </c>
      <c r="H59" s="642">
        <v>1622</v>
      </c>
      <c r="I59" s="642">
        <v>104</v>
      </c>
      <c r="J59" s="642">
        <v>469.2</v>
      </c>
      <c r="K59" s="642">
        <v>540</v>
      </c>
      <c r="L59" s="643">
        <f t="shared" si="9"/>
        <v>2735.2</v>
      </c>
      <c r="M59" s="644">
        <f t="shared" si="10"/>
        <v>129.76</v>
      </c>
      <c r="N59" s="643">
        <f t="shared" si="11"/>
        <v>135.16666666666666</v>
      </c>
      <c r="O59" s="643">
        <f t="shared" si="12"/>
        <v>45.05555555555555</v>
      </c>
      <c r="P59" s="643">
        <f t="shared" si="13"/>
        <v>14.417777777777776</v>
      </c>
      <c r="Q59" s="455">
        <f t="shared" si="14"/>
        <v>135.16666666666666</v>
      </c>
      <c r="R59" s="455">
        <f t="shared" si="15"/>
        <v>10.813333333333333</v>
      </c>
      <c r="S59" s="643">
        <f t="shared" si="16"/>
        <v>340.61999999999995</v>
      </c>
      <c r="T59" s="643">
        <f t="shared" si="17"/>
        <v>3205.58</v>
      </c>
      <c r="U59" s="806"/>
      <c r="V59" s="821"/>
      <c r="W59" s="820"/>
      <c r="X59" s="822"/>
      <c r="Y59" s="823"/>
    </row>
    <row r="60" spans="2:25" ht="15" customHeight="1" x14ac:dyDescent="0.25">
      <c r="B60" s="638" t="s">
        <v>72</v>
      </c>
      <c r="C60" s="639" t="str">
        <f>IFERROR(_xlfn.XLOOKUP($G60,COM_Cadastro!#REF!,COM_Cadastro!#REF!),"")</f>
        <v/>
      </c>
      <c r="D60" s="640" t="s">
        <v>733</v>
      </c>
      <c r="E60" s="641" t="s">
        <v>377</v>
      </c>
      <c r="F60" s="640" t="s">
        <v>376</v>
      </c>
      <c r="G60" s="638" t="s">
        <v>632</v>
      </c>
      <c r="H60" s="642">
        <v>1622</v>
      </c>
      <c r="I60" s="642">
        <v>156</v>
      </c>
      <c r="J60" s="642">
        <v>489.6</v>
      </c>
      <c r="K60" s="642">
        <v>495</v>
      </c>
      <c r="L60" s="643">
        <f t="shared" si="9"/>
        <v>2762.6</v>
      </c>
      <c r="M60" s="644">
        <f t="shared" si="10"/>
        <v>129.76</v>
      </c>
      <c r="N60" s="643">
        <f t="shared" si="11"/>
        <v>135.16666666666666</v>
      </c>
      <c r="O60" s="643">
        <f t="shared" si="12"/>
        <v>45.05555555555555</v>
      </c>
      <c r="P60" s="643">
        <f t="shared" si="13"/>
        <v>14.417777777777776</v>
      </c>
      <c r="Q60" s="455">
        <f t="shared" si="14"/>
        <v>135.16666666666666</v>
      </c>
      <c r="R60" s="455">
        <f t="shared" si="15"/>
        <v>10.813333333333333</v>
      </c>
      <c r="S60" s="643">
        <f t="shared" si="16"/>
        <v>340.61999999999995</v>
      </c>
      <c r="T60" s="643">
        <f t="shared" si="17"/>
        <v>3232.9799999999996</v>
      </c>
      <c r="U60" s="806"/>
      <c r="V60" s="821"/>
      <c r="W60" s="820"/>
      <c r="X60" s="822"/>
      <c r="Y60" s="823"/>
    </row>
    <row r="61" spans="2:25" ht="15" customHeight="1" x14ac:dyDescent="0.25">
      <c r="B61" s="638" t="s">
        <v>72</v>
      </c>
      <c r="C61" s="639" t="str">
        <f>IFERROR(_xlfn.XLOOKUP($G61,COM_Cadastro!#REF!,COM_Cadastro!#REF!),"")</f>
        <v/>
      </c>
      <c r="D61" s="640" t="s">
        <v>733</v>
      </c>
      <c r="E61" s="641" t="s">
        <v>377</v>
      </c>
      <c r="F61" s="640" t="s">
        <v>376</v>
      </c>
      <c r="G61" s="638" t="s">
        <v>589</v>
      </c>
      <c r="H61" s="642">
        <v>1622</v>
      </c>
      <c r="I61" s="642"/>
      <c r="J61" s="642">
        <v>240</v>
      </c>
      <c r="K61" s="642">
        <v>270</v>
      </c>
      <c r="L61" s="643">
        <f t="shared" si="9"/>
        <v>2132</v>
      </c>
      <c r="M61" s="644">
        <f t="shared" si="10"/>
        <v>129.76</v>
      </c>
      <c r="N61" s="643">
        <f t="shared" si="11"/>
        <v>135.16666666666666</v>
      </c>
      <c r="O61" s="643">
        <f t="shared" si="12"/>
        <v>45.05555555555555</v>
      </c>
      <c r="P61" s="643">
        <f t="shared" si="13"/>
        <v>14.417777777777776</v>
      </c>
      <c r="Q61" s="455">
        <f t="shared" si="14"/>
        <v>135.16666666666666</v>
      </c>
      <c r="R61" s="455">
        <f t="shared" si="15"/>
        <v>10.813333333333333</v>
      </c>
      <c r="S61" s="643">
        <f t="shared" si="16"/>
        <v>340.61999999999995</v>
      </c>
      <c r="T61" s="643">
        <f t="shared" si="17"/>
        <v>2602.38</v>
      </c>
      <c r="U61" s="806"/>
      <c r="V61" s="821"/>
      <c r="W61" s="820"/>
      <c r="X61" s="822"/>
      <c r="Y61" s="823"/>
    </row>
    <row r="62" spans="2:25" ht="15" customHeight="1" x14ac:dyDescent="0.25">
      <c r="B62" s="638" t="s">
        <v>72</v>
      </c>
      <c r="C62" s="639" t="str">
        <f>IFERROR(_xlfn.XLOOKUP($G62,COM_Cadastro!#REF!,COM_Cadastro!#REF!),"")</f>
        <v/>
      </c>
      <c r="D62" s="640" t="s">
        <v>733</v>
      </c>
      <c r="E62" s="641" t="s">
        <v>377</v>
      </c>
      <c r="F62" s="640" t="s">
        <v>376</v>
      </c>
      <c r="G62" s="638" t="s">
        <v>599</v>
      </c>
      <c r="H62" s="642">
        <v>1622</v>
      </c>
      <c r="I62" s="642">
        <v>644</v>
      </c>
      <c r="J62" s="642">
        <v>400</v>
      </c>
      <c r="K62" s="642">
        <v>585</v>
      </c>
      <c r="L62" s="643">
        <f t="shared" si="9"/>
        <v>3251</v>
      </c>
      <c r="M62" s="644">
        <f t="shared" si="10"/>
        <v>129.76</v>
      </c>
      <c r="N62" s="643">
        <f t="shared" si="11"/>
        <v>135.16666666666666</v>
      </c>
      <c r="O62" s="643">
        <f t="shared" si="12"/>
        <v>45.05555555555555</v>
      </c>
      <c r="P62" s="643">
        <f t="shared" si="13"/>
        <v>14.417777777777776</v>
      </c>
      <c r="Q62" s="455">
        <f t="shared" si="14"/>
        <v>135.16666666666666</v>
      </c>
      <c r="R62" s="455">
        <f t="shared" si="15"/>
        <v>10.813333333333333</v>
      </c>
      <c r="S62" s="643">
        <f t="shared" si="16"/>
        <v>340.61999999999995</v>
      </c>
      <c r="T62" s="643">
        <f t="shared" si="17"/>
        <v>3721.38</v>
      </c>
      <c r="U62" s="806"/>
      <c r="V62" s="821"/>
      <c r="W62" s="820"/>
      <c r="X62" s="822"/>
      <c r="Y62" s="823"/>
    </row>
    <row r="63" spans="2:25" ht="15" customHeight="1" x14ac:dyDescent="0.25">
      <c r="B63" s="638" t="s">
        <v>72</v>
      </c>
      <c r="C63" s="639" t="str">
        <f>IFERROR(_xlfn.XLOOKUP($G63,COM_Cadastro!#REF!,COM_Cadastro!#REF!),"")</f>
        <v/>
      </c>
      <c r="D63" s="640" t="s">
        <v>733</v>
      </c>
      <c r="E63" s="641" t="s">
        <v>377</v>
      </c>
      <c r="F63" s="640" t="s">
        <v>376</v>
      </c>
      <c r="G63" s="638" t="s">
        <v>603</v>
      </c>
      <c r="H63" s="642">
        <v>1622</v>
      </c>
      <c r="I63" s="642">
        <v>457</v>
      </c>
      <c r="J63" s="642">
        <v>520</v>
      </c>
      <c r="K63" s="642">
        <v>585</v>
      </c>
      <c r="L63" s="643">
        <f t="shared" si="9"/>
        <v>3184</v>
      </c>
      <c r="M63" s="644">
        <f t="shared" si="10"/>
        <v>129.76</v>
      </c>
      <c r="N63" s="643">
        <f t="shared" si="11"/>
        <v>135.16666666666666</v>
      </c>
      <c r="O63" s="643">
        <f t="shared" si="12"/>
        <v>45.05555555555555</v>
      </c>
      <c r="P63" s="643">
        <f t="shared" si="13"/>
        <v>14.417777777777776</v>
      </c>
      <c r="Q63" s="455">
        <f t="shared" si="14"/>
        <v>135.16666666666666</v>
      </c>
      <c r="R63" s="455">
        <f t="shared" si="15"/>
        <v>10.813333333333333</v>
      </c>
      <c r="S63" s="643">
        <f t="shared" si="16"/>
        <v>340.61999999999995</v>
      </c>
      <c r="T63" s="643">
        <f t="shared" si="17"/>
        <v>3654.38</v>
      </c>
      <c r="U63" s="806"/>
      <c r="V63" s="821"/>
      <c r="W63" s="820"/>
      <c r="X63" s="822"/>
      <c r="Y63" s="823"/>
    </row>
    <row r="64" spans="2:25" ht="15" customHeight="1" x14ac:dyDescent="0.25">
      <c r="B64" s="638" t="s">
        <v>72</v>
      </c>
      <c r="C64" s="639" t="str">
        <f>IFERROR(_xlfn.XLOOKUP($G64,COM_Cadastro!#REF!,COM_Cadastro!#REF!),"")</f>
        <v/>
      </c>
      <c r="D64" s="640" t="s">
        <v>733</v>
      </c>
      <c r="E64" s="641" t="s">
        <v>377</v>
      </c>
      <c r="F64" s="640" t="s">
        <v>374</v>
      </c>
      <c r="G64" s="638" t="s">
        <v>411</v>
      </c>
      <c r="H64" s="642">
        <v>1622</v>
      </c>
      <c r="I64" s="642"/>
      <c r="J64" s="642">
        <v>703.2</v>
      </c>
      <c r="K64" s="642">
        <v>585</v>
      </c>
      <c r="L64" s="643">
        <f t="shared" si="9"/>
        <v>2910.2</v>
      </c>
      <c r="M64" s="644">
        <f t="shared" si="10"/>
        <v>129.76</v>
      </c>
      <c r="N64" s="643">
        <f t="shared" si="11"/>
        <v>135.16666666666666</v>
      </c>
      <c r="O64" s="643">
        <f t="shared" si="12"/>
        <v>45.05555555555555</v>
      </c>
      <c r="P64" s="643">
        <f t="shared" si="13"/>
        <v>14.417777777777776</v>
      </c>
      <c r="Q64" s="455">
        <f t="shared" si="14"/>
        <v>135.16666666666666</v>
      </c>
      <c r="R64" s="455">
        <f t="shared" si="15"/>
        <v>10.813333333333333</v>
      </c>
      <c r="S64" s="643">
        <f t="shared" si="16"/>
        <v>340.61999999999995</v>
      </c>
      <c r="T64" s="643">
        <f t="shared" si="17"/>
        <v>3380.58</v>
      </c>
      <c r="U64" s="806"/>
      <c r="V64" s="821"/>
      <c r="W64" s="820"/>
      <c r="X64" s="822"/>
      <c r="Y64" s="823"/>
    </row>
    <row r="65" spans="2:25" ht="15" customHeight="1" x14ac:dyDescent="0.25">
      <c r="B65" s="638" t="s">
        <v>72</v>
      </c>
      <c r="C65" s="639" t="str">
        <f>IFERROR(_xlfn.XLOOKUP($G65,COM_Cadastro!#REF!,COM_Cadastro!#REF!),"")</f>
        <v/>
      </c>
      <c r="D65" s="640" t="s">
        <v>733</v>
      </c>
      <c r="E65" s="641" t="s">
        <v>377</v>
      </c>
      <c r="F65" s="640" t="s">
        <v>374</v>
      </c>
      <c r="G65" s="638" t="s">
        <v>448</v>
      </c>
      <c r="H65" s="642">
        <v>1622</v>
      </c>
      <c r="I65" s="642"/>
      <c r="J65" s="642">
        <v>621.4</v>
      </c>
      <c r="K65" s="642">
        <v>562.5</v>
      </c>
      <c r="L65" s="643">
        <f t="shared" si="9"/>
        <v>2805.9</v>
      </c>
      <c r="M65" s="644">
        <f t="shared" si="10"/>
        <v>129.76</v>
      </c>
      <c r="N65" s="643">
        <f t="shared" si="11"/>
        <v>135.16666666666666</v>
      </c>
      <c r="O65" s="643">
        <f t="shared" si="12"/>
        <v>45.05555555555555</v>
      </c>
      <c r="P65" s="643">
        <f t="shared" si="13"/>
        <v>14.417777777777776</v>
      </c>
      <c r="Q65" s="455">
        <f t="shared" si="14"/>
        <v>135.16666666666666</v>
      </c>
      <c r="R65" s="455">
        <f t="shared" si="15"/>
        <v>10.813333333333333</v>
      </c>
      <c r="S65" s="643">
        <f t="shared" si="16"/>
        <v>340.61999999999995</v>
      </c>
      <c r="T65" s="643">
        <f t="shared" si="17"/>
        <v>3276.2799999999997</v>
      </c>
      <c r="U65" s="806"/>
      <c r="V65" s="821"/>
      <c r="W65" s="820"/>
      <c r="X65" s="822"/>
      <c r="Y65" s="823"/>
    </row>
    <row r="66" spans="2:25" ht="15" customHeight="1" x14ac:dyDescent="0.25">
      <c r="B66" s="638" t="s">
        <v>72</v>
      </c>
      <c r="C66" s="639" t="str">
        <f>IFERROR(_xlfn.XLOOKUP($G66,COM_Cadastro!#REF!,COM_Cadastro!#REF!),"")</f>
        <v/>
      </c>
      <c r="D66" s="640" t="s">
        <v>733</v>
      </c>
      <c r="E66" s="641" t="s">
        <v>796</v>
      </c>
      <c r="F66" s="640" t="s">
        <v>374</v>
      </c>
      <c r="G66" s="638" t="s">
        <v>519</v>
      </c>
      <c r="H66" s="642">
        <v>1780</v>
      </c>
      <c r="I66" s="642"/>
      <c r="J66" s="642">
        <v>403</v>
      </c>
      <c r="K66" s="642">
        <v>585</v>
      </c>
      <c r="L66" s="643">
        <f t="shared" si="9"/>
        <v>2768</v>
      </c>
      <c r="M66" s="644">
        <f t="shared" si="10"/>
        <v>142.4</v>
      </c>
      <c r="N66" s="643">
        <f t="shared" si="11"/>
        <v>148.33333333333334</v>
      </c>
      <c r="O66" s="643">
        <f t="shared" si="12"/>
        <v>49.44444444444445</v>
      </c>
      <c r="P66" s="643">
        <f t="shared" si="13"/>
        <v>15.822222222222225</v>
      </c>
      <c r="Q66" s="455">
        <f t="shared" si="14"/>
        <v>148.33333333333334</v>
      </c>
      <c r="R66" s="455">
        <f t="shared" si="15"/>
        <v>11.866666666666667</v>
      </c>
      <c r="S66" s="643">
        <f t="shared" si="16"/>
        <v>373.80000000000007</v>
      </c>
      <c r="T66" s="643">
        <f t="shared" si="17"/>
        <v>3284.2000000000003</v>
      </c>
      <c r="U66" s="806"/>
      <c r="V66" s="821"/>
      <c r="W66" s="820"/>
      <c r="X66" s="822"/>
      <c r="Y66" s="823"/>
    </row>
    <row r="67" spans="2:25" ht="15" customHeight="1" x14ac:dyDescent="0.25">
      <c r="B67" s="638" t="s">
        <v>72</v>
      </c>
      <c r="C67" s="639" t="str">
        <f>IFERROR(_xlfn.XLOOKUP($G67,COM_Cadastro!#REF!,COM_Cadastro!#REF!),"")</f>
        <v/>
      </c>
      <c r="D67" s="640" t="s">
        <v>733</v>
      </c>
      <c r="E67" s="641" t="s">
        <v>377</v>
      </c>
      <c r="F67" s="640" t="s">
        <v>374</v>
      </c>
      <c r="G67" s="638" t="s">
        <v>549</v>
      </c>
      <c r="H67" s="642">
        <v>1622</v>
      </c>
      <c r="I67" s="642"/>
      <c r="J67" s="642">
        <v>0</v>
      </c>
      <c r="K67" s="642">
        <v>0</v>
      </c>
      <c r="L67" s="643">
        <f t="shared" ref="L67:L98" si="18">SUM(H67:K67)</f>
        <v>1622</v>
      </c>
      <c r="M67" s="644">
        <f t="shared" si="10"/>
        <v>129.76</v>
      </c>
      <c r="N67" s="643">
        <f t="shared" si="11"/>
        <v>135.16666666666666</v>
      </c>
      <c r="O67" s="643">
        <f t="shared" ref="O67:O71" si="19">N67/3</f>
        <v>45.05555555555555</v>
      </c>
      <c r="P67" s="643">
        <f t="shared" ref="P67:P71" si="20">(N67+O67)*8%</f>
        <v>14.417777777777776</v>
      </c>
      <c r="Q67" s="455">
        <f t="shared" si="14"/>
        <v>135.16666666666666</v>
      </c>
      <c r="R67" s="455">
        <f t="shared" ref="R67:R71" si="21">Q67*8%</f>
        <v>10.813333333333333</v>
      </c>
      <c r="S67" s="643">
        <f t="shared" ref="S67:S71" si="22">SUM(N67:R67)</f>
        <v>340.61999999999995</v>
      </c>
      <c r="T67" s="643">
        <f t="shared" ref="T67:T98" si="23">L67+M67+S67</f>
        <v>2092.38</v>
      </c>
      <c r="U67" s="806"/>
      <c r="V67" s="821"/>
      <c r="W67" s="820"/>
      <c r="X67" s="822"/>
      <c r="Y67" s="823"/>
    </row>
    <row r="68" spans="2:25" ht="15" customHeight="1" x14ac:dyDescent="0.25">
      <c r="B68" s="638" t="s">
        <v>72</v>
      </c>
      <c r="C68" s="639" t="str">
        <f>IFERROR(_xlfn.XLOOKUP($G68,COM_Cadastro!#REF!,COM_Cadastro!#REF!),"")</f>
        <v/>
      </c>
      <c r="D68" s="640" t="s">
        <v>733</v>
      </c>
      <c r="E68" s="641" t="s">
        <v>796</v>
      </c>
      <c r="F68" s="640" t="s">
        <v>374</v>
      </c>
      <c r="G68" s="638" t="s">
        <v>562</v>
      </c>
      <c r="H68" s="642">
        <v>1780</v>
      </c>
      <c r="I68" s="642"/>
      <c r="J68" s="642">
        <v>213.6</v>
      </c>
      <c r="K68" s="642">
        <v>270</v>
      </c>
      <c r="L68" s="643">
        <f t="shared" si="18"/>
        <v>2263.6</v>
      </c>
      <c r="M68" s="644">
        <f t="shared" si="10"/>
        <v>142.4</v>
      </c>
      <c r="N68" s="643">
        <f t="shared" si="11"/>
        <v>148.33333333333334</v>
      </c>
      <c r="O68" s="643">
        <f t="shared" si="19"/>
        <v>49.44444444444445</v>
      </c>
      <c r="P68" s="643">
        <f t="shared" si="20"/>
        <v>15.822222222222225</v>
      </c>
      <c r="Q68" s="455">
        <f t="shared" si="14"/>
        <v>148.33333333333334</v>
      </c>
      <c r="R68" s="455">
        <f t="shared" si="21"/>
        <v>11.866666666666667</v>
      </c>
      <c r="S68" s="643">
        <f t="shared" si="22"/>
        <v>373.80000000000007</v>
      </c>
      <c r="T68" s="643">
        <f t="shared" si="23"/>
        <v>2779.8</v>
      </c>
      <c r="U68" s="806"/>
      <c r="V68" s="821"/>
      <c r="W68" s="820"/>
      <c r="X68" s="822"/>
      <c r="Y68" s="823"/>
    </row>
    <row r="69" spans="2:25" ht="15" customHeight="1" x14ac:dyDescent="0.25">
      <c r="B69" s="638" t="s">
        <v>72</v>
      </c>
      <c r="C69" s="639" t="str">
        <f>IFERROR(_xlfn.XLOOKUP($G69,COM_Cadastro!#REF!,COM_Cadastro!#REF!),"")</f>
        <v/>
      </c>
      <c r="D69" s="640" t="s">
        <v>733</v>
      </c>
      <c r="E69" s="641" t="s">
        <v>377</v>
      </c>
      <c r="F69" s="640" t="s">
        <v>374</v>
      </c>
      <c r="G69" s="638" t="s">
        <v>566</v>
      </c>
      <c r="H69" s="642">
        <v>1622</v>
      </c>
      <c r="I69" s="642"/>
      <c r="J69" s="642">
        <v>0</v>
      </c>
      <c r="K69" s="642">
        <v>0</v>
      </c>
      <c r="L69" s="643">
        <f t="shared" si="18"/>
        <v>1622</v>
      </c>
      <c r="M69" s="644">
        <f t="shared" si="10"/>
        <v>129.76</v>
      </c>
      <c r="N69" s="643">
        <f t="shared" si="11"/>
        <v>135.16666666666666</v>
      </c>
      <c r="O69" s="643">
        <f t="shared" si="19"/>
        <v>45.05555555555555</v>
      </c>
      <c r="P69" s="643">
        <f t="shared" si="20"/>
        <v>14.417777777777776</v>
      </c>
      <c r="Q69" s="455">
        <f t="shared" si="14"/>
        <v>135.16666666666666</v>
      </c>
      <c r="R69" s="455">
        <f t="shared" si="21"/>
        <v>10.813333333333333</v>
      </c>
      <c r="S69" s="643">
        <f t="shared" si="22"/>
        <v>340.61999999999995</v>
      </c>
      <c r="T69" s="643">
        <f t="shared" si="23"/>
        <v>2092.38</v>
      </c>
      <c r="U69" s="806"/>
      <c r="V69" s="821"/>
      <c r="W69" s="820"/>
      <c r="X69" s="822"/>
      <c r="Y69" s="823"/>
    </row>
    <row r="70" spans="2:25" ht="15" customHeight="1" x14ac:dyDescent="0.25">
      <c r="B70" s="638" t="s">
        <v>72</v>
      </c>
      <c r="C70" s="639" t="str">
        <f>IFERROR(_xlfn.XLOOKUP($G70,COM_Cadastro!#REF!,COM_Cadastro!#REF!),"")</f>
        <v/>
      </c>
      <c r="D70" s="640" t="s">
        <v>733</v>
      </c>
      <c r="E70" s="641" t="s">
        <v>377</v>
      </c>
      <c r="F70" s="640" t="s">
        <v>374</v>
      </c>
      <c r="G70" s="638" t="s">
        <v>604</v>
      </c>
      <c r="H70" s="642">
        <v>1622</v>
      </c>
      <c r="I70" s="642"/>
      <c r="J70" s="642">
        <v>728.36</v>
      </c>
      <c r="K70" s="642">
        <v>585</v>
      </c>
      <c r="L70" s="643">
        <f t="shared" si="18"/>
        <v>2935.36</v>
      </c>
      <c r="M70" s="644">
        <f t="shared" si="10"/>
        <v>129.76</v>
      </c>
      <c r="N70" s="643">
        <f t="shared" si="11"/>
        <v>135.16666666666666</v>
      </c>
      <c r="O70" s="643">
        <f t="shared" si="19"/>
        <v>45.05555555555555</v>
      </c>
      <c r="P70" s="643">
        <f t="shared" si="20"/>
        <v>14.417777777777776</v>
      </c>
      <c r="Q70" s="455">
        <f t="shared" si="14"/>
        <v>135.16666666666666</v>
      </c>
      <c r="R70" s="455">
        <f t="shared" si="21"/>
        <v>10.813333333333333</v>
      </c>
      <c r="S70" s="643">
        <f t="shared" si="22"/>
        <v>340.61999999999995</v>
      </c>
      <c r="T70" s="643">
        <f t="shared" si="23"/>
        <v>3405.74</v>
      </c>
      <c r="U70" s="806"/>
      <c r="V70" s="821"/>
      <c r="W70" s="820"/>
      <c r="X70" s="822"/>
      <c r="Y70" s="823"/>
    </row>
    <row r="71" spans="2:25" ht="15" customHeight="1" x14ac:dyDescent="0.25">
      <c r="B71" s="638" t="s">
        <v>72</v>
      </c>
      <c r="C71" s="639" t="str">
        <f>IFERROR(_xlfn.XLOOKUP($G71,COM_Cadastro!#REF!,COM_Cadastro!#REF!),"")</f>
        <v/>
      </c>
      <c r="D71" s="640" t="s">
        <v>733</v>
      </c>
      <c r="E71" s="641" t="s">
        <v>377</v>
      </c>
      <c r="F71" s="640" t="s">
        <v>374</v>
      </c>
      <c r="G71" s="638" t="s">
        <v>615</v>
      </c>
      <c r="H71" s="642">
        <v>1622</v>
      </c>
      <c r="I71" s="642"/>
      <c r="J71" s="642">
        <v>933.4</v>
      </c>
      <c r="K71" s="642">
        <v>585</v>
      </c>
      <c r="L71" s="643">
        <f t="shared" si="18"/>
        <v>3140.4</v>
      </c>
      <c r="M71" s="644">
        <f t="shared" si="10"/>
        <v>129.76</v>
      </c>
      <c r="N71" s="643">
        <f t="shared" si="11"/>
        <v>135.16666666666666</v>
      </c>
      <c r="O71" s="643">
        <f t="shared" si="19"/>
        <v>45.05555555555555</v>
      </c>
      <c r="P71" s="643">
        <f t="shared" si="20"/>
        <v>14.417777777777776</v>
      </c>
      <c r="Q71" s="455">
        <f t="shared" si="14"/>
        <v>135.16666666666666</v>
      </c>
      <c r="R71" s="455">
        <f t="shared" si="21"/>
        <v>10.813333333333333</v>
      </c>
      <c r="S71" s="643">
        <f t="shared" si="22"/>
        <v>340.61999999999995</v>
      </c>
      <c r="T71" s="643">
        <f t="shared" si="23"/>
        <v>3610.7799999999997</v>
      </c>
      <c r="U71" s="806"/>
      <c r="V71" s="821"/>
      <c r="W71" s="820"/>
      <c r="X71" s="822"/>
      <c r="Y71" s="823"/>
    </row>
    <row r="72" spans="2:25" ht="15" customHeight="1" x14ac:dyDescent="0.25">
      <c r="B72" s="663" t="s">
        <v>72</v>
      </c>
      <c r="C72" s="664" t="str">
        <f>IFERROR(_xlfn.XLOOKUP($G72,COM_Cadastro!#REF!,COM_Cadastro!#REF!),"")</f>
        <v/>
      </c>
      <c r="D72" s="665" t="s">
        <v>378</v>
      </c>
      <c r="E72" s="666" t="s">
        <v>378</v>
      </c>
      <c r="F72" s="665" t="s">
        <v>368</v>
      </c>
      <c r="G72" s="667" t="s">
        <v>802</v>
      </c>
      <c r="H72" s="668">
        <v>1800</v>
      </c>
      <c r="I72" s="669"/>
      <c r="J72" s="669"/>
      <c r="K72" s="669"/>
      <c r="L72" s="670">
        <f t="shared" si="18"/>
        <v>1800</v>
      </c>
      <c r="M72" s="670"/>
      <c r="N72" s="670"/>
      <c r="O72" s="670"/>
      <c r="P72" s="670"/>
      <c r="Q72" s="670"/>
      <c r="R72" s="670"/>
      <c r="S72" s="670"/>
      <c r="T72" s="670">
        <f t="shared" si="23"/>
        <v>1800</v>
      </c>
      <c r="U72" s="820"/>
      <c r="V72" s="820"/>
      <c r="W72" s="820"/>
      <c r="X72" s="820"/>
      <c r="Y72" s="820"/>
    </row>
    <row r="73" spans="2:25" ht="15" customHeight="1" x14ac:dyDescent="0.25">
      <c r="B73" s="663" t="s">
        <v>72</v>
      </c>
      <c r="C73" s="664" t="str">
        <f>IFERROR(_xlfn.XLOOKUP($G73,COM_Cadastro!#REF!,COM_Cadastro!#REF!),"")</f>
        <v/>
      </c>
      <c r="D73" s="665" t="s">
        <v>378</v>
      </c>
      <c r="E73" s="666" t="s">
        <v>378</v>
      </c>
      <c r="F73" s="665" t="s">
        <v>368</v>
      </c>
      <c r="G73" s="667" t="s">
        <v>744</v>
      </c>
      <c r="H73" s="668">
        <v>1080</v>
      </c>
      <c r="I73" s="669"/>
      <c r="J73" s="669"/>
      <c r="K73" s="669"/>
      <c r="L73" s="670">
        <f t="shared" si="18"/>
        <v>1080</v>
      </c>
      <c r="M73" s="670"/>
      <c r="N73" s="670"/>
      <c r="O73" s="670"/>
      <c r="P73" s="670"/>
      <c r="Q73" s="670"/>
      <c r="R73" s="670"/>
      <c r="S73" s="670"/>
      <c r="T73" s="670">
        <f t="shared" si="23"/>
        <v>1080</v>
      </c>
      <c r="U73" s="820"/>
      <c r="V73" s="820"/>
      <c r="W73" s="820"/>
      <c r="X73" s="820"/>
      <c r="Y73" s="820"/>
    </row>
    <row r="74" spans="2:25" ht="15" customHeight="1" x14ac:dyDescent="0.25">
      <c r="B74" s="663" t="s">
        <v>72</v>
      </c>
      <c r="C74" s="664" t="str">
        <f>IFERROR(_xlfn.XLOOKUP($G74,COM_Cadastro!#REF!,COM_Cadastro!#REF!),"")</f>
        <v/>
      </c>
      <c r="D74" s="665" t="s">
        <v>378</v>
      </c>
      <c r="E74" s="666" t="s">
        <v>378</v>
      </c>
      <c r="F74" s="665" t="s">
        <v>368</v>
      </c>
      <c r="G74" s="667" t="s">
        <v>745</v>
      </c>
      <c r="H74" s="668">
        <v>3254</v>
      </c>
      <c r="I74" s="669"/>
      <c r="J74" s="669"/>
      <c r="K74" s="669"/>
      <c r="L74" s="670">
        <f t="shared" si="18"/>
        <v>3254</v>
      </c>
      <c r="M74" s="670"/>
      <c r="N74" s="670"/>
      <c r="O74" s="670"/>
      <c r="P74" s="670"/>
      <c r="Q74" s="670"/>
      <c r="R74" s="670"/>
      <c r="S74" s="670"/>
      <c r="T74" s="670">
        <f t="shared" si="23"/>
        <v>3254</v>
      </c>
      <c r="U74" s="820"/>
      <c r="V74" s="820"/>
      <c r="W74" s="820"/>
      <c r="X74" s="820"/>
      <c r="Y74" s="820"/>
    </row>
    <row r="75" spans="2:25" ht="15" customHeight="1" x14ac:dyDescent="0.25">
      <c r="B75" s="663" t="s">
        <v>72</v>
      </c>
      <c r="C75" s="664" t="str">
        <f>IFERROR(_xlfn.XLOOKUP($G75,COM_Cadastro!#REF!,COM_Cadastro!#REF!),"")</f>
        <v/>
      </c>
      <c r="D75" s="665" t="s">
        <v>378</v>
      </c>
      <c r="E75" s="666" t="s">
        <v>378</v>
      </c>
      <c r="F75" s="665" t="s">
        <v>368</v>
      </c>
      <c r="G75" s="667" t="s">
        <v>393</v>
      </c>
      <c r="H75" s="668">
        <v>2910</v>
      </c>
      <c r="I75" s="669"/>
      <c r="J75" s="669"/>
      <c r="K75" s="669"/>
      <c r="L75" s="670">
        <f t="shared" si="18"/>
        <v>2910</v>
      </c>
      <c r="M75" s="670"/>
      <c r="N75" s="670"/>
      <c r="O75" s="670"/>
      <c r="P75" s="670"/>
      <c r="Q75" s="670"/>
      <c r="R75" s="670"/>
      <c r="S75" s="670"/>
      <c r="T75" s="670">
        <f t="shared" si="23"/>
        <v>2910</v>
      </c>
      <c r="U75" s="820"/>
      <c r="V75" s="820"/>
      <c r="W75" s="820"/>
      <c r="X75" s="820"/>
      <c r="Y75" s="820"/>
    </row>
    <row r="76" spans="2:25" ht="15" customHeight="1" x14ac:dyDescent="0.25">
      <c r="B76" s="663" t="s">
        <v>72</v>
      </c>
      <c r="C76" s="664" t="str">
        <f>IFERROR(_xlfn.XLOOKUP($G76,COM_Cadastro!#REF!,COM_Cadastro!#REF!),"")</f>
        <v/>
      </c>
      <c r="D76" s="665" t="s">
        <v>378</v>
      </c>
      <c r="E76" s="666" t="s">
        <v>378</v>
      </c>
      <c r="F76" s="665" t="s">
        <v>368</v>
      </c>
      <c r="G76" s="667" t="s">
        <v>394</v>
      </c>
      <c r="H76" s="668">
        <v>1800</v>
      </c>
      <c r="I76" s="669"/>
      <c r="J76" s="669"/>
      <c r="K76" s="669"/>
      <c r="L76" s="670">
        <f t="shared" si="18"/>
        <v>1800</v>
      </c>
      <c r="M76" s="670"/>
      <c r="N76" s="670"/>
      <c r="O76" s="670"/>
      <c r="P76" s="670"/>
      <c r="Q76" s="670"/>
      <c r="R76" s="670"/>
      <c r="S76" s="670"/>
      <c r="T76" s="670">
        <f t="shared" si="23"/>
        <v>1800</v>
      </c>
      <c r="U76" s="820"/>
      <c r="V76" s="820"/>
      <c r="W76" s="820"/>
      <c r="X76" s="820"/>
      <c r="Y76" s="820"/>
    </row>
    <row r="77" spans="2:25" ht="15" customHeight="1" x14ac:dyDescent="0.25">
      <c r="B77" s="663" t="s">
        <v>72</v>
      </c>
      <c r="C77" s="664" t="str">
        <f>IFERROR(_xlfn.XLOOKUP($G77,COM_Cadastro!#REF!,COM_Cadastro!#REF!),"")</f>
        <v/>
      </c>
      <c r="D77" s="665" t="s">
        <v>378</v>
      </c>
      <c r="E77" s="666" t="s">
        <v>378</v>
      </c>
      <c r="F77" s="665" t="s">
        <v>368</v>
      </c>
      <c r="G77" s="667" t="s">
        <v>746</v>
      </c>
      <c r="H77" s="668">
        <v>3807</v>
      </c>
      <c r="I77" s="669"/>
      <c r="J77" s="669"/>
      <c r="K77" s="669"/>
      <c r="L77" s="670">
        <f t="shared" si="18"/>
        <v>3807</v>
      </c>
      <c r="M77" s="670"/>
      <c r="N77" s="670"/>
      <c r="O77" s="670"/>
      <c r="P77" s="670"/>
      <c r="Q77" s="670"/>
      <c r="R77" s="670"/>
      <c r="S77" s="670"/>
      <c r="T77" s="670">
        <f t="shared" si="23"/>
        <v>3807</v>
      </c>
      <c r="U77" s="820"/>
      <c r="V77" s="820"/>
      <c r="W77" s="820"/>
      <c r="X77" s="820"/>
      <c r="Y77" s="820"/>
    </row>
    <row r="78" spans="2:25" ht="15" customHeight="1" x14ac:dyDescent="0.25">
      <c r="B78" s="663" t="s">
        <v>72</v>
      </c>
      <c r="C78" s="664" t="str">
        <f>IFERROR(_xlfn.XLOOKUP($G78,COM_Cadastro!#REF!,COM_Cadastro!#REF!),"")</f>
        <v/>
      </c>
      <c r="D78" s="665" t="s">
        <v>378</v>
      </c>
      <c r="E78" s="666" t="s">
        <v>378</v>
      </c>
      <c r="F78" s="665" t="s">
        <v>368</v>
      </c>
      <c r="G78" s="667" t="s">
        <v>398</v>
      </c>
      <c r="H78" s="668">
        <v>2610</v>
      </c>
      <c r="I78" s="669"/>
      <c r="J78" s="669"/>
      <c r="K78" s="669"/>
      <c r="L78" s="670">
        <f t="shared" si="18"/>
        <v>2610</v>
      </c>
      <c r="M78" s="670"/>
      <c r="N78" s="670"/>
      <c r="O78" s="670"/>
      <c r="P78" s="670"/>
      <c r="Q78" s="670"/>
      <c r="R78" s="670"/>
      <c r="S78" s="670"/>
      <c r="T78" s="819">
        <f t="shared" si="23"/>
        <v>2610</v>
      </c>
      <c r="U78" s="820"/>
      <c r="V78" s="820"/>
      <c r="W78" s="820"/>
      <c r="X78" s="820"/>
      <c r="Y78" s="820"/>
    </row>
    <row r="79" spans="2:25" ht="15" customHeight="1" x14ac:dyDescent="0.25">
      <c r="B79" s="663" t="s">
        <v>72</v>
      </c>
      <c r="C79" s="664" t="str">
        <f>IFERROR(_xlfn.XLOOKUP($G79,COM_Cadastro!#REF!,COM_Cadastro!#REF!),"")</f>
        <v/>
      </c>
      <c r="D79" s="665" t="s">
        <v>378</v>
      </c>
      <c r="E79" s="666" t="s">
        <v>378</v>
      </c>
      <c r="F79" s="665" t="s">
        <v>368</v>
      </c>
      <c r="G79" s="667" t="s">
        <v>747</v>
      </c>
      <c r="H79" s="668">
        <v>2500</v>
      </c>
      <c r="I79" s="669"/>
      <c r="J79" s="669"/>
      <c r="K79" s="669"/>
      <c r="L79" s="670">
        <f t="shared" si="18"/>
        <v>2500</v>
      </c>
      <c r="M79" s="670"/>
      <c r="N79" s="670"/>
      <c r="O79" s="670"/>
      <c r="P79" s="670"/>
      <c r="Q79" s="670"/>
      <c r="R79" s="670"/>
      <c r="S79" s="670"/>
      <c r="T79" s="819">
        <f t="shared" si="23"/>
        <v>2500</v>
      </c>
      <c r="U79" s="820"/>
      <c r="V79" s="820"/>
      <c r="W79" s="820"/>
      <c r="X79" s="820"/>
      <c r="Y79" s="820"/>
    </row>
    <row r="80" spans="2:25" ht="15" customHeight="1" x14ac:dyDescent="0.25">
      <c r="B80" s="663" t="s">
        <v>72</v>
      </c>
      <c r="C80" s="664" t="str">
        <f>IFERROR(_xlfn.XLOOKUP($G80,COM_Cadastro!#REF!,COM_Cadastro!#REF!),"")</f>
        <v/>
      </c>
      <c r="D80" s="665" t="s">
        <v>378</v>
      </c>
      <c r="E80" s="666" t="s">
        <v>378</v>
      </c>
      <c r="F80" s="665" t="s">
        <v>368</v>
      </c>
      <c r="G80" s="667" t="s">
        <v>404</v>
      </c>
      <c r="H80" s="668">
        <v>2085</v>
      </c>
      <c r="I80" s="669"/>
      <c r="J80" s="669"/>
      <c r="K80" s="669"/>
      <c r="L80" s="670">
        <f t="shared" si="18"/>
        <v>2085</v>
      </c>
      <c r="M80" s="670"/>
      <c r="N80" s="670"/>
      <c r="O80" s="670"/>
      <c r="P80" s="670"/>
      <c r="Q80" s="670"/>
      <c r="R80" s="670"/>
      <c r="S80" s="670"/>
      <c r="T80" s="819">
        <f t="shared" si="23"/>
        <v>2085</v>
      </c>
      <c r="U80" s="820"/>
      <c r="V80" s="820"/>
      <c r="W80" s="820"/>
      <c r="X80" s="820"/>
      <c r="Y80" s="820"/>
    </row>
    <row r="81" spans="2:25" ht="15" customHeight="1" x14ac:dyDescent="0.25">
      <c r="B81" s="663" t="s">
        <v>72</v>
      </c>
      <c r="C81" s="664" t="str">
        <f>IFERROR(_xlfn.XLOOKUP($G81,COM_Cadastro!#REF!,COM_Cadastro!#REF!),"")</f>
        <v/>
      </c>
      <c r="D81" s="665" t="s">
        <v>378</v>
      </c>
      <c r="E81" s="666" t="s">
        <v>378</v>
      </c>
      <c r="F81" s="665" t="s">
        <v>368</v>
      </c>
      <c r="G81" s="667" t="s">
        <v>748</v>
      </c>
      <c r="H81" s="668">
        <v>2990</v>
      </c>
      <c r="I81" s="669"/>
      <c r="J81" s="669"/>
      <c r="K81" s="669"/>
      <c r="L81" s="670">
        <f t="shared" si="18"/>
        <v>2990</v>
      </c>
      <c r="M81" s="670"/>
      <c r="N81" s="670"/>
      <c r="O81" s="670"/>
      <c r="P81" s="670"/>
      <c r="Q81" s="670"/>
      <c r="R81" s="670"/>
      <c r="S81" s="670"/>
      <c r="T81" s="819">
        <f t="shared" si="23"/>
        <v>2990</v>
      </c>
      <c r="U81" s="820"/>
      <c r="V81" s="820"/>
      <c r="W81" s="820"/>
      <c r="X81" s="820"/>
      <c r="Y81" s="820"/>
    </row>
    <row r="82" spans="2:25" ht="15" customHeight="1" x14ac:dyDescent="0.25">
      <c r="B82" s="663" t="s">
        <v>72</v>
      </c>
      <c r="C82" s="664" t="str">
        <f>IFERROR(_xlfn.XLOOKUP($G82,COM_Cadastro!#REF!,COM_Cadastro!#REF!),"")</f>
        <v/>
      </c>
      <c r="D82" s="665" t="s">
        <v>378</v>
      </c>
      <c r="E82" s="666" t="s">
        <v>378</v>
      </c>
      <c r="F82" s="665" t="s">
        <v>368</v>
      </c>
      <c r="G82" s="667" t="s">
        <v>749</v>
      </c>
      <c r="H82" s="668">
        <v>1300</v>
      </c>
      <c r="I82" s="669"/>
      <c r="J82" s="669"/>
      <c r="K82" s="669"/>
      <c r="L82" s="670">
        <f t="shared" si="18"/>
        <v>1300</v>
      </c>
      <c r="M82" s="670"/>
      <c r="N82" s="670"/>
      <c r="O82" s="670"/>
      <c r="P82" s="670"/>
      <c r="Q82" s="670"/>
      <c r="R82" s="670"/>
      <c r="S82" s="670"/>
      <c r="T82" s="819">
        <f t="shared" si="23"/>
        <v>1300</v>
      </c>
      <c r="U82" s="820"/>
      <c r="V82" s="820"/>
      <c r="W82" s="820"/>
      <c r="X82" s="820"/>
      <c r="Y82" s="820"/>
    </row>
    <row r="83" spans="2:25" ht="15" customHeight="1" x14ac:dyDescent="0.25">
      <c r="B83" s="663" t="s">
        <v>72</v>
      </c>
      <c r="C83" s="664" t="str">
        <f>IFERROR(_xlfn.XLOOKUP($G83,COM_Cadastro!#REF!,COM_Cadastro!#REF!),"")</f>
        <v/>
      </c>
      <c r="D83" s="665" t="s">
        <v>378</v>
      </c>
      <c r="E83" s="666" t="s">
        <v>378</v>
      </c>
      <c r="F83" s="665" t="s">
        <v>368</v>
      </c>
      <c r="G83" s="667" t="s">
        <v>425</v>
      </c>
      <c r="H83" s="668">
        <v>2420</v>
      </c>
      <c r="I83" s="669"/>
      <c r="J83" s="669"/>
      <c r="K83" s="669"/>
      <c r="L83" s="670">
        <f t="shared" si="18"/>
        <v>2420</v>
      </c>
      <c r="M83" s="670"/>
      <c r="N83" s="670"/>
      <c r="O83" s="670"/>
      <c r="P83" s="670"/>
      <c r="Q83" s="670"/>
      <c r="R83" s="670"/>
      <c r="S83" s="670"/>
      <c r="T83" s="819">
        <f t="shared" si="23"/>
        <v>2420</v>
      </c>
      <c r="U83" s="820"/>
      <c r="V83" s="820"/>
      <c r="W83" s="820"/>
      <c r="X83" s="820"/>
      <c r="Y83" s="820"/>
    </row>
    <row r="84" spans="2:25" ht="15" customHeight="1" x14ac:dyDescent="0.25">
      <c r="B84" s="663" t="s">
        <v>72</v>
      </c>
      <c r="C84" s="664" t="str">
        <f>IFERROR(_xlfn.XLOOKUP($G84,COM_Cadastro!#REF!,COM_Cadastro!#REF!),"")</f>
        <v/>
      </c>
      <c r="D84" s="665" t="s">
        <v>378</v>
      </c>
      <c r="E84" s="666" t="s">
        <v>378</v>
      </c>
      <c r="F84" s="665" t="s">
        <v>368</v>
      </c>
      <c r="G84" s="667" t="s">
        <v>429</v>
      </c>
      <c r="H84" s="668">
        <v>1801</v>
      </c>
      <c r="I84" s="669"/>
      <c r="J84" s="669"/>
      <c r="K84" s="669"/>
      <c r="L84" s="670">
        <f t="shared" si="18"/>
        <v>1801</v>
      </c>
      <c r="M84" s="670"/>
      <c r="N84" s="670"/>
      <c r="O84" s="670"/>
      <c r="P84" s="670"/>
      <c r="Q84" s="670"/>
      <c r="R84" s="670"/>
      <c r="S84" s="670"/>
      <c r="T84" s="819">
        <f t="shared" si="23"/>
        <v>1801</v>
      </c>
      <c r="U84" s="820"/>
      <c r="V84" s="820"/>
      <c r="W84" s="820"/>
      <c r="X84" s="820"/>
      <c r="Y84" s="820"/>
    </row>
    <row r="85" spans="2:25" ht="15" customHeight="1" x14ac:dyDescent="0.25">
      <c r="B85" s="663" t="s">
        <v>72</v>
      </c>
      <c r="C85" s="664" t="str">
        <f>IFERROR(_xlfn.XLOOKUP($G85,COM_Cadastro!#REF!,COM_Cadastro!#REF!),"")</f>
        <v/>
      </c>
      <c r="D85" s="665" t="s">
        <v>378</v>
      </c>
      <c r="E85" s="666" t="s">
        <v>378</v>
      </c>
      <c r="F85" s="665" t="s">
        <v>368</v>
      </c>
      <c r="G85" s="667" t="s">
        <v>434</v>
      </c>
      <c r="H85" s="668">
        <v>2915</v>
      </c>
      <c r="I85" s="669"/>
      <c r="J85" s="669"/>
      <c r="K85" s="669"/>
      <c r="L85" s="670">
        <f t="shared" si="18"/>
        <v>2915</v>
      </c>
      <c r="M85" s="670"/>
      <c r="N85" s="670"/>
      <c r="O85" s="670"/>
      <c r="P85" s="670"/>
      <c r="Q85" s="670"/>
      <c r="R85" s="670"/>
      <c r="S85" s="670"/>
      <c r="T85" s="819">
        <f t="shared" si="23"/>
        <v>2915</v>
      </c>
      <c r="U85" s="820"/>
      <c r="V85" s="820"/>
      <c r="W85" s="820"/>
      <c r="X85" s="820"/>
      <c r="Y85" s="820"/>
    </row>
    <row r="86" spans="2:25" ht="15" customHeight="1" x14ac:dyDescent="0.25">
      <c r="B86" s="663" t="s">
        <v>72</v>
      </c>
      <c r="C86" s="664" t="str">
        <f>IFERROR(_xlfn.XLOOKUP($G86,COM_Cadastro!#REF!,COM_Cadastro!#REF!),"")</f>
        <v/>
      </c>
      <c r="D86" s="665" t="s">
        <v>378</v>
      </c>
      <c r="E86" s="666" t="s">
        <v>378</v>
      </c>
      <c r="F86" s="665" t="s">
        <v>368</v>
      </c>
      <c r="G86" s="667" t="s">
        <v>436</v>
      </c>
      <c r="H86" s="668">
        <v>1037</v>
      </c>
      <c r="I86" s="669"/>
      <c r="J86" s="669"/>
      <c r="K86" s="669"/>
      <c r="L86" s="670">
        <f t="shared" si="18"/>
        <v>1037</v>
      </c>
      <c r="M86" s="670"/>
      <c r="N86" s="670"/>
      <c r="O86" s="670"/>
      <c r="P86" s="670"/>
      <c r="Q86" s="670"/>
      <c r="R86" s="670"/>
      <c r="S86" s="670"/>
      <c r="T86" s="819">
        <f t="shared" si="23"/>
        <v>1037</v>
      </c>
      <c r="U86" s="820"/>
      <c r="V86" s="820"/>
      <c r="W86" s="820"/>
      <c r="X86" s="820"/>
      <c r="Y86" s="820"/>
    </row>
    <row r="87" spans="2:25" ht="15" customHeight="1" x14ac:dyDescent="0.25">
      <c r="B87" s="663" t="s">
        <v>72</v>
      </c>
      <c r="C87" s="664" t="str">
        <f>IFERROR(_xlfn.XLOOKUP($G87,COM_Cadastro!#REF!,COM_Cadastro!#REF!),"")</f>
        <v/>
      </c>
      <c r="D87" s="665" t="s">
        <v>378</v>
      </c>
      <c r="E87" s="666" t="s">
        <v>378</v>
      </c>
      <c r="F87" s="665" t="s">
        <v>368</v>
      </c>
      <c r="G87" s="667" t="s">
        <v>750</v>
      </c>
      <c r="H87" s="668">
        <v>2530</v>
      </c>
      <c r="I87" s="669"/>
      <c r="J87" s="669"/>
      <c r="K87" s="669"/>
      <c r="L87" s="670">
        <f t="shared" si="18"/>
        <v>2530</v>
      </c>
      <c r="M87" s="670"/>
      <c r="N87" s="670"/>
      <c r="O87" s="670"/>
      <c r="P87" s="670"/>
      <c r="Q87" s="670"/>
      <c r="R87" s="670"/>
      <c r="S87" s="670"/>
      <c r="T87" s="819">
        <f t="shared" si="23"/>
        <v>2530</v>
      </c>
      <c r="U87" s="820"/>
      <c r="V87" s="820"/>
      <c r="W87" s="820"/>
      <c r="X87" s="820"/>
      <c r="Y87" s="820"/>
    </row>
    <row r="88" spans="2:25" ht="15" customHeight="1" x14ac:dyDescent="0.25">
      <c r="B88" s="663" t="s">
        <v>72</v>
      </c>
      <c r="C88" s="664" t="str">
        <f>IFERROR(_xlfn.XLOOKUP($G88,COM_Cadastro!#REF!,COM_Cadastro!#REF!),"")</f>
        <v/>
      </c>
      <c r="D88" s="665" t="s">
        <v>378</v>
      </c>
      <c r="E88" s="666" t="s">
        <v>378</v>
      </c>
      <c r="F88" s="665" t="s">
        <v>368</v>
      </c>
      <c r="G88" s="667" t="s">
        <v>442</v>
      </c>
      <c r="H88" s="668">
        <v>2460</v>
      </c>
      <c r="I88" s="669"/>
      <c r="J88" s="669"/>
      <c r="K88" s="669"/>
      <c r="L88" s="670">
        <f t="shared" si="18"/>
        <v>2460</v>
      </c>
      <c r="M88" s="670"/>
      <c r="N88" s="670"/>
      <c r="O88" s="670"/>
      <c r="P88" s="670"/>
      <c r="Q88" s="670"/>
      <c r="R88" s="670"/>
      <c r="S88" s="670"/>
      <c r="T88" s="819">
        <f t="shared" si="23"/>
        <v>2460</v>
      </c>
      <c r="U88" s="820"/>
      <c r="V88" s="820"/>
      <c r="W88" s="820"/>
      <c r="X88" s="820"/>
      <c r="Y88" s="820"/>
    </row>
    <row r="89" spans="2:25" ht="15" customHeight="1" x14ac:dyDescent="0.25">
      <c r="B89" s="663" t="s">
        <v>72</v>
      </c>
      <c r="C89" s="664" t="str">
        <f>IFERROR(_xlfn.XLOOKUP($G89,COM_Cadastro!#REF!,COM_Cadastro!#REF!),"")</f>
        <v/>
      </c>
      <c r="D89" s="665" t="s">
        <v>378</v>
      </c>
      <c r="E89" s="666" t="s">
        <v>378</v>
      </c>
      <c r="F89" s="665" t="s">
        <v>368</v>
      </c>
      <c r="G89" s="667" t="s">
        <v>445</v>
      </c>
      <c r="H89" s="668">
        <v>2160</v>
      </c>
      <c r="I89" s="669"/>
      <c r="J89" s="669"/>
      <c r="K89" s="669"/>
      <c r="L89" s="670">
        <f t="shared" si="18"/>
        <v>2160</v>
      </c>
      <c r="M89" s="670"/>
      <c r="N89" s="670"/>
      <c r="O89" s="670"/>
      <c r="P89" s="670"/>
      <c r="Q89" s="670"/>
      <c r="R89" s="670"/>
      <c r="S89" s="670"/>
      <c r="T89" s="819">
        <f t="shared" si="23"/>
        <v>2160</v>
      </c>
      <c r="U89" s="820"/>
      <c r="V89" s="820"/>
      <c r="W89" s="820"/>
      <c r="X89" s="820"/>
      <c r="Y89" s="820"/>
    </row>
    <row r="90" spans="2:25" ht="15" customHeight="1" x14ac:dyDescent="0.25">
      <c r="B90" s="663" t="s">
        <v>72</v>
      </c>
      <c r="C90" s="664" t="str">
        <f>IFERROR(_xlfn.XLOOKUP($G90,COM_Cadastro!#REF!,COM_Cadastro!#REF!),"")</f>
        <v/>
      </c>
      <c r="D90" s="665" t="s">
        <v>378</v>
      </c>
      <c r="E90" s="666" t="s">
        <v>378</v>
      </c>
      <c r="F90" s="665" t="s">
        <v>368</v>
      </c>
      <c r="G90" s="667" t="s">
        <v>449</v>
      </c>
      <c r="H90" s="668">
        <v>2160</v>
      </c>
      <c r="I90" s="669"/>
      <c r="J90" s="669"/>
      <c r="K90" s="669"/>
      <c r="L90" s="670">
        <f t="shared" si="18"/>
        <v>2160</v>
      </c>
      <c r="M90" s="670"/>
      <c r="N90" s="670"/>
      <c r="O90" s="670"/>
      <c r="P90" s="670"/>
      <c r="Q90" s="670"/>
      <c r="R90" s="670"/>
      <c r="S90" s="670"/>
      <c r="T90" s="819">
        <f t="shared" si="23"/>
        <v>2160</v>
      </c>
      <c r="U90" s="820"/>
      <c r="V90" s="820"/>
      <c r="W90" s="820"/>
      <c r="X90" s="820"/>
      <c r="Y90" s="820"/>
    </row>
    <row r="91" spans="2:25" ht="15" customHeight="1" x14ac:dyDescent="0.25">
      <c r="B91" s="663" t="s">
        <v>72</v>
      </c>
      <c r="C91" s="664" t="str">
        <f>IFERROR(_xlfn.XLOOKUP($G91,COM_Cadastro!#REF!,COM_Cadastro!#REF!),"")</f>
        <v/>
      </c>
      <c r="D91" s="665" t="s">
        <v>378</v>
      </c>
      <c r="E91" s="666" t="s">
        <v>378</v>
      </c>
      <c r="F91" s="665" t="s">
        <v>368</v>
      </c>
      <c r="G91" s="667" t="s">
        <v>454</v>
      </c>
      <c r="H91" s="668">
        <v>2460</v>
      </c>
      <c r="I91" s="669"/>
      <c r="J91" s="669"/>
      <c r="K91" s="669"/>
      <c r="L91" s="670">
        <f t="shared" si="18"/>
        <v>2460</v>
      </c>
      <c r="M91" s="670"/>
      <c r="N91" s="670"/>
      <c r="O91" s="670"/>
      <c r="P91" s="670"/>
      <c r="Q91" s="670"/>
      <c r="R91" s="670"/>
      <c r="S91" s="670"/>
      <c r="T91" s="819">
        <f t="shared" si="23"/>
        <v>2460</v>
      </c>
      <c r="U91" s="820"/>
      <c r="V91" s="820"/>
      <c r="W91" s="820"/>
      <c r="X91" s="820"/>
      <c r="Y91" s="820"/>
    </row>
    <row r="92" spans="2:25" ht="15" customHeight="1" x14ac:dyDescent="0.25">
      <c r="B92" s="663" t="s">
        <v>72</v>
      </c>
      <c r="C92" s="664" t="str">
        <f>IFERROR(_xlfn.XLOOKUP($G92,COM_Cadastro!#REF!,COM_Cadastro!#REF!),"")</f>
        <v/>
      </c>
      <c r="D92" s="665" t="s">
        <v>378</v>
      </c>
      <c r="E92" s="666" t="s">
        <v>378</v>
      </c>
      <c r="F92" s="665" t="s">
        <v>368</v>
      </c>
      <c r="G92" s="667" t="s">
        <v>468</v>
      </c>
      <c r="H92" s="668">
        <v>1260</v>
      </c>
      <c r="I92" s="669"/>
      <c r="J92" s="669"/>
      <c r="K92" s="669"/>
      <c r="L92" s="670">
        <f t="shared" si="18"/>
        <v>1260</v>
      </c>
      <c r="M92" s="670"/>
      <c r="N92" s="670"/>
      <c r="O92" s="670"/>
      <c r="P92" s="670"/>
      <c r="Q92" s="670"/>
      <c r="R92" s="670"/>
      <c r="S92" s="670"/>
      <c r="T92" s="819">
        <f t="shared" si="23"/>
        <v>1260</v>
      </c>
      <c r="U92" s="820"/>
      <c r="V92" s="820"/>
      <c r="W92" s="820"/>
      <c r="X92" s="820"/>
      <c r="Y92" s="820"/>
    </row>
    <row r="93" spans="2:25" ht="15" customHeight="1" x14ac:dyDescent="0.25">
      <c r="B93" s="663" t="s">
        <v>72</v>
      </c>
      <c r="C93" s="664" t="str">
        <f>IFERROR(_xlfn.XLOOKUP($G93,COM_Cadastro!#REF!,COM_Cadastro!#REF!),"")</f>
        <v/>
      </c>
      <c r="D93" s="665" t="s">
        <v>378</v>
      </c>
      <c r="E93" s="666" t="s">
        <v>378</v>
      </c>
      <c r="F93" s="665" t="s">
        <v>368</v>
      </c>
      <c r="G93" s="667" t="s">
        <v>469</v>
      </c>
      <c r="H93" s="668">
        <v>960</v>
      </c>
      <c r="I93" s="669"/>
      <c r="J93" s="669"/>
      <c r="K93" s="669"/>
      <c r="L93" s="670">
        <f t="shared" si="18"/>
        <v>960</v>
      </c>
      <c r="M93" s="670"/>
      <c r="N93" s="670"/>
      <c r="O93" s="670"/>
      <c r="P93" s="670"/>
      <c r="Q93" s="670"/>
      <c r="R93" s="670"/>
      <c r="S93" s="670"/>
      <c r="T93" s="819">
        <f t="shared" si="23"/>
        <v>960</v>
      </c>
      <c r="U93" s="820"/>
      <c r="V93" s="820"/>
      <c r="W93" s="820"/>
      <c r="X93" s="820"/>
      <c r="Y93" s="820"/>
    </row>
    <row r="94" spans="2:25" ht="15" customHeight="1" x14ac:dyDescent="0.25">
      <c r="B94" s="663" t="s">
        <v>72</v>
      </c>
      <c r="C94" s="664" t="str">
        <f>IFERROR(_xlfn.XLOOKUP($G94,COM_Cadastro!#REF!,COM_Cadastro!#REF!),"")</f>
        <v/>
      </c>
      <c r="D94" s="665" t="s">
        <v>378</v>
      </c>
      <c r="E94" s="666" t="s">
        <v>378</v>
      </c>
      <c r="F94" s="665" t="s">
        <v>368</v>
      </c>
      <c r="G94" s="667" t="s">
        <v>472</v>
      </c>
      <c r="H94" s="668">
        <v>1260</v>
      </c>
      <c r="I94" s="669"/>
      <c r="J94" s="669"/>
      <c r="K94" s="669"/>
      <c r="L94" s="670">
        <f t="shared" si="18"/>
        <v>1260</v>
      </c>
      <c r="M94" s="670"/>
      <c r="N94" s="670"/>
      <c r="O94" s="670"/>
      <c r="P94" s="670"/>
      <c r="Q94" s="670"/>
      <c r="R94" s="670"/>
      <c r="S94" s="670"/>
      <c r="T94" s="819">
        <f t="shared" si="23"/>
        <v>1260</v>
      </c>
      <c r="U94" s="820"/>
      <c r="V94" s="820"/>
      <c r="W94" s="820"/>
      <c r="X94" s="820"/>
      <c r="Y94" s="820"/>
    </row>
    <row r="95" spans="2:25" ht="15" customHeight="1" x14ac:dyDescent="0.25">
      <c r="B95" s="663" t="s">
        <v>72</v>
      </c>
      <c r="C95" s="664" t="str">
        <f>IFERROR(_xlfn.XLOOKUP($G95,COM_Cadastro!#REF!,COM_Cadastro!#REF!),"")</f>
        <v/>
      </c>
      <c r="D95" s="665" t="s">
        <v>378</v>
      </c>
      <c r="E95" s="666" t="s">
        <v>378</v>
      </c>
      <c r="F95" s="665" t="s">
        <v>368</v>
      </c>
      <c r="G95" s="667" t="s">
        <v>751</v>
      </c>
      <c r="H95" s="668">
        <v>2530</v>
      </c>
      <c r="I95" s="669"/>
      <c r="J95" s="669"/>
      <c r="K95" s="669"/>
      <c r="L95" s="670">
        <f t="shared" si="18"/>
        <v>2530</v>
      </c>
      <c r="M95" s="670"/>
      <c r="N95" s="670"/>
      <c r="O95" s="670"/>
      <c r="P95" s="670"/>
      <c r="Q95" s="670"/>
      <c r="R95" s="670"/>
      <c r="S95" s="670"/>
      <c r="T95" s="819">
        <f t="shared" si="23"/>
        <v>2530</v>
      </c>
      <c r="U95" s="820"/>
      <c r="V95" s="820"/>
      <c r="W95" s="820"/>
      <c r="X95" s="820"/>
      <c r="Y95" s="820"/>
    </row>
    <row r="96" spans="2:25" ht="15" customHeight="1" x14ac:dyDescent="0.25">
      <c r="B96" s="663" t="s">
        <v>72</v>
      </c>
      <c r="C96" s="664" t="str">
        <f>IFERROR(_xlfn.XLOOKUP($G96,COM_Cadastro!#REF!,COM_Cadastro!#REF!),"")</f>
        <v/>
      </c>
      <c r="D96" s="665" t="s">
        <v>378</v>
      </c>
      <c r="E96" s="666" t="s">
        <v>378</v>
      </c>
      <c r="F96" s="665" t="s">
        <v>368</v>
      </c>
      <c r="G96" s="667" t="s">
        <v>752</v>
      </c>
      <c r="H96" s="668">
        <v>1298</v>
      </c>
      <c r="I96" s="669"/>
      <c r="J96" s="669"/>
      <c r="K96" s="669"/>
      <c r="L96" s="670">
        <f t="shared" si="18"/>
        <v>1298</v>
      </c>
      <c r="M96" s="670"/>
      <c r="N96" s="670"/>
      <c r="O96" s="670"/>
      <c r="P96" s="670"/>
      <c r="Q96" s="670"/>
      <c r="R96" s="670"/>
      <c r="S96" s="670"/>
      <c r="T96" s="819">
        <f t="shared" si="23"/>
        <v>1298</v>
      </c>
      <c r="U96" s="820"/>
      <c r="V96" s="820"/>
      <c r="W96" s="820"/>
      <c r="X96" s="820"/>
      <c r="Y96" s="820"/>
    </row>
    <row r="97" spans="2:25" ht="15" customHeight="1" x14ac:dyDescent="0.25">
      <c r="B97" s="663" t="s">
        <v>72</v>
      </c>
      <c r="C97" s="664" t="str">
        <f>IFERROR(_xlfn.XLOOKUP($G97,COM_Cadastro!#REF!,COM_Cadastro!#REF!),"")</f>
        <v/>
      </c>
      <c r="D97" s="665" t="s">
        <v>378</v>
      </c>
      <c r="E97" s="666" t="s">
        <v>378</v>
      </c>
      <c r="F97" s="665" t="s">
        <v>368</v>
      </c>
      <c r="G97" s="667" t="s">
        <v>753</v>
      </c>
      <c r="H97" s="668">
        <v>2200</v>
      </c>
      <c r="I97" s="669"/>
      <c r="J97" s="669"/>
      <c r="K97" s="669"/>
      <c r="L97" s="670">
        <f t="shared" si="18"/>
        <v>2200</v>
      </c>
      <c r="M97" s="670"/>
      <c r="N97" s="670"/>
      <c r="O97" s="670"/>
      <c r="P97" s="670"/>
      <c r="Q97" s="670"/>
      <c r="R97" s="670"/>
      <c r="S97" s="670"/>
      <c r="T97" s="819">
        <f t="shared" si="23"/>
        <v>2200</v>
      </c>
      <c r="U97" s="820"/>
      <c r="V97" s="820"/>
      <c r="W97" s="820"/>
      <c r="X97" s="820"/>
      <c r="Y97" s="820"/>
    </row>
    <row r="98" spans="2:25" ht="15" customHeight="1" x14ac:dyDescent="0.25">
      <c r="B98" s="663" t="s">
        <v>72</v>
      </c>
      <c r="C98" s="664" t="str">
        <f>IFERROR(_xlfn.XLOOKUP($G98,COM_Cadastro!#REF!,COM_Cadastro!#REF!),"")</f>
        <v/>
      </c>
      <c r="D98" s="665" t="s">
        <v>378</v>
      </c>
      <c r="E98" s="666" t="s">
        <v>378</v>
      </c>
      <c r="F98" s="665" t="s">
        <v>368</v>
      </c>
      <c r="G98" s="667" t="s">
        <v>487</v>
      </c>
      <c r="H98" s="668">
        <v>3360</v>
      </c>
      <c r="I98" s="669"/>
      <c r="J98" s="669"/>
      <c r="K98" s="669"/>
      <c r="L98" s="670">
        <f t="shared" si="18"/>
        <v>3360</v>
      </c>
      <c r="M98" s="670"/>
      <c r="N98" s="670"/>
      <c r="O98" s="670"/>
      <c r="P98" s="670"/>
      <c r="Q98" s="670"/>
      <c r="R98" s="670"/>
      <c r="S98" s="670"/>
      <c r="T98" s="819">
        <f t="shared" si="23"/>
        <v>3360</v>
      </c>
      <c r="U98" s="820"/>
      <c r="V98" s="820"/>
      <c r="W98" s="820"/>
      <c r="X98" s="820"/>
      <c r="Y98" s="820"/>
    </row>
    <row r="99" spans="2:25" ht="15" customHeight="1" x14ac:dyDescent="0.25">
      <c r="B99" s="663" t="s">
        <v>72</v>
      </c>
      <c r="C99" s="664" t="str">
        <f>IFERROR(_xlfn.XLOOKUP($G99,COM_Cadastro!#REF!,COM_Cadastro!#REF!),"")</f>
        <v/>
      </c>
      <c r="D99" s="665" t="s">
        <v>378</v>
      </c>
      <c r="E99" s="666" t="s">
        <v>378</v>
      </c>
      <c r="F99" s="665" t="s">
        <v>368</v>
      </c>
      <c r="G99" s="667" t="s">
        <v>489</v>
      </c>
      <c r="H99" s="668">
        <v>2100</v>
      </c>
      <c r="I99" s="669"/>
      <c r="J99" s="669"/>
      <c r="K99" s="669"/>
      <c r="L99" s="670">
        <f t="shared" ref="L99:L130" si="24">SUM(H99:K99)</f>
        <v>2100</v>
      </c>
      <c r="M99" s="670"/>
      <c r="N99" s="670"/>
      <c r="O99" s="670"/>
      <c r="P99" s="670"/>
      <c r="Q99" s="670"/>
      <c r="R99" s="670"/>
      <c r="S99" s="670"/>
      <c r="T99" s="819">
        <f t="shared" ref="T99:T130" si="25">L99+M99+S99</f>
        <v>2100</v>
      </c>
      <c r="U99" s="820"/>
      <c r="V99" s="820"/>
      <c r="W99" s="820"/>
      <c r="X99" s="820"/>
      <c r="Y99" s="820"/>
    </row>
    <row r="100" spans="2:25" ht="15" customHeight="1" x14ac:dyDescent="0.25">
      <c r="B100" s="663" t="s">
        <v>72</v>
      </c>
      <c r="C100" s="664" t="str">
        <f>IFERROR(_xlfn.XLOOKUP($G100,COM_Cadastro!#REF!,COM_Cadastro!#REF!),"")</f>
        <v/>
      </c>
      <c r="D100" s="665" t="s">
        <v>378</v>
      </c>
      <c r="E100" s="666" t="s">
        <v>378</v>
      </c>
      <c r="F100" s="665" t="s">
        <v>368</v>
      </c>
      <c r="G100" s="667" t="s">
        <v>754</v>
      </c>
      <c r="H100" s="668">
        <v>4041</v>
      </c>
      <c r="I100" s="669"/>
      <c r="J100" s="669"/>
      <c r="K100" s="669"/>
      <c r="L100" s="670">
        <f t="shared" si="24"/>
        <v>4041</v>
      </c>
      <c r="M100" s="670"/>
      <c r="N100" s="670"/>
      <c r="O100" s="670"/>
      <c r="P100" s="670"/>
      <c r="Q100" s="670"/>
      <c r="R100" s="670"/>
      <c r="S100" s="670"/>
      <c r="T100" s="819">
        <f t="shared" si="25"/>
        <v>4041</v>
      </c>
      <c r="U100" s="820"/>
      <c r="V100" s="820"/>
      <c r="W100" s="820"/>
      <c r="X100" s="820"/>
      <c r="Y100" s="820"/>
    </row>
    <row r="101" spans="2:25" ht="15" customHeight="1" x14ac:dyDescent="0.25">
      <c r="B101" s="663" t="s">
        <v>72</v>
      </c>
      <c r="C101" s="664" t="str">
        <f>IFERROR(_xlfn.XLOOKUP($G101,COM_Cadastro!#REF!,COM_Cadastro!#REF!),"")</f>
        <v/>
      </c>
      <c r="D101" s="665" t="s">
        <v>378</v>
      </c>
      <c r="E101" s="666" t="s">
        <v>378</v>
      </c>
      <c r="F101" s="665" t="s">
        <v>368</v>
      </c>
      <c r="G101" s="667" t="s">
        <v>755</v>
      </c>
      <c r="H101" s="668">
        <v>1600</v>
      </c>
      <c r="I101" s="669"/>
      <c r="J101" s="669"/>
      <c r="K101" s="669"/>
      <c r="L101" s="670">
        <f t="shared" si="24"/>
        <v>1600</v>
      </c>
      <c r="M101" s="670"/>
      <c r="N101" s="670"/>
      <c r="O101" s="670"/>
      <c r="P101" s="670"/>
      <c r="Q101" s="670"/>
      <c r="R101" s="670"/>
      <c r="S101" s="670"/>
      <c r="T101" s="819">
        <f t="shared" si="25"/>
        <v>1600</v>
      </c>
      <c r="U101" s="820"/>
      <c r="V101" s="820"/>
      <c r="W101" s="820"/>
      <c r="X101" s="820"/>
      <c r="Y101" s="820"/>
    </row>
    <row r="102" spans="2:25" ht="15" customHeight="1" x14ac:dyDescent="0.25">
      <c r="B102" s="663" t="s">
        <v>72</v>
      </c>
      <c r="C102" s="664" t="str">
        <f>IFERROR(_xlfn.XLOOKUP($G102,COM_Cadastro!#REF!,COM_Cadastro!#REF!),"")</f>
        <v/>
      </c>
      <c r="D102" s="665" t="s">
        <v>378</v>
      </c>
      <c r="E102" s="666" t="s">
        <v>378</v>
      </c>
      <c r="F102" s="665" t="s">
        <v>368</v>
      </c>
      <c r="G102" s="667" t="s">
        <v>496</v>
      </c>
      <c r="H102" s="668">
        <v>2040</v>
      </c>
      <c r="I102" s="669"/>
      <c r="J102" s="669"/>
      <c r="K102" s="669"/>
      <c r="L102" s="670">
        <f t="shared" si="24"/>
        <v>2040</v>
      </c>
      <c r="M102" s="670"/>
      <c r="N102" s="670"/>
      <c r="O102" s="670"/>
      <c r="P102" s="670"/>
      <c r="Q102" s="670"/>
      <c r="R102" s="670"/>
      <c r="S102" s="670"/>
      <c r="T102" s="819">
        <f t="shared" si="25"/>
        <v>2040</v>
      </c>
      <c r="U102" s="820"/>
      <c r="V102" s="820"/>
      <c r="W102" s="820"/>
      <c r="X102" s="820"/>
      <c r="Y102" s="820"/>
    </row>
    <row r="103" spans="2:25" ht="15" customHeight="1" x14ac:dyDescent="0.25">
      <c r="B103" s="663" t="s">
        <v>72</v>
      </c>
      <c r="C103" s="664" t="str">
        <f>IFERROR(_xlfn.XLOOKUP($G103,COM_Cadastro!#REF!,COM_Cadastro!#REF!),"")</f>
        <v/>
      </c>
      <c r="D103" s="665" t="s">
        <v>378</v>
      </c>
      <c r="E103" s="666" t="s">
        <v>378</v>
      </c>
      <c r="F103" s="665" t="s">
        <v>368</v>
      </c>
      <c r="G103" s="667" t="s">
        <v>816</v>
      </c>
      <c r="H103" s="668">
        <v>2090</v>
      </c>
      <c r="I103" s="669"/>
      <c r="J103" s="669"/>
      <c r="K103" s="669"/>
      <c r="L103" s="670">
        <f t="shared" si="24"/>
        <v>2090</v>
      </c>
      <c r="M103" s="670"/>
      <c r="N103" s="670"/>
      <c r="O103" s="670"/>
      <c r="P103" s="670"/>
      <c r="Q103" s="670"/>
      <c r="R103" s="670"/>
      <c r="S103" s="670"/>
      <c r="T103" s="819">
        <f t="shared" si="25"/>
        <v>2090</v>
      </c>
      <c r="U103" s="820"/>
      <c r="V103" s="820"/>
      <c r="W103" s="820"/>
      <c r="X103" s="820"/>
      <c r="Y103" s="820"/>
    </row>
    <row r="104" spans="2:25" ht="15" customHeight="1" x14ac:dyDescent="0.25">
      <c r="B104" s="663" t="s">
        <v>72</v>
      </c>
      <c r="C104" s="664" t="str">
        <f>IFERROR(_xlfn.XLOOKUP($G104,COM_Cadastro!#REF!,COM_Cadastro!#REF!),"")</f>
        <v/>
      </c>
      <c r="D104" s="665" t="s">
        <v>378</v>
      </c>
      <c r="E104" s="666" t="s">
        <v>378</v>
      </c>
      <c r="F104" s="665" t="s">
        <v>368</v>
      </c>
      <c r="G104" s="667" t="s">
        <v>500</v>
      </c>
      <c r="H104" s="668">
        <v>900</v>
      </c>
      <c r="I104" s="669"/>
      <c r="J104" s="669"/>
      <c r="K104" s="669"/>
      <c r="L104" s="670">
        <f t="shared" si="24"/>
        <v>900</v>
      </c>
      <c r="M104" s="670"/>
      <c r="N104" s="670"/>
      <c r="O104" s="670"/>
      <c r="P104" s="670"/>
      <c r="Q104" s="670"/>
      <c r="R104" s="670"/>
      <c r="S104" s="670"/>
      <c r="T104" s="819">
        <f t="shared" si="25"/>
        <v>900</v>
      </c>
      <c r="U104" s="820"/>
      <c r="V104" s="820"/>
      <c r="W104" s="820"/>
      <c r="X104" s="820"/>
      <c r="Y104" s="820"/>
    </row>
    <row r="105" spans="2:25" ht="15" customHeight="1" x14ac:dyDescent="0.25">
      <c r="B105" s="663" t="s">
        <v>72</v>
      </c>
      <c r="C105" s="664" t="str">
        <f>IFERROR(_xlfn.XLOOKUP($G105,COM_Cadastro!#REF!,COM_Cadastro!#REF!),"")</f>
        <v/>
      </c>
      <c r="D105" s="665" t="s">
        <v>378</v>
      </c>
      <c r="E105" s="666" t="s">
        <v>378</v>
      </c>
      <c r="F105" s="665" t="s">
        <v>368</v>
      </c>
      <c r="G105" s="667" t="s">
        <v>504</v>
      </c>
      <c r="H105" s="668">
        <v>1590</v>
      </c>
      <c r="I105" s="669"/>
      <c r="J105" s="669"/>
      <c r="K105" s="669"/>
      <c r="L105" s="670">
        <f t="shared" si="24"/>
        <v>1590</v>
      </c>
      <c r="M105" s="670"/>
      <c r="N105" s="670"/>
      <c r="O105" s="670"/>
      <c r="P105" s="670"/>
      <c r="Q105" s="670"/>
      <c r="R105" s="670"/>
      <c r="S105" s="670"/>
      <c r="T105" s="819">
        <f t="shared" si="25"/>
        <v>1590</v>
      </c>
      <c r="U105" s="820"/>
      <c r="V105" s="820"/>
      <c r="W105" s="820"/>
      <c r="X105" s="820"/>
      <c r="Y105" s="820"/>
    </row>
    <row r="106" spans="2:25" ht="15" customHeight="1" x14ac:dyDescent="0.25">
      <c r="B106" s="663" t="s">
        <v>72</v>
      </c>
      <c r="C106" s="664" t="str">
        <f>IFERROR(_xlfn.XLOOKUP($G106,COM_Cadastro!#REF!,COM_Cadastro!#REF!),"")</f>
        <v/>
      </c>
      <c r="D106" s="665" t="s">
        <v>378</v>
      </c>
      <c r="E106" s="666" t="s">
        <v>378</v>
      </c>
      <c r="F106" s="665" t="s">
        <v>368</v>
      </c>
      <c r="G106" s="667" t="s">
        <v>521</v>
      </c>
      <c r="H106" s="668">
        <v>2990</v>
      </c>
      <c r="I106" s="669"/>
      <c r="J106" s="669"/>
      <c r="K106" s="669"/>
      <c r="L106" s="670">
        <f t="shared" si="24"/>
        <v>2990</v>
      </c>
      <c r="M106" s="670"/>
      <c r="N106" s="670"/>
      <c r="O106" s="670"/>
      <c r="P106" s="670"/>
      <c r="Q106" s="670"/>
      <c r="R106" s="670"/>
      <c r="S106" s="670"/>
      <c r="T106" s="819">
        <f t="shared" si="25"/>
        <v>2990</v>
      </c>
      <c r="U106" s="820"/>
      <c r="V106" s="820"/>
      <c r="W106" s="820"/>
      <c r="X106" s="820"/>
      <c r="Y106" s="820"/>
    </row>
    <row r="107" spans="2:25" ht="15" customHeight="1" x14ac:dyDescent="0.25">
      <c r="B107" s="663" t="s">
        <v>72</v>
      </c>
      <c r="C107" s="664" t="str">
        <f>IFERROR(_xlfn.XLOOKUP($G107,COM_Cadastro!#REF!,COM_Cadastro!#REF!),"")</f>
        <v/>
      </c>
      <c r="D107" s="665" t="s">
        <v>378</v>
      </c>
      <c r="E107" s="666" t="s">
        <v>378</v>
      </c>
      <c r="F107" s="665" t="s">
        <v>368</v>
      </c>
      <c r="G107" s="667" t="s">
        <v>757</v>
      </c>
      <c r="H107" s="668">
        <v>4989</v>
      </c>
      <c r="I107" s="669"/>
      <c r="J107" s="669"/>
      <c r="K107" s="669"/>
      <c r="L107" s="670">
        <f t="shared" si="24"/>
        <v>4989</v>
      </c>
      <c r="M107" s="670"/>
      <c r="N107" s="670"/>
      <c r="O107" s="670"/>
      <c r="P107" s="670"/>
      <c r="Q107" s="670"/>
      <c r="R107" s="670"/>
      <c r="S107" s="670"/>
      <c r="T107" s="819">
        <f t="shared" si="25"/>
        <v>4989</v>
      </c>
      <c r="U107" s="820"/>
      <c r="V107" s="820"/>
      <c r="W107" s="820"/>
      <c r="X107" s="820"/>
      <c r="Y107" s="820"/>
    </row>
    <row r="108" spans="2:25" ht="15" customHeight="1" x14ac:dyDescent="0.25">
      <c r="B108" s="663" t="s">
        <v>72</v>
      </c>
      <c r="C108" s="664" t="str">
        <f>IFERROR(_xlfn.XLOOKUP($G108,COM_Cadastro!#REF!,COM_Cadastro!#REF!),"")</f>
        <v/>
      </c>
      <c r="D108" s="665" t="s">
        <v>378</v>
      </c>
      <c r="E108" s="666" t="s">
        <v>378</v>
      </c>
      <c r="F108" s="665" t="s">
        <v>368</v>
      </c>
      <c r="G108" s="667" t="s">
        <v>527</v>
      </c>
      <c r="H108" s="668">
        <v>1765</v>
      </c>
      <c r="I108" s="669"/>
      <c r="J108" s="669"/>
      <c r="K108" s="669"/>
      <c r="L108" s="670">
        <f t="shared" si="24"/>
        <v>1765</v>
      </c>
      <c r="M108" s="670"/>
      <c r="N108" s="670"/>
      <c r="O108" s="670"/>
      <c r="P108" s="670"/>
      <c r="Q108" s="670"/>
      <c r="R108" s="670"/>
      <c r="S108" s="670"/>
      <c r="T108" s="670">
        <f t="shared" si="25"/>
        <v>1765</v>
      </c>
    </row>
    <row r="109" spans="2:25" ht="15" customHeight="1" x14ac:dyDescent="0.25">
      <c r="B109" s="663" t="s">
        <v>72</v>
      </c>
      <c r="C109" s="664" t="str">
        <f>IFERROR(_xlfn.XLOOKUP($G109,COM_Cadastro!#REF!,COM_Cadastro!#REF!),"")</f>
        <v/>
      </c>
      <c r="D109" s="665" t="s">
        <v>378</v>
      </c>
      <c r="E109" s="666" t="s">
        <v>378</v>
      </c>
      <c r="F109" s="665" t="s">
        <v>368</v>
      </c>
      <c r="G109" s="667" t="s">
        <v>758</v>
      </c>
      <c r="H109" s="668">
        <v>2112</v>
      </c>
      <c r="I109" s="669"/>
      <c r="J109" s="669"/>
      <c r="K109" s="669"/>
      <c r="L109" s="670">
        <f t="shared" si="24"/>
        <v>2112</v>
      </c>
      <c r="M109" s="670"/>
      <c r="N109" s="670"/>
      <c r="O109" s="670"/>
      <c r="P109" s="670"/>
      <c r="Q109" s="670"/>
      <c r="R109" s="670"/>
      <c r="S109" s="670"/>
      <c r="T109" s="670">
        <f t="shared" si="25"/>
        <v>2112</v>
      </c>
    </row>
    <row r="110" spans="2:25" ht="15" customHeight="1" x14ac:dyDescent="0.25">
      <c r="B110" s="663" t="s">
        <v>72</v>
      </c>
      <c r="C110" s="664" t="str">
        <f>IFERROR(_xlfn.XLOOKUP($G110,COM_Cadastro!#REF!,COM_Cadastro!#REF!),"")</f>
        <v/>
      </c>
      <c r="D110" s="665" t="s">
        <v>378</v>
      </c>
      <c r="E110" s="666" t="s">
        <v>378</v>
      </c>
      <c r="F110" s="665" t="s">
        <v>368</v>
      </c>
      <c r="G110" s="667" t="s">
        <v>803</v>
      </c>
      <c r="H110" s="668">
        <v>2130</v>
      </c>
      <c r="I110" s="669"/>
      <c r="J110" s="669"/>
      <c r="K110" s="669"/>
      <c r="L110" s="670">
        <f t="shared" si="24"/>
        <v>2130</v>
      </c>
      <c r="M110" s="670"/>
      <c r="N110" s="670"/>
      <c r="O110" s="670"/>
      <c r="P110" s="670"/>
      <c r="Q110" s="670"/>
      <c r="R110" s="670"/>
      <c r="S110" s="670"/>
      <c r="T110" s="670">
        <f t="shared" si="25"/>
        <v>2130</v>
      </c>
    </row>
    <row r="111" spans="2:25" ht="15" customHeight="1" x14ac:dyDescent="0.25">
      <c r="B111" s="663" t="s">
        <v>72</v>
      </c>
      <c r="C111" s="664" t="str">
        <f>IFERROR(_xlfn.XLOOKUP($G111,COM_Cadastro!#REF!,COM_Cadastro!#REF!),"")</f>
        <v/>
      </c>
      <c r="D111" s="665" t="s">
        <v>378</v>
      </c>
      <c r="E111" s="666" t="s">
        <v>378</v>
      </c>
      <c r="F111" s="665" t="s">
        <v>368</v>
      </c>
      <c r="G111" s="667" t="s">
        <v>759</v>
      </c>
      <c r="H111" s="668">
        <v>1800</v>
      </c>
      <c r="I111" s="669"/>
      <c r="J111" s="669"/>
      <c r="K111" s="669"/>
      <c r="L111" s="670">
        <f t="shared" si="24"/>
        <v>1800</v>
      </c>
      <c r="M111" s="670"/>
      <c r="N111" s="670"/>
      <c r="O111" s="670"/>
      <c r="P111" s="670"/>
      <c r="Q111" s="670"/>
      <c r="R111" s="670"/>
      <c r="S111" s="670"/>
      <c r="T111" s="670">
        <f t="shared" si="25"/>
        <v>1800</v>
      </c>
    </row>
    <row r="112" spans="2:25" ht="15" customHeight="1" x14ac:dyDescent="0.25">
      <c r="B112" s="663" t="s">
        <v>72</v>
      </c>
      <c r="C112" s="664" t="str">
        <f>IFERROR(_xlfn.XLOOKUP($G112,COM_Cadastro!#REF!,COM_Cadastro!#REF!),"")</f>
        <v/>
      </c>
      <c r="D112" s="665" t="s">
        <v>378</v>
      </c>
      <c r="E112" s="666" t="s">
        <v>378</v>
      </c>
      <c r="F112" s="665" t="s">
        <v>368</v>
      </c>
      <c r="G112" s="667" t="s">
        <v>760</v>
      </c>
      <c r="H112" s="668">
        <v>2160</v>
      </c>
      <c r="I112" s="669"/>
      <c r="J112" s="669"/>
      <c r="K112" s="669"/>
      <c r="L112" s="670">
        <f t="shared" si="24"/>
        <v>2160</v>
      </c>
      <c r="M112" s="670"/>
      <c r="N112" s="670"/>
      <c r="O112" s="670"/>
      <c r="P112" s="670"/>
      <c r="Q112" s="670"/>
      <c r="R112" s="670"/>
      <c r="S112" s="670"/>
      <c r="T112" s="670">
        <f t="shared" si="25"/>
        <v>2160</v>
      </c>
    </row>
    <row r="113" spans="2:20" ht="15" customHeight="1" x14ac:dyDescent="0.25">
      <c r="B113" s="663" t="s">
        <v>72</v>
      </c>
      <c r="C113" s="664" t="str">
        <f>IFERROR(_xlfn.XLOOKUP($G113,COM_Cadastro!#REF!,COM_Cadastro!#REF!),"")</f>
        <v/>
      </c>
      <c r="D113" s="665" t="s">
        <v>378</v>
      </c>
      <c r="E113" s="666" t="s">
        <v>378</v>
      </c>
      <c r="F113" s="665" t="s">
        <v>368</v>
      </c>
      <c r="G113" s="667" t="s">
        <v>572</v>
      </c>
      <c r="H113" s="668">
        <v>1600</v>
      </c>
      <c r="I113" s="669"/>
      <c r="J113" s="669"/>
      <c r="K113" s="669"/>
      <c r="L113" s="670">
        <f t="shared" si="24"/>
        <v>1600</v>
      </c>
      <c r="M113" s="670"/>
      <c r="N113" s="670"/>
      <c r="O113" s="670"/>
      <c r="P113" s="670"/>
      <c r="Q113" s="670"/>
      <c r="R113" s="670"/>
      <c r="S113" s="670"/>
      <c r="T113" s="670">
        <f t="shared" si="25"/>
        <v>1600</v>
      </c>
    </row>
    <row r="114" spans="2:20" ht="15" customHeight="1" x14ac:dyDescent="0.25">
      <c r="B114" s="663" t="s">
        <v>72</v>
      </c>
      <c r="C114" s="664" t="str">
        <f>IFERROR(_xlfn.XLOOKUP($G114,COM_Cadastro!#REF!,COM_Cadastro!#REF!),"")</f>
        <v/>
      </c>
      <c r="D114" s="665" t="s">
        <v>378</v>
      </c>
      <c r="E114" s="666" t="s">
        <v>378</v>
      </c>
      <c r="F114" s="665" t="s">
        <v>368</v>
      </c>
      <c r="G114" s="667" t="s">
        <v>577</v>
      </c>
      <c r="H114" s="668">
        <v>2800</v>
      </c>
      <c r="I114" s="669"/>
      <c r="J114" s="669"/>
      <c r="K114" s="669"/>
      <c r="L114" s="670">
        <f t="shared" si="24"/>
        <v>2800</v>
      </c>
      <c r="M114" s="670"/>
      <c r="N114" s="670"/>
      <c r="O114" s="670"/>
      <c r="P114" s="670"/>
      <c r="Q114" s="670"/>
      <c r="R114" s="670"/>
      <c r="S114" s="670"/>
      <c r="T114" s="670">
        <f t="shared" si="25"/>
        <v>2800</v>
      </c>
    </row>
    <row r="115" spans="2:20" ht="15" customHeight="1" x14ac:dyDescent="0.25">
      <c r="B115" s="663" t="s">
        <v>72</v>
      </c>
      <c r="C115" s="664" t="str">
        <f>IFERROR(_xlfn.XLOOKUP($G115,COM_Cadastro!#REF!,COM_Cadastro!#REF!),"")</f>
        <v/>
      </c>
      <c r="D115" s="665" t="s">
        <v>378</v>
      </c>
      <c r="E115" s="666" t="s">
        <v>378</v>
      </c>
      <c r="F115" s="665" t="s">
        <v>368</v>
      </c>
      <c r="G115" s="667" t="s">
        <v>583</v>
      </c>
      <c r="H115" s="668">
        <v>4933</v>
      </c>
      <c r="I115" s="669"/>
      <c r="J115" s="669"/>
      <c r="K115" s="669"/>
      <c r="L115" s="670">
        <f t="shared" si="24"/>
        <v>4933</v>
      </c>
      <c r="M115" s="670"/>
      <c r="N115" s="670"/>
      <c r="O115" s="670"/>
      <c r="P115" s="670"/>
      <c r="Q115" s="670"/>
      <c r="R115" s="670"/>
      <c r="S115" s="670"/>
      <c r="T115" s="670">
        <f t="shared" si="25"/>
        <v>4933</v>
      </c>
    </row>
    <row r="116" spans="2:20" ht="15" customHeight="1" x14ac:dyDescent="0.25">
      <c r="B116" s="663" t="s">
        <v>72</v>
      </c>
      <c r="C116" s="664" t="str">
        <f>IFERROR(_xlfn.XLOOKUP($G116,COM_Cadastro!#REF!,COM_Cadastro!#REF!),"")</f>
        <v/>
      </c>
      <c r="D116" s="665" t="s">
        <v>378</v>
      </c>
      <c r="E116" s="666" t="s">
        <v>378</v>
      </c>
      <c r="F116" s="665" t="s">
        <v>368</v>
      </c>
      <c r="G116" s="667" t="s">
        <v>585</v>
      </c>
      <c r="H116" s="668">
        <v>1080</v>
      </c>
      <c r="I116" s="669"/>
      <c r="J116" s="669"/>
      <c r="K116" s="669"/>
      <c r="L116" s="670">
        <f t="shared" si="24"/>
        <v>1080</v>
      </c>
      <c r="M116" s="670"/>
      <c r="N116" s="670"/>
      <c r="O116" s="670"/>
      <c r="P116" s="670"/>
      <c r="Q116" s="670"/>
      <c r="R116" s="670"/>
      <c r="S116" s="670"/>
      <c r="T116" s="670">
        <f t="shared" si="25"/>
        <v>1080</v>
      </c>
    </row>
    <row r="117" spans="2:20" ht="15" customHeight="1" x14ac:dyDescent="0.25">
      <c r="B117" s="663" t="s">
        <v>72</v>
      </c>
      <c r="C117" s="664" t="str">
        <f>IFERROR(_xlfn.XLOOKUP($G117,COM_Cadastro!#REF!,COM_Cadastro!#REF!),"")</f>
        <v/>
      </c>
      <c r="D117" s="665" t="s">
        <v>378</v>
      </c>
      <c r="E117" s="666" t="s">
        <v>378</v>
      </c>
      <c r="F117" s="665" t="s">
        <v>368</v>
      </c>
      <c r="G117" s="667" t="s">
        <v>761</v>
      </c>
      <c r="H117" s="668">
        <v>1980</v>
      </c>
      <c r="I117" s="669"/>
      <c r="J117" s="669"/>
      <c r="K117" s="669"/>
      <c r="L117" s="670">
        <f t="shared" si="24"/>
        <v>1980</v>
      </c>
      <c r="M117" s="670"/>
      <c r="N117" s="670"/>
      <c r="O117" s="670"/>
      <c r="P117" s="670"/>
      <c r="Q117" s="670"/>
      <c r="R117" s="670"/>
      <c r="S117" s="670"/>
      <c r="T117" s="670">
        <f t="shared" si="25"/>
        <v>1980</v>
      </c>
    </row>
    <row r="118" spans="2:20" ht="15" customHeight="1" x14ac:dyDescent="0.25">
      <c r="B118" s="663" t="s">
        <v>72</v>
      </c>
      <c r="C118" s="664" t="str">
        <f>IFERROR(_xlfn.XLOOKUP($G118,COM_Cadastro!#REF!,COM_Cadastro!#REF!),"")</f>
        <v/>
      </c>
      <c r="D118" s="665" t="s">
        <v>378</v>
      </c>
      <c r="E118" s="666" t="s">
        <v>378</v>
      </c>
      <c r="F118" s="665" t="s">
        <v>368</v>
      </c>
      <c r="G118" s="667" t="s">
        <v>592</v>
      </c>
      <c r="H118" s="668">
        <v>2340</v>
      </c>
      <c r="I118" s="669"/>
      <c r="J118" s="669"/>
      <c r="K118" s="669"/>
      <c r="L118" s="670">
        <f t="shared" si="24"/>
        <v>2340</v>
      </c>
      <c r="M118" s="670"/>
      <c r="N118" s="670"/>
      <c r="O118" s="670"/>
      <c r="P118" s="670"/>
      <c r="Q118" s="670"/>
      <c r="R118" s="670"/>
      <c r="S118" s="670"/>
      <c r="T118" s="670">
        <f t="shared" si="25"/>
        <v>2340</v>
      </c>
    </row>
    <row r="119" spans="2:20" ht="15" customHeight="1" x14ac:dyDescent="0.25">
      <c r="B119" s="663" t="s">
        <v>72</v>
      </c>
      <c r="C119" s="664" t="str">
        <f>IFERROR(_xlfn.XLOOKUP($G119,COM_Cadastro!#REF!,COM_Cadastro!#REF!),"")</f>
        <v/>
      </c>
      <c r="D119" s="665" t="s">
        <v>378</v>
      </c>
      <c r="E119" s="666" t="s">
        <v>378</v>
      </c>
      <c r="F119" s="665" t="s">
        <v>368</v>
      </c>
      <c r="G119" s="667" t="s">
        <v>594</v>
      </c>
      <c r="H119" s="668">
        <v>1420</v>
      </c>
      <c r="I119" s="669"/>
      <c r="J119" s="669"/>
      <c r="K119" s="669"/>
      <c r="L119" s="670">
        <f t="shared" si="24"/>
        <v>1420</v>
      </c>
      <c r="M119" s="670"/>
      <c r="N119" s="670"/>
      <c r="O119" s="670"/>
      <c r="P119" s="670"/>
      <c r="Q119" s="670"/>
      <c r="R119" s="670"/>
      <c r="S119" s="670"/>
      <c r="T119" s="670">
        <f t="shared" si="25"/>
        <v>1420</v>
      </c>
    </row>
    <row r="120" spans="2:20" ht="15" customHeight="1" x14ac:dyDescent="0.25">
      <c r="B120" s="663" t="s">
        <v>72</v>
      </c>
      <c r="C120" s="664" t="str">
        <f>IFERROR(_xlfn.XLOOKUP($G120,COM_Cadastro!#REF!,COM_Cadastro!#REF!),"")</f>
        <v/>
      </c>
      <c r="D120" s="665" t="s">
        <v>378</v>
      </c>
      <c r="E120" s="666" t="s">
        <v>378</v>
      </c>
      <c r="F120" s="665" t="s">
        <v>368</v>
      </c>
      <c r="G120" s="667" t="s">
        <v>762</v>
      </c>
      <c r="H120" s="668">
        <v>2330</v>
      </c>
      <c r="I120" s="669"/>
      <c r="J120" s="669"/>
      <c r="K120" s="669"/>
      <c r="L120" s="670">
        <f t="shared" si="24"/>
        <v>2330</v>
      </c>
      <c r="M120" s="670"/>
      <c r="N120" s="670"/>
      <c r="O120" s="670"/>
      <c r="P120" s="670"/>
      <c r="Q120" s="670"/>
      <c r="R120" s="670"/>
      <c r="S120" s="670"/>
      <c r="T120" s="670">
        <f t="shared" si="25"/>
        <v>2330</v>
      </c>
    </row>
    <row r="121" spans="2:20" ht="15" customHeight="1" x14ac:dyDescent="0.25">
      <c r="B121" s="663" t="s">
        <v>72</v>
      </c>
      <c r="C121" s="664" t="str">
        <f>IFERROR(_xlfn.XLOOKUP($G121,COM_Cadastro!#REF!,COM_Cadastro!#REF!),"")</f>
        <v/>
      </c>
      <c r="D121" s="665" t="s">
        <v>378</v>
      </c>
      <c r="E121" s="666" t="s">
        <v>378</v>
      </c>
      <c r="F121" s="665" t="s">
        <v>368</v>
      </c>
      <c r="G121" s="667" t="s">
        <v>763</v>
      </c>
      <c r="H121" s="668">
        <v>2090</v>
      </c>
      <c r="I121" s="669"/>
      <c r="J121" s="669"/>
      <c r="K121" s="669"/>
      <c r="L121" s="670">
        <f t="shared" si="24"/>
        <v>2090</v>
      </c>
      <c r="M121" s="670"/>
      <c r="N121" s="670"/>
      <c r="O121" s="670"/>
      <c r="P121" s="670"/>
      <c r="Q121" s="670"/>
      <c r="R121" s="670"/>
      <c r="S121" s="670"/>
      <c r="T121" s="670">
        <f t="shared" si="25"/>
        <v>2090</v>
      </c>
    </row>
    <row r="122" spans="2:20" ht="15" customHeight="1" x14ac:dyDescent="0.25">
      <c r="B122" s="663" t="s">
        <v>72</v>
      </c>
      <c r="C122" s="664" t="str">
        <f>IFERROR(_xlfn.XLOOKUP($G122,COM_Cadastro!#REF!,COM_Cadastro!#REF!),"")</f>
        <v/>
      </c>
      <c r="D122" s="665" t="s">
        <v>378</v>
      </c>
      <c r="E122" s="666" t="s">
        <v>378</v>
      </c>
      <c r="F122" s="665" t="s">
        <v>371</v>
      </c>
      <c r="G122" s="667" t="s">
        <v>764</v>
      </c>
      <c r="H122" s="668">
        <v>180</v>
      </c>
      <c r="I122" s="669"/>
      <c r="J122" s="669"/>
      <c r="K122" s="669"/>
      <c r="L122" s="670">
        <f t="shared" si="24"/>
        <v>180</v>
      </c>
      <c r="M122" s="670"/>
      <c r="N122" s="670"/>
      <c r="O122" s="670"/>
      <c r="P122" s="670"/>
      <c r="Q122" s="670"/>
      <c r="R122" s="670"/>
      <c r="S122" s="670"/>
      <c r="T122" s="670">
        <f t="shared" si="25"/>
        <v>180</v>
      </c>
    </row>
    <row r="123" spans="2:20" ht="15" customHeight="1" x14ac:dyDescent="0.25">
      <c r="B123" s="663" t="s">
        <v>72</v>
      </c>
      <c r="C123" s="664" t="str">
        <f>IFERROR(_xlfn.XLOOKUP($G123,COM_Cadastro!#REF!,COM_Cadastro!#REF!),"")</f>
        <v/>
      </c>
      <c r="D123" s="665" t="s">
        <v>378</v>
      </c>
      <c r="E123" s="666" t="s">
        <v>378</v>
      </c>
      <c r="F123" s="665" t="s">
        <v>371</v>
      </c>
      <c r="G123" s="667" t="s">
        <v>419</v>
      </c>
      <c r="H123" s="668">
        <v>660</v>
      </c>
      <c r="I123" s="669"/>
      <c r="J123" s="669"/>
      <c r="K123" s="669"/>
      <c r="L123" s="670">
        <f t="shared" si="24"/>
        <v>660</v>
      </c>
      <c r="M123" s="670"/>
      <c r="N123" s="670"/>
      <c r="O123" s="670"/>
      <c r="P123" s="670"/>
      <c r="Q123" s="670"/>
      <c r="R123" s="670"/>
      <c r="S123" s="670"/>
      <c r="T123" s="670">
        <f t="shared" si="25"/>
        <v>660</v>
      </c>
    </row>
    <row r="124" spans="2:20" ht="15" customHeight="1" x14ac:dyDescent="0.25">
      <c r="B124" s="663" t="s">
        <v>72</v>
      </c>
      <c r="C124" s="664" t="str">
        <f>IFERROR(_xlfn.XLOOKUP($G124,COM_Cadastro!#REF!,COM_Cadastro!#REF!),"")</f>
        <v/>
      </c>
      <c r="D124" s="665" t="s">
        <v>378</v>
      </c>
      <c r="E124" s="666" t="s">
        <v>378</v>
      </c>
      <c r="F124" s="665" t="s">
        <v>371</v>
      </c>
      <c r="G124" s="667" t="s">
        <v>438</v>
      </c>
      <c r="H124" s="668">
        <v>1400</v>
      </c>
      <c r="I124" s="669"/>
      <c r="J124" s="669"/>
      <c r="K124" s="669"/>
      <c r="L124" s="670">
        <f t="shared" si="24"/>
        <v>1400</v>
      </c>
      <c r="M124" s="670"/>
      <c r="N124" s="670"/>
      <c r="O124" s="670"/>
      <c r="P124" s="670"/>
      <c r="Q124" s="670"/>
      <c r="R124" s="670"/>
      <c r="S124" s="670"/>
      <c r="T124" s="670">
        <f t="shared" si="25"/>
        <v>1400</v>
      </c>
    </row>
    <row r="125" spans="2:20" ht="15" customHeight="1" x14ac:dyDescent="0.25">
      <c r="B125" s="663" t="s">
        <v>72</v>
      </c>
      <c r="C125" s="664" t="str">
        <f>IFERROR(_xlfn.XLOOKUP($G125,COM_Cadastro!#REF!,COM_Cadastro!#REF!),"")</f>
        <v/>
      </c>
      <c r="D125" s="665" t="s">
        <v>378</v>
      </c>
      <c r="E125" s="666" t="s">
        <v>378</v>
      </c>
      <c r="F125" s="665" t="s">
        <v>371</v>
      </c>
      <c r="G125" s="667" t="s">
        <v>765</v>
      </c>
      <c r="H125" s="668">
        <v>945</v>
      </c>
      <c r="I125" s="669"/>
      <c r="J125" s="669"/>
      <c r="K125" s="669"/>
      <c r="L125" s="670">
        <f t="shared" si="24"/>
        <v>945</v>
      </c>
      <c r="M125" s="670"/>
      <c r="N125" s="670"/>
      <c r="O125" s="670"/>
      <c r="P125" s="670"/>
      <c r="Q125" s="670"/>
      <c r="R125" s="670"/>
      <c r="S125" s="670"/>
      <c r="T125" s="670">
        <f t="shared" si="25"/>
        <v>945</v>
      </c>
    </row>
    <row r="126" spans="2:20" ht="15" customHeight="1" x14ac:dyDescent="0.25">
      <c r="B126" s="663" t="s">
        <v>72</v>
      </c>
      <c r="C126" s="664" t="str">
        <f>IFERROR(_xlfn.XLOOKUP($G126,COM_Cadastro!#REF!,COM_Cadastro!#REF!),"")</f>
        <v/>
      </c>
      <c r="D126" s="665" t="s">
        <v>378</v>
      </c>
      <c r="E126" s="666" t="s">
        <v>378</v>
      </c>
      <c r="F126" s="665" t="s">
        <v>371</v>
      </c>
      <c r="G126" s="667" t="s">
        <v>447</v>
      </c>
      <c r="H126" s="668">
        <v>1700</v>
      </c>
      <c r="I126" s="669"/>
      <c r="J126" s="669"/>
      <c r="K126" s="669"/>
      <c r="L126" s="670">
        <f t="shared" si="24"/>
        <v>1700</v>
      </c>
      <c r="M126" s="670"/>
      <c r="N126" s="670"/>
      <c r="O126" s="670"/>
      <c r="P126" s="670"/>
      <c r="Q126" s="670"/>
      <c r="R126" s="670"/>
      <c r="S126" s="670"/>
      <c r="T126" s="670">
        <f t="shared" si="25"/>
        <v>1700</v>
      </c>
    </row>
    <row r="127" spans="2:20" ht="15" customHeight="1" x14ac:dyDescent="0.25">
      <c r="B127" s="663" t="s">
        <v>72</v>
      </c>
      <c r="C127" s="664" t="str">
        <f>IFERROR(_xlfn.XLOOKUP($G127,COM_Cadastro!#REF!,COM_Cadastro!#REF!),"")</f>
        <v/>
      </c>
      <c r="D127" s="665" t="s">
        <v>378</v>
      </c>
      <c r="E127" s="666" t="s">
        <v>378</v>
      </c>
      <c r="F127" s="665" t="s">
        <v>371</v>
      </c>
      <c r="G127" s="667" t="s">
        <v>787</v>
      </c>
      <c r="H127" s="668">
        <v>1700</v>
      </c>
      <c r="I127" s="669"/>
      <c r="J127" s="669"/>
      <c r="K127" s="669"/>
      <c r="L127" s="670">
        <f t="shared" si="24"/>
        <v>1700</v>
      </c>
      <c r="M127" s="670"/>
      <c r="N127" s="670"/>
      <c r="O127" s="670"/>
      <c r="P127" s="670"/>
      <c r="Q127" s="670"/>
      <c r="R127" s="670"/>
      <c r="S127" s="670"/>
      <c r="T127" s="670">
        <f t="shared" si="25"/>
        <v>1700</v>
      </c>
    </row>
    <row r="128" spans="2:20" ht="15" customHeight="1" x14ac:dyDescent="0.25">
      <c r="B128" s="663" t="s">
        <v>72</v>
      </c>
      <c r="C128" s="664" t="str">
        <f>IFERROR(_xlfn.XLOOKUP($G128,COM_Cadastro!#REF!,COM_Cadastro!#REF!),"")</f>
        <v/>
      </c>
      <c r="D128" s="665" t="s">
        <v>378</v>
      </c>
      <c r="E128" s="666" t="s">
        <v>378</v>
      </c>
      <c r="F128" s="665" t="s">
        <v>371</v>
      </c>
      <c r="G128" s="667" t="s">
        <v>817</v>
      </c>
      <c r="H128" s="668">
        <v>200</v>
      </c>
      <c r="I128" s="669"/>
      <c r="J128" s="669"/>
      <c r="K128" s="669"/>
      <c r="L128" s="670">
        <f t="shared" si="24"/>
        <v>200</v>
      </c>
      <c r="M128" s="670"/>
      <c r="N128" s="670"/>
      <c r="O128" s="670"/>
      <c r="P128" s="670"/>
      <c r="Q128" s="670"/>
      <c r="R128" s="670"/>
      <c r="S128" s="670"/>
      <c r="T128" s="670">
        <f t="shared" si="25"/>
        <v>200</v>
      </c>
    </row>
    <row r="129" spans="2:20" ht="15" customHeight="1" x14ac:dyDescent="0.25">
      <c r="B129" s="663" t="s">
        <v>72</v>
      </c>
      <c r="C129" s="664" t="str">
        <f>IFERROR(_xlfn.XLOOKUP($G129,COM_Cadastro!#REF!,COM_Cadastro!#REF!),"")</f>
        <v/>
      </c>
      <c r="D129" s="665" t="s">
        <v>378</v>
      </c>
      <c r="E129" s="666" t="s">
        <v>378</v>
      </c>
      <c r="F129" s="665" t="s">
        <v>371</v>
      </c>
      <c r="G129" s="667" t="s">
        <v>462</v>
      </c>
      <c r="H129" s="668">
        <v>600</v>
      </c>
      <c r="I129" s="669"/>
      <c r="J129" s="669"/>
      <c r="K129" s="669"/>
      <c r="L129" s="670">
        <f t="shared" si="24"/>
        <v>600</v>
      </c>
      <c r="M129" s="670"/>
      <c r="N129" s="670"/>
      <c r="O129" s="670"/>
      <c r="P129" s="670"/>
      <c r="Q129" s="670"/>
      <c r="R129" s="670"/>
      <c r="S129" s="670"/>
      <c r="T129" s="670">
        <f t="shared" si="25"/>
        <v>600</v>
      </c>
    </row>
    <row r="130" spans="2:20" ht="15" customHeight="1" x14ac:dyDescent="0.25">
      <c r="B130" s="663" t="s">
        <v>72</v>
      </c>
      <c r="C130" s="664" t="str">
        <f>IFERROR(_xlfn.XLOOKUP($G130,COM_Cadastro!#REF!,COM_Cadastro!#REF!),"")</f>
        <v/>
      </c>
      <c r="D130" s="665" t="s">
        <v>378</v>
      </c>
      <c r="E130" s="666" t="s">
        <v>378</v>
      </c>
      <c r="F130" s="665" t="s">
        <v>371</v>
      </c>
      <c r="G130" s="667" t="s">
        <v>466</v>
      </c>
      <c r="H130" s="668">
        <v>1890</v>
      </c>
      <c r="I130" s="669"/>
      <c r="J130" s="669"/>
      <c r="K130" s="669"/>
      <c r="L130" s="670">
        <f t="shared" si="24"/>
        <v>1890</v>
      </c>
      <c r="M130" s="670"/>
      <c r="N130" s="670"/>
      <c r="O130" s="670"/>
      <c r="P130" s="670"/>
      <c r="Q130" s="670"/>
      <c r="R130" s="670"/>
      <c r="S130" s="670"/>
      <c r="T130" s="670">
        <f t="shared" si="25"/>
        <v>1890</v>
      </c>
    </row>
    <row r="131" spans="2:20" ht="15" customHeight="1" x14ac:dyDescent="0.25">
      <c r="B131" s="663" t="s">
        <v>72</v>
      </c>
      <c r="C131" s="664" t="str">
        <f>IFERROR(_xlfn.XLOOKUP($G131,COM_Cadastro!#REF!,COM_Cadastro!#REF!),"")</f>
        <v/>
      </c>
      <c r="D131" s="665" t="s">
        <v>378</v>
      </c>
      <c r="E131" s="666" t="s">
        <v>378</v>
      </c>
      <c r="F131" s="665" t="s">
        <v>371</v>
      </c>
      <c r="G131" s="667" t="s">
        <v>766</v>
      </c>
      <c r="H131" s="668">
        <v>3657</v>
      </c>
      <c r="I131" s="669"/>
      <c r="J131" s="669"/>
      <c r="K131" s="669"/>
      <c r="L131" s="670">
        <f t="shared" ref="L131:L162" si="26">SUM(H131:K131)</f>
        <v>3657</v>
      </c>
      <c r="M131" s="670"/>
      <c r="N131" s="670"/>
      <c r="O131" s="670"/>
      <c r="P131" s="670"/>
      <c r="Q131" s="670"/>
      <c r="R131" s="670"/>
      <c r="S131" s="670"/>
      <c r="T131" s="670">
        <f t="shared" ref="T131:T162" si="27">L131+M131+S131</f>
        <v>3657</v>
      </c>
    </row>
    <row r="132" spans="2:20" ht="15" customHeight="1" x14ac:dyDescent="0.25">
      <c r="B132" s="663" t="s">
        <v>72</v>
      </c>
      <c r="C132" s="664" t="str">
        <f>IFERROR(_xlfn.XLOOKUP($G132,COM_Cadastro!#REF!,COM_Cadastro!#REF!),"")</f>
        <v/>
      </c>
      <c r="D132" s="665" t="s">
        <v>378</v>
      </c>
      <c r="E132" s="666" t="s">
        <v>378</v>
      </c>
      <c r="F132" s="665" t="s">
        <v>371</v>
      </c>
      <c r="G132" s="667" t="s">
        <v>767</v>
      </c>
      <c r="H132" s="668">
        <v>500</v>
      </c>
      <c r="I132" s="669"/>
      <c r="J132" s="669"/>
      <c r="K132" s="669"/>
      <c r="L132" s="670">
        <f t="shared" si="26"/>
        <v>500</v>
      </c>
      <c r="M132" s="670"/>
      <c r="N132" s="670"/>
      <c r="O132" s="670"/>
      <c r="P132" s="670"/>
      <c r="Q132" s="670"/>
      <c r="R132" s="670"/>
      <c r="S132" s="670"/>
      <c r="T132" s="670">
        <f t="shared" si="27"/>
        <v>500</v>
      </c>
    </row>
    <row r="133" spans="2:20" ht="15" customHeight="1" x14ac:dyDescent="0.25">
      <c r="B133" s="663" t="s">
        <v>72</v>
      </c>
      <c r="C133" s="664" t="str">
        <f>IFERROR(_xlfn.XLOOKUP($G133,COM_Cadastro!#REF!,COM_Cadastro!#REF!),"")</f>
        <v/>
      </c>
      <c r="D133" s="665" t="s">
        <v>378</v>
      </c>
      <c r="E133" s="666" t="s">
        <v>378</v>
      </c>
      <c r="F133" s="665" t="s">
        <v>371</v>
      </c>
      <c r="G133" s="667" t="s">
        <v>483</v>
      </c>
      <c r="H133" s="668">
        <v>1900</v>
      </c>
      <c r="I133" s="669"/>
      <c r="J133" s="669"/>
      <c r="K133" s="669"/>
      <c r="L133" s="670">
        <f t="shared" si="26"/>
        <v>1900</v>
      </c>
      <c r="M133" s="670"/>
      <c r="N133" s="670"/>
      <c r="O133" s="670"/>
      <c r="P133" s="670"/>
      <c r="Q133" s="670"/>
      <c r="R133" s="670"/>
      <c r="S133" s="670"/>
      <c r="T133" s="670">
        <f t="shared" si="27"/>
        <v>1900</v>
      </c>
    </row>
    <row r="134" spans="2:20" ht="15" customHeight="1" x14ac:dyDescent="0.25">
      <c r="B134" s="663" t="s">
        <v>72</v>
      </c>
      <c r="C134" s="664" t="str">
        <f>IFERROR(_xlfn.XLOOKUP($G134,COM_Cadastro!#REF!,COM_Cadastro!#REF!),"")</f>
        <v/>
      </c>
      <c r="D134" s="665" t="s">
        <v>378</v>
      </c>
      <c r="E134" s="666" t="s">
        <v>378</v>
      </c>
      <c r="F134" s="665" t="s">
        <v>371</v>
      </c>
      <c r="G134" s="667" t="s">
        <v>768</v>
      </c>
      <c r="H134" s="668">
        <v>1460</v>
      </c>
      <c r="I134" s="669"/>
      <c r="J134" s="669"/>
      <c r="K134" s="669"/>
      <c r="L134" s="670">
        <f t="shared" si="26"/>
        <v>1460</v>
      </c>
      <c r="M134" s="670"/>
      <c r="N134" s="670"/>
      <c r="O134" s="670"/>
      <c r="P134" s="670"/>
      <c r="Q134" s="670"/>
      <c r="R134" s="670"/>
      <c r="S134" s="670"/>
      <c r="T134" s="670">
        <f t="shared" si="27"/>
        <v>1460</v>
      </c>
    </row>
    <row r="135" spans="2:20" ht="15" customHeight="1" x14ac:dyDescent="0.25">
      <c r="B135" s="663" t="s">
        <v>72</v>
      </c>
      <c r="C135" s="664" t="str">
        <f>IFERROR(_xlfn.XLOOKUP($G135,COM_Cadastro!#REF!,COM_Cadastro!#REF!),"")</f>
        <v/>
      </c>
      <c r="D135" s="665" t="s">
        <v>378</v>
      </c>
      <c r="E135" s="666" t="s">
        <v>378</v>
      </c>
      <c r="F135" s="665" t="s">
        <v>371</v>
      </c>
      <c r="G135" s="667" t="s">
        <v>488</v>
      </c>
      <c r="H135" s="668">
        <v>200</v>
      </c>
      <c r="I135" s="669"/>
      <c r="J135" s="669"/>
      <c r="K135" s="669"/>
      <c r="L135" s="670">
        <f t="shared" si="26"/>
        <v>200</v>
      </c>
      <c r="M135" s="670"/>
      <c r="N135" s="670"/>
      <c r="O135" s="670"/>
      <c r="P135" s="670"/>
      <c r="Q135" s="670"/>
      <c r="R135" s="670"/>
      <c r="S135" s="670"/>
      <c r="T135" s="670">
        <f t="shared" si="27"/>
        <v>200</v>
      </c>
    </row>
    <row r="136" spans="2:20" ht="15" customHeight="1" x14ac:dyDescent="0.25">
      <c r="B136" s="663" t="s">
        <v>72</v>
      </c>
      <c r="C136" s="664" t="str">
        <f>IFERROR(_xlfn.XLOOKUP($G136,COM_Cadastro!#REF!,COM_Cadastro!#REF!),"")</f>
        <v/>
      </c>
      <c r="D136" s="665" t="s">
        <v>378</v>
      </c>
      <c r="E136" s="666" t="s">
        <v>378</v>
      </c>
      <c r="F136" s="665" t="s">
        <v>371</v>
      </c>
      <c r="G136" s="667" t="s">
        <v>818</v>
      </c>
      <c r="H136" s="668">
        <v>700</v>
      </c>
      <c r="I136" s="669"/>
      <c r="J136" s="669"/>
      <c r="K136" s="669"/>
      <c r="L136" s="670">
        <f t="shared" si="26"/>
        <v>700</v>
      </c>
      <c r="M136" s="670"/>
      <c r="N136" s="670"/>
      <c r="O136" s="670"/>
      <c r="P136" s="670"/>
      <c r="Q136" s="670"/>
      <c r="R136" s="670"/>
      <c r="S136" s="670"/>
      <c r="T136" s="670">
        <f t="shared" si="27"/>
        <v>700</v>
      </c>
    </row>
    <row r="137" spans="2:20" ht="15" customHeight="1" x14ac:dyDescent="0.25">
      <c r="B137" s="663" t="s">
        <v>72</v>
      </c>
      <c r="C137" s="664" t="str">
        <f>IFERROR(_xlfn.XLOOKUP($G137,COM_Cadastro!#REF!,COM_Cadastro!#REF!),"")</f>
        <v/>
      </c>
      <c r="D137" s="665" t="s">
        <v>378</v>
      </c>
      <c r="E137" s="666" t="s">
        <v>378</v>
      </c>
      <c r="F137" s="665" t="s">
        <v>371</v>
      </c>
      <c r="G137" s="667" t="s">
        <v>804</v>
      </c>
      <c r="H137" s="668">
        <v>1400</v>
      </c>
      <c r="I137" s="669"/>
      <c r="J137" s="669"/>
      <c r="K137" s="669"/>
      <c r="L137" s="670">
        <f t="shared" si="26"/>
        <v>1400</v>
      </c>
      <c r="M137" s="670"/>
      <c r="N137" s="670"/>
      <c r="O137" s="670"/>
      <c r="P137" s="670"/>
      <c r="Q137" s="670"/>
      <c r="R137" s="670"/>
      <c r="S137" s="670"/>
      <c r="T137" s="670">
        <f t="shared" si="27"/>
        <v>1400</v>
      </c>
    </row>
    <row r="138" spans="2:20" ht="15" customHeight="1" x14ac:dyDescent="0.25">
      <c r="B138" s="663" t="s">
        <v>72</v>
      </c>
      <c r="C138" s="664" t="str">
        <f>IFERROR(_xlfn.XLOOKUP($G138,COM_Cadastro!#REF!,COM_Cadastro!#REF!),"")</f>
        <v/>
      </c>
      <c r="D138" s="665" t="s">
        <v>378</v>
      </c>
      <c r="E138" s="666" t="s">
        <v>378</v>
      </c>
      <c r="F138" s="665" t="s">
        <v>371</v>
      </c>
      <c r="G138" s="667" t="s">
        <v>510</v>
      </c>
      <c r="H138" s="668">
        <v>1540</v>
      </c>
      <c r="I138" s="669"/>
      <c r="J138" s="669"/>
      <c r="K138" s="669"/>
      <c r="L138" s="670">
        <f t="shared" si="26"/>
        <v>1540</v>
      </c>
      <c r="M138" s="670"/>
      <c r="N138" s="670"/>
      <c r="O138" s="670"/>
      <c r="P138" s="670"/>
      <c r="Q138" s="670"/>
      <c r="R138" s="670"/>
      <c r="S138" s="670"/>
      <c r="T138" s="670">
        <f t="shared" si="27"/>
        <v>1540</v>
      </c>
    </row>
    <row r="139" spans="2:20" ht="15" customHeight="1" x14ac:dyDescent="0.25">
      <c r="B139" s="663" t="s">
        <v>72</v>
      </c>
      <c r="C139" s="664" t="str">
        <f>IFERROR(_xlfn.XLOOKUP($G139,COM_Cadastro!#REF!,COM_Cadastro!#REF!),"")</f>
        <v/>
      </c>
      <c r="D139" s="665" t="s">
        <v>378</v>
      </c>
      <c r="E139" s="666" t="s">
        <v>378</v>
      </c>
      <c r="F139" s="665" t="s">
        <v>371</v>
      </c>
      <c r="G139" s="667" t="s">
        <v>525</v>
      </c>
      <c r="H139" s="668">
        <v>3112</v>
      </c>
      <c r="I139" s="669"/>
      <c r="J139" s="669"/>
      <c r="K139" s="669"/>
      <c r="L139" s="670">
        <f t="shared" si="26"/>
        <v>3112</v>
      </c>
      <c r="M139" s="670"/>
      <c r="N139" s="670"/>
      <c r="O139" s="670"/>
      <c r="P139" s="670"/>
      <c r="Q139" s="670"/>
      <c r="R139" s="670"/>
      <c r="S139" s="670"/>
      <c r="T139" s="670">
        <f t="shared" si="27"/>
        <v>3112</v>
      </c>
    </row>
    <row r="140" spans="2:20" ht="15" customHeight="1" x14ac:dyDescent="0.25">
      <c r="B140" s="663" t="s">
        <v>72</v>
      </c>
      <c r="C140" s="664" t="str">
        <f>IFERROR(_xlfn.XLOOKUP($G140,COM_Cadastro!#REF!,COM_Cadastro!#REF!),"")</f>
        <v/>
      </c>
      <c r="D140" s="665" t="s">
        <v>378</v>
      </c>
      <c r="E140" s="666" t="s">
        <v>378</v>
      </c>
      <c r="F140" s="665" t="s">
        <v>371</v>
      </c>
      <c r="G140" s="667" t="s">
        <v>540</v>
      </c>
      <c r="H140" s="668">
        <v>140</v>
      </c>
      <c r="I140" s="669"/>
      <c r="J140" s="669"/>
      <c r="K140" s="669"/>
      <c r="L140" s="670">
        <f t="shared" si="26"/>
        <v>140</v>
      </c>
      <c r="M140" s="670"/>
      <c r="N140" s="670"/>
      <c r="O140" s="670"/>
      <c r="P140" s="670"/>
      <c r="Q140" s="670"/>
      <c r="R140" s="670"/>
      <c r="S140" s="670"/>
      <c r="T140" s="670">
        <f t="shared" si="27"/>
        <v>140</v>
      </c>
    </row>
    <row r="141" spans="2:20" ht="15" customHeight="1" x14ac:dyDescent="0.25">
      <c r="B141" s="663" t="s">
        <v>72</v>
      </c>
      <c r="C141" s="664" t="str">
        <f>IFERROR(_xlfn.XLOOKUP($G141,COM_Cadastro!#REF!,COM_Cadastro!#REF!),"")</f>
        <v/>
      </c>
      <c r="D141" s="665" t="s">
        <v>378</v>
      </c>
      <c r="E141" s="666" t="s">
        <v>378</v>
      </c>
      <c r="F141" s="665" t="s">
        <v>371</v>
      </c>
      <c r="G141" s="667" t="s">
        <v>541</v>
      </c>
      <c r="H141" s="668">
        <v>2040</v>
      </c>
      <c r="I141" s="669"/>
      <c r="J141" s="669"/>
      <c r="K141" s="669"/>
      <c r="L141" s="670">
        <f t="shared" si="26"/>
        <v>2040</v>
      </c>
      <c r="M141" s="670"/>
      <c r="N141" s="670"/>
      <c r="O141" s="670"/>
      <c r="P141" s="670"/>
      <c r="Q141" s="670"/>
      <c r="R141" s="670"/>
      <c r="S141" s="670"/>
      <c r="T141" s="670">
        <f t="shared" si="27"/>
        <v>2040</v>
      </c>
    </row>
    <row r="142" spans="2:20" ht="15" customHeight="1" x14ac:dyDescent="0.25">
      <c r="B142" s="663" t="s">
        <v>72</v>
      </c>
      <c r="C142" s="664" t="str">
        <f>IFERROR(_xlfn.XLOOKUP($G142,COM_Cadastro!#REF!,COM_Cadastro!#REF!),"")</f>
        <v/>
      </c>
      <c r="D142" s="665" t="s">
        <v>378</v>
      </c>
      <c r="E142" s="666" t="s">
        <v>378</v>
      </c>
      <c r="F142" s="665" t="s">
        <v>371</v>
      </c>
      <c r="G142" s="667" t="s">
        <v>769</v>
      </c>
      <c r="H142" s="668">
        <v>1300</v>
      </c>
      <c r="I142" s="669"/>
      <c r="J142" s="669"/>
      <c r="K142" s="669"/>
      <c r="L142" s="670">
        <f t="shared" si="26"/>
        <v>1300</v>
      </c>
      <c r="M142" s="670"/>
      <c r="N142" s="670"/>
      <c r="O142" s="670"/>
      <c r="P142" s="670"/>
      <c r="Q142" s="670"/>
      <c r="R142" s="670"/>
      <c r="S142" s="670"/>
      <c r="T142" s="670">
        <f t="shared" si="27"/>
        <v>1300</v>
      </c>
    </row>
    <row r="143" spans="2:20" ht="15" customHeight="1" x14ac:dyDescent="0.25">
      <c r="B143" s="663" t="s">
        <v>72</v>
      </c>
      <c r="C143" s="664" t="str">
        <f>IFERROR(_xlfn.XLOOKUP($G143,COM_Cadastro!#REF!,COM_Cadastro!#REF!),"")</f>
        <v/>
      </c>
      <c r="D143" s="665" t="s">
        <v>378</v>
      </c>
      <c r="E143" s="666" t="s">
        <v>378</v>
      </c>
      <c r="F143" s="665" t="s">
        <v>371</v>
      </c>
      <c r="G143" s="667" t="s">
        <v>556</v>
      </c>
      <c r="H143" s="668">
        <v>2090</v>
      </c>
      <c r="I143" s="669"/>
      <c r="J143" s="669"/>
      <c r="K143" s="669"/>
      <c r="L143" s="670">
        <f t="shared" si="26"/>
        <v>2090</v>
      </c>
      <c r="M143" s="670"/>
      <c r="N143" s="670"/>
      <c r="O143" s="670"/>
      <c r="P143" s="670"/>
      <c r="Q143" s="670"/>
      <c r="R143" s="670"/>
      <c r="S143" s="670"/>
      <c r="T143" s="670">
        <f t="shared" si="27"/>
        <v>2090</v>
      </c>
    </row>
    <row r="144" spans="2:20" ht="15" customHeight="1" x14ac:dyDescent="0.25">
      <c r="B144" s="663" t="s">
        <v>72</v>
      </c>
      <c r="C144" s="664" t="str">
        <f>IFERROR(_xlfn.XLOOKUP($G144,COM_Cadastro!#REF!,COM_Cadastro!#REF!),"")</f>
        <v/>
      </c>
      <c r="D144" s="665" t="s">
        <v>378</v>
      </c>
      <c r="E144" s="666" t="s">
        <v>378</v>
      </c>
      <c r="F144" s="665" t="s">
        <v>371</v>
      </c>
      <c r="G144" s="667" t="s">
        <v>771</v>
      </c>
      <c r="H144" s="668">
        <v>2654</v>
      </c>
      <c r="I144" s="669"/>
      <c r="J144" s="669"/>
      <c r="K144" s="669"/>
      <c r="L144" s="670">
        <f t="shared" si="26"/>
        <v>2654</v>
      </c>
      <c r="M144" s="670"/>
      <c r="N144" s="670"/>
      <c r="O144" s="670"/>
      <c r="P144" s="670"/>
      <c r="Q144" s="670"/>
      <c r="R144" s="670"/>
      <c r="S144" s="670"/>
      <c r="T144" s="670">
        <f t="shared" si="27"/>
        <v>2654</v>
      </c>
    </row>
    <row r="145" spans="2:20" ht="15" customHeight="1" x14ac:dyDescent="0.25">
      <c r="B145" s="663" t="s">
        <v>72</v>
      </c>
      <c r="C145" s="664" t="str">
        <f>IFERROR(_xlfn.XLOOKUP($G145,COM_Cadastro!#REF!,COM_Cadastro!#REF!),"")</f>
        <v/>
      </c>
      <c r="D145" s="665" t="s">
        <v>378</v>
      </c>
      <c r="E145" s="666" t="s">
        <v>378</v>
      </c>
      <c r="F145" s="665" t="s">
        <v>371</v>
      </c>
      <c r="G145" s="667" t="s">
        <v>587</v>
      </c>
      <c r="H145" s="668">
        <v>2223</v>
      </c>
      <c r="I145" s="669"/>
      <c r="J145" s="669"/>
      <c r="K145" s="669"/>
      <c r="L145" s="670">
        <f t="shared" si="26"/>
        <v>2223</v>
      </c>
      <c r="M145" s="670"/>
      <c r="N145" s="670"/>
      <c r="O145" s="670"/>
      <c r="P145" s="670"/>
      <c r="Q145" s="670"/>
      <c r="R145" s="670"/>
      <c r="S145" s="670"/>
      <c r="T145" s="670">
        <f t="shared" si="27"/>
        <v>2223</v>
      </c>
    </row>
    <row r="146" spans="2:20" ht="15" customHeight="1" x14ac:dyDescent="0.25">
      <c r="B146" s="663" t="s">
        <v>72</v>
      </c>
      <c r="C146" s="664" t="str">
        <f>IFERROR(_xlfn.XLOOKUP($G146,COM_Cadastro!#REF!,COM_Cadastro!#REF!),"")</f>
        <v/>
      </c>
      <c r="D146" s="665" t="s">
        <v>378</v>
      </c>
      <c r="E146" s="666" t="s">
        <v>378</v>
      </c>
      <c r="F146" s="665" t="s">
        <v>371</v>
      </c>
      <c r="G146" s="667" t="s">
        <v>772</v>
      </c>
      <c r="H146" s="668">
        <v>3800</v>
      </c>
      <c r="I146" s="669"/>
      <c r="J146" s="669"/>
      <c r="K146" s="669"/>
      <c r="L146" s="670">
        <f t="shared" si="26"/>
        <v>3800</v>
      </c>
      <c r="M146" s="670"/>
      <c r="N146" s="670"/>
      <c r="O146" s="670"/>
      <c r="P146" s="670"/>
      <c r="Q146" s="670"/>
      <c r="R146" s="670"/>
      <c r="S146" s="670"/>
      <c r="T146" s="670">
        <f t="shared" si="27"/>
        <v>3800</v>
      </c>
    </row>
    <row r="147" spans="2:20" ht="15" customHeight="1" x14ac:dyDescent="0.25">
      <c r="B147" s="663" t="s">
        <v>72</v>
      </c>
      <c r="C147" s="664" t="str">
        <f>IFERROR(_xlfn.XLOOKUP($G147,COM_Cadastro!#REF!,COM_Cadastro!#REF!),"")</f>
        <v/>
      </c>
      <c r="D147" s="665" t="s">
        <v>378</v>
      </c>
      <c r="E147" s="666" t="s">
        <v>378</v>
      </c>
      <c r="F147" s="665" t="s">
        <v>371</v>
      </c>
      <c r="G147" s="667" t="s">
        <v>590</v>
      </c>
      <c r="H147" s="668">
        <v>900</v>
      </c>
      <c r="I147" s="669"/>
      <c r="J147" s="669"/>
      <c r="K147" s="669"/>
      <c r="L147" s="670">
        <f t="shared" si="26"/>
        <v>900</v>
      </c>
      <c r="M147" s="670"/>
      <c r="N147" s="670"/>
      <c r="O147" s="670"/>
      <c r="P147" s="670"/>
      <c r="Q147" s="670"/>
      <c r="R147" s="670"/>
      <c r="S147" s="670"/>
      <c r="T147" s="670">
        <f t="shared" si="27"/>
        <v>900</v>
      </c>
    </row>
    <row r="148" spans="2:20" ht="15" customHeight="1" x14ac:dyDescent="0.25">
      <c r="B148" s="663" t="s">
        <v>72</v>
      </c>
      <c r="C148" s="664" t="str">
        <f>IFERROR(_xlfn.XLOOKUP($G148,COM_Cadastro!#REF!,COM_Cadastro!#REF!),"")</f>
        <v/>
      </c>
      <c r="D148" s="665" t="s">
        <v>378</v>
      </c>
      <c r="E148" s="666" t="s">
        <v>378</v>
      </c>
      <c r="F148" s="665" t="s">
        <v>371</v>
      </c>
      <c r="G148" s="667" t="s">
        <v>773</v>
      </c>
      <c r="H148" s="668">
        <v>500</v>
      </c>
      <c r="I148" s="669"/>
      <c r="J148" s="669"/>
      <c r="K148" s="669"/>
      <c r="L148" s="670">
        <f t="shared" si="26"/>
        <v>500</v>
      </c>
      <c r="M148" s="670"/>
      <c r="N148" s="670"/>
      <c r="O148" s="670"/>
      <c r="P148" s="670"/>
      <c r="Q148" s="670"/>
      <c r="R148" s="670"/>
      <c r="S148" s="670"/>
      <c r="T148" s="670">
        <f t="shared" si="27"/>
        <v>500</v>
      </c>
    </row>
    <row r="149" spans="2:20" ht="15" customHeight="1" x14ac:dyDescent="0.25">
      <c r="B149" s="663" t="s">
        <v>72</v>
      </c>
      <c r="C149" s="664" t="str">
        <f>IFERROR(_xlfn.XLOOKUP($G149,COM_Cadastro!#REF!,COM_Cadastro!#REF!),"")</f>
        <v/>
      </c>
      <c r="D149" s="665" t="s">
        <v>378</v>
      </c>
      <c r="E149" s="666" t="s">
        <v>378</v>
      </c>
      <c r="F149" s="665" t="s">
        <v>371</v>
      </c>
      <c r="G149" s="667" t="s">
        <v>774</v>
      </c>
      <c r="H149" s="668">
        <v>900</v>
      </c>
      <c r="I149" s="669"/>
      <c r="J149" s="669"/>
      <c r="K149" s="669"/>
      <c r="L149" s="670">
        <f t="shared" si="26"/>
        <v>900</v>
      </c>
      <c r="M149" s="670"/>
      <c r="N149" s="670"/>
      <c r="O149" s="670"/>
      <c r="P149" s="670"/>
      <c r="Q149" s="670"/>
      <c r="R149" s="670"/>
      <c r="S149" s="670"/>
      <c r="T149" s="670">
        <f t="shared" si="27"/>
        <v>900</v>
      </c>
    </row>
    <row r="150" spans="2:20" ht="15" customHeight="1" x14ac:dyDescent="0.25">
      <c r="B150" s="663" t="s">
        <v>72</v>
      </c>
      <c r="C150" s="664" t="str">
        <f>IFERROR(_xlfn.XLOOKUP($G150,COM_Cadastro!#REF!,COM_Cadastro!#REF!),"")</f>
        <v/>
      </c>
      <c r="D150" s="665" t="s">
        <v>378</v>
      </c>
      <c r="E150" s="666" t="s">
        <v>378</v>
      </c>
      <c r="F150" s="665" t="s">
        <v>371</v>
      </c>
      <c r="G150" s="667" t="s">
        <v>775</v>
      </c>
      <c r="H150" s="668">
        <v>700</v>
      </c>
      <c r="I150" s="669"/>
      <c r="J150" s="669"/>
      <c r="K150" s="669"/>
      <c r="L150" s="670">
        <f t="shared" si="26"/>
        <v>700</v>
      </c>
      <c r="M150" s="670"/>
      <c r="N150" s="670"/>
      <c r="O150" s="670"/>
      <c r="P150" s="670"/>
      <c r="Q150" s="670"/>
      <c r="R150" s="670"/>
      <c r="S150" s="670"/>
      <c r="T150" s="670">
        <f t="shared" si="27"/>
        <v>700</v>
      </c>
    </row>
    <row r="151" spans="2:20" ht="15" customHeight="1" x14ac:dyDescent="0.25">
      <c r="B151" s="663" t="s">
        <v>72</v>
      </c>
      <c r="C151" s="664" t="str">
        <f>IFERROR(_xlfn.XLOOKUP($G151,COM_Cadastro!#REF!,COM_Cadastro!#REF!),"")</f>
        <v/>
      </c>
      <c r="D151" s="665" t="s">
        <v>378</v>
      </c>
      <c r="E151" s="666" t="s">
        <v>378</v>
      </c>
      <c r="F151" s="665" t="s">
        <v>376</v>
      </c>
      <c r="G151" s="667" t="s">
        <v>776</v>
      </c>
      <c r="H151" s="668">
        <v>3000</v>
      </c>
      <c r="I151" s="669"/>
      <c r="J151" s="669"/>
      <c r="K151" s="669"/>
      <c r="L151" s="670">
        <f t="shared" si="26"/>
        <v>3000</v>
      </c>
      <c r="M151" s="670"/>
      <c r="N151" s="670"/>
      <c r="O151" s="670"/>
      <c r="P151" s="670"/>
      <c r="Q151" s="670"/>
      <c r="R151" s="670"/>
      <c r="S151" s="670"/>
      <c r="T151" s="670">
        <f t="shared" si="27"/>
        <v>3000</v>
      </c>
    </row>
    <row r="152" spans="2:20" ht="15" customHeight="1" x14ac:dyDescent="0.25">
      <c r="B152" s="663" t="s">
        <v>72</v>
      </c>
      <c r="C152" s="664" t="str">
        <f>IFERROR(_xlfn.XLOOKUP($G152,COM_Cadastro!#REF!,COM_Cadastro!#REF!),"")</f>
        <v/>
      </c>
      <c r="D152" s="665" t="s">
        <v>378</v>
      </c>
      <c r="E152" s="666" t="s">
        <v>378</v>
      </c>
      <c r="F152" s="665" t="s">
        <v>376</v>
      </c>
      <c r="G152" s="667" t="s">
        <v>777</v>
      </c>
      <c r="H152" s="668">
        <v>2940</v>
      </c>
      <c r="I152" s="669"/>
      <c r="J152" s="669"/>
      <c r="K152" s="669"/>
      <c r="L152" s="670">
        <f t="shared" si="26"/>
        <v>2940</v>
      </c>
      <c r="M152" s="670"/>
      <c r="N152" s="670"/>
      <c r="O152" s="670"/>
      <c r="P152" s="670"/>
      <c r="Q152" s="670"/>
      <c r="R152" s="670"/>
      <c r="S152" s="670"/>
      <c r="T152" s="670">
        <f t="shared" si="27"/>
        <v>2940</v>
      </c>
    </row>
    <row r="153" spans="2:20" ht="15" customHeight="1" x14ac:dyDescent="0.25">
      <c r="B153" s="663" t="s">
        <v>72</v>
      </c>
      <c r="C153" s="664" t="str">
        <f>IFERROR(_xlfn.XLOOKUP($G153,COM_Cadastro!#REF!,COM_Cadastro!#REF!),"")</f>
        <v/>
      </c>
      <c r="D153" s="665" t="s">
        <v>378</v>
      </c>
      <c r="E153" s="666" t="s">
        <v>378</v>
      </c>
      <c r="F153" s="665" t="s">
        <v>376</v>
      </c>
      <c r="G153" s="667" t="s">
        <v>391</v>
      </c>
      <c r="H153" s="668">
        <v>1125</v>
      </c>
      <c r="I153" s="669"/>
      <c r="J153" s="669"/>
      <c r="K153" s="669"/>
      <c r="L153" s="670">
        <f t="shared" si="26"/>
        <v>1125</v>
      </c>
      <c r="M153" s="670"/>
      <c r="N153" s="670"/>
      <c r="O153" s="670"/>
      <c r="P153" s="670"/>
      <c r="Q153" s="670"/>
      <c r="R153" s="670"/>
      <c r="S153" s="670"/>
      <c r="T153" s="670">
        <f t="shared" si="27"/>
        <v>1125</v>
      </c>
    </row>
    <row r="154" spans="2:20" ht="15" customHeight="1" x14ac:dyDescent="0.25">
      <c r="B154" s="663" t="s">
        <v>72</v>
      </c>
      <c r="C154" s="664" t="str">
        <f>IFERROR(_xlfn.XLOOKUP($G154,COM_Cadastro!#REF!,COM_Cadastro!#REF!),"")</f>
        <v/>
      </c>
      <c r="D154" s="665" t="s">
        <v>378</v>
      </c>
      <c r="E154" s="666" t="s">
        <v>378</v>
      </c>
      <c r="F154" s="665" t="s">
        <v>376</v>
      </c>
      <c r="G154" s="667" t="s">
        <v>778</v>
      </c>
      <c r="H154" s="668">
        <v>3000</v>
      </c>
      <c r="I154" s="669"/>
      <c r="J154" s="669"/>
      <c r="K154" s="669"/>
      <c r="L154" s="670">
        <f t="shared" si="26"/>
        <v>3000</v>
      </c>
      <c r="M154" s="670"/>
      <c r="N154" s="670"/>
      <c r="O154" s="670"/>
      <c r="P154" s="670"/>
      <c r="Q154" s="670"/>
      <c r="R154" s="670"/>
      <c r="S154" s="670"/>
      <c r="T154" s="670">
        <f t="shared" si="27"/>
        <v>3000</v>
      </c>
    </row>
    <row r="155" spans="2:20" ht="15" customHeight="1" x14ac:dyDescent="0.25">
      <c r="B155" s="663" t="s">
        <v>72</v>
      </c>
      <c r="C155" s="664" t="str">
        <f>IFERROR(_xlfn.XLOOKUP($G155,COM_Cadastro!#REF!,COM_Cadastro!#REF!),"")</f>
        <v/>
      </c>
      <c r="D155" s="665" t="s">
        <v>378</v>
      </c>
      <c r="E155" s="666" t="s">
        <v>378</v>
      </c>
      <c r="F155" s="665" t="s">
        <v>376</v>
      </c>
      <c r="G155" s="667" t="s">
        <v>410</v>
      </c>
      <c r="H155" s="668">
        <v>1845</v>
      </c>
      <c r="I155" s="669"/>
      <c r="J155" s="669"/>
      <c r="K155" s="669"/>
      <c r="L155" s="670">
        <f t="shared" si="26"/>
        <v>1845</v>
      </c>
      <c r="M155" s="670"/>
      <c r="N155" s="670"/>
      <c r="O155" s="670"/>
      <c r="P155" s="670"/>
      <c r="Q155" s="670"/>
      <c r="R155" s="670"/>
      <c r="S155" s="670"/>
      <c r="T155" s="670">
        <f t="shared" si="27"/>
        <v>1845</v>
      </c>
    </row>
    <row r="156" spans="2:20" ht="15" customHeight="1" x14ac:dyDescent="0.25">
      <c r="B156" s="663" t="s">
        <v>72</v>
      </c>
      <c r="C156" s="664" t="str">
        <f>IFERROR(_xlfn.XLOOKUP($G156,COM_Cadastro!#REF!,COM_Cadastro!#REF!),"")</f>
        <v/>
      </c>
      <c r="D156" s="665" t="s">
        <v>378</v>
      </c>
      <c r="E156" s="666" t="s">
        <v>378</v>
      </c>
      <c r="F156" s="665" t="s">
        <v>376</v>
      </c>
      <c r="G156" s="667" t="s">
        <v>446</v>
      </c>
      <c r="H156" s="668">
        <v>2624</v>
      </c>
      <c r="I156" s="669"/>
      <c r="J156" s="669"/>
      <c r="K156" s="669"/>
      <c r="L156" s="670">
        <f t="shared" si="26"/>
        <v>2624</v>
      </c>
      <c r="M156" s="670"/>
      <c r="N156" s="670"/>
      <c r="O156" s="670"/>
      <c r="P156" s="670"/>
      <c r="Q156" s="670"/>
      <c r="R156" s="670"/>
      <c r="S156" s="670"/>
      <c r="T156" s="670">
        <f t="shared" si="27"/>
        <v>2624</v>
      </c>
    </row>
    <row r="157" spans="2:20" ht="15" customHeight="1" x14ac:dyDescent="0.25">
      <c r="B157" s="663" t="s">
        <v>72</v>
      </c>
      <c r="C157" s="664" t="str">
        <f>IFERROR(_xlfn.XLOOKUP($G157,COM_Cadastro!#REF!,COM_Cadastro!#REF!),"")</f>
        <v/>
      </c>
      <c r="D157" s="665" t="s">
        <v>378</v>
      </c>
      <c r="E157" s="666" t="s">
        <v>378</v>
      </c>
      <c r="F157" s="665" t="s">
        <v>376</v>
      </c>
      <c r="G157" s="667" t="s">
        <v>467</v>
      </c>
      <c r="H157" s="668">
        <v>2658</v>
      </c>
      <c r="I157" s="669"/>
      <c r="J157" s="669"/>
      <c r="K157" s="669"/>
      <c r="L157" s="670">
        <f t="shared" si="26"/>
        <v>2658</v>
      </c>
      <c r="M157" s="670"/>
      <c r="N157" s="670"/>
      <c r="O157" s="670"/>
      <c r="P157" s="670"/>
      <c r="Q157" s="670"/>
      <c r="R157" s="670"/>
      <c r="S157" s="670"/>
      <c r="T157" s="670">
        <f t="shared" si="27"/>
        <v>2658</v>
      </c>
    </row>
    <row r="158" spans="2:20" ht="15" customHeight="1" x14ac:dyDescent="0.25">
      <c r="B158" s="663" t="s">
        <v>72</v>
      </c>
      <c r="C158" s="664" t="str">
        <f>IFERROR(_xlfn.XLOOKUP($G158,COM_Cadastro!#REF!,COM_Cadastro!#REF!),"")</f>
        <v/>
      </c>
      <c r="D158" s="665" t="s">
        <v>378</v>
      </c>
      <c r="E158" s="666" t="s">
        <v>378</v>
      </c>
      <c r="F158" s="665" t="s">
        <v>376</v>
      </c>
      <c r="G158" s="667" t="s">
        <v>536</v>
      </c>
      <c r="H158" s="668">
        <v>2760</v>
      </c>
      <c r="I158" s="669"/>
      <c r="J158" s="669"/>
      <c r="K158" s="669"/>
      <c r="L158" s="670">
        <f t="shared" si="26"/>
        <v>2760</v>
      </c>
      <c r="M158" s="670"/>
      <c r="N158" s="670"/>
      <c r="O158" s="670"/>
      <c r="P158" s="670"/>
      <c r="Q158" s="670"/>
      <c r="R158" s="670"/>
      <c r="S158" s="670"/>
      <c r="T158" s="670">
        <f t="shared" si="27"/>
        <v>2760</v>
      </c>
    </row>
    <row r="159" spans="2:20" ht="15" customHeight="1" x14ac:dyDescent="0.25">
      <c r="B159" s="663" t="s">
        <v>72</v>
      </c>
      <c r="C159" s="664" t="str">
        <f>IFERROR(_xlfn.XLOOKUP($G159,COM_Cadastro!#REF!,COM_Cadastro!#REF!),"")</f>
        <v/>
      </c>
      <c r="D159" s="665" t="s">
        <v>378</v>
      </c>
      <c r="E159" s="666" t="s">
        <v>378</v>
      </c>
      <c r="F159" s="665" t="s">
        <v>374</v>
      </c>
      <c r="G159" s="667" t="s">
        <v>385</v>
      </c>
      <c r="H159" s="668">
        <v>480</v>
      </c>
      <c r="I159" s="669"/>
      <c r="J159" s="669"/>
      <c r="K159" s="669"/>
      <c r="L159" s="670">
        <f t="shared" si="26"/>
        <v>480</v>
      </c>
      <c r="M159" s="670"/>
      <c r="N159" s="670"/>
      <c r="O159" s="670"/>
      <c r="P159" s="670"/>
      <c r="Q159" s="670"/>
      <c r="R159" s="670"/>
      <c r="S159" s="670"/>
      <c r="T159" s="670">
        <f t="shared" si="27"/>
        <v>480</v>
      </c>
    </row>
    <row r="160" spans="2:20" ht="15" customHeight="1" x14ac:dyDescent="0.25">
      <c r="B160" s="663" t="s">
        <v>72</v>
      </c>
      <c r="C160" s="664" t="str">
        <f>IFERROR(_xlfn.XLOOKUP($G160,COM_Cadastro!#REF!,COM_Cadastro!#REF!),"")</f>
        <v/>
      </c>
      <c r="D160" s="665" t="s">
        <v>378</v>
      </c>
      <c r="E160" s="666" t="s">
        <v>378</v>
      </c>
      <c r="F160" s="665" t="s">
        <v>374</v>
      </c>
      <c r="G160" s="667" t="s">
        <v>396</v>
      </c>
      <c r="H160" s="668">
        <v>3440</v>
      </c>
      <c r="I160" s="669"/>
      <c r="J160" s="669"/>
      <c r="K160" s="669"/>
      <c r="L160" s="670">
        <f t="shared" si="26"/>
        <v>3440</v>
      </c>
      <c r="M160" s="670"/>
      <c r="N160" s="670"/>
      <c r="O160" s="670"/>
      <c r="P160" s="670"/>
      <c r="Q160" s="670"/>
      <c r="R160" s="670"/>
      <c r="S160" s="670"/>
      <c r="T160" s="670">
        <f t="shared" si="27"/>
        <v>3440</v>
      </c>
    </row>
    <row r="161" spans="2:20" ht="15" customHeight="1" x14ac:dyDescent="0.25">
      <c r="B161" s="663" t="s">
        <v>72</v>
      </c>
      <c r="C161" s="664" t="str">
        <f>IFERROR(_xlfn.XLOOKUP($G161,COM_Cadastro!#REF!,COM_Cadastro!#REF!),"")</f>
        <v/>
      </c>
      <c r="D161" s="665" t="s">
        <v>378</v>
      </c>
      <c r="E161" s="666" t="s">
        <v>378</v>
      </c>
      <c r="F161" s="665" t="s">
        <v>374</v>
      </c>
      <c r="G161" s="667" t="s">
        <v>456</v>
      </c>
      <c r="H161" s="668">
        <v>3400</v>
      </c>
      <c r="I161" s="669"/>
      <c r="J161" s="669"/>
      <c r="K161" s="669"/>
      <c r="L161" s="670">
        <f t="shared" si="26"/>
        <v>3400</v>
      </c>
      <c r="M161" s="670"/>
      <c r="N161" s="670"/>
      <c r="O161" s="670"/>
      <c r="P161" s="670"/>
      <c r="Q161" s="670"/>
      <c r="R161" s="670"/>
      <c r="S161" s="670"/>
      <c r="T161" s="670">
        <f t="shared" si="27"/>
        <v>3400</v>
      </c>
    </row>
    <row r="162" spans="2:20" ht="15" customHeight="1" x14ac:dyDescent="0.25">
      <c r="B162" s="663" t="s">
        <v>72</v>
      </c>
      <c r="C162" s="664" t="str">
        <f>IFERROR(_xlfn.XLOOKUP($G162,COM_Cadastro!#REF!,COM_Cadastro!#REF!),"")</f>
        <v/>
      </c>
      <c r="D162" s="665" t="s">
        <v>378</v>
      </c>
      <c r="E162" s="666" t="s">
        <v>378</v>
      </c>
      <c r="F162" s="665" t="s">
        <v>374</v>
      </c>
      <c r="G162" s="667" t="s">
        <v>480</v>
      </c>
      <c r="H162" s="668">
        <v>2100</v>
      </c>
      <c r="I162" s="669"/>
      <c r="J162" s="669"/>
      <c r="K162" s="669"/>
      <c r="L162" s="670">
        <f t="shared" si="26"/>
        <v>2100</v>
      </c>
      <c r="M162" s="670"/>
      <c r="N162" s="670"/>
      <c r="O162" s="670"/>
      <c r="P162" s="670"/>
      <c r="Q162" s="670"/>
      <c r="R162" s="670"/>
      <c r="S162" s="670"/>
      <c r="T162" s="670">
        <f t="shared" si="27"/>
        <v>2100</v>
      </c>
    </row>
    <row r="163" spans="2:20" ht="15" customHeight="1" x14ac:dyDescent="0.25">
      <c r="B163" s="663" t="s">
        <v>72</v>
      </c>
      <c r="C163" s="664" t="str">
        <f>IFERROR(_xlfn.XLOOKUP($G163,COM_Cadastro!#REF!,COM_Cadastro!#REF!),"")</f>
        <v/>
      </c>
      <c r="D163" s="665" t="s">
        <v>378</v>
      </c>
      <c r="E163" s="666" t="s">
        <v>378</v>
      </c>
      <c r="F163" s="665" t="s">
        <v>374</v>
      </c>
      <c r="G163" s="667" t="s">
        <v>779</v>
      </c>
      <c r="H163" s="668">
        <v>3000</v>
      </c>
      <c r="I163" s="669"/>
      <c r="J163" s="669"/>
      <c r="K163" s="669"/>
      <c r="L163" s="670">
        <f t="shared" ref="L163:L194" si="28">SUM(H163:K163)</f>
        <v>3000</v>
      </c>
      <c r="M163" s="670"/>
      <c r="N163" s="670"/>
      <c r="O163" s="670"/>
      <c r="P163" s="670"/>
      <c r="Q163" s="670"/>
      <c r="R163" s="670"/>
      <c r="S163" s="670"/>
      <c r="T163" s="670">
        <f t="shared" ref="T163:T194" si="29">L163+M163+S163</f>
        <v>3000</v>
      </c>
    </row>
    <row r="164" spans="2:20" ht="15" customHeight="1" x14ac:dyDescent="0.25">
      <c r="B164" s="663" t="s">
        <v>72</v>
      </c>
      <c r="C164" s="664" t="str">
        <f>IFERROR(_xlfn.XLOOKUP($G164,COM_Cadastro!#REF!,COM_Cadastro!#REF!),"")</f>
        <v/>
      </c>
      <c r="D164" s="665" t="s">
        <v>378</v>
      </c>
      <c r="E164" s="666" t="s">
        <v>378</v>
      </c>
      <c r="F164" s="665" t="s">
        <v>374</v>
      </c>
      <c r="G164" s="667" t="s">
        <v>568</v>
      </c>
      <c r="H164" s="668">
        <v>300</v>
      </c>
      <c r="I164" s="669"/>
      <c r="J164" s="669"/>
      <c r="K164" s="669"/>
      <c r="L164" s="670">
        <f t="shared" si="28"/>
        <v>300</v>
      </c>
      <c r="M164" s="670"/>
      <c r="N164" s="670"/>
      <c r="O164" s="670"/>
      <c r="P164" s="670"/>
      <c r="Q164" s="670"/>
      <c r="R164" s="670"/>
      <c r="S164" s="670"/>
      <c r="T164" s="670">
        <f t="shared" si="29"/>
        <v>300</v>
      </c>
    </row>
    <row r="165" spans="2:20" ht="15" customHeight="1" x14ac:dyDescent="0.25">
      <c r="B165" s="663" t="s">
        <v>72</v>
      </c>
      <c r="C165" s="664" t="str">
        <f>IFERROR(_xlfn.XLOOKUP($G165,COM_Cadastro!#REF!,COM_Cadastro!#REF!),"")</f>
        <v/>
      </c>
      <c r="D165" s="665" t="s">
        <v>734</v>
      </c>
      <c r="E165" s="666" t="s">
        <v>780</v>
      </c>
      <c r="F165" s="665" t="s">
        <v>371</v>
      </c>
      <c r="G165" s="667" t="s">
        <v>437</v>
      </c>
      <c r="H165" s="668">
        <v>300</v>
      </c>
      <c r="I165" s="669"/>
      <c r="J165" s="669"/>
      <c r="K165" s="669"/>
      <c r="L165" s="670">
        <f t="shared" si="28"/>
        <v>300</v>
      </c>
      <c r="M165" s="670"/>
      <c r="N165" s="670"/>
      <c r="O165" s="670"/>
      <c r="P165" s="670"/>
      <c r="Q165" s="670"/>
      <c r="R165" s="670"/>
      <c r="S165" s="670"/>
      <c r="T165" s="670">
        <f t="shared" si="29"/>
        <v>300</v>
      </c>
    </row>
    <row r="166" spans="2:20" ht="15" customHeight="1" x14ac:dyDescent="0.25">
      <c r="B166" s="663" t="s">
        <v>72</v>
      </c>
      <c r="C166" s="664" t="str">
        <f>IFERROR(_xlfn.XLOOKUP($G166,COM_Cadastro!#REF!,COM_Cadastro!#REF!),"")</f>
        <v/>
      </c>
      <c r="D166" s="665" t="s">
        <v>734</v>
      </c>
      <c r="E166" s="666" t="s">
        <v>780</v>
      </c>
      <c r="F166" s="665" t="s">
        <v>371</v>
      </c>
      <c r="G166" s="667" t="s">
        <v>819</v>
      </c>
      <c r="H166" s="668">
        <v>300</v>
      </c>
      <c r="I166" s="669"/>
      <c r="J166" s="669"/>
      <c r="K166" s="669"/>
      <c r="L166" s="670">
        <f t="shared" si="28"/>
        <v>300</v>
      </c>
      <c r="M166" s="670"/>
      <c r="N166" s="670"/>
      <c r="O166" s="670"/>
      <c r="P166" s="670"/>
      <c r="Q166" s="670"/>
      <c r="R166" s="670"/>
      <c r="S166" s="670"/>
      <c r="T166" s="670">
        <f t="shared" si="29"/>
        <v>300</v>
      </c>
    </row>
    <row r="167" spans="2:20" ht="15" customHeight="1" x14ac:dyDescent="0.25">
      <c r="B167" s="663" t="s">
        <v>72</v>
      </c>
      <c r="C167" s="664" t="str">
        <f>IFERROR(_xlfn.XLOOKUP($G167,COM_Cadastro!#REF!,COM_Cadastro!#REF!),"")</f>
        <v/>
      </c>
      <c r="D167" s="665" t="s">
        <v>734</v>
      </c>
      <c r="E167" s="666" t="s">
        <v>780</v>
      </c>
      <c r="F167" s="665" t="s">
        <v>371</v>
      </c>
      <c r="G167" s="667" t="s">
        <v>818</v>
      </c>
      <c r="H167" s="668">
        <v>240</v>
      </c>
      <c r="I167" s="669"/>
      <c r="J167" s="669"/>
      <c r="K167" s="669"/>
      <c r="L167" s="670">
        <f t="shared" si="28"/>
        <v>240</v>
      </c>
      <c r="M167" s="670"/>
      <c r="N167" s="670"/>
      <c r="O167" s="670"/>
      <c r="P167" s="670"/>
      <c r="Q167" s="670"/>
      <c r="R167" s="670"/>
      <c r="S167" s="670"/>
      <c r="T167" s="670">
        <f t="shared" si="29"/>
        <v>240</v>
      </c>
    </row>
    <row r="168" spans="2:20" ht="15" customHeight="1" x14ac:dyDescent="0.25">
      <c r="B168" s="663" t="s">
        <v>72</v>
      </c>
      <c r="C168" s="664" t="str">
        <f>IFERROR(_xlfn.XLOOKUP($G168,COM_Cadastro!#REF!,COM_Cadastro!#REF!),"")</f>
        <v/>
      </c>
      <c r="D168" s="665" t="s">
        <v>734</v>
      </c>
      <c r="E168" s="666" t="s">
        <v>780</v>
      </c>
      <c r="F168" s="665" t="s">
        <v>444</v>
      </c>
      <c r="G168" s="667" t="s">
        <v>781</v>
      </c>
      <c r="H168" s="668">
        <v>630</v>
      </c>
      <c r="I168" s="669"/>
      <c r="J168" s="669"/>
      <c r="K168" s="669"/>
      <c r="L168" s="670">
        <f t="shared" si="28"/>
        <v>630</v>
      </c>
      <c r="M168" s="670"/>
      <c r="N168" s="670"/>
      <c r="O168" s="670"/>
      <c r="P168" s="670"/>
      <c r="Q168" s="670"/>
      <c r="R168" s="670"/>
      <c r="S168" s="670"/>
      <c r="T168" s="670">
        <f t="shared" si="29"/>
        <v>630</v>
      </c>
    </row>
    <row r="169" spans="2:20" ht="15" customHeight="1" x14ac:dyDescent="0.25">
      <c r="B169" s="663" t="s">
        <v>72</v>
      </c>
      <c r="C169" s="664" t="str">
        <f>IFERROR(_xlfn.XLOOKUP($G169,COM_Cadastro!#REF!,COM_Cadastro!#REF!),"")</f>
        <v/>
      </c>
      <c r="D169" s="665" t="s">
        <v>734</v>
      </c>
      <c r="E169" s="666" t="s">
        <v>780</v>
      </c>
      <c r="F169" s="665" t="s">
        <v>368</v>
      </c>
      <c r="G169" s="667" t="s">
        <v>783</v>
      </c>
      <c r="H169" s="668">
        <v>872</v>
      </c>
      <c r="I169" s="669"/>
      <c r="J169" s="669"/>
      <c r="K169" s="669"/>
      <c r="L169" s="670">
        <f t="shared" si="28"/>
        <v>872</v>
      </c>
      <c r="M169" s="670"/>
      <c r="N169" s="670"/>
      <c r="O169" s="670"/>
      <c r="P169" s="670"/>
      <c r="Q169" s="670"/>
      <c r="R169" s="670"/>
      <c r="S169" s="670"/>
      <c r="T169" s="670">
        <f t="shared" si="29"/>
        <v>872</v>
      </c>
    </row>
    <row r="170" spans="2:20" ht="15" customHeight="1" x14ac:dyDescent="0.25">
      <c r="B170" s="663" t="s">
        <v>72</v>
      </c>
      <c r="C170" s="664" t="str">
        <f>IFERROR(_xlfn.XLOOKUP($G170,COM_Cadastro!#REF!,COM_Cadastro!#REF!),"")</f>
        <v/>
      </c>
      <c r="D170" s="665" t="s">
        <v>734</v>
      </c>
      <c r="E170" s="666" t="s">
        <v>780</v>
      </c>
      <c r="F170" s="665" t="s">
        <v>368</v>
      </c>
      <c r="G170" s="667" t="s">
        <v>820</v>
      </c>
      <c r="H170" s="668">
        <v>200</v>
      </c>
      <c r="I170" s="669"/>
      <c r="J170" s="669"/>
      <c r="K170" s="669"/>
      <c r="L170" s="670">
        <f t="shared" si="28"/>
        <v>200</v>
      </c>
      <c r="M170" s="670"/>
      <c r="N170" s="670"/>
      <c r="O170" s="670"/>
      <c r="P170" s="670"/>
      <c r="Q170" s="670"/>
      <c r="R170" s="670"/>
      <c r="S170" s="670"/>
      <c r="T170" s="670">
        <f t="shared" si="29"/>
        <v>200</v>
      </c>
    </row>
    <row r="171" spans="2:20" ht="15" customHeight="1" x14ac:dyDescent="0.25">
      <c r="B171" s="663" t="s">
        <v>72</v>
      </c>
      <c r="C171" s="664" t="str">
        <f>IFERROR(_xlfn.XLOOKUP($G171,COM_Cadastro!#REF!,COM_Cadastro!#REF!),"")</f>
        <v/>
      </c>
      <c r="D171" s="665" t="s">
        <v>734</v>
      </c>
      <c r="E171" s="666" t="s">
        <v>780</v>
      </c>
      <c r="F171" s="665" t="s">
        <v>444</v>
      </c>
      <c r="G171" s="667" t="s">
        <v>784</v>
      </c>
      <c r="H171" s="668">
        <v>1032</v>
      </c>
      <c r="I171" s="669"/>
      <c r="J171" s="669"/>
      <c r="K171" s="669"/>
      <c r="L171" s="670">
        <f t="shared" si="28"/>
        <v>1032</v>
      </c>
      <c r="M171" s="670"/>
      <c r="N171" s="670"/>
      <c r="O171" s="670"/>
      <c r="P171" s="670"/>
      <c r="Q171" s="670"/>
      <c r="R171" s="670"/>
      <c r="S171" s="670"/>
      <c r="T171" s="670">
        <f t="shared" si="29"/>
        <v>1032</v>
      </c>
    </row>
    <row r="172" spans="2:20" ht="15" customHeight="1" x14ac:dyDescent="0.25">
      <c r="B172" s="663" t="s">
        <v>72</v>
      </c>
      <c r="C172" s="664" t="str">
        <f>IFERROR(_xlfn.XLOOKUP($G172,COM_Cadastro!#REF!,COM_Cadastro!#REF!),"")</f>
        <v/>
      </c>
      <c r="D172" s="665" t="s">
        <v>734</v>
      </c>
      <c r="E172" s="666" t="s">
        <v>780</v>
      </c>
      <c r="F172" s="665" t="s">
        <v>368</v>
      </c>
      <c r="G172" s="667" t="s">
        <v>821</v>
      </c>
      <c r="H172" s="668">
        <v>450</v>
      </c>
      <c r="I172" s="669"/>
      <c r="J172" s="669"/>
      <c r="K172" s="669"/>
      <c r="L172" s="670">
        <f t="shared" si="28"/>
        <v>450</v>
      </c>
      <c r="M172" s="670"/>
      <c r="N172" s="670"/>
      <c r="O172" s="670"/>
      <c r="P172" s="670"/>
      <c r="Q172" s="670"/>
      <c r="R172" s="670"/>
      <c r="S172" s="670"/>
      <c r="T172" s="670">
        <f t="shared" si="29"/>
        <v>450</v>
      </c>
    </row>
    <row r="173" spans="2:20" ht="15" customHeight="1" x14ac:dyDescent="0.25">
      <c r="B173" s="663" t="s">
        <v>72</v>
      </c>
      <c r="C173" s="664" t="str">
        <f>IFERROR(_xlfn.XLOOKUP($G173,COM_Cadastro!#REF!,COM_Cadastro!#REF!),"")</f>
        <v/>
      </c>
      <c r="D173" s="665" t="s">
        <v>734</v>
      </c>
      <c r="E173" s="666" t="s">
        <v>780</v>
      </c>
      <c r="F173" s="665" t="s">
        <v>368</v>
      </c>
      <c r="G173" s="667" t="s">
        <v>470</v>
      </c>
      <c r="H173" s="668">
        <v>1000</v>
      </c>
      <c r="I173" s="669"/>
      <c r="J173" s="669"/>
      <c r="K173" s="669"/>
      <c r="L173" s="670">
        <f t="shared" si="28"/>
        <v>1000</v>
      </c>
      <c r="M173" s="670"/>
      <c r="N173" s="670"/>
      <c r="O173" s="670"/>
      <c r="P173" s="670"/>
      <c r="Q173" s="670"/>
      <c r="R173" s="670"/>
      <c r="S173" s="670"/>
      <c r="T173" s="670">
        <f t="shared" si="29"/>
        <v>1000</v>
      </c>
    </row>
    <row r="174" spans="2:20" ht="15" customHeight="1" x14ac:dyDescent="0.25">
      <c r="B174" s="663" t="s">
        <v>72</v>
      </c>
      <c r="C174" s="664" t="str">
        <f>IFERROR(_xlfn.XLOOKUP($G174,COM_Cadastro!#REF!,COM_Cadastro!#REF!),"")</f>
        <v/>
      </c>
      <c r="D174" s="665" t="s">
        <v>734</v>
      </c>
      <c r="E174" s="666" t="s">
        <v>780</v>
      </c>
      <c r="F174" s="665" t="s">
        <v>368</v>
      </c>
      <c r="G174" s="667" t="s">
        <v>785</v>
      </c>
      <c r="H174" s="668">
        <v>1575</v>
      </c>
      <c r="I174" s="669"/>
      <c r="J174" s="669"/>
      <c r="K174" s="669"/>
      <c r="L174" s="670">
        <f t="shared" si="28"/>
        <v>1575</v>
      </c>
      <c r="M174" s="670"/>
      <c r="N174" s="670"/>
      <c r="O174" s="670"/>
      <c r="P174" s="670"/>
      <c r="Q174" s="670"/>
      <c r="R174" s="670"/>
      <c r="S174" s="670"/>
      <c r="T174" s="670">
        <f t="shared" si="29"/>
        <v>1575</v>
      </c>
    </row>
    <row r="175" spans="2:20" ht="15" customHeight="1" x14ac:dyDescent="0.25">
      <c r="B175" s="663" t="s">
        <v>72</v>
      </c>
      <c r="C175" s="664" t="str">
        <f>IFERROR(_xlfn.XLOOKUP($G175,COM_Cadastro!#REF!,COM_Cadastro!#REF!),"")</f>
        <v/>
      </c>
      <c r="D175" s="665" t="s">
        <v>734</v>
      </c>
      <c r="E175" s="666" t="s">
        <v>780</v>
      </c>
      <c r="F175" s="665" t="s">
        <v>368</v>
      </c>
      <c r="G175" s="667" t="s">
        <v>822</v>
      </c>
      <c r="H175" s="668">
        <v>100</v>
      </c>
      <c r="I175" s="669"/>
      <c r="J175" s="669"/>
      <c r="K175" s="669"/>
      <c r="L175" s="670">
        <f t="shared" si="28"/>
        <v>100</v>
      </c>
      <c r="M175" s="670"/>
      <c r="N175" s="670"/>
      <c r="O175" s="670"/>
      <c r="P175" s="670"/>
      <c r="Q175" s="670"/>
      <c r="R175" s="670"/>
      <c r="S175" s="670"/>
      <c r="T175" s="670">
        <f t="shared" si="29"/>
        <v>100</v>
      </c>
    </row>
    <row r="176" spans="2:20" ht="15" customHeight="1" x14ac:dyDescent="0.25">
      <c r="B176" s="663" t="s">
        <v>72</v>
      </c>
      <c r="C176" s="664" t="str">
        <f>IFERROR(_xlfn.XLOOKUP($G176,COM_Cadastro!#REF!,COM_Cadastro!#REF!),"")</f>
        <v/>
      </c>
      <c r="D176" s="665" t="s">
        <v>734</v>
      </c>
      <c r="E176" s="666" t="s">
        <v>780</v>
      </c>
      <c r="F176" s="665" t="s">
        <v>368</v>
      </c>
      <c r="G176" s="667" t="s">
        <v>823</v>
      </c>
      <c r="H176" s="668">
        <v>300</v>
      </c>
      <c r="I176" s="669"/>
      <c r="J176" s="669"/>
      <c r="K176" s="669"/>
      <c r="L176" s="670">
        <f t="shared" si="28"/>
        <v>300</v>
      </c>
      <c r="M176" s="670"/>
      <c r="N176" s="670"/>
      <c r="O176" s="670"/>
      <c r="P176" s="670"/>
      <c r="Q176" s="670"/>
      <c r="R176" s="670"/>
      <c r="S176" s="670"/>
      <c r="T176" s="670">
        <f t="shared" si="29"/>
        <v>300</v>
      </c>
    </row>
    <row r="177" spans="2:20" ht="15" customHeight="1" x14ac:dyDescent="0.25">
      <c r="B177" s="663" t="s">
        <v>72</v>
      </c>
      <c r="C177" s="664" t="str">
        <f>IFERROR(_xlfn.XLOOKUP($G177,COM_Cadastro!#REF!,COM_Cadastro!#REF!),"")</f>
        <v/>
      </c>
      <c r="D177" s="665" t="s">
        <v>734</v>
      </c>
      <c r="E177" s="666" t="s">
        <v>780</v>
      </c>
      <c r="F177" s="665" t="s">
        <v>368</v>
      </c>
      <c r="G177" s="667" t="s">
        <v>547</v>
      </c>
      <c r="H177" s="668">
        <v>1520</v>
      </c>
      <c r="I177" s="669"/>
      <c r="J177" s="669"/>
      <c r="K177" s="669"/>
      <c r="L177" s="670">
        <f t="shared" si="28"/>
        <v>1520</v>
      </c>
      <c r="M177" s="670"/>
      <c r="N177" s="670"/>
      <c r="O177" s="670"/>
      <c r="P177" s="670"/>
      <c r="Q177" s="670"/>
      <c r="R177" s="670"/>
      <c r="S177" s="670"/>
      <c r="T177" s="670">
        <f t="shared" si="29"/>
        <v>1520</v>
      </c>
    </row>
    <row r="178" spans="2:20" ht="15" customHeight="1" x14ac:dyDescent="0.25">
      <c r="B178" s="663" t="s">
        <v>72</v>
      </c>
      <c r="C178" s="664" t="str">
        <f>IFERROR(_xlfn.XLOOKUP($G178,COM_Cadastro!#REF!,COM_Cadastro!#REF!),"")</f>
        <v/>
      </c>
      <c r="D178" s="665" t="s">
        <v>734</v>
      </c>
      <c r="E178" s="666" t="s">
        <v>780</v>
      </c>
      <c r="F178" s="665" t="s">
        <v>368</v>
      </c>
      <c r="G178" s="667" t="s">
        <v>824</v>
      </c>
      <c r="H178" s="668">
        <v>630</v>
      </c>
      <c r="I178" s="669"/>
      <c r="J178" s="669"/>
      <c r="K178" s="669"/>
      <c r="L178" s="670">
        <f t="shared" si="28"/>
        <v>630</v>
      </c>
      <c r="M178" s="670"/>
      <c r="N178" s="670"/>
      <c r="O178" s="670"/>
      <c r="P178" s="670"/>
      <c r="Q178" s="670"/>
      <c r="R178" s="670"/>
      <c r="S178" s="670"/>
      <c r="T178" s="670">
        <f t="shared" si="29"/>
        <v>630</v>
      </c>
    </row>
    <row r="179" spans="2:20" ht="15" customHeight="1" x14ac:dyDescent="0.25">
      <c r="B179" s="663" t="s">
        <v>72</v>
      </c>
      <c r="C179" s="664" t="str">
        <f>IFERROR(_xlfn.XLOOKUP($G179,COM_Cadastro!#REF!,COM_Cadastro!#REF!),"")</f>
        <v/>
      </c>
      <c r="D179" s="665" t="s">
        <v>734</v>
      </c>
      <c r="E179" s="666" t="s">
        <v>780</v>
      </c>
      <c r="F179" s="665" t="s">
        <v>368</v>
      </c>
      <c r="G179" s="667" t="s">
        <v>825</v>
      </c>
      <c r="H179" s="668">
        <v>540</v>
      </c>
      <c r="I179" s="669"/>
      <c r="J179" s="669"/>
      <c r="K179" s="669"/>
      <c r="L179" s="670">
        <f t="shared" si="28"/>
        <v>540</v>
      </c>
      <c r="M179" s="670"/>
      <c r="N179" s="670"/>
      <c r="O179" s="670"/>
      <c r="P179" s="670"/>
      <c r="Q179" s="670"/>
      <c r="R179" s="670"/>
      <c r="S179" s="670"/>
      <c r="T179" s="670">
        <f t="shared" si="29"/>
        <v>540</v>
      </c>
    </row>
    <row r="180" spans="2:20" ht="15" customHeight="1" x14ac:dyDescent="0.25">
      <c r="B180" s="663" t="s">
        <v>72</v>
      </c>
      <c r="C180" s="664" t="str">
        <f>IFERROR(_xlfn.XLOOKUP($G180,COM_Cadastro!#REF!,COM_Cadastro!#REF!),"")</f>
        <v/>
      </c>
      <c r="D180" s="665" t="s">
        <v>734</v>
      </c>
      <c r="E180" s="666" t="s">
        <v>780</v>
      </c>
      <c r="F180" s="665" t="s">
        <v>368</v>
      </c>
      <c r="G180" s="667" t="s">
        <v>593</v>
      </c>
      <c r="H180" s="668">
        <v>600</v>
      </c>
      <c r="I180" s="669"/>
      <c r="J180" s="669"/>
      <c r="K180" s="669"/>
      <c r="L180" s="670">
        <f t="shared" si="28"/>
        <v>600</v>
      </c>
      <c r="M180" s="670"/>
      <c r="N180" s="670"/>
      <c r="O180" s="670"/>
      <c r="P180" s="670"/>
      <c r="Q180" s="670"/>
      <c r="R180" s="670"/>
      <c r="S180" s="670"/>
      <c r="T180" s="670">
        <f t="shared" si="29"/>
        <v>600</v>
      </c>
    </row>
    <row r="181" spans="2:20" ht="15" customHeight="1" x14ac:dyDescent="0.25">
      <c r="B181" s="663" t="s">
        <v>72</v>
      </c>
      <c r="C181" s="664" t="str">
        <f>IFERROR(_xlfn.XLOOKUP($G181,COM_Cadastro!#REF!,COM_Cadastro!#REF!),"")</f>
        <v/>
      </c>
      <c r="D181" s="665" t="s">
        <v>734</v>
      </c>
      <c r="E181" s="666" t="s">
        <v>780</v>
      </c>
      <c r="F181" s="665" t="s">
        <v>374</v>
      </c>
      <c r="G181" s="667" t="s">
        <v>476</v>
      </c>
      <c r="H181" s="668">
        <v>743</v>
      </c>
      <c r="I181" s="669"/>
      <c r="J181" s="669"/>
      <c r="K181" s="669"/>
      <c r="L181" s="670">
        <f t="shared" si="28"/>
        <v>743</v>
      </c>
      <c r="M181" s="670"/>
      <c r="N181" s="670"/>
      <c r="O181" s="670"/>
      <c r="P181" s="670"/>
      <c r="Q181" s="670"/>
      <c r="R181" s="670"/>
      <c r="S181" s="670"/>
      <c r="T181" s="670">
        <f t="shared" si="29"/>
        <v>743</v>
      </c>
    </row>
    <row r="182" spans="2:20" ht="15" customHeight="1" x14ac:dyDescent="0.25">
      <c r="B182" s="663" t="s">
        <v>72</v>
      </c>
      <c r="C182" s="664" t="str">
        <f>IFERROR(_xlfn.XLOOKUP($G182,COM_Cadastro!#REF!,COM_Cadastro!#REF!),"")</f>
        <v/>
      </c>
      <c r="D182" s="665" t="s">
        <v>734</v>
      </c>
      <c r="E182" s="666" t="s">
        <v>780</v>
      </c>
      <c r="F182" s="665" t="s">
        <v>374</v>
      </c>
      <c r="G182" s="667" t="s">
        <v>788</v>
      </c>
      <c r="H182" s="668">
        <v>837</v>
      </c>
      <c r="I182" s="669"/>
      <c r="J182" s="669"/>
      <c r="K182" s="669"/>
      <c r="L182" s="670">
        <f t="shared" si="28"/>
        <v>837</v>
      </c>
      <c r="M182" s="670"/>
      <c r="N182" s="670"/>
      <c r="O182" s="670"/>
      <c r="P182" s="670"/>
      <c r="Q182" s="670"/>
      <c r="R182" s="670"/>
      <c r="S182" s="670"/>
      <c r="T182" s="670">
        <f t="shared" si="29"/>
        <v>837</v>
      </c>
    </row>
    <row r="183" spans="2:20" ht="15" customHeight="1" x14ac:dyDescent="0.25">
      <c r="B183" s="663" t="s">
        <v>72</v>
      </c>
      <c r="C183" s="664" t="str">
        <f>IFERROR(_xlfn.XLOOKUP($G183,COM_Cadastro!#REF!,COM_Cadastro!#REF!),"")</f>
        <v/>
      </c>
      <c r="D183" s="665" t="s">
        <v>734</v>
      </c>
      <c r="E183" s="666" t="s">
        <v>780</v>
      </c>
      <c r="F183" s="665" t="s">
        <v>374</v>
      </c>
      <c r="G183" s="667" t="s">
        <v>409</v>
      </c>
      <c r="H183" s="668">
        <v>1934</v>
      </c>
      <c r="I183" s="669"/>
      <c r="J183" s="669"/>
      <c r="K183" s="669"/>
      <c r="L183" s="670">
        <f t="shared" si="28"/>
        <v>1934</v>
      </c>
      <c r="M183" s="670"/>
      <c r="N183" s="670"/>
      <c r="O183" s="670"/>
      <c r="P183" s="670"/>
      <c r="Q183" s="670"/>
      <c r="R183" s="670"/>
      <c r="S183" s="670"/>
      <c r="T183" s="670">
        <f t="shared" si="29"/>
        <v>1934</v>
      </c>
    </row>
    <row r="184" spans="2:20" ht="15" customHeight="1" x14ac:dyDescent="0.25">
      <c r="B184" s="663" t="s">
        <v>72</v>
      </c>
      <c r="C184" s="664" t="str">
        <f>IFERROR(_xlfn.XLOOKUP($G184,COM_Cadastro!#REF!,COM_Cadastro!#REF!),"")</f>
        <v/>
      </c>
      <c r="D184" s="665" t="s">
        <v>734</v>
      </c>
      <c r="E184" s="666" t="s">
        <v>780</v>
      </c>
      <c r="F184" s="665" t="s">
        <v>374</v>
      </c>
      <c r="G184" s="667" t="s">
        <v>412</v>
      </c>
      <c r="H184" s="668">
        <v>1864</v>
      </c>
      <c r="I184" s="669"/>
      <c r="J184" s="669"/>
      <c r="K184" s="669"/>
      <c r="L184" s="670">
        <f t="shared" si="28"/>
        <v>1864</v>
      </c>
      <c r="M184" s="670"/>
      <c r="N184" s="670"/>
      <c r="O184" s="670"/>
      <c r="P184" s="670"/>
      <c r="Q184" s="670"/>
      <c r="R184" s="670"/>
      <c r="S184" s="670"/>
      <c r="T184" s="670">
        <f t="shared" si="29"/>
        <v>1864</v>
      </c>
    </row>
    <row r="185" spans="2:20" ht="15" customHeight="1" x14ac:dyDescent="0.25">
      <c r="B185" s="663" t="s">
        <v>72</v>
      </c>
      <c r="C185" s="664" t="str">
        <f>IFERROR(_xlfn.XLOOKUP($G185,COM_Cadastro!#REF!,COM_Cadastro!#REF!),"")</f>
        <v/>
      </c>
      <c r="D185" s="665" t="s">
        <v>734</v>
      </c>
      <c r="E185" s="666" t="s">
        <v>780</v>
      </c>
      <c r="F185" s="665" t="s">
        <v>374</v>
      </c>
      <c r="G185" s="667" t="s">
        <v>826</v>
      </c>
      <c r="H185" s="668">
        <v>143</v>
      </c>
      <c r="I185" s="669"/>
      <c r="J185" s="669"/>
      <c r="K185" s="669"/>
      <c r="L185" s="670">
        <f t="shared" si="28"/>
        <v>143</v>
      </c>
      <c r="M185" s="670"/>
      <c r="N185" s="670"/>
      <c r="O185" s="670"/>
      <c r="P185" s="670"/>
      <c r="Q185" s="670"/>
      <c r="R185" s="670"/>
      <c r="S185" s="670"/>
      <c r="T185" s="670">
        <f t="shared" si="29"/>
        <v>143</v>
      </c>
    </row>
    <row r="186" spans="2:20" ht="15" customHeight="1" x14ac:dyDescent="0.25">
      <c r="B186" s="663" t="s">
        <v>72</v>
      </c>
      <c r="C186" s="664" t="str">
        <f>IFERROR(_xlfn.XLOOKUP($G186,COM_Cadastro!#REF!,COM_Cadastro!#REF!),"")</f>
        <v/>
      </c>
      <c r="D186" s="665" t="s">
        <v>734</v>
      </c>
      <c r="E186" s="666" t="s">
        <v>780</v>
      </c>
      <c r="F186" s="665" t="s">
        <v>374</v>
      </c>
      <c r="G186" s="667" t="s">
        <v>827</v>
      </c>
      <c r="H186" s="668">
        <v>500</v>
      </c>
      <c r="I186" s="669"/>
      <c r="J186" s="669"/>
      <c r="K186" s="669"/>
      <c r="L186" s="670">
        <f t="shared" si="28"/>
        <v>500</v>
      </c>
      <c r="M186" s="670"/>
      <c r="N186" s="670"/>
      <c r="O186" s="670"/>
      <c r="P186" s="670"/>
      <c r="Q186" s="670"/>
      <c r="R186" s="670"/>
      <c r="S186" s="670"/>
      <c r="T186" s="670">
        <f t="shared" si="29"/>
        <v>500</v>
      </c>
    </row>
    <row r="187" spans="2:20" ht="15" customHeight="1" x14ac:dyDescent="0.25">
      <c r="B187" s="663" t="s">
        <v>72</v>
      </c>
      <c r="C187" s="664" t="str">
        <f>IFERROR(_xlfn.XLOOKUP($G187,COM_Cadastro!#REF!,COM_Cadastro!#REF!),"")</f>
        <v/>
      </c>
      <c r="D187" s="665" t="s">
        <v>734</v>
      </c>
      <c r="E187" s="666" t="s">
        <v>780</v>
      </c>
      <c r="F187" s="665" t="s">
        <v>374</v>
      </c>
      <c r="G187" s="667" t="s">
        <v>828</v>
      </c>
      <c r="H187" s="668">
        <v>120</v>
      </c>
      <c r="I187" s="669"/>
      <c r="J187" s="669"/>
      <c r="K187" s="669"/>
      <c r="L187" s="670">
        <f t="shared" si="28"/>
        <v>120</v>
      </c>
      <c r="M187" s="670"/>
      <c r="N187" s="670"/>
      <c r="O187" s="670"/>
      <c r="P187" s="670"/>
      <c r="Q187" s="670"/>
      <c r="R187" s="670"/>
      <c r="S187" s="670"/>
      <c r="T187" s="670">
        <f t="shared" si="29"/>
        <v>120</v>
      </c>
    </row>
    <row r="188" spans="2:20" ht="15" customHeight="1" x14ac:dyDescent="0.25">
      <c r="B188" s="663" t="s">
        <v>72</v>
      </c>
      <c r="C188" s="664" t="str">
        <f>IFERROR(_xlfn.XLOOKUP($G188,COM_Cadastro!#REF!,COM_Cadastro!#REF!),"")</f>
        <v/>
      </c>
      <c r="D188" s="665" t="s">
        <v>734</v>
      </c>
      <c r="E188" s="666" t="s">
        <v>780</v>
      </c>
      <c r="F188" s="665" t="s">
        <v>374</v>
      </c>
      <c r="G188" s="667" t="s">
        <v>455</v>
      </c>
      <c r="H188" s="668">
        <v>719</v>
      </c>
      <c r="I188" s="669"/>
      <c r="J188" s="669"/>
      <c r="K188" s="669"/>
      <c r="L188" s="670">
        <f t="shared" si="28"/>
        <v>719</v>
      </c>
      <c r="M188" s="670"/>
      <c r="N188" s="670"/>
      <c r="O188" s="670"/>
      <c r="P188" s="670"/>
      <c r="Q188" s="670"/>
      <c r="R188" s="670"/>
      <c r="S188" s="670"/>
      <c r="T188" s="670">
        <f t="shared" si="29"/>
        <v>719</v>
      </c>
    </row>
    <row r="189" spans="2:20" ht="15" customHeight="1" x14ac:dyDescent="0.25">
      <c r="B189" s="663" t="s">
        <v>72</v>
      </c>
      <c r="C189" s="664" t="str">
        <f>IFERROR(_xlfn.XLOOKUP($G189,COM_Cadastro!#REF!,COM_Cadastro!#REF!),"")</f>
        <v/>
      </c>
      <c r="D189" s="665" t="s">
        <v>734</v>
      </c>
      <c r="E189" s="666" t="s">
        <v>780</v>
      </c>
      <c r="F189" s="665" t="s">
        <v>374</v>
      </c>
      <c r="G189" s="667" t="s">
        <v>477</v>
      </c>
      <c r="H189" s="668">
        <v>397</v>
      </c>
      <c r="I189" s="669"/>
      <c r="J189" s="669"/>
      <c r="K189" s="669"/>
      <c r="L189" s="670">
        <f t="shared" si="28"/>
        <v>397</v>
      </c>
      <c r="M189" s="670"/>
      <c r="N189" s="670"/>
      <c r="O189" s="670"/>
      <c r="P189" s="670"/>
      <c r="Q189" s="670"/>
      <c r="R189" s="670"/>
      <c r="S189" s="670"/>
      <c r="T189" s="670">
        <f t="shared" si="29"/>
        <v>397</v>
      </c>
    </row>
    <row r="190" spans="2:20" ht="15" customHeight="1" x14ac:dyDescent="0.25">
      <c r="B190" s="663" t="s">
        <v>72</v>
      </c>
      <c r="C190" s="664" t="str">
        <f>IFERROR(_xlfn.XLOOKUP($G190,COM_Cadastro!#REF!,COM_Cadastro!#REF!),"")</f>
        <v/>
      </c>
      <c r="D190" s="665" t="s">
        <v>734</v>
      </c>
      <c r="E190" s="666" t="s">
        <v>780</v>
      </c>
      <c r="F190" s="665" t="s">
        <v>374</v>
      </c>
      <c r="G190" s="667" t="s">
        <v>530</v>
      </c>
      <c r="H190" s="668">
        <v>1364</v>
      </c>
      <c r="I190" s="669"/>
      <c r="J190" s="669"/>
      <c r="K190" s="669"/>
      <c r="L190" s="670">
        <f t="shared" si="28"/>
        <v>1364</v>
      </c>
      <c r="M190" s="670"/>
      <c r="N190" s="670"/>
      <c r="O190" s="670"/>
      <c r="P190" s="670"/>
      <c r="Q190" s="670"/>
      <c r="R190" s="670"/>
      <c r="S190" s="670"/>
      <c r="T190" s="670">
        <f t="shared" si="29"/>
        <v>1364</v>
      </c>
    </row>
    <row r="191" spans="2:20" ht="15" customHeight="1" x14ac:dyDescent="0.25">
      <c r="B191" s="663" t="s">
        <v>72</v>
      </c>
      <c r="C191" s="664" t="str">
        <f>IFERROR(_xlfn.XLOOKUP($G191,COM_Cadastro!#REF!,COM_Cadastro!#REF!),"")</f>
        <v/>
      </c>
      <c r="D191" s="665" t="s">
        <v>734</v>
      </c>
      <c r="E191" s="666" t="s">
        <v>780</v>
      </c>
      <c r="F191" s="665" t="s">
        <v>374</v>
      </c>
      <c r="G191" s="667" t="s">
        <v>789</v>
      </c>
      <c r="H191" s="668">
        <v>261</v>
      </c>
      <c r="I191" s="669"/>
      <c r="J191" s="669"/>
      <c r="K191" s="669"/>
      <c r="L191" s="670">
        <f t="shared" si="28"/>
        <v>261</v>
      </c>
      <c r="M191" s="670"/>
      <c r="N191" s="670"/>
      <c r="O191" s="670"/>
      <c r="P191" s="670"/>
      <c r="Q191" s="670"/>
      <c r="R191" s="670"/>
      <c r="S191" s="670"/>
      <c r="T191" s="670">
        <f t="shared" si="29"/>
        <v>261</v>
      </c>
    </row>
    <row r="192" spans="2:20" ht="15" customHeight="1" x14ac:dyDescent="0.25">
      <c r="B192" s="663" t="s">
        <v>72</v>
      </c>
      <c r="C192" s="664" t="str">
        <f>IFERROR(_xlfn.XLOOKUP($G192,COM_Cadastro!#REF!,COM_Cadastro!#REF!),"")</f>
        <v/>
      </c>
      <c r="D192" s="665" t="s">
        <v>736</v>
      </c>
      <c r="E192" s="666" t="s">
        <v>812</v>
      </c>
      <c r="F192" s="665" t="s">
        <v>371</v>
      </c>
      <c r="G192" s="667" t="s">
        <v>405</v>
      </c>
      <c r="H192" s="668">
        <v>10000</v>
      </c>
      <c r="I192" s="669">
        <v>0</v>
      </c>
      <c r="J192" s="669">
        <v>0</v>
      </c>
      <c r="K192" s="669"/>
      <c r="L192" s="670">
        <f t="shared" si="28"/>
        <v>10000</v>
      </c>
      <c r="M192" s="670">
        <f t="shared" ref="M192:M199" si="30">H192*8%</f>
        <v>800</v>
      </c>
      <c r="N192" s="670">
        <f t="shared" ref="N192:N199" si="31">H192/12</f>
        <v>833.33333333333337</v>
      </c>
      <c r="O192" s="670">
        <f t="shared" ref="O192:O199" si="32">N192/3</f>
        <v>277.77777777777777</v>
      </c>
      <c r="P192" s="670">
        <f t="shared" ref="P192:P199" si="33">(N192+O192)*8%</f>
        <v>88.888888888888886</v>
      </c>
      <c r="Q192" s="670">
        <f t="shared" ref="Q192:Q199" si="34">H192/12</f>
        <v>833.33333333333337</v>
      </c>
      <c r="R192" s="670">
        <f t="shared" ref="R192:R199" si="35">Q192*8%</f>
        <v>66.666666666666671</v>
      </c>
      <c r="S192" s="670">
        <f t="shared" ref="S192:S199" si="36">SUM(N192:R192)</f>
        <v>2100</v>
      </c>
      <c r="T192" s="670">
        <f t="shared" si="29"/>
        <v>12900</v>
      </c>
    </row>
    <row r="193" spans="2:20" ht="15" customHeight="1" x14ac:dyDescent="0.25">
      <c r="B193" s="663" t="s">
        <v>72</v>
      </c>
      <c r="C193" s="664" t="str">
        <f>IFERROR(_xlfn.XLOOKUP($G193,COM_Cadastro!#REF!,COM_Cadastro!#REF!),"")</f>
        <v/>
      </c>
      <c r="D193" s="665" t="s">
        <v>736</v>
      </c>
      <c r="E193" s="666" t="s">
        <v>812</v>
      </c>
      <c r="F193" s="665" t="s">
        <v>374</v>
      </c>
      <c r="G193" s="667" t="s">
        <v>829</v>
      </c>
      <c r="H193" s="668">
        <v>12000</v>
      </c>
      <c r="I193" s="669"/>
      <c r="J193" s="669">
        <v>0</v>
      </c>
      <c r="K193" s="669"/>
      <c r="L193" s="670">
        <f t="shared" si="28"/>
        <v>12000</v>
      </c>
      <c r="M193" s="670">
        <f t="shared" si="30"/>
        <v>960</v>
      </c>
      <c r="N193" s="670">
        <f t="shared" si="31"/>
        <v>1000</v>
      </c>
      <c r="O193" s="670">
        <f t="shared" si="32"/>
        <v>333.33333333333331</v>
      </c>
      <c r="P193" s="670">
        <f t="shared" si="33"/>
        <v>106.66666666666666</v>
      </c>
      <c r="Q193" s="670">
        <f t="shared" si="34"/>
        <v>1000</v>
      </c>
      <c r="R193" s="670">
        <f t="shared" si="35"/>
        <v>80</v>
      </c>
      <c r="S193" s="670">
        <f t="shared" si="36"/>
        <v>2520</v>
      </c>
      <c r="T193" s="670">
        <f t="shared" si="29"/>
        <v>15480</v>
      </c>
    </row>
    <row r="194" spans="2:20" ht="15" customHeight="1" x14ac:dyDescent="0.25">
      <c r="B194" s="663" t="s">
        <v>72</v>
      </c>
      <c r="C194" s="664" t="str">
        <f>IFERROR(_xlfn.XLOOKUP($G194,COM_Cadastro!#REF!,COM_Cadastro!#REF!),"")</f>
        <v/>
      </c>
      <c r="D194" s="665" t="s">
        <v>736</v>
      </c>
      <c r="E194" s="666" t="s">
        <v>812</v>
      </c>
      <c r="F194" s="665" t="s">
        <v>368</v>
      </c>
      <c r="G194" s="667" t="s">
        <v>552</v>
      </c>
      <c r="H194" s="668">
        <v>0</v>
      </c>
      <c r="I194" s="669">
        <v>0</v>
      </c>
      <c r="J194" s="669">
        <v>6560.51</v>
      </c>
      <c r="K194" s="669"/>
      <c r="L194" s="670">
        <f t="shared" si="28"/>
        <v>6560.51</v>
      </c>
      <c r="M194" s="670">
        <f t="shared" si="30"/>
        <v>0</v>
      </c>
      <c r="N194" s="670">
        <f t="shared" si="31"/>
        <v>0</v>
      </c>
      <c r="O194" s="670">
        <f t="shared" si="32"/>
        <v>0</v>
      </c>
      <c r="P194" s="670">
        <f t="shared" si="33"/>
        <v>0</v>
      </c>
      <c r="Q194" s="670">
        <f t="shared" si="34"/>
        <v>0</v>
      </c>
      <c r="R194" s="670">
        <f t="shared" si="35"/>
        <v>0</v>
      </c>
      <c r="S194" s="670">
        <f t="shared" si="36"/>
        <v>0</v>
      </c>
      <c r="T194" s="670">
        <f t="shared" si="29"/>
        <v>6560.51</v>
      </c>
    </row>
    <row r="195" spans="2:20" ht="15" customHeight="1" x14ac:dyDescent="0.25">
      <c r="B195" s="663" t="s">
        <v>72</v>
      </c>
      <c r="C195" s="664" t="str">
        <f>IFERROR(_xlfn.XLOOKUP($G195,COM_Cadastro!#REF!,COM_Cadastro!#REF!),"")</f>
        <v/>
      </c>
      <c r="D195" s="665" t="s">
        <v>736</v>
      </c>
      <c r="E195" s="666" t="s">
        <v>812</v>
      </c>
      <c r="F195" s="665" t="s">
        <v>376</v>
      </c>
      <c r="G195" s="667" t="s">
        <v>515</v>
      </c>
      <c r="H195" s="668">
        <v>0</v>
      </c>
      <c r="I195" s="669">
        <v>0</v>
      </c>
      <c r="J195" s="669">
        <v>14142</v>
      </c>
      <c r="K195" s="669"/>
      <c r="L195" s="670">
        <f t="shared" ref="L195:L199" si="37">SUM(H195:K195)</f>
        <v>14142</v>
      </c>
      <c r="M195" s="670">
        <f t="shared" si="30"/>
        <v>0</v>
      </c>
      <c r="N195" s="670">
        <f t="shared" si="31"/>
        <v>0</v>
      </c>
      <c r="O195" s="670">
        <f t="shared" si="32"/>
        <v>0</v>
      </c>
      <c r="P195" s="670">
        <f t="shared" si="33"/>
        <v>0</v>
      </c>
      <c r="Q195" s="670">
        <f t="shared" si="34"/>
        <v>0</v>
      </c>
      <c r="R195" s="670">
        <f t="shared" si="35"/>
        <v>0</v>
      </c>
      <c r="S195" s="670">
        <f t="shared" si="36"/>
        <v>0</v>
      </c>
      <c r="T195" s="670">
        <f t="shared" ref="T195:T199" si="38">L195+M195+S195</f>
        <v>14142</v>
      </c>
    </row>
    <row r="196" spans="2:20" ht="15" customHeight="1" x14ac:dyDescent="0.25">
      <c r="B196" s="663" t="s">
        <v>72</v>
      </c>
      <c r="C196" s="664" t="str">
        <f>IFERROR(_xlfn.XLOOKUP($G196,COM_Cadastro!#REF!,COM_Cadastro!#REF!),"")</f>
        <v/>
      </c>
      <c r="D196" s="665" t="s">
        <v>736</v>
      </c>
      <c r="E196" s="666" t="s">
        <v>812</v>
      </c>
      <c r="F196" s="665" t="s">
        <v>368</v>
      </c>
      <c r="G196" s="667" t="s">
        <v>528</v>
      </c>
      <c r="H196" s="668">
        <v>0</v>
      </c>
      <c r="I196" s="669">
        <v>0</v>
      </c>
      <c r="J196" s="669">
        <v>7730.27</v>
      </c>
      <c r="K196" s="669"/>
      <c r="L196" s="670">
        <f t="shared" si="37"/>
        <v>7730.27</v>
      </c>
      <c r="M196" s="670">
        <f t="shared" si="30"/>
        <v>0</v>
      </c>
      <c r="N196" s="670">
        <f t="shared" si="31"/>
        <v>0</v>
      </c>
      <c r="O196" s="670">
        <f t="shared" si="32"/>
        <v>0</v>
      </c>
      <c r="P196" s="670">
        <f t="shared" si="33"/>
        <v>0</v>
      </c>
      <c r="Q196" s="670">
        <f t="shared" si="34"/>
        <v>0</v>
      </c>
      <c r="R196" s="670">
        <f t="shared" si="35"/>
        <v>0</v>
      </c>
      <c r="S196" s="670">
        <f t="shared" si="36"/>
        <v>0</v>
      </c>
      <c r="T196" s="670">
        <f t="shared" si="38"/>
        <v>7730.27</v>
      </c>
    </row>
    <row r="197" spans="2:20" ht="15" customHeight="1" x14ac:dyDescent="0.25">
      <c r="B197" s="663" t="s">
        <v>72</v>
      </c>
      <c r="C197" s="664" t="str">
        <f>IFERROR(_xlfn.XLOOKUP($G197,COM_Cadastro!#REF!,COM_Cadastro!#REF!),"")</f>
        <v/>
      </c>
      <c r="D197" s="665" t="s">
        <v>736</v>
      </c>
      <c r="E197" s="666" t="s">
        <v>812</v>
      </c>
      <c r="F197" s="665" t="s">
        <v>374</v>
      </c>
      <c r="G197" s="667" t="s">
        <v>570</v>
      </c>
      <c r="H197" s="668">
        <v>0</v>
      </c>
      <c r="I197" s="669">
        <v>0</v>
      </c>
      <c r="J197" s="669">
        <v>7325.89</v>
      </c>
      <c r="K197" s="669"/>
      <c r="L197" s="670">
        <f t="shared" si="37"/>
        <v>7325.89</v>
      </c>
      <c r="M197" s="670">
        <f t="shared" si="30"/>
        <v>0</v>
      </c>
      <c r="N197" s="670">
        <f t="shared" si="31"/>
        <v>0</v>
      </c>
      <c r="O197" s="670">
        <f t="shared" si="32"/>
        <v>0</v>
      </c>
      <c r="P197" s="670">
        <f t="shared" si="33"/>
        <v>0</v>
      </c>
      <c r="Q197" s="670">
        <f t="shared" si="34"/>
        <v>0</v>
      </c>
      <c r="R197" s="670">
        <f t="shared" si="35"/>
        <v>0</v>
      </c>
      <c r="S197" s="670">
        <f t="shared" si="36"/>
        <v>0</v>
      </c>
      <c r="T197" s="670">
        <f t="shared" si="38"/>
        <v>7325.89</v>
      </c>
    </row>
    <row r="198" spans="2:20" ht="15" customHeight="1" x14ac:dyDescent="0.25">
      <c r="B198" s="663" t="s">
        <v>72</v>
      </c>
      <c r="C198" s="664" t="str">
        <f>IFERROR(_xlfn.XLOOKUP($G198,COM_Cadastro!#REF!,COM_Cadastro!#REF!),"")</f>
        <v/>
      </c>
      <c r="D198" s="665" t="s">
        <v>736</v>
      </c>
      <c r="E198" s="666" t="s">
        <v>813</v>
      </c>
      <c r="F198" s="665" t="s">
        <v>368</v>
      </c>
      <c r="G198" s="667" t="s">
        <v>612</v>
      </c>
      <c r="H198" s="668">
        <v>2663.33</v>
      </c>
      <c r="I198" s="669">
        <v>0</v>
      </c>
      <c r="J198" s="669">
        <v>0</v>
      </c>
      <c r="K198" s="669"/>
      <c r="L198" s="670">
        <f t="shared" si="37"/>
        <v>2663.33</v>
      </c>
      <c r="M198" s="670">
        <f t="shared" si="30"/>
        <v>213.06639999999999</v>
      </c>
      <c r="N198" s="670">
        <f t="shared" si="31"/>
        <v>221.94416666666666</v>
      </c>
      <c r="O198" s="670">
        <f t="shared" si="32"/>
        <v>73.981388888888887</v>
      </c>
      <c r="P198" s="670">
        <f t="shared" si="33"/>
        <v>23.674044444444444</v>
      </c>
      <c r="Q198" s="670">
        <f t="shared" si="34"/>
        <v>221.94416666666666</v>
      </c>
      <c r="R198" s="670">
        <f t="shared" si="35"/>
        <v>17.755533333333332</v>
      </c>
      <c r="S198" s="670">
        <f t="shared" si="36"/>
        <v>559.29930000000002</v>
      </c>
      <c r="T198" s="670">
        <f t="shared" si="38"/>
        <v>3435.6957000000002</v>
      </c>
    </row>
    <row r="199" spans="2:20" ht="15" customHeight="1" x14ac:dyDescent="0.25">
      <c r="B199" s="663" t="s">
        <v>72</v>
      </c>
      <c r="C199" s="664" t="str">
        <f>IFERROR(_xlfn.XLOOKUP($G199,COM_Cadastro!#REF!,COM_Cadastro!#REF!),"")</f>
        <v/>
      </c>
      <c r="D199" s="665" t="s">
        <v>736</v>
      </c>
      <c r="E199" s="666" t="s">
        <v>814</v>
      </c>
      <c r="F199" s="665" t="s">
        <v>368</v>
      </c>
      <c r="G199" s="667" t="s">
        <v>414</v>
      </c>
      <c r="H199" s="668">
        <v>3826.75</v>
      </c>
      <c r="I199" s="669">
        <v>0</v>
      </c>
      <c r="J199" s="669">
        <v>0</v>
      </c>
      <c r="K199" s="669"/>
      <c r="L199" s="670">
        <f t="shared" si="37"/>
        <v>3826.75</v>
      </c>
      <c r="M199" s="670">
        <f t="shared" si="30"/>
        <v>306.14</v>
      </c>
      <c r="N199" s="670">
        <f t="shared" si="31"/>
        <v>318.89583333333331</v>
      </c>
      <c r="O199" s="670">
        <f t="shared" si="32"/>
        <v>106.2986111111111</v>
      </c>
      <c r="P199" s="670">
        <f t="shared" si="33"/>
        <v>34.015555555555551</v>
      </c>
      <c r="Q199" s="670">
        <f t="shared" si="34"/>
        <v>318.89583333333331</v>
      </c>
      <c r="R199" s="670">
        <f t="shared" si="35"/>
        <v>25.511666666666667</v>
      </c>
      <c r="S199" s="670">
        <f t="shared" si="36"/>
        <v>803.61749999999995</v>
      </c>
      <c r="T199" s="670">
        <f t="shared" si="38"/>
        <v>4936.5075000000006</v>
      </c>
    </row>
    <row r="200" spans="2:20" ht="15" customHeight="1" x14ac:dyDescent="0.25">
      <c r="G200" s="724">
        <f>COUNTA(G3:G199)</f>
        <v>197</v>
      </c>
      <c r="H200" s="655">
        <f t="shared" ref="H200:T200" si="39">SUM(H3:H199)</f>
        <v>362837.99000000005</v>
      </c>
      <c r="I200" s="655">
        <f t="shared" si="39"/>
        <v>12017</v>
      </c>
      <c r="J200" s="655">
        <f t="shared" si="39"/>
        <v>64273.149999999994</v>
      </c>
      <c r="K200" s="655">
        <f t="shared" si="39"/>
        <v>33502</v>
      </c>
      <c r="L200" s="725">
        <f t="shared" si="39"/>
        <v>472630.14</v>
      </c>
      <c r="M200" s="725">
        <f t="shared" si="39"/>
        <v>12654.159200000006</v>
      </c>
      <c r="N200" s="725">
        <f t="shared" si="39"/>
        <v>13181.415833333329</v>
      </c>
      <c r="O200" s="725">
        <f t="shared" si="39"/>
        <v>4393.8052777777793</v>
      </c>
      <c r="P200" s="725">
        <f t="shared" si="39"/>
        <v>1406.0176888888898</v>
      </c>
      <c r="Q200" s="725">
        <f t="shared" si="39"/>
        <v>13181.415833333329</v>
      </c>
      <c r="R200" s="725">
        <f t="shared" si="39"/>
        <v>1054.5132666666657</v>
      </c>
      <c r="S200" s="725">
        <f t="shared" si="39"/>
        <v>33217.167899999964</v>
      </c>
      <c r="T200" s="725">
        <f t="shared" si="39"/>
        <v>518501.46710000001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FF0000"/>
  </sheetPr>
  <dimension ref="B1:AE199"/>
  <sheetViews>
    <sheetView showGridLines="0" topLeftCell="D1" zoomScale="90" zoomScaleNormal="90" workbookViewId="0">
      <pane ySplit="2" topLeftCell="A3" activePane="bottomLeft" state="frozen"/>
      <selection pane="bottomLeft" activeCell="V9" sqref="V9"/>
    </sheetView>
  </sheetViews>
  <sheetFormatPr defaultColWidth="8.5703125" defaultRowHeight="15" x14ac:dyDescent="0.25"/>
  <cols>
    <col min="2" max="2" width="5.140625" bestFit="1" customWidth="1"/>
    <col min="3" max="3" width="18.85546875" bestFit="1" customWidth="1"/>
    <col min="4" max="4" width="5" bestFit="1" customWidth="1"/>
    <col min="5" max="5" width="15.28515625" bestFit="1" customWidth="1"/>
    <col min="6" max="6" width="4.140625" bestFit="1" customWidth="1"/>
    <col min="7" max="7" width="39.5703125" bestFit="1" customWidth="1"/>
    <col min="8" max="8" width="12" bestFit="1" customWidth="1"/>
    <col min="9" max="10" width="10.85546875" bestFit="1" customWidth="1"/>
    <col min="11" max="11" width="11.7109375" bestFit="1" customWidth="1"/>
    <col min="12" max="12" width="12" bestFit="1" customWidth="1"/>
    <col min="13" max="14" width="10.85546875" bestFit="1" customWidth="1"/>
    <col min="15" max="15" width="9.85546875" bestFit="1" customWidth="1"/>
    <col min="16" max="16" width="10.28515625" bestFit="1" customWidth="1"/>
    <col min="17" max="17" width="10.85546875" bestFit="1" customWidth="1"/>
    <col min="18" max="18" width="11.28515625" bestFit="1" customWidth="1"/>
    <col min="19" max="19" width="10.85546875" bestFit="1" customWidth="1"/>
    <col min="20" max="20" width="12" bestFit="1" customWidth="1"/>
    <col min="21" max="21" width="11.7109375" bestFit="1" customWidth="1"/>
    <col min="22" max="22" width="12" bestFit="1" customWidth="1"/>
    <col min="23" max="23" width="1.85546875" customWidth="1"/>
    <col min="24" max="24" width="6.7109375" bestFit="1" customWidth="1"/>
    <col min="25" max="25" width="13" bestFit="1" customWidth="1"/>
    <col min="27" max="27" width="6" hidden="1" customWidth="1"/>
    <col min="28" max="28" width="4.28515625" hidden="1" customWidth="1"/>
    <col min="29" max="29" width="5.7109375" hidden="1" customWidth="1"/>
    <col min="30" max="30" width="41.5703125" hidden="1" customWidth="1"/>
    <col min="31" max="31" width="21.5703125" bestFit="1" customWidth="1"/>
  </cols>
  <sheetData>
    <row r="1" spans="2:31" x14ac:dyDescent="0.25">
      <c r="AA1" s="833" t="s">
        <v>903</v>
      </c>
      <c r="AB1" s="833" t="s">
        <v>731</v>
      </c>
      <c r="AC1" s="833" t="s">
        <v>729</v>
      </c>
      <c r="AD1" s="833" t="s">
        <v>904</v>
      </c>
      <c r="AE1" s="833" t="s">
        <v>905</v>
      </c>
    </row>
    <row r="2" spans="2:31" ht="15" customHeight="1" x14ac:dyDescent="0.25">
      <c r="B2" s="628" t="s">
        <v>106</v>
      </c>
      <c r="C2" s="628" t="s">
        <v>218</v>
      </c>
      <c r="D2" s="628" t="s">
        <v>729</v>
      </c>
      <c r="E2" s="628" t="s">
        <v>730</v>
      </c>
      <c r="F2" s="628" t="s">
        <v>731</v>
      </c>
      <c r="G2" s="628" t="s">
        <v>158</v>
      </c>
      <c r="H2" s="629" t="s">
        <v>190</v>
      </c>
      <c r="I2" s="629" t="s">
        <v>213</v>
      </c>
      <c r="J2" s="629" t="s">
        <v>95</v>
      </c>
      <c r="K2" s="629" t="s">
        <v>94</v>
      </c>
      <c r="L2" s="630" t="s">
        <v>199</v>
      </c>
      <c r="M2" s="631" t="s">
        <v>36</v>
      </c>
      <c r="N2" s="632" t="s">
        <v>40</v>
      </c>
      <c r="O2" s="632" t="s">
        <v>169</v>
      </c>
      <c r="P2" s="632" t="s">
        <v>203</v>
      </c>
      <c r="Q2" s="632" t="s">
        <v>204</v>
      </c>
      <c r="R2" s="826" t="s">
        <v>205</v>
      </c>
      <c r="S2" s="633" t="s">
        <v>210</v>
      </c>
      <c r="T2" s="634" t="s">
        <v>13</v>
      </c>
      <c r="U2" s="811" t="s">
        <v>189</v>
      </c>
      <c r="V2" s="812">
        <v>46023</v>
      </c>
      <c r="W2" s="820"/>
      <c r="X2" s="813" t="s">
        <v>729</v>
      </c>
      <c r="Y2" s="813" t="s">
        <v>732</v>
      </c>
      <c r="AA2">
        <v>3</v>
      </c>
      <c r="AB2" t="s">
        <v>368</v>
      </c>
      <c r="AC2" t="s">
        <v>734</v>
      </c>
      <c r="AD2" t="s">
        <v>781</v>
      </c>
    </row>
    <row r="3" spans="2:31" ht="15" customHeight="1" x14ac:dyDescent="0.25">
      <c r="B3" s="638" t="s">
        <v>73</v>
      </c>
      <c r="C3" s="673">
        <f>IFERROR(_xlfn.XLOOKUP($G3,COM_Cadastro!$F$3:$F$199,COM_Cadastro!$B$3:$B$199),"")</f>
        <v>8825915500</v>
      </c>
      <c r="D3" s="640" t="s">
        <v>733</v>
      </c>
      <c r="E3" s="641" t="s">
        <v>377</v>
      </c>
      <c r="F3" s="640" t="s">
        <v>444</v>
      </c>
      <c r="G3" s="638" t="s">
        <v>865</v>
      </c>
      <c r="H3" s="642">
        <v>412.64</v>
      </c>
      <c r="I3" s="642"/>
      <c r="J3" s="642">
        <v>272</v>
      </c>
      <c r="K3" s="642">
        <v>180</v>
      </c>
      <c r="L3" s="643">
        <f>SUM(H3:K3)</f>
        <v>864.64</v>
      </c>
      <c r="M3" s="644">
        <f>H3*8%</f>
        <v>33.011200000000002</v>
      </c>
      <c r="N3" s="643">
        <f>H3/12</f>
        <v>34.386666666666663</v>
      </c>
      <c r="O3" s="643">
        <f>N3/3</f>
        <v>11.462222222222222</v>
      </c>
      <c r="P3" s="643">
        <f>(N3+O3)*8%</f>
        <v>3.6679111111111111</v>
      </c>
      <c r="Q3" s="455">
        <f>H3/12</f>
        <v>34.386666666666663</v>
      </c>
      <c r="R3" s="827">
        <f>Q3*8%</f>
        <v>2.7509333333333332</v>
      </c>
      <c r="S3" s="643">
        <f>SUM(N3:R3)</f>
        <v>86.654399999999995</v>
      </c>
      <c r="T3" s="643">
        <f>L3+M3+S3</f>
        <v>984.30560000000003</v>
      </c>
      <c r="U3" s="824" t="s">
        <v>89</v>
      </c>
      <c r="V3" s="814">
        <f>H199</f>
        <v>350454.84</v>
      </c>
      <c r="W3" s="820"/>
      <c r="X3" s="815" t="s">
        <v>733</v>
      </c>
      <c r="Y3" s="816">
        <f>COUNTIF($D$3:$D$198,X3)</f>
        <v>69</v>
      </c>
      <c r="AA3">
        <v>7</v>
      </c>
      <c r="AB3" t="s">
        <v>376</v>
      </c>
      <c r="AC3" t="s">
        <v>378</v>
      </c>
      <c r="AD3" t="s">
        <v>776</v>
      </c>
    </row>
    <row r="4" spans="2:31" ht="15" customHeight="1" x14ac:dyDescent="0.25">
      <c r="B4" s="638" t="s">
        <v>73</v>
      </c>
      <c r="C4" s="673">
        <f>IFERROR(_xlfn.XLOOKUP($G4,COM_Cadastro!$F$3:$F$199,COM_Cadastro!$B$3:$B$199),"")</f>
        <v>2123570508</v>
      </c>
      <c r="D4" s="640" t="s">
        <v>733</v>
      </c>
      <c r="E4" s="641" t="s">
        <v>377</v>
      </c>
      <c r="F4" s="640" t="s">
        <v>444</v>
      </c>
      <c r="G4" s="638" t="s">
        <v>606</v>
      </c>
      <c r="H4" s="642">
        <v>1622</v>
      </c>
      <c r="I4" s="642"/>
      <c r="J4" s="642">
        <v>244.8</v>
      </c>
      <c r="K4" s="642">
        <v>540</v>
      </c>
      <c r="L4" s="643">
        <f>SUM(H4:K4)</f>
        <v>2406.8000000000002</v>
      </c>
      <c r="M4" s="644">
        <f>H4*8%</f>
        <v>129.76</v>
      </c>
      <c r="N4" s="643">
        <f>H4/12</f>
        <v>135.16666666666666</v>
      </c>
      <c r="O4" s="643">
        <f>N4/3</f>
        <v>45.05555555555555</v>
      </c>
      <c r="P4" s="643">
        <f>(N4+O4)*8%</f>
        <v>14.417777777777776</v>
      </c>
      <c r="Q4" s="455">
        <f>H4/12</f>
        <v>135.16666666666666</v>
      </c>
      <c r="R4" s="827">
        <f>Q4*8%</f>
        <v>10.813333333333333</v>
      </c>
      <c r="S4" s="643">
        <f>SUM(N4:R4)</f>
        <v>340.61999999999995</v>
      </c>
      <c r="T4" s="643">
        <f>L4+M4+S4</f>
        <v>2877.1800000000003</v>
      </c>
      <c r="U4" s="825" t="s">
        <v>213</v>
      </c>
      <c r="V4" s="814">
        <f>I199</f>
        <v>52761.75</v>
      </c>
      <c r="W4" s="820"/>
      <c r="X4" s="815" t="s">
        <v>378</v>
      </c>
      <c r="Y4" s="816">
        <f>COUNTIF($D$3:$D$198,X4)</f>
        <v>87</v>
      </c>
      <c r="AA4">
        <v>8</v>
      </c>
      <c r="AB4" t="s">
        <v>371</v>
      </c>
      <c r="AC4" t="s">
        <v>733</v>
      </c>
      <c r="AD4" t="s">
        <v>637</v>
      </c>
    </row>
    <row r="5" spans="2:31" ht="15" customHeight="1" x14ac:dyDescent="0.25">
      <c r="B5" s="663" t="s">
        <v>73</v>
      </c>
      <c r="C5" s="673">
        <f>IFERROR(_xlfn.XLOOKUP($G5,COM_Cadastro!$F$3:$F$199,COM_Cadastro!$B$3:$B$199),"")</f>
        <v>8825915500</v>
      </c>
      <c r="D5" s="674" t="s">
        <v>734</v>
      </c>
      <c r="E5" s="675" t="s">
        <v>780</v>
      </c>
      <c r="F5" s="674" t="s">
        <v>444</v>
      </c>
      <c r="G5" s="663" t="s">
        <v>865</v>
      </c>
      <c r="H5" s="668">
        <v>630</v>
      </c>
      <c r="I5" s="669"/>
      <c r="J5" s="669"/>
      <c r="K5" s="669"/>
      <c r="L5" s="670">
        <f>SUM(H5:K5)</f>
        <v>630</v>
      </c>
      <c r="M5" s="670"/>
      <c r="N5" s="670"/>
      <c r="O5" s="670"/>
      <c r="P5" s="670"/>
      <c r="Q5" s="670"/>
      <c r="R5" s="819"/>
      <c r="S5" s="670"/>
      <c r="T5" s="670">
        <f>L5+M5+S5</f>
        <v>630</v>
      </c>
      <c r="U5" s="825" t="s">
        <v>95</v>
      </c>
      <c r="V5" s="814">
        <f>J199</f>
        <v>33435.790000000008</v>
      </c>
      <c r="W5" s="820"/>
      <c r="X5" s="815" t="s">
        <v>734</v>
      </c>
      <c r="Y5" s="816">
        <f>COUNTIF($D$3:$D$198,X5)</f>
        <v>30</v>
      </c>
      <c r="AA5">
        <v>9</v>
      </c>
      <c r="AB5" t="s">
        <v>368</v>
      </c>
      <c r="AC5" t="s">
        <v>734</v>
      </c>
      <c r="AD5" t="s">
        <v>831</v>
      </c>
    </row>
    <row r="6" spans="2:31" ht="15" customHeight="1" x14ac:dyDescent="0.25">
      <c r="B6" s="663" t="s">
        <v>73</v>
      </c>
      <c r="C6" s="673">
        <f>IFERROR(_xlfn.XLOOKUP($G6,COM_Cadastro!$F$3:$F$199,COM_Cadastro!$B$3:$B$199),"")</f>
        <v>6966521531</v>
      </c>
      <c r="D6" s="674" t="s">
        <v>734</v>
      </c>
      <c r="E6" s="675" t="s">
        <v>780</v>
      </c>
      <c r="F6" s="674" t="s">
        <v>444</v>
      </c>
      <c r="G6" s="663" t="s">
        <v>866</v>
      </c>
      <c r="H6" s="668">
        <v>2280</v>
      </c>
      <c r="I6" s="669"/>
      <c r="J6" s="669"/>
      <c r="K6" s="669"/>
      <c r="L6" s="670">
        <f>SUM(H6:K6)</f>
        <v>2280</v>
      </c>
      <c r="M6" s="670"/>
      <c r="N6" s="670"/>
      <c r="O6" s="670"/>
      <c r="P6" s="670"/>
      <c r="Q6" s="670"/>
      <c r="R6" s="819"/>
      <c r="S6" s="670"/>
      <c r="T6" s="670">
        <f>L6+M6+S6</f>
        <v>2280</v>
      </c>
      <c r="U6" s="825" t="s">
        <v>94</v>
      </c>
      <c r="V6" s="814">
        <f>K199</f>
        <v>33802.199999999997</v>
      </c>
      <c r="W6" s="820"/>
      <c r="X6" s="815" t="s">
        <v>736</v>
      </c>
      <c r="Y6" s="816">
        <f>COUNTIF($D$3:$D$198,X6)</f>
        <v>10</v>
      </c>
      <c r="AA6">
        <v>10</v>
      </c>
      <c r="AB6" t="s">
        <v>368</v>
      </c>
      <c r="AC6" t="s">
        <v>378</v>
      </c>
      <c r="AD6" t="s">
        <v>802</v>
      </c>
    </row>
    <row r="7" spans="2:31" ht="15" customHeight="1" x14ac:dyDescent="0.25">
      <c r="B7" s="638" t="s">
        <v>73</v>
      </c>
      <c r="C7" s="673">
        <f>IFERROR(_xlfn.XLOOKUP($G7,COM_Cadastro!$F$3:$F$199,COM_Cadastro!$B$3:$B$199),"")</f>
        <v>19922820722</v>
      </c>
      <c r="D7" s="640" t="s">
        <v>733</v>
      </c>
      <c r="E7" s="641" t="s">
        <v>377</v>
      </c>
      <c r="F7" s="640" t="s">
        <v>368</v>
      </c>
      <c r="G7" s="638" t="s">
        <v>389</v>
      </c>
      <c r="H7" s="642">
        <v>1780</v>
      </c>
      <c r="I7" s="642"/>
      <c r="J7" s="642"/>
      <c r="K7" s="642">
        <v>495</v>
      </c>
      <c r="L7" s="643">
        <f>SUM(H7:K7)</f>
        <v>2275</v>
      </c>
      <c r="M7" s="644">
        <f>H7*8%</f>
        <v>142.4</v>
      </c>
      <c r="N7" s="643">
        <f>H7/12</f>
        <v>148.33333333333334</v>
      </c>
      <c r="O7" s="643">
        <f>N7/3</f>
        <v>49.44444444444445</v>
      </c>
      <c r="P7" s="643">
        <f>(N7+O7)*8%</f>
        <v>15.822222222222225</v>
      </c>
      <c r="Q7" s="455">
        <f>H7/12</f>
        <v>148.33333333333334</v>
      </c>
      <c r="R7" s="827">
        <f>Q7*8%</f>
        <v>11.866666666666667</v>
      </c>
      <c r="S7" s="643">
        <f>SUM(N7:R7)</f>
        <v>373.80000000000007</v>
      </c>
      <c r="T7" s="643">
        <f>L7+M7+S7</f>
        <v>2791.2000000000003</v>
      </c>
      <c r="U7" s="824" t="s">
        <v>36</v>
      </c>
      <c r="V7" s="814">
        <f>M199</f>
        <v>9278.7872000000061</v>
      </c>
      <c r="W7" s="820"/>
      <c r="X7" s="815" t="s">
        <v>167</v>
      </c>
      <c r="Y7" s="813">
        <f>SUM(Y3:Y6)</f>
        <v>196</v>
      </c>
      <c r="AA7">
        <v>11</v>
      </c>
      <c r="AB7" t="s">
        <v>368</v>
      </c>
      <c r="AC7" t="s">
        <v>378</v>
      </c>
      <c r="AD7" t="s">
        <v>744</v>
      </c>
    </row>
    <row r="8" spans="2:31" ht="15" customHeight="1" x14ac:dyDescent="0.25">
      <c r="B8" s="638" t="s">
        <v>73</v>
      </c>
      <c r="C8" s="673">
        <f>IFERROR(_xlfn.XLOOKUP($G8,COM_Cadastro!$F$3:$F$199,COM_Cadastro!$B$3:$B$199),"")</f>
        <v>17945914780</v>
      </c>
      <c r="D8" s="640" t="s">
        <v>733</v>
      </c>
      <c r="E8" s="641" t="s">
        <v>377</v>
      </c>
      <c r="F8" s="640" t="s">
        <v>368</v>
      </c>
      <c r="G8" s="638" t="s">
        <v>879</v>
      </c>
      <c r="H8" s="642">
        <v>2500</v>
      </c>
      <c r="I8" s="642">
        <v>0</v>
      </c>
      <c r="J8" s="642">
        <v>515.79999999999995</v>
      </c>
      <c r="K8" s="642">
        <v>540</v>
      </c>
      <c r="L8" s="643">
        <f>SUM(H8:K8)</f>
        <v>3555.8</v>
      </c>
      <c r="M8" s="644">
        <f>H8*8%</f>
        <v>200</v>
      </c>
      <c r="N8" s="643">
        <f>H8/12</f>
        <v>208.33333333333334</v>
      </c>
      <c r="O8" s="643">
        <f>N8/3</f>
        <v>69.444444444444443</v>
      </c>
      <c r="P8" s="643">
        <f>(N8+O8)*8%</f>
        <v>22.222222222222221</v>
      </c>
      <c r="Q8" s="455">
        <f>H8/12</f>
        <v>208.33333333333334</v>
      </c>
      <c r="R8" s="827">
        <f>Q8*8%</f>
        <v>16.666666666666668</v>
      </c>
      <c r="S8" s="643">
        <f>SUM(N8:R8)</f>
        <v>525</v>
      </c>
      <c r="T8" s="643">
        <f>L8+M8+S8</f>
        <v>4280.8</v>
      </c>
      <c r="U8" s="824" t="s">
        <v>212</v>
      </c>
      <c r="V8" s="814">
        <f>S199</f>
        <v>24356.816399999989</v>
      </c>
      <c r="W8" s="820"/>
      <c r="X8" s="822"/>
      <c r="Y8" s="823"/>
      <c r="AA8">
        <v>12</v>
      </c>
      <c r="AB8" t="s">
        <v>376</v>
      </c>
      <c r="AC8" t="s">
        <v>378</v>
      </c>
      <c r="AD8" t="s">
        <v>777</v>
      </c>
    </row>
    <row r="9" spans="2:31" ht="15" customHeight="1" x14ac:dyDescent="0.25">
      <c r="B9" s="638" t="s">
        <v>73</v>
      </c>
      <c r="C9" s="673">
        <f>IFERROR(_xlfn.XLOOKUP($G9,COM_Cadastro!$F$3:$F$199,COM_Cadastro!$B$3:$B$199),"")</f>
        <v>9010832759</v>
      </c>
      <c r="D9" s="640" t="s">
        <v>733</v>
      </c>
      <c r="E9" s="641" t="s">
        <v>377</v>
      </c>
      <c r="F9" s="640" t="s">
        <v>368</v>
      </c>
      <c r="G9" s="638" t="s">
        <v>428</v>
      </c>
      <c r="H9" s="642">
        <v>1780</v>
      </c>
      <c r="I9" s="642"/>
      <c r="J9" s="642">
        <v>234.6</v>
      </c>
      <c r="K9" s="642">
        <v>540</v>
      </c>
      <c r="L9" s="643">
        <f>SUM(H9:K9)</f>
        <v>2554.6</v>
      </c>
      <c r="M9" s="644">
        <f>H9*8%</f>
        <v>142.4</v>
      </c>
      <c r="N9" s="643">
        <f>H9/12</f>
        <v>148.33333333333334</v>
      </c>
      <c r="O9" s="643">
        <f>N9/3</f>
        <v>49.44444444444445</v>
      </c>
      <c r="P9" s="643">
        <f>(N9+O9)*8%</f>
        <v>15.822222222222225</v>
      </c>
      <c r="Q9" s="455">
        <f>H9/12</f>
        <v>148.33333333333334</v>
      </c>
      <c r="R9" s="827">
        <f>Q9*8%</f>
        <v>11.866666666666667</v>
      </c>
      <c r="S9" s="643">
        <f>SUM(N9:R9)</f>
        <v>373.80000000000007</v>
      </c>
      <c r="T9" s="643">
        <f>L9+M9+S9</f>
        <v>3070.8</v>
      </c>
      <c r="U9" s="825" t="s">
        <v>13</v>
      </c>
      <c r="V9" s="817">
        <f>SUM(V3:V8)</f>
        <v>504090.18360000005</v>
      </c>
      <c r="W9" s="820"/>
      <c r="X9" s="822"/>
      <c r="Y9" s="823"/>
      <c r="AA9">
        <v>13</v>
      </c>
      <c r="AB9" t="s">
        <v>368</v>
      </c>
      <c r="AC9" t="s">
        <v>378</v>
      </c>
      <c r="AD9" t="s">
        <v>745</v>
      </c>
    </row>
    <row r="10" spans="2:31" ht="15" customHeight="1" x14ac:dyDescent="0.25">
      <c r="B10" s="638" t="s">
        <v>73</v>
      </c>
      <c r="C10" s="673">
        <f>IFERROR(_xlfn.XLOOKUP($G10,COM_Cadastro!$F$3:$F$199,COM_Cadastro!$B$3:$B$199),"")</f>
        <v>40743246870</v>
      </c>
      <c r="D10" s="640" t="s">
        <v>733</v>
      </c>
      <c r="E10" s="641" t="s">
        <v>377</v>
      </c>
      <c r="F10" s="640" t="s">
        <v>368</v>
      </c>
      <c r="G10" s="638" t="s">
        <v>876</v>
      </c>
      <c r="H10" s="642">
        <v>594.73</v>
      </c>
      <c r="I10" s="642">
        <v>440</v>
      </c>
      <c r="J10" s="642">
        <v>122.4</v>
      </c>
      <c r="K10" s="642">
        <v>202.5</v>
      </c>
      <c r="L10" s="643">
        <f>SUM(H10:K10)</f>
        <v>1359.63</v>
      </c>
      <c r="M10" s="644">
        <f>H10*8%</f>
        <v>47.578400000000002</v>
      </c>
      <c r="N10" s="643">
        <f>H10/12</f>
        <v>49.560833333333335</v>
      </c>
      <c r="O10" s="643">
        <f>N10/3</f>
        <v>16.520277777777778</v>
      </c>
      <c r="P10" s="643">
        <f>(N10+O10)*8%</f>
        <v>5.286488888888889</v>
      </c>
      <c r="Q10" s="455">
        <f>H10/12</f>
        <v>49.560833333333335</v>
      </c>
      <c r="R10" s="827">
        <f>Q10*8%</f>
        <v>3.964866666666667</v>
      </c>
      <c r="S10" s="643">
        <f>SUM(N10:R10)</f>
        <v>124.8933</v>
      </c>
      <c r="T10" s="643">
        <f>L10+M10+S10</f>
        <v>1532.1017000000002</v>
      </c>
      <c r="U10" s="806"/>
      <c r="V10" s="821"/>
      <c r="W10" s="820"/>
      <c r="X10" s="822"/>
      <c r="Y10" s="823"/>
      <c r="AA10">
        <v>14</v>
      </c>
      <c r="AB10" t="s">
        <v>376</v>
      </c>
      <c r="AC10" t="s">
        <v>733</v>
      </c>
      <c r="AD10" t="s">
        <v>619</v>
      </c>
    </row>
    <row r="11" spans="2:31" ht="15" customHeight="1" x14ac:dyDescent="0.25">
      <c r="B11" s="638" t="s">
        <v>73</v>
      </c>
      <c r="C11" s="673">
        <f>IFERROR(_xlfn.XLOOKUP($G11,COM_Cadastro!$F$3:$F$199,COM_Cadastro!$B$3:$B$199),"")</f>
        <v>5376997758</v>
      </c>
      <c r="D11" s="640" t="s">
        <v>733</v>
      </c>
      <c r="E11" s="641" t="s">
        <v>377</v>
      </c>
      <c r="F11" s="640" t="s">
        <v>368</v>
      </c>
      <c r="G11" s="638" t="s">
        <v>464</v>
      </c>
      <c r="H11" s="642">
        <v>1622</v>
      </c>
      <c r="I11" s="642"/>
      <c r="J11" s="642">
        <v>469.2</v>
      </c>
      <c r="K11" s="642">
        <v>540</v>
      </c>
      <c r="L11" s="643">
        <f>SUM(H11:K11)</f>
        <v>2631.2</v>
      </c>
      <c r="M11" s="644">
        <f>H11*8%</f>
        <v>129.76</v>
      </c>
      <c r="N11" s="643">
        <f>H11/12</f>
        <v>135.16666666666666</v>
      </c>
      <c r="O11" s="643">
        <f>N11/3</f>
        <v>45.05555555555555</v>
      </c>
      <c r="P11" s="643">
        <f>(N11+O11)*8%</f>
        <v>14.417777777777776</v>
      </c>
      <c r="Q11" s="455">
        <f>H11/12</f>
        <v>135.16666666666666</v>
      </c>
      <c r="R11" s="827">
        <f>Q11*8%</f>
        <v>10.813333333333333</v>
      </c>
      <c r="S11" s="643">
        <f>SUM(N11:R11)</f>
        <v>340.61999999999995</v>
      </c>
      <c r="T11" s="643">
        <f>L11+M11+S11</f>
        <v>3101.58</v>
      </c>
      <c r="U11" s="806"/>
      <c r="V11" s="821"/>
      <c r="W11" s="820"/>
      <c r="X11" s="822"/>
      <c r="Y11" s="823"/>
      <c r="AA11">
        <v>17</v>
      </c>
      <c r="AB11" t="s">
        <v>368</v>
      </c>
      <c r="AC11" t="s">
        <v>734</v>
      </c>
      <c r="AD11" t="s">
        <v>783</v>
      </c>
    </row>
    <row r="12" spans="2:31" ht="15" customHeight="1" x14ac:dyDescent="0.25">
      <c r="B12" s="638" t="s">
        <v>73</v>
      </c>
      <c r="C12" s="673">
        <f>IFERROR(_xlfn.XLOOKUP($G12,COM_Cadastro!$F$3:$F$199,COM_Cadastro!$B$3:$B$199),"")</f>
        <v>3171048701</v>
      </c>
      <c r="D12" s="640" t="s">
        <v>733</v>
      </c>
      <c r="E12" s="641" t="s">
        <v>377</v>
      </c>
      <c r="F12" s="640" t="s">
        <v>368</v>
      </c>
      <c r="G12" s="638" t="s">
        <v>880</v>
      </c>
      <c r="H12" s="642">
        <v>1622</v>
      </c>
      <c r="I12" s="642"/>
      <c r="J12" s="642">
        <v>469.2</v>
      </c>
      <c r="K12" s="642">
        <v>540</v>
      </c>
      <c r="L12" s="643">
        <f>SUM(H12:K12)</f>
        <v>2631.2</v>
      </c>
      <c r="M12" s="644">
        <f>H12*8%</f>
        <v>129.76</v>
      </c>
      <c r="N12" s="643">
        <f>H12/12</f>
        <v>135.16666666666666</v>
      </c>
      <c r="O12" s="643">
        <f>N12/3</f>
        <v>45.05555555555555</v>
      </c>
      <c r="P12" s="643">
        <f>(N12+O12)*8%</f>
        <v>14.417777777777776</v>
      </c>
      <c r="Q12" s="455">
        <f>H12/12</f>
        <v>135.16666666666666</v>
      </c>
      <c r="R12" s="827">
        <f>Q12*8%</f>
        <v>10.813333333333333</v>
      </c>
      <c r="S12" s="643">
        <f>SUM(N12:R12)</f>
        <v>340.61999999999995</v>
      </c>
      <c r="T12" s="643">
        <f>L12+M12+S12</f>
        <v>3101.58</v>
      </c>
      <c r="U12" s="806"/>
      <c r="V12" s="821"/>
      <c r="W12" s="820"/>
      <c r="X12" s="822"/>
      <c r="Y12" s="823"/>
      <c r="AA12">
        <v>18</v>
      </c>
      <c r="AB12" t="s">
        <v>368</v>
      </c>
      <c r="AC12" t="s">
        <v>733</v>
      </c>
      <c r="AD12" t="s">
        <v>689</v>
      </c>
    </row>
    <row r="13" spans="2:31" ht="15" customHeight="1" x14ac:dyDescent="0.25">
      <c r="B13" s="638" t="s">
        <v>73</v>
      </c>
      <c r="C13" s="673">
        <f>IFERROR(_xlfn.XLOOKUP($G13,COM_Cadastro!$F$3:$F$199,COM_Cadastro!$B$3:$B$199),"")</f>
        <v>15704341748</v>
      </c>
      <c r="D13" s="640" t="s">
        <v>733</v>
      </c>
      <c r="E13" s="641" t="s">
        <v>377</v>
      </c>
      <c r="F13" s="640" t="s">
        <v>368</v>
      </c>
      <c r="G13" s="638" t="s">
        <v>516</v>
      </c>
      <c r="H13" s="642">
        <v>1622</v>
      </c>
      <c r="I13" s="642"/>
      <c r="J13" s="642">
        <v>234</v>
      </c>
      <c r="K13" s="642">
        <v>540</v>
      </c>
      <c r="L13" s="643">
        <f>SUM(H13:K13)</f>
        <v>2396</v>
      </c>
      <c r="M13" s="644">
        <f>H13*8%</f>
        <v>129.76</v>
      </c>
      <c r="N13" s="643">
        <f>H13/12</f>
        <v>135.16666666666666</v>
      </c>
      <c r="O13" s="643">
        <f>N13/3</f>
        <v>45.05555555555555</v>
      </c>
      <c r="P13" s="643">
        <f>(N13+O13)*8%</f>
        <v>14.417777777777776</v>
      </c>
      <c r="Q13" s="455">
        <f>H13/12</f>
        <v>135.16666666666666</v>
      </c>
      <c r="R13" s="827">
        <f>Q13*8%</f>
        <v>10.813333333333333</v>
      </c>
      <c r="S13" s="643">
        <f>SUM(N13:R13)</f>
        <v>340.61999999999995</v>
      </c>
      <c r="T13" s="643">
        <f>L13+M13+S13</f>
        <v>2866.38</v>
      </c>
      <c r="U13" s="806"/>
      <c r="V13" s="821"/>
      <c r="W13" s="820"/>
      <c r="X13" s="822"/>
      <c r="Y13" s="823"/>
      <c r="AA13">
        <v>19</v>
      </c>
      <c r="AB13" t="s">
        <v>374</v>
      </c>
      <c r="AC13" t="s">
        <v>734</v>
      </c>
      <c r="AD13" t="s">
        <v>788</v>
      </c>
    </row>
    <row r="14" spans="2:31" ht="15" customHeight="1" x14ac:dyDescent="0.25">
      <c r="B14" s="638" t="s">
        <v>73</v>
      </c>
      <c r="C14" s="673">
        <f>IFERROR(_xlfn.XLOOKUP($G14,COM_Cadastro!$F$3:$F$199,COM_Cadastro!$B$3:$B$199),"")</f>
        <v>1602223717</v>
      </c>
      <c r="D14" s="640" t="s">
        <v>733</v>
      </c>
      <c r="E14" s="641" t="s">
        <v>377</v>
      </c>
      <c r="F14" s="640" t="s">
        <v>368</v>
      </c>
      <c r="G14" s="638" t="s">
        <v>517</v>
      </c>
      <c r="H14" s="642">
        <v>1622</v>
      </c>
      <c r="I14" s="642"/>
      <c r="J14" s="642">
        <v>224.4</v>
      </c>
      <c r="K14" s="642">
        <v>540</v>
      </c>
      <c r="L14" s="643">
        <f>SUM(H14:K14)</f>
        <v>2386.4</v>
      </c>
      <c r="M14" s="644">
        <f>H14*8%</f>
        <v>129.76</v>
      </c>
      <c r="N14" s="643">
        <f>H14/12</f>
        <v>135.16666666666666</v>
      </c>
      <c r="O14" s="643">
        <f>N14/3</f>
        <v>45.05555555555555</v>
      </c>
      <c r="P14" s="643">
        <f>(N14+O14)*8%</f>
        <v>14.417777777777776</v>
      </c>
      <c r="Q14" s="455">
        <f>H14/12</f>
        <v>135.16666666666666</v>
      </c>
      <c r="R14" s="827">
        <f>Q14*8%</f>
        <v>10.813333333333333</v>
      </c>
      <c r="S14" s="643">
        <f>SUM(N14:R14)</f>
        <v>340.61999999999995</v>
      </c>
      <c r="T14" s="643">
        <f>L14+M14+S14</f>
        <v>2856.7799999999997</v>
      </c>
      <c r="U14" s="806"/>
      <c r="V14" s="821"/>
      <c r="W14" s="820"/>
      <c r="X14" s="822"/>
      <c r="Y14" s="823"/>
      <c r="AA14">
        <v>23</v>
      </c>
      <c r="AB14" t="s">
        <v>374</v>
      </c>
      <c r="AC14" t="s">
        <v>733</v>
      </c>
      <c r="AD14" t="s">
        <v>720</v>
      </c>
    </row>
    <row r="15" spans="2:31" ht="15" customHeight="1" x14ac:dyDescent="0.25">
      <c r="B15" s="638" t="s">
        <v>73</v>
      </c>
      <c r="C15" s="673">
        <f>IFERROR(_xlfn.XLOOKUP($G15,COM_Cadastro!$F$3:$F$199,COM_Cadastro!$B$3:$B$199),"")</f>
        <v>15944191759</v>
      </c>
      <c r="D15" s="640" t="s">
        <v>733</v>
      </c>
      <c r="E15" s="641" t="s">
        <v>377</v>
      </c>
      <c r="F15" s="640" t="s">
        <v>368</v>
      </c>
      <c r="G15" s="638" t="s">
        <v>873</v>
      </c>
      <c r="H15" s="642">
        <v>1622</v>
      </c>
      <c r="I15" s="642"/>
      <c r="J15" s="642">
        <v>122.4</v>
      </c>
      <c r="K15" s="642">
        <v>270</v>
      </c>
      <c r="L15" s="643">
        <f>SUM(H15:K15)</f>
        <v>2014.4</v>
      </c>
      <c r="M15" s="644">
        <f>H15*8%</f>
        <v>129.76</v>
      </c>
      <c r="N15" s="643">
        <f>H15/12</f>
        <v>135.16666666666666</v>
      </c>
      <c r="O15" s="643">
        <f>N15/3</f>
        <v>45.05555555555555</v>
      </c>
      <c r="P15" s="643">
        <f>(N15+O15)*8%</f>
        <v>14.417777777777776</v>
      </c>
      <c r="Q15" s="455">
        <f>H15/12</f>
        <v>135.16666666666666</v>
      </c>
      <c r="R15" s="827">
        <f>Q15*8%</f>
        <v>10.813333333333333</v>
      </c>
      <c r="S15" s="643">
        <f>SUM(N15:R15)</f>
        <v>340.61999999999995</v>
      </c>
      <c r="T15" s="643">
        <f>L15+M15+S15</f>
        <v>2484.7799999999997</v>
      </c>
      <c r="U15" s="806"/>
      <c r="V15" s="821"/>
      <c r="W15" s="820"/>
      <c r="X15" s="822"/>
      <c r="Y15" s="823"/>
      <c r="AA15">
        <v>24</v>
      </c>
      <c r="AB15" t="s">
        <v>376</v>
      </c>
      <c r="AC15" t="s">
        <v>378</v>
      </c>
      <c r="AD15" t="s">
        <v>778</v>
      </c>
    </row>
    <row r="16" spans="2:31" ht="15" customHeight="1" x14ac:dyDescent="0.25">
      <c r="B16" s="652" t="s">
        <v>73</v>
      </c>
      <c r="C16" s="664" t="str">
        <f>IFERROR(_xlfn.XLOOKUP($G16,COM_Cadastro!$F$3:$F$199,COM_Cadastro!$B$3:$B$199),"")</f>
        <v/>
      </c>
      <c r="D16" s="650" t="s">
        <v>733</v>
      </c>
      <c r="E16" s="651" t="s">
        <v>800</v>
      </c>
      <c r="F16" s="650" t="s">
        <v>368</v>
      </c>
      <c r="G16" s="652" t="s">
        <v>795</v>
      </c>
      <c r="H16" s="835">
        <v>1047.6199999999999</v>
      </c>
      <c r="I16" s="835"/>
      <c r="J16" s="835">
        <v>0</v>
      </c>
      <c r="K16" s="835">
        <v>270</v>
      </c>
      <c r="L16" s="836">
        <f>SUM(H16:K16)</f>
        <v>1317.62</v>
      </c>
      <c r="M16" s="837">
        <f>H16*8%</f>
        <v>83.809599999999989</v>
      </c>
      <c r="N16" s="836">
        <f>H16/12</f>
        <v>87.301666666666662</v>
      </c>
      <c r="O16" s="836">
        <f>N16/3</f>
        <v>29.100555555555555</v>
      </c>
      <c r="P16" s="836">
        <f>(N16+O16)*8%</f>
        <v>9.3121777777777783</v>
      </c>
      <c r="Q16" s="838">
        <f>H16/12</f>
        <v>87.301666666666662</v>
      </c>
      <c r="R16" s="839">
        <f>Q16*8%</f>
        <v>6.9841333333333333</v>
      </c>
      <c r="S16" s="836">
        <f>SUM(N16:R16)</f>
        <v>220.00020000000001</v>
      </c>
      <c r="T16" s="836">
        <f>L16+M16+S16</f>
        <v>1621.4297999999999</v>
      </c>
      <c r="U16" s="806"/>
      <c r="V16" s="821"/>
      <c r="W16" s="820"/>
      <c r="X16" s="822"/>
      <c r="Y16" s="823"/>
      <c r="AA16">
        <v>25</v>
      </c>
      <c r="AB16" t="s">
        <v>374</v>
      </c>
      <c r="AC16" t="s">
        <v>378</v>
      </c>
      <c r="AD16" t="s">
        <v>396</v>
      </c>
    </row>
    <row r="17" spans="2:30" ht="15" customHeight="1" x14ac:dyDescent="0.25">
      <c r="B17" s="638" t="s">
        <v>73</v>
      </c>
      <c r="C17" s="673">
        <f>IFERROR(_xlfn.XLOOKUP($G17,COM_Cadastro!$F$3:$F$199,COM_Cadastro!$B$3:$B$199),"")</f>
        <v>11977603777</v>
      </c>
      <c r="D17" s="640" t="s">
        <v>733</v>
      </c>
      <c r="E17" s="641" t="s">
        <v>800</v>
      </c>
      <c r="F17" s="640" t="s">
        <v>368</v>
      </c>
      <c r="G17" s="638" t="s">
        <v>612</v>
      </c>
      <c r="H17" s="642">
        <v>4000</v>
      </c>
      <c r="I17" s="642"/>
      <c r="J17" s="642">
        <v>1000</v>
      </c>
      <c r="K17" s="642">
        <v>540</v>
      </c>
      <c r="L17" s="643">
        <f>SUM(H17:K17)</f>
        <v>5540</v>
      </c>
      <c r="M17" s="644">
        <f>H17*8%</f>
        <v>320</v>
      </c>
      <c r="N17" s="643">
        <f>H17/12</f>
        <v>333.33333333333331</v>
      </c>
      <c r="O17" s="643">
        <f>N17/3</f>
        <v>111.1111111111111</v>
      </c>
      <c r="P17" s="643">
        <f>(N17+O17)*8%</f>
        <v>35.55555555555555</v>
      </c>
      <c r="Q17" s="455">
        <f>H17/12</f>
        <v>333.33333333333331</v>
      </c>
      <c r="R17" s="827">
        <f>Q17*8%</f>
        <v>26.666666666666664</v>
      </c>
      <c r="S17" s="643">
        <f>SUM(N17:R17)</f>
        <v>839.99999999999989</v>
      </c>
      <c r="T17" s="643">
        <f>L17+M17+S17</f>
        <v>6700</v>
      </c>
      <c r="U17" s="806"/>
      <c r="V17" s="821"/>
      <c r="W17" s="820"/>
      <c r="X17" s="822"/>
      <c r="Y17" s="823"/>
      <c r="AA17">
        <v>26</v>
      </c>
      <c r="AB17" t="s">
        <v>368</v>
      </c>
      <c r="AC17" t="s">
        <v>378</v>
      </c>
      <c r="AD17" t="s">
        <v>746</v>
      </c>
    </row>
    <row r="18" spans="2:30" ht="15" customHeight="1" x14ac:dyDescent="0.25">
      <c r="B18" s="663" t="s">
        <v>73</v>
      </c>
      <c r="C18" s="673">
        <f>IFERROR(_xlfn.XLOOKUP($G18,COM_Cadastro!$F$3:$F$199,COM_Cadastro!$B$3:$B$199),"")</f>
        <v>90913590568</v>
      </c>
      <c r="D18" s="674" t="s">
        <v>734</v>
      </c>
      <c r="E18" s="675" t="s">
        <v>780</v>
      </c>
      <c r="F18" s="674" t="s">
        <v>368</v>
      </c>
      <c r="G18" s="663" t="s">
        <v>367</v>
      </c>
      <c r="H18" s="668">
        <v>900</v>
      </c>
      <c r="I18" s="669"/>
      <c r="J18" s="669"/>
      <c r="K18" s="669"/>
      <c r="L18" s="670">
        <f>SUM(H18:K18)</f>
        <v>900</v>
      </c>
      <c r="M18" s="670"/>
      <c r="N18" s="670"/>
      <c r="O18" s="670"/>
      <c r="P18" s="670"/>
      <c r="Q18" s="670"/>
      <c r="R18" s="819"/>
      <c r="S18" s="670"/>
      <c r="T18" s="670">
        <f>L18+M18+S18</f>
        <v>900</v>
      </c>
      <c r="U18" s="806"/>
      <c r="V18" s="821"/>
      <c r="W18" s="820"/>
      <c r="X18" s="822"/>
      <c r="Y18" s="823"/>
      <c r="AA18">
        <v>28</v>
      </c>
      <c r="AB18" t="s">
        <v>368</v>
      </c>
      <c r="AC18" t="s">
        <v>378</v>
      </c>
      <c r="AD18" t="s">
        <v>747</v>
      </c>
    </row>
    <row r="19" spans="2:30" ht="15" customHeight="1" x14ac:dyDescent="0.25">
      <c r="B19" s="663" t="s">
        <v>73</v>
      </c>
      <c r="C19" s="673">
        <f>IFERROR(_xlfn.XLOOKUP($G19,COM_Cadastro!$F$3:$F$199,COM_Cadastro!$B$3:$B$199),"")</f>
        <v>50146051840</v>
      </c>
      <c r="D19" s="674" t="s">
        <v>734</v>
      </c>
      <c r="E19" s="675" t="s">
        <v>780</v>
      </c>
      <c r="F19" s="674" t="s">
        <v>368</v>
      </c>
      <c r="G19" s="663" t="s">
        <v>867</v>
      </c>
      <c r="H19" s="668">
        <v>120</v>
      </c>
      <c r="I19" s="669"/>
      <c r="J19" s="669"/>
      <c r="K19" s="669"/>
      <c r="L19" s="670">
        <f>SUM(H19:K19)</f>
        <v>120</v>
      </c>
      <c r="M19" s="670"/>
      <c r="N19" s="670"/>
      <c r="O19" s="670"/>
      <c r="P19" s="670"/>
      <c r="Q19" s="670"/>
      <c r="R19" s="819"/>
      <c r="S19" s="670"/>
      <c r="T19" s="670">
        <f>L19+M19+S19</f>
        <v>120</v>
      </c>
      <c r="U19" s="806"/>
      <c r="V19" s="821"/>
      <c r="W19" s="820"/>
      <c r="X19" s="822"/>
      <c r="Y19" s="823"/>
      <c r="AA19">
        <v>30</v>
      </c>
      <c r="AB19" t="s">
        <v>371</v>
      </c>
      <c r="AC19" t="s">
        <v>733</v>
      </c>
      <c r="AD19" t="s">
        <v>640</v>
      </c>
    </row>
    <row r="20" spans="2:30" ht="15" customHeight="1" x14ac:dyDescent="0.25">
      <c r="B20" s="663" t="s">
        <v>73</v>
      </c>
      <c r="C20" s="673">
        <f>IFERROR(_xlfn.XLOOKUP($G20,COM_Cadastro!$F$3:$F$199,COM_Cadastro!$B$3:$B$199),"")</f>
        <v>10476450411</v>
      </c>
      <c r="D20" s="674" t="s">
        <v>734</v>
      </c>
      <c r="E20" s="675" t="s">
        <v>780</v>
      </c>
      <c r="F20" s="674" t="s">
        <v>368</v>
      </c>
      <c r="G20" s="663" t="s">
        <v>868</v>
      </c>
      <c r="H20" s="668">
        <v>198</v>
      </c>
      <c r="I20" s="669"/>
      <c r="J20" s="669"/>
      <c r="K20" s="669"/>
      <c r="L20" s="670">
        <f>SUM(H20:K20)</f>
        <v>198</v>
      </c>
      <c r="M20" s="670"/>
      <c r="N20" s="670"/>
      <c r="O20" s="670"/>
      <c r="P20" s="670"/>
      <c r="Q20" s="670"/>
      <c r="R20" s="819"/>
      <c r="S20" s="670"/>
      <c r="T20" s="670">
        <f>L20+M20+S20</f>
        <v>198</v>
      </c>
      <c r="U20" s="806"/>
      <c r="V20" s="821"/>
      <c r="W20" s="820"/>
      <c r="X20" s="822"/>
      <c r="Y20" s="823"/>
      <c r="AA20">
        <v>32</v>
      </c>
      <c r="AB20" t="s">
        <v>371</v>
      </c>
      <c r="AC20" t="s">
        <v>378</v>
      </c>
      <c r="AD20" t="s">
        <v>762</v>
      </c>
    </row>
    <row r="21" spans="2:30" ht="15" customHeight="1" x14ac:dyDescent="0.25">
      <c r="B21" s="663" t="s">
        <v>73</v>
      </c>
      <c r="C21" s="673">
        <f>IFERROR(_xlfn.XLOOKUP($G21,COM_Cadastro!$F$3:$F$199,COM_Cadastro!$B$3:$B$199),"")</f>
        <v>26239336858</v>
      </c>
      <c r="D21" s="674" t="s">
        <v>734</v>
      </c>
      <c r="E21" s="675" t="s">
        <v>780</v>
      </c>
      <c r="F21" s="674" t="s">
        <v>368</v>
      </c>
      <c r="G21" s="663" t="s">
        <v>869</v>
      </c>
      <c r="H21" s="668">
        <v>100</v>
      </c>
      <c r="I21" s="669"/>
      <c r="J21" s="669"/>
      <c r="K21" s="669"/>
      <c r="L21" s="670">
        <f>SUM(H21:K21)</f>
        <v>100</v>
      </c>
      <c r="M21" s="670"/>
      <c r="N21" s="670"/>
      <c r="O21" s="670"/>
      <c r="P21" s="670"/>
      <c r="Q21" s="670"/>
      <c r="R21" s="819"/>
      <c r="S21" s="670"/>
      <c r="T21" s="670">
        <f>L21+M21+S21</f>
        <v>100</v>
      </c>
      <c r="U21" s="806"/>
      <c r="V21" s="821"/>
      <c r="W21" s="820"/>
      <c r="X21" s="822"/>
      <c r="Y21" s="823"/>
      <c r="AA21">
        <v>33</v>
      </c>
      <c r="AB21" t="s">
        <v>371</v>
      </c>
      <c r="AC21" t="s">
        <v>378</v>
      </c>
      <c r="AD21" t="s">
        <v>763</v>
      </c>
    </row>
    <row r="22" spans="2:30" ht="15" customHeight="1" x14ac:dyDescent="0.25">
      <c r="B22" s="663" t="s">
        <v>73</v>
      </c>
      <c r="C22" s="673">
        <f>IFERROR(_xlfn.XLOOKUP($G22,COM_Cadastro!$F$3:$F$199,COM_Cadastro!$B$3:$B$199),"")</f>
        <v>16194986778</v>
      </c>
      <c r="D22" s="674" t="s">
        <v>734</v>
      </c>
      <c r="E22" s="675" t="s">
        <v>780</v>
      </c>
      <c r="F22" s="674" t="s">
        <v>368</v>
      </c>
      <c r="G22" s="663" t="s">
        <v>435</v>
      </c>
      <c r="H22" s="668">
        <v>1177</v>
      </c>
      <c r="I22" s="669"/>
      <c r="J22" s="669"/>
      <c r="K22" s="669"/>
      <c r="L22" s="670">
        <f>SUM(H22:K22)</f>
        <v>1177</v>
      </c>
      <c r="M22" s="670"/>
      <c r="N22" s="670"/>
      <c r="O22" s="670"/>
      <c r="P22" s="670"/>
      <c r="Q22" s="670"/>
      <c r="R22" s="819"/>
      <c r="S22" s="670"/>
      <c r="T22" s="670">
        <f>L22+M22+S22</f>
        <v>1177</v>
      </c>
      <c r="U22" s="806"/>
      <c r="V22" s="821"/>
      <c r="W22" s="820"/>
      <c r="X22" s="822"/>
      <c r="Y22" s="823"/>
      <c r="AA22">
        <v>36</v>
      </c>
      <c r="AB22" t="s">
        <v>376</v>
      </c>
      <c r="AC22" t="s">
        <v>733</v>
      </c>
      <c r="AD22" t="s">
        <v>623</v>
      </c>
    </row>
    <row r="23" spans="2:30" ht="15" customHeight="1" x14ac:dyDescent="0.25">
      <c r="B23" s="663" t="s">
        <v>73</v>
      </c>
      <c r="C23" s="673">
        <f>IFERROR(_xlfn.XLOOKUP($G23,COM_Cadastro!$F$3:$F$199,COM_Cadastro!$B$3:$B$199),"")</f>
        <v>82743800534</v>
      </c>
      <c r="D23" s="674" t="s">
        <v>734</v>
      </c>
      <c r="E23" s="675" t="s">
        <v>780</v>
      </c>
      <c r="F23" s="674" t="s">
        <v>368</v>
      </c>
      <c r="G23" s="663" t="s">
        <v>465</v>
      </c>
      <c r="H23" s="668">
        <v>450</v>
      </c>
      <c r="I23" s="669"/>
      <c r="J23" s="669"/>
      <c r="K23" s="669"/>
      <c r="L23" s="670">
        <f>SUM(H23:K23)</f>
        <v>450</v>
      </c>
      <c r="M23" s="670"/>
      <c r="N23" s="670"/>
      <c r="O23" s="670"/>
      <c r="P23" s="670"/>
      <c r="Q23" s="670"/>
      <c r="R23" s="819"/>
      <c r="S23" s="670"/>
      <c r="T23" s="670">
        <f>L23+M23+S23</f>
        <v>450</v>
      </c>
      <c r="U23" s="806"/>
      <c r="V23" s="821"/>
      <c r="W23" s="820"/>
      <c r="X23" s="822"/>
      <c r="Y23" s="823"/>
      <c r="AA23">
        <v>41</v>
      </c>
      <c r="AB23" t="s">
        <v>368</v>
      </c>
      <c r="AC23" t="s">
        <v>378</v>
      </c>
      <c r="AD23" t="s">
        <v>748</v>
      </c>
    </row>
    <row r="24" spans="2:30" ht="15" customHeight="1" x14ac:dyDescent="0.25">
      <c r="B24" s="663" t="s">
        <v>73</v>
      </c>
      <c r="C24" s="673">
        <f>IFERROR(_xlfn.XLOOKUP($G24,COM_Cadastro!$F$3:$F$199,COM_Cadastro!$B$3:$B$199),"")</f>
        <v>27172275802</v>
      </c>
      <c r="D24" s="674" t="s">
        <v>734</v>
      </c>
      <c r="E24" s="675" t="s">
        <v>780</v>
      </c>
      <c r="F24" s="674" t="s">
        <v>368</v>
      </c>
      <c r="G24" s="663" t="s">
        <v>870</v>
      </c>
      <c r="H24" s="668">
        <v>674</v>
      </c>
      <c r="I24" s="669"/>
      <c r="J24" s="669"/>
      <c r="K24" s="669"/>
      <c r="L24" s="670">
        <f>SUM(H24:K24)</f>
        <v>674</v>
      </c>
      <c r="M24" s="670"/>
      <c r="N24" s="670"/>
      <c r="O24" s="670"/>
      <c r="P24" s="670"/>
      <c r="Q24" s="670"/>
      <c r="R24" s="819"/>
      <c r="S24" s="670"/>
      <c r="T24" s="670">
        <f>L24+M24+S24</f>
        <v>674</v>
      </c>
      <c r="U24" s="806"/>
      <c r="V24" s="821"/>
      <c r="W24" s="820"/>
      <c r="X24" s="822"/>
      <c r="Y24" s="823"/>
      <c r="AA24">
        <v>42</v>
      </c>
      <c r="AB24" t="s">
        <v>368</v>
      </c>
      <c r="AC24" t="s">
        <v>736</v>
      </c>
      <c r="AD24" t="s">
        <v>414</v>
      </c>
    </row>
    <row r="25" spans="2:30" ht="15" customHeight="1" x14ac:dyDescent="0.25">
      <c r="B25" s="663" t="s">
        <v>73</v>
      </c>
      <c r="C25" s="673">
        <f>IFERROR(_xlfn.XLOOKUP($G25,COM_Cadastro!$F$3:$F$199,COM_Cadastro!$B$3:$B$199),"")</f>
        <v>16557402706</v>
      </c>
      <c r="D25" s="674" t="s">
        <v>734</v>
      </c>
      <c r="E25" s="675" t="s">
        <v>780</v>
      </c>
      <c r="F25" s="674" t="s">
        <v>368</v>
      </c>
      <c r="G25" s="663" t="s">
        <v>871</v>
      </c>
      <c r="H25" s="668">
        <v>300</v>
      </c>
      <c r="I25" s="669"/>
      <c r="J25" s="669"/>
      <c r="K25" s="669"/>
      <c r="L25" s="670">
        <f>SUM(H25:K25)</f>
        <v>300</v>
      </c>
      <c r="M25" s="670"/>
      <c r="N25" s="670"/>
      <c r="O25" s="670"/>
      <c r="P25" s="670"/>
      <c r="Q25" s="670"/>
      <c r="R25" s="819"/>
      <c r="S25" s="670"/>
      <c r="T25" s="670">
        <f>L25+M25+S25</f>
        <v>300</v>
      </c>
      <c r="U25" s="806"/>
      <c r="V25" s="821"/>
      <c r="W25" s="820"/>
      <c r="X25" s="822"/>
      <c r="Y25" s="823"/>
      <c r="AA25">
        <v>43</v>
      </c>
      <c r="AB25" t="s">
        <v>371</v>
      </c>
      <c r="AC25" t="s">
        <v>378</v>
      </c>
      <c r="AD25" t="s">
        <v>764</v>
      </c>
    </row>
    <row r="26" spans="2:30" ht="15" customHeight="1" x14ac:dyDescent="0.25">
      <c r="B26" s="663" t="s">
        <v>73</v>
      </c>
      <c r="C26" s="673">
        <f>IFERROR(_xlfn.XLOOKUP($G26,COM_Cadastro!$F$3:$F$199,COM_Cadastro!$B$3:$B$199),"")</f>
        <v>12875794779</v>
      </c>
      <c r="D26" s="674" t="s">
        <v>734</v>
      </c>
      <c r="E26" s="675" t="s">
        <v>780</v>
      </c>
      <c r="F26" s="674" t="s">
        <v>368</v>
      </c>
      <c r="G26" s="663" t="s">
        <v>501</v>
      </c>
      <c r="H26" s="668">
        <v>1890</v>
      </c>
      <c r="I26" s="669"/>
      <c r="J26" s="669"/>
      <c r="K26" s="669"/>
      <c r="L26" s="670">
        <f>SUM(H26:K26)</f>
        <v>1890</v>
      </c>
      <c r="M26" s="670"/>
      <c r="N26" s="670"/>
      <c r="O26" s="670"/>
      <c r="P26" s="670"/>
      <c r="Q26" s="670"/>
      <c r="R26" s="819"/>
      <c r="S26" s="670"/>
      <c r="T26" s="670">
        <f>L26+M26+S26</f>
        <v>1890</v>
      </c>
      <c r="U26" s="806"/>
      <c r="V26" s="821"/>
      <c r="W26" s="820"/>
      <c r="X26" s="822"/>
      <c r="Y26" s="823"/>
      <c r="AA26">
        <v>44</v>
      </c>
      <c r="AB26" t="s">
        <v>371</v>
      </c>
      <c r="AC26" t="s">
        <v>733</v>
      </c>
      <c r="AD26" t="s">
        <v>797</v>
      </c>
    </row>
    <row r="27" spans="2:30" ht="15" customHeight="1" x14ac:dyDescent="0.25">
      <c r="B27" s="663" t="s">
        <v>73</v>
      </c>
      <c r="C27" s="673">
        <f>IFERROR(_xlfn.XLOOKUP($G27,COM_Cadastro!$F$3:$F$199,COM_Cadastro!$B$3:$B$199),"")</f>
        <v>39971764857</v>
      </c>
      <c r="D27" s="674" t="s">
        <v>734</v>
      </c>
      <c r="E27" s="675" t="s">
        <v>780</v>
      </c>
      <c r="F27" s="674" t="s">
        <v>368</v>
      </c>
      <c r="G27" s="663" t="s">
        <v>872</v>
      </c>
      <c r="H27" s="668">
        <v>163</v>
      </c>
      <c r="I27" s="669"/>
      <c r="J27" s="669"/>
      <c r="K27" s="669"/>
      <c r="L27" s="670">
        <f>SUM(H27:K27)</f>
        <v>163</v>
      </c>
      <c r="M27" s="670"/>
      <c r="N27" s="670"/>
      <c r="O27" s="670"/>
      <c r="P27" s="670"/>
      <c r="Q27" s="670"/>
      <c r="R27" s="819"/>
      <c r="S27" s="670"/>
      <c r="T27" s="670">
        <f>L27+M27+S27</f>
        <v>163</v>
      </c>
      <c r="U27" s="806"/>
      <c r="V27" s="821"/>
      <c r="W27" s="820"/>
      <c r="X27" s="822"/>
      <c r="Y27" s="823"/>
      <c r="AA27">
        <v>46</v>
      </c>
      <c r="AB27" t="s">
        <v>371</v>
      </c>
      <c r="AC27" t="s">
        <v>733</v>
      </c>
      <c r="AD27" t="s">
        <v>677</v>
      </c>
    </row>
    <row r="28" spans="2:30" ht="15" customHeight="1" x14ac:dyDescent="0.25">
      <c r="B28" s="663" t="s">
        <v>73</v>
      </c>
      <c r="C28" s="673">
        <f>IFERROR(_xlfn.XLOOKUP($G28,COM_Cadastro!$F$3:$F$199,COM_Cadastro!$B$3:$B$199),"")</f>
        <v>3654140505</v>
      </c>
      <c r="D28" s="674" t="s">
        <v>734</v>
      </c>
      <c r="E28" s="675" t="s">
        <v>780</v>
      </c>
      <c r="F28" s="674" t="s">
        <v>368</v>
      </c>
      <c r="G28" s="663" t="s">
        <v>545</v>
      </c>
      <c r="H28" s="668">
        <v>2500</v>
      </c>
      <c r="I28" s="669"/>
      <c r="J28" s="669"/>
      <c r="K28" s="669"/>
      <c r="L28" s="670">
        <f>SUM(H28:K28)</f>
        <v>2500</v>
      </c>
      <c r="M28" s="670"/>
      <c r="N28" s="670"/>
      <c r="O28" s="670"/>
      <c r="P28" s="670"/>
      <c r="Q28" s="670"/>
      <c r="R28" s="819"/>
      <c r="S28" s="670"/>
      <c r="T28" s="670">
        <f>L28+M28+S28</f>
        <v>2500</v>
      </c>
      <c r="U28" s="806"/>
      <c r="V28" s="821"/>
      <c r="W28" s="820"/>
      <c r="X28" s="822"/>
      <c r="Y28" s="823"/>
      <c r="AA28">
        <v>47</v>
      </c>
      <c r="AB28" t="s">
        <v>368</v>
      </c>
      <c r="AC28" t="s">
        <v>734</v>
      </c>
      <c r="AD28" t="s">
        <v>422</v>
      </c>
    </row>
    <row r="29" spans="2:30" ht="15" customHeight="1" x14ac:dyDescent="0.25">
      <c r="B29" s="663" t="s">
        <v>73</v>
      </c>
      <c r="C29" s="673">
        <f>IFERROR(_xlfn.XLOOKUP($G29,COM_Cadastro!$F$3:$F$199,COM_Cadastro!$B$3:$B$199),"")</f>
        <v>14653682720</v>
      </c>
      <c r="D29" s="674" t="s">
        <v>734</v>
      </c>
      <c r="E29" s="675" t="s">
        <v>780</v>
      </c>
      <c r="F29" s="674" t="s">
        <v>368</v>
      </c>
      <c r="G29" s="663" t="s">
        <v>548</v>
      </c>
      <c r="H29" s="668">
        <v>1520</v>
      </c>
      <c r="I29" s="669"/>
      <c r="J29" s="669"/>
      <c r="K29" s="669"/>
      <c r="L29" s="670">
        <f>SUM(H29:K29)</f>
        <v>1520</v>
      </c>
      <c r="M29" s="670"/>
      <c r="N29" s="670"/>
      <c r="O29" s="670"/>
      <c r="P29" s="670"/>
      <c r="Q29" s="670"/>
      <c r="R29" s="819"/>
      <c r="S29" s="670"/>
      <c r="T29" s="670">
        <f>L29+M29+S29</f>
        <v>1520</v>
      </c>
      <c r="U29" s="806"/>
      <c r="V29" s="821"/>
      <c r="W29" s="820"/>
      <c r="X29" s="822"/>
      <c r="Y29" s="823"/>
      <c r="AA29">
        <v>48</v>
      </c>
      <c r="AB29" t="s">
        <v>368</v>
      </c>
      <c r="AC29" t="s">
        <v>733</v>
      </c>
      <c r="AD29" t="s">
        <v>792</v>
      </c>
    </row>
    <row r="30" spans="2:30" ht="15" customHeight="1" x14ac:dyDescent="0.25">
      <c r="B30" s="663" t="s">
        <v>73</v>
      </c>
      <c r="C30" s="673">
        <f>IFERROR(_xlfn.XLOOKUP($G30,COM_Cadastro!$F$3:$F$199,COM_Cadastro!$B$3:$B$199),"")</f>
        <v>15944191759</v>
      </c>
      <c r="D30" s="674" t="s">
        <v>734</v>
      </c>
      <c r="E30" s="675" t="s">
        <v>780</v>
      </c>
      <c r="F30" s="674" t="s">
        <v>368</v>
      </c>
      <c r="G30" s="663" t="s">
        <v>873</v>
      </c>
      <c r="H30" s="668">
        <v>360</v>
      </c>
      <c r="I30" s="669"/>
      <c r="J30" s="669"/>
      <c r="K30" s="669"/>
      <c r="L30" s="670">
        <f>SUM(H30:K30)</f>
        <v>360</v>
      </c>
      <c r="M30" s="670"/>
      <c r="N30" s="670"/>
      <c r="O30" s="670"/>
      <c r="P30" s="670"/>
      <c r="Q30" s="670"/>
      <c r="R30" s="819"/>
      <c r="S30" s="670"/>
      <c r="T30" s="670">
        <f>L30+M30+S30</f>
        <v>360</v>
      </c>
      <c r="U30" s="806"/>
      <c r="V30" s="821"/>
      <c r="W30" s="820"/>
      <c r="X30" s="822"/>
      <c r="Y30" s="823"/>
      <c r="AA30">
        <v>49</v>
      </c>
      <c r="AB30" t="s">
        <v>368</v>
      </c>
      <c r="AC30" t="s">
        <v>378</v>
      </c>
      <c r="AD30" t="s">
        <v>749</v>
      </c>
    </row>
    <row r="31" spans="2:30" ht="15" customHeight="1" x14ac:dyDescent="0.25">
      <c r="B31" s="663" t="s">
        <v>73</v>
      </c>
      <c r="C31" s="673">
        <f>IFERROR(_xlfn.XLOOKUP($G31,COM_Cadastro!$F$3:$F$199,COM_Cadastro!$B$3:$B$199),"")</f>
        <v>3141647585</v>
      </c>
      <c r="D31" s="674" t="s">
        <v>734</v>
      </c>
      <c r="E31" s="675" t="s">
        <v>780</v>
      </c>
      <c r="F31" s="674" t="s">
        <v>368</v>
      </c>
      <c r="G31" s="663" t="s">
        <v>581</v>
      </c>
      <c r="H31" s="668">
        <v>100</v>
      </c>
      <c r="I31" s="669"/>
      <c r="J31" s="669"/>
      <c r="K31" s="669"/>
      <c r="L31" s="670">
        <f>SUM(H31:K31)</f>
        <v>100</v>
      </c>
      <c r="M31" s="670"/>
      <c r="N31" s="670"/>
      <c r="O31" s="670"/>
      <c r="P31" s="670"/>
      <c r="Q31" s="670"/>
      <c r="R31" s="819"/>
      <c r="S31" s="670"/>
      <c r="T31" s="670">
        <f>L31+M31+S31</f>
        <v>100</v>
      </c>
      <c r="U31" s="806"/>
      <c r="V31" s="821"/>
      <c r="W31" s="820"/>
      <c r="X31" s="822"/>
      <c r="Y31" s="823"/>
      <c r="AA31">
        <v>52</v>
      </c>
      <c r="AB31" t="s">
        <v>371</v>
      </c>
      <c r="AC31" t="s">
        <v>736</v>
      </c>
      <c r="AD31" t="s">
        <v>837</v>
      </c>
    </row>
    <row r="32" spans="2:30" ht="15" customHeight="1" x14ac:dyDescent="0.25">
      <c r="B32" s="663" t="s">
        <v>73</v>
      </c>
      <c r="C32" s="673">
        <f>IFERROR(_xlfn.XLOOKUP($G32,COM_Cadastro!$F$3:$F$199,COM_Cadastro!$B$3:$B$199),"")</f>
        <v>34206919000158</v>
      </c>
      <c r="D32" s="674" t="s">
        <v>378</v>
      </c>
      <c r="E32" s="675" t="s">
        <v>378</v>
      </c>
      <c r="F32" s="674" t="s">
        <v>368</v>
      </c>
      <c r="G32" s="663" t="s">
        <v>874</v>
      </c>
      <c r="H32" s="668">
        <v>2560</v>
      </c>
      <c r="I32" s="669"/>
      <c r="J32" s="669"/>
      <c r="K32" s="669"/>
      <c r="L32" s="670">
        <f>SUM(H32:K32)</f>
        <v>2560</v>
      </c>
      <c r="M32" s="670"/>
      <c r="N32" s="670"/>
      <c r="O32" s="670"/>
      <c r="P32" s="670"/>
      <c r="Q32" s="670"/>
      <c r="R32" s="819"/>
      <c r="S32" s="670"/>
      <c r="T32" s="670">
        <f>L32+M32+S32</f>
        <v>2560</v>
      </c>
      <c r="U32" s="806"/>
      <c r="V32" s="821"/>
      <c r="W32" s="820"/>
      <c r="X32" s="822"/>
      <c r="Y32" s="823"/>
      <c r="AA32">
        <v>53</v>
      </c>
      <c r="AB32" t="s">
        <v>374</v>
      </c>
      <c r="AC32" t="s">
        <v>736</v>
      </c>
      <c r="AD32" t="s">
        <v>837</v>
      </c>
    </row>
    <row r="33" spans="2:30" ht="15" customHeight="1" x14ac:dyDescent="0.25">
      <c r="B33" s="663" t="s">
        <v>73</v>
      </c>
      <c r="C33" s="673">
        <f>IFERROR(_xlfn.XLOOKUP($G33,COM_Cadastro!$F$3:$F$199,COM_Cadastro!$B$3:$B$199),"")</f>
        <v>59915163000147</v>
      </c>
      <c r="D33" s="674" t="s">
        <v>378</v>
      </c>
      <c r="E33" s="675" t="s">
        <v>378</v>
      </c>
      <c r="F33" s="674" t="s">
        <v>368</v>
      </c>
      <c r="G33" s="663" t="s">
        <v>381</v>
      </c>
      <c r="H33" s="668">
        <v>990</v>
      </c>
      <c r="I33" s="669"/>
      <c r="J33" s="669"/>
      <c r="K33" s="669"/>
      <c r="L33" s="670">
        <f>SUM(H33:K33)</f>
        <v>990</v>
      </c>
      <c r="M33" s="670"/>
      <c r="N33" s="670"/>
      <c r="O33" s="670"/>
      <c r="P33" s="670"/>
      <c r="Q33" s="670"/>
      <c r="R33" s="819"/>
      <c r="S33" s="670"/>
      <c r="T33" s="670">
        <f>L33+M33+S33</f>
        <v>990</v>
      </c>
      <c r="U33" s="806"/>
      <c r="V33" s="821"/>
      <c r="W33" s="820"/>
      <c r="X33" s="822"/>
      <c r="Y33" s="823"/>
      <c r="AA33">
        <v>54</v>
      </c>
      <c r="AB33" t="s">
        <v>376</v>
      </c>
      <c r="AC33" t="s">
        <v>736</v>
      </c>
      <c r="AD33" t="s">
        <v>837</v>
      </c>
    </row>
    <row r="34" spans="2:30" ht="15" customHeight="1" x14ac:dyDescent="0.25">
      <c r="B34" s="663" t="s">
        <v>73</v>
      </c>
      <c r="C34" s="673">
        <f>IFERROR(_xlfn.XLOOKUP($G34,COM_Cadastro!$F$3:$F$199,COM_Cadastro!$B$3:$B$199),"")</f>
        <v>57041040000107</v>
      </c>
      <c r="D34" s="674" t="s">
        <v>378</v>
      </c>
      <c r="E34" s="675" t="s">
        <v>378</v>
      </c>
      <c r="F34" s="674" t="s">
        <v>368</v>
      </c>
      <c r="G34" s="663" t="s">
        <v>383</v>
      </c>
      <c r="H34" s="668">
        <v>4439</v>
      </c>
      <c r="I34" s="669"/>
      <c r="J34" s="669"/>
      <c r="K34" s="669"/>
      <c r="L34" s="670">
        <f>SUM(H34:K34)</f>
        <v>4439</v>
      </c>
      <c r="M34" s="670"/>
      <c r="N34" s="670"/>
      <c r="O34" s="670"/>
      <c r="P34" s="670"/>
      <c r="Q34" s="670"/>
      <c r="R34" s="819"/>
      <c r="S34" s="670"/>
      <c r="T34" s="670">
        <f>L34+M34+S34</f>
        <v>4439</v>
      </c>
      <c r="U34" s="806"/>
      <c r="V34" s="821"/>
      <c r="W34" s="820"/>
      <c r="X34" s="822"/>
      <c r="Y34" s="823"/>
      <c r="AA34">
        <v>55</v>
      </c>
      <c r="AB34" t="s">
        <v>368</v>
      </c>
      <c r="AC34" t="s">
        <v>736</v>
      </c>
      <c r="AD34" t="s">
        <v>837</v>
      </c>
    </row>
    <row r="35" spans="2:30" ht="15" customHeight="1" x14ac:dyDescent="0.25">
      <c r="B35" s="663" t="s">
        <v>73</v>
      </c>
      <c r="C35" s="673">
        <f>IFERROR(_xlfn.XLOOKUP($G35,COM_Cadastro!$F$3:$F$199,COM_Cadastro!$B$3:$B$199),"")</f>
        <v>36889410000182</v>
      </c>
      <c r="D35" s="674" t="s">
        <v>378</v>
      </c>
      <c r="E35" s="675" t="s">
        <v>378</v>
      </c>
      <c r="F35" s="674" t="s">
        <v>368</v>
      </c>
      <c r="G35" s="663" t="s">
        <v>393</v>
      </c>
      <c r="H35" s="668">
        <v>3510</v>
      </c>
      <c r="I35" s="669"/>
      <c r="J35" s="669"/>
      <c r="K35" s="669"/>
      <c r="L35" s="670">
        <f>SUM(H35:K35)</f>
        <v>3510</v>
      </c>
      <c r="M35" s="670"/>
      <c r="N35" s="670"/>
      <c r="O35" s="670"/>
      <c r="P35" s="670"/>
      <c r="Q35" s="670"/>
      <c r="R35" s="819"/>
      <c r="S35" s="670"/>
      <c r="T35" s="670">
        <f>L35+M35+S35</f>
        <v>3510</v>
      </c>
      <c r="U35" s="806"/>
      <c r="V35" s="821"/>
      <c r="W35" s="820"/>
      <c r="X35" s="822"/>
      <c r="Y35" s="823"/>
      <c r="AA35">
        <v>56</v>
      </c>
      <c r="AB35" t="s">
        <v>368</v>
      </c>
      <c r="AC35" t="s">
        <v>733</v>
      </c>
      <c r="AD35" t="s">
        <v>427</v>
      </c>
    </row>
    <row r="36" spans="2:30" ht="15" customHeight="1" x14ac:dyDescent="0.25">
      <c r="B36" s="663" t="s">
        <v>73</v>
      </c>
      <c r="C36" s="673">
        <f>IFERROR(_xlfn.XLOOKUP($G36,COM_Cadastro!$F$3:$F$199,COM_Cadastro!$B$3:$B$199),"")</f>
        <v>42628209000144</v>
      </c>
      <c r="D36" s="674" t="s">
        <v>378</v>
      </c>
      <c r="E36" s="675" t="s">
        <v>378</v>
      </c>
      <c r="F36" s="674" t="s">
        <v>368</v>
      </c>
      <c r="G36" s="663" t="s">
        <v>394</v>
      </c>
      <c r="H36" s="668">
        <v>1710</v>
      </c>
      <c r="I36" s="669"/>
      <c r="J36" s="669"/>
      <c r="K36" s="669"/>
      <c r="L36" s="670">
        <f>SUM(H36:K36)</f>
        <v>1710</v>
      </c>
      <c r="M36" s="670"/>
      <c r="N36" s="670"/>
      <c r="O36" s="670"/>
      <c r="P36" s="670"/>
      <c r="Q36" s="670"/>
      <c r="R36" s="819"/>
      <c r="S36" s="670"/>
      <c r="T36" s="670">
        <f>L36+M36+S36</f>
        <v>1710</v>
      </c>
      <c r="U36" s="806"/>
      <c r="V36" s="821"/>
      <c r="W36" s="820"/>
      <c r="X36" s="822"/>
      <c r="Y36" s="823"/>
      <c r="AA36">
        <v>59</v>
      </c>
      <c r="AB36" t="s">
        <v>374</v>
      </c>
      <c r="AC36" t="s">
        <v>734</v>
      </c>
      <c r="AD36" t="s">
        <v>834</v>
      </c>
    </row>
    <row r="37" spans="2:30" ht="15" customHeight="1" x14ac:dyDescent="0.25">
      <c r="B37" s="663" t="s">
        <v>73</v>
      </c>
      <c r="C37" s="673">
        <f>IFERROR(_xlfn.XLOOKUP($G37,COM_Cadastro!$F$3:$F$199,COM_Cadastro!$B$3:$B$199),"")</f>
        <v>50000276000148</v>
      </c>
      <c r="D37" s="674" t="s">
        <v>378</v>
      </c>
      <c r="E37" s="675" t="s">
        <v>378</v>
      </c>
      <c r="F37" s="674" t="s">
        <v>368</v>
      </c>
      <c r="G37" s="663" t="s">
        <v>875</v>
      </c>
      <c r="H37" s="668">
        <v>5598</v>
      </c>
      <c r="I37" s="669"/>
      <c r="J37" s="669"/>
      <c r="K37" s="669"/>
      <c r="L37" s="670">
        <f>SUM(H37:K37)</f>
        <v>5598</v>
      </c>
      <c r="M37" s="670"/>
      <c r="N37" s="670"/>
      <c r="O37" s="670"/>
      <c r="P37" s="670"/>
      <c r="Q37" s="670"/>
      <c r="R37" s="819"/>
      <c r="S37" s="670"/>
      <c r="T37" s="670">
        <f>L37+M37+S37</f>
        <v>5598</v>
      </c>
      <c r="U37" s="806"/>
      <c r="V37" s="821"/>
      <c r="W37" s="820"/>
      <c r="X37" s="822"/>
      <c r="Y37" s="823"/>
      <c r="AA37">
        <v>60</v>
      </c>
      <c r="AB37" t="s">
        <v>374</v>
      </c>
      <c r="AC37" t="s">
        <v>733</v>
      </c>
      <c r="AD37" t="s">
        <v>430</v>
      </c>
    </row>
    <row r="38" spans="2:30" ht="15" customHeight="1" x14ac:dyDescent="0.25">
      <c r="B38" s="663" t="s">
        <v>73</v>
      </c>
      <c r="C38" s="673">
        <f>IFERROR(_xlfn.XLOOKUP($G38,COM_Cadastro!$F$3:$F$199,COM_Cadastro!$B$3:$B$199),"")</f>
        <v>55539909000104</v>
      </c>
      <c r="D38" s="674" t="s">
        <v>378</v>
      </c>
      <c r="E38" s="675" t="s">
        <v>378</v>
      </c>
      <c r="F38" s="674" t="s">
        <v>368</v>
      </c>
      <c r="G38" s="663" t="s">
        <v>398</v>
      </c>
      <c r="H38" s="668">
        <v>2280</v>
      </c>
      <c r="I38" s="669"/>
      <c r="J38" s="669"/>
      <c r="K38" s="669"/>
      <c r="L38" s="670">
        <f>SUM(H38:K38)</f>
        <v>2280</v>
      </c>
      <c r="M38" s="670"/>
      <c r="N38" s="670"/>
      <c r="O38" s="670"/>
      <c r="P38" s="670"/>
      <c r="Q38" s="670"/>
      <c r="R38" s="819"/>
      <c r="S38" s="670"/>
      <c r="T38" s="670">
        <f>L38+M38+S38</f>
        <v>2280</v>
      </c>
      <c r="U38" s="806"/>
      <c r="V38" s="821"/>
      <c r="W38" s="820"/>
      <c r="X38" s="822"/>
      <c r="Y38" s="823"/>
      <c r="AA38">
        <v>61</v>
      </c>
      <c r="AB38" t="s">
        <v>376</v>
      </c>
      <c r="AC38" t="s">
        <v>733</v>
      </c>
      <c r="AD38" t="s">
        <v>741</v>
      </c>
    </row>
    <row r="39" spans="2:30" ht="15" customHeight="1" x14ac:dyDescent="0.25">
      <c r="B39" s="663" t="s">
        <v>73</v>
      </c>
      <c r="C39" s="673">
        <f>IFERROR(_xlfn.XLOOKUP($G39,COM_Cadastro!$F$3:$F$199,COM_Cadastro!$B$3:$B$199),"")</f>
        <v>51883788000162</v>
      </c>
      <c r="D39" s="674" t="s">
        <v>378</v>
      </c>
      <c r="E39" s="675" t="s">
        <v>378</v>
      </c>
      <c r="F39" s="674" t="s">
        <v>368</v>
      </c>
      <c r="G39" s="663" t="s">
        <v>399</v>
      </c>
      <c r="H39" s="668">
        <v>2700</v>
      </c>
      <c r="I39" s="669"/>
      <c r="J39" s="669"/>
      <c r="K39" s="669"/>
      <c r="L39" s="670">
        <f>SUM(H39:K39)</f>
        <v>2700</v>
      </c>
      <c r="M39" s="670"/>
      <c r="N39" s="670"/>
      <c r="O39" s="670"/>
      <c r="P39" s="670"/>
      <c r="Q39" s="670"/>
      <c r="R39" s="819"/>
      <c r="S39" s="670"/>
      <c r="T39" s="670">
        <f>L39+M39+S39</f>
        <v>2700</v>
      </c>
      <c r="U39" s="806"/>
      <c r="V39" s="821"/>
      <c r="W39" s="820"/>
      <c r="X39" s="822"/>
      <c r="Y39" s="823"/>
      <c r="AA39">
        <v>62</v>
      </c>
      <c r="AB39" t="s">
        <v>371</v>
      </c>
      <c r="AC39" t="s">
        <v>733</v>
      </c>
      <c r="AD39" t="s">
        <v>695</v>
      </c>
    </row>
    <row r="40" spans="2:30" ht="15" customHeight="1" x14ac:dyDescent="0.25">
      <c r="B40" s="663" t="s">
        <v>73</v>
      </c>
      <c r="C40" s="673">
        <f>IFERROR(_xlfn.XLOOKUP($G40,COM_Cadastro!$F$3:$F$199,COM_Cadastro!$B$3:$B$199),"")</f>
        <v>62711388000196</v>
      </c>
      <c r="D40" s="674" t="s">
        <v>378</v>
      </c>
      <c r="E40" s="675" t="s">
        <v>378</v>
      </c>
      <c r="F40" s="674" t="s">
        <v>368</v>
      </c>
      <c r="G40" s="663" t="s">
        <v>404</v>
      </c>
      <c r="H40" s="668">
        <v>2370</v>
      </c>
      <c r="I40" s="669"/>
      <c r="J40" s="669"/>
      <c r="K40" s="669"/>
      <c r="L40" s="670">
        <f>SUM(H40:K40)</f>
        <v>2370</v>
      </c>
      <c r="M40" s="670"/>
      <c r="N40" s="670"/>
      <c r="O40" s="670"/>
      <c r="P40" s="670"/>
      <c r="Q40" s="670"/>
      <c r="R40" s="819"/>
      <c r="S40" s="670"/>
      <c r="T40" s="670">
        <f>L40+M40+S40</f>
        <v>2370</v>
      </c>
      <c r="U40" s="806"/>
      <c r="V40" s="821"/>
      <c r="W40" s="820"/>
      <c r="X40" s="822"/>
      <c r="Y40" s="823"/>
      <c r="AA40">
        <v>63</v>
      </c>
      <c r="AB40" t="s">
        <v>368</v>
      </c>
      <c r="AC40" t="s">
        <v>734</v>
      </c>
      <c r="AD40" t="s">
        <v>832</v>
      </c>
    </row>
    <row r="41" spans="2:30" ht="15" customHeight="1" x14ac:dyDescent="0.25">
      <c r="B41" s="663" t="s">
        <v>73</v>
      </c>
      <c r="C41" s="673">
        <f>IFERROR(_xlfn.XLOOKUP($G41,COM_Cadastro!$F$3:$F$199,COM_Cadastro!$B$3:$B$199),"")</f>
        <v>51847767000191</v>
      </c>
      <c r="D41" s="674" t="s">
        <v>378</v>
      </c>
      <c r="E41" s="675" t="s">
        <v>378</v>
      </c>
      <c r="F41" s="674" t="s">
        <v>368</v>
      </c>
      <c r="G41" s="663" t="s">
        <v>413</v>
      </c>
      <c r="H41" s="668">
        <v>2820</v>
      </c>
      <c r="I41" s="669"/>
      <c r="J41" s="669"/>
      <c r="K41" s="669"/>
      <c r="L41" s="670">
        <f>SUM(H41:K41)</f>
        <v>2820</v>
      </c>
      <c r="M41" s="670"/>
      <c r="N41" s="670"/>
      <c r="O41" s="670"/>
      <c r="P41" s="670"/>
      <c r="Q41" s="670"/>
      <c r="R41" s="819"/>
      <c r="S41" s="670"/>
      <c r="T41" s="670">
        <f>L41+M41+S41</f>
        <v>2820</v>
      </c>
      <c r="U41" s="806"/>
      <c r="V41" s="821"/>
      <c r="W41" s="820"/>
      <c r="X41" s="822"/>
      <c r="Y41" s="823"/>
      <c r="AA41">
        <v>64</v>
      </c>
      <c r="AB41" t="s">
        <v>376</v>
      </c>
      <c r="AC41" t="s">
        <v>733</v>
      </c>
      <c r="AD41" t="s">
        <v>693</v>
      </c>
    </row>
    <row r="42" spans="2:30" ht="15" customHeight="1" x14ac:dyDescent="0.25">
      <c r="B42" s="663" t="s">
        <v>73</v>
      </c>
      <c r="C42" s="673">
        <f>IFERROR(_xlfn.XLOOKUP($G42,COM_Cadastro!$F$3:$F$199,COM_Cadastro!$B$3:$B$199),"")</f>
        <v>52622308000172</v>
      </c>
      <c r="D42" s="674" t="s">
        <v>378</v>
      </c>
      <c r="E42" s="675" t="s">
        <v>378</v>
      </c>
      <c r="F42" s="674" t="s">
        <v>368</v>
      </c>
      <c r="G42" s="663" t="s">
        <v>423</v>
      </c>
      <c r="H42" s="668">
        <v>1100</v>
      </c>
      <c r="I42" s="669"/>
      <c r="J42" s="669"/>
      <c r="K42" s="669"/>
      <c r="L42" s="670">
        <f>SUM(H42:K42)</f>
        <v>1100</v>
      </c>
      <c r="M42" s="670"/>
      <c r="N42" s="670"/>
      <c r="O42" s="670"/>
      <c r="P42" s="670"/>
      <c r="Q42" s="670"/>
      <c r="R42" s="819"/>
      <c r="S42" s="670"/>
      <c r="T42" s="670">
        <f>L42+M42+S42</f>
        <v>1100</v>
      </c>
      <c r="U42" s="806"/>
      <c r="V42" s="821"/>
      <c r="W42" s="820"/>
      <c r="X42" s="822"/>
      <c r="Y42" s="823"/>
      <c r="AA42">
        <v>66</v>
      </c>
      <c r="AB42" t="s">
        <v>371</v>
      </c>
      <c r="AC42" t="s">
        <v>733</v>
      </c>
      <c r="AD42" t="s">
        <v>697</v>
      </c>
    </row>
    <row r="43" spans="2:30" ht="15" customHeight="1" x14ac:dyDescent="0.25">
      <c r="B43" s="663" t="s">
        <v>73</v>
      </c>
      <c r="C43" s="673">
        <f>IFERROR(_xlfn.XLOOKUP($G43,COM_Cadastro!$F$3:$F$199,COM_Cadastro!$B$3:$B$199),"")</f>
        <v>30633373000160</v>
      </c>
      <c r="D43" s="674" t="s">
        <v>378</v>
      </c>
      <c r="E43" s="675" t="s">
        <v>378</v>
      </c>
      <c r="F43" s="674" t="s">
        <v>368</v>
      </c>
      <c r="G43" s="663" t="s">
        <v>425</v>
      </c>
      <c r="H43" s="668">
        <v>2200</v>
      </c>
      <c r="I43" s="669"/>
      <c r="J43" s="669"/>
      <c r="K43" s="669"/>
      <c r="L43" s="670">
        <f>SUM(H43:K43)</f>
        <v>2200</v>
      </c>
      <c r="M43" s="670"/>
      <c r="N43" s="670"/>
      <c r="O43" s="670"/>
      <c r="P43" s="670"/>
      <c r="Q43" s="670"/>
      <c r="R43" s="819"/>
      <c r="S43" s="670"/>
      <c r="T43" s="670">
        <f>L43+M43+S43</f>
        <v>2200</v>
      </c>
      <c r="U43" s="806"/>
      <c r="V43" s="821"/>
      <c r="W43" s="820"/>
      <c r="X43" s="822"/>
      <c r="Y43" s="823"/>
      <c r="AA43">
        <v>68</v>
      </c>
      <c r="AB43" t="s">
        <v>368</v>
      </c>
      <c r="AC43" t="s">
        <v>378</v>
      </c>
      <c r="AD43" t="s">
        <v>750</v>
      </c>
    </row>
    <row r="44" spans="2:30" ht="15" customHeight="1" x14ac:dyDescent="0.25">
      <c r="B44" s="663" t="s">
        <v>73</v>
      </c>
      <c r="C44" s="673">
        <f>IFERROR(_xlfn.XLOOKUP($G44,COM_Cadastro!$F$3:$F$199,COM_Cadastro!$B$3:$B$199),"")</f>
        <v>51213179000104</v>
      </c>
      <c r="D44" s="674" t="s">
        <v>378</v>
      </c>
      <c r="E44" s="675" t="s">
        <v>378</v>
      </c>
      <c r="F44" s="674" t="s">
        <v>368</v>
      </c>
      <c r="G44" s="663" t="s">
        <v>429</v>
      </c>
      <c r="H44" s="668">
        <v>2365</v>
      </c>
      <c r="I44" s="669"/>
      <c r="J44" s="669"/>
      <c r="K44" s="669"/>
      <c r="L44" s="670">
        <f>SUM(H44:K44)</f>
        <v>2365</v>
      </c>
      <c r="M44" s="670"/>
      <c r="N44" s="670"/>
      <c r="O44" s="670"/>
      <c r="P44" s="670"/>
      <c r="Q44" s="670"/>
      <c r="R44" s="819"/>
      <c r="S44" s="670"/>
      <c r="T44" s="670">
        <f>L44+M44+S44</f>
        <v>2365</v>
      </c>
      <c r="U44" s="806"/>
      <c r="V44" s="821"/>
      <c r="W44" s="820"/>
      <c r="X44" s="822"/>
      <c r="Y44" s="823"/>
      <c r="AA44">
        <v>69</v>
      </c>
      <c r="AB44" t="s">
        <v>371</v>
      </c>
      <c r="AC44" t="s">
        <v>378</v>
      </c>
      <c r="AD44" t="s">
        <v>765</v>
      </c>
    </row>
    <row r="45" spans="2:30" ht="15" customHeight="1" x14ac:dyDescent="0.25">
      <c r="B45" s="663" t="s">
        <v>73</v>
      </c>
      <c r="C45" s="673">
        <f>IFERROR(_xlfn.XLOOKUP($G45,COM_Cadastro!$F$3:$F$199,COM_Cadastro!$B$3:$B$199),"")</f>
        <v>44886329000177</v>
      </c>
      <c r="D45" s="674" t="s">
        <v>378</v>
      </c>
      <c r="E45" s="675" t="s">
        <v>378</v>
      </c>
      <c r="F45" s="674" t="s">
        <v>368</v>
      </c>
      <c r="G45" s="663" t="s">
        <v>436</v>
      </c>
      <c r="H45" s="668">
        <v>770</v>
      </c>
      <c r="I45" s="669"/>
      <c r="J45" s="669"/>
      <c r="K45" s="669"/>
      <c r="L45" s="670">
        <f>SUM(H45:K45)</f>
        <v>770</v>
      </c>
      <c r="M45" s="670"/>
      <c r="N45" s="670"/>
      <c r="O45" s="670"/>
      <c r="P45" s="670"/>
      <c r="Q45" s="670"/>
      <c r="R45" s="819"/>
      <c r="S45" s="670"/>
      <c r="T45" s="670">
        <f>L45+M45+S45</f>
        <v>770</v>
      </c>
      <c r="U45" s="806"/>
      <c r="V45" s="821"/>
      <c r="W45" s="820"/>
      <c r="X45" s="822"/>
      <c r="Y45" s="823"/>
      <c r="AA45">
        <v>71</v>
      </c>
      <c r="AB45" t="s">
        <v>444</v>
      </c>
      <c r="AC45" t="s">
        <v>733</v>
      </c>
      <c r="AD45" t="s">
        <v>443</v>
      </c>
    </row>
    <row r="46" spans="2:30" ht="15" customHeight="1" x14ac:dyDescent="0.25">
      <c r="B46" s="663" t="s">
        <v>73</v>
      </c>
      <c r="C46" s="673">
        <f>IFERROR(_xlfn.XLOOKUP($G46,COM_Cadastro!$F$3:$F$199,COM_Cadastro!$B$3:$B$199),"")</f>
        <v>51319112000140</v>
      </c>
      <c r="D46" s="674" t="s">
        <v>378</v>
      </c>
      <c r="E46" s="675" t="s">
        <v>378</v>
      </c>
      <c r="F46" s="674" t="s">
        <v>368</v>
      </c>
      <c r="G46" s="663" t="s">
        <v>440</v>
      </c>
      <c r="H46" s="668">
        <v>2530</v>
      </c>
      <c r="I46" s="669"/>
      <c r="J46" s="669"/>
      <c r="K46" s="669"/>
      <c r="L46" s="670">
        <f>SUM(H46:K46)</f>
        <v>2530</v>
      </c>
      <c r="M46" s="670"/>
      <c r="N46" s="670"/>
      <c r="O46" s="670"/>
      <c r="P46" s="670"/>
      <c r="Q46" s="670"/>
      <c r="R46" s="819"/>
      <c r="S46" s="670"/>
      <c r="T46" s="670">
        <f>L46+M46+S46</f>
        <v>2530</v>
      </c>
      <c r="U46" s="806"/>
      <c r="V46" s="821"/>
      <c r="W46" s="820"/>
      <c r="X46" s="822"/>
      <c r="Y46" s="823"/>
      <c r="AA46">
        <v>72</v>
      </c>
      <c r="AB46" t="s">
        <v>444</v>
      </c>
      <c r="AC46" t="s">
        <v>734</v>
      </c>
      <c r="AD46" t="s">
        <v>443</v>
      </c>
    </row>
    <row r="47" spans="2:30" ht="15" customHeight="1" x14ac:dyDescent="0.25">
      <c r="B47" s="663" t="s">
        <v>73</v>
      </c>
      <c r="C47" s="673">
        <f>IFERROR(_xlfn.XLOOKUP($G47,COM_Cadastro!$F$3:$F$199,COM_Cadastro!$B$3:$B$199),"")</f>
        <v>55542703000133</v>
      </c>
      <c r="D47" s="674" t="s">
        <v>378</v>
      </c>
      <c r="E47" s="675" t="s">
        <v>378</v>
      </c>
      <c r="F47" s="674" t="s">
        <v>368</v>
      </c>
      <c r="G47" s="663" t="s">
        <v>442</v>
      </c>
      <c r="H47" s="668">
        <v>2730</v>
      </c>
      <c r="I47" s="669"/>
      <c r="J47" s="669"/>
      <c r="K47" s="669"/>
      <c r="L47" s="670">
        <f>SUM(H47:K47)</f>
        <v>2730</v>
      </c>
      <c r="M47" s="670"/>
      <c r="N47" s="670"/>
      <c r="O47" s="670"/>
      <c r="P47" s="670"/>
      <c r="Q47" s="670"/>
      <c r="R47" s="819"/>
      <c r="S47" s="670"/>
      <c r="T47" s="670">
        <f>L47+M47+S47</f>
        <v>2730</v>
      </c>
      <c r="U47" s="806"/>
      <c r="V47" s="821"/>
      <c r="W47" s="820"/>
      <c r="X47" s="822"/>
      <c r="Y47" s="823"/>
      <c r="AA47">
        <v>75</v>
      </c>
      <c r="AB47" t="s">
        <v>374</v>
      </c>
      <c r="AC47" t="s">
        <v>733</v>
      </c>
      <c r="AD47" t="s">
        <v>448</v>
      </c>
    </row>
    <row r="48" spans="2:30" ht="15" customHeight="1" x14ac:dyDescent="0.25">
      <c r="B48" s="663" t="s">
        <v>73</v>
      </c>
      <c r="C48" s="673">
        <f>IFERROR(_xlfn.XLOOKUP($G48,COM_Cadastro!$F$3:$F$199,COM_Cadastro!$B$3:$B$199),"")</f>
        <v>58379821000160</v>
      </c>
      <c r="D48" s="674" t="s">
        <v>378</v>
      </c>
      <c r="E48" s="675" t="s">
        <v>378</v>
      </c>
      <c r="F48" s="674" t="s">
        <v>368</v>
      </c>
      <c r="G48" s="663" t="s">
        <v>445</v>
      </c>
      <c r="H48" s="668">
        <v>2040</v>
      </c>
      <c r="I48" s="669"/>
      <c r="J48" s="669"/>
      <c r="K48" s="669"/>
      <c r="L48" s="670">
        <f>SUM(H48:K48)</f>
        <v>2040</v>
      </c>
      <c r="M48" s="670"/>
      <c r="N48" s="670"/>
      <c r="O48" s="670"/>
      <c r="P48" s="670"/>
      <c r="Q48" s="670"/>
      <c r="R48" s="819"/>
      <c r="S48" s="670"/>
      <c r="T48" s="670">
        <f>L48+M48+S48</f>
        <v>2040</v>
      </c>
      <c r="U48" s="806"/>
      <c r="V48" s="821"/>
      <c r="W48" s="820"/>
      <c r="X48" s="822"/>
      <c r="Y48" s="823"/>
      <c r="AA48">
        <v>76</v>
      </c>
      <c r="AB48" t="s">
        <v>368</v>
      </c>
      <c r="AC48" t="s">
        <v>733</v>
      </c>
      <c r="AD48" t="s">
        <v>449</v>
      </c>
    </row>
    <row r="49" spans="2:30" ht="15" customHeight="1" x14ac:dyDescent="0.25">
      <c r="B49" s="663" t="s">
        <v>73</v>
      </c>
      <c r="C49" s="673">
        <f>IFERROR(_xlfn.XLOOKUP($G49,COM_Cadastro!$F$3:$F$199,COM_Cadastro!$B$3:$B$199),"")</f>
        <v>40743246870</v>
      </c>
      <c r="D49" s="674" t="s">
        <v>378</v>
      </c>
      <c r="E49" s="675" t="s">
        <v>378</v>
      </c>
      <c r="F49" s="674" t="s">
        <v>368</v>
      </c>
      <c r="G49" s="663" t="s">
        <v>876</v>
      </c>
      <c r="H49" s="668">
        <v>1830</v>
      </c>
      <c r="I49" s="669"/>
      <c r="J49" s="669"/>
      <c r="K49" s="669"/>
      <c r="L49" s="670">
        <f>SUM(H49:K49)</f>
        <v>1830</v>
      </c>
      <c r="M49" s="670"/>
      <c r="N49" s="670"/>
      <c r="O49" s="670"/>
      <c r="P49" s="670"/>
      <c r="Q49" s="670"/>
      <c r="R49" s="819"/>
      <c r="S49" s="670"/>
      <c r="T49" s="670">
        <f>L49+M49+S49</f>
        <v>1830</v>
      </c>
      <c r="U49" s="806"/>
      <c r="V49" s="821"/>
      <c r="W49" s="820"/>
      <c r="X49" s="822"/>
      <c r="Y49" s="823"/>
      <c r="AA49">
        <v>77</v>
      </c>
      <c r="AB49" t="s">
        <v>368</v>
      </c>
      <c r="AC49" t="s">
        <v>378</v>
      </c>
      <c r="AD49" t="s">
        <v>449</v>
      </c>
    </row>
    <row r="50" spans="2:30" ht="15" customHeight="1" x14ac:dyDescent="0.25">
      <c r="B50" s="663" t="s">
        <v>73</v>
      </c>
      <c r="C50" s="673">
        <f>IFERROR(_xlfn.XLOOKUP($G50,COM_Cadastro!$F$3:$F$199,COM_Cadastro!$B$3:$B$199),"")</f>
        <v>59293299000162</v>
      </c>
      <c r="D50" s="674" t="s">
        <v>378</v>
      </c>
      <c r="E50" s="675" t="s">
        <v>378</v>
      </c>
      <c r="F50" s="674" t="s">
        <v>368</v>
      </c>
      <c r="G50" s="663" t="s">
        <v>454</v>
      </c>
      <c r="H50" s="668">
        <v>2620</v>
      </c>
      <c r="I50" s="669"/>
      <c r="J50" s="669"/>
      <c r="K50" s="669"/>
      <c r="L50" s="670">
        <f>SUM(H50:K50)</f>
        <v>2620</v>
      </c>
      <c r="M50" s="670"/>
      <c r="N50" s="670"/>
      <c r="O50" s="670"/>
      <c r="P50" s="670"/>
      <c r="Q50" s="670"/>
      <c r="R50" s="819"/>
      <c r="S50" s="670"/>
      <c r="T50" s="670">
        <f>L50+M50+S50</f>
        <v>2620</v>
      </c>
      <c r="U50" s="806"/>
      <c r="V50" s="821"/>
      <c r="W50" s="820"/>
      <c r="X50" s="822"/>
      <c r="Y50" s="823"/>
      <c r="AA50">
        <v>78</v>
      </c>
      <c r="AB50" t="s">
        <v>371</v>
      </c>
      <c r="AC50" t="s">
        <v>734</v>
      </c>
      <c r="AD50" t="s">
        <v>819</v>
      </c>
    </row>
    <row r="51" spans="2:30" ht="15" customHeight="1" x14ac:dyDescent="0.25">
      <c r="B51" s="663" t="s">
        <v>73</v>
      </c>
      <c r="C51" s="673">
        <f>IFERROR(_xlfn.XLOOKUP($G51,COM_Cadastro!$F$3:$F$199,COM_Cadastro!$B$3:$B$199),"")</f>
        <v>64825968000130</v>
      </c>
      <c r="D51" s="674" t="s">
        <v>378</v>
      </c>
      <c r="E51" s="675" t="s">
        <v>378</v>
      </c>
      <c r="F51" s="674" t="s">
        <v>368</v>
      </c>
      <c r="G51" s="663" t="s">
        <v>469</v>
      </c>
      <c r="H51" s="668">
        <v>1200</v>
      </c>
      <c r="I51" s="669"/>
      <c r="J51" s="669"/>
      <c r="K51" s="669"/>
      <c r="L51" s="670">
        <f>SUM(H51:K51)</f>
        <v>1200</v>
      </c>
      <c r="M51" s="670"/>
      <c r="N51" s="670"/>
      <c r="O51" s="670"/>
      <c r="P51" s="670"/>
      <c r="Q51" s="670"/>
      <c r="R51" s="819"/>
      <c r="S51" s="670"/>
      <c r="T51" s="670">
        <f>L51+M51+S51</f>
        <v>1200</v>
      </c>
      <c r="U51" s="806"/>
      <c r="V51" s="821"/>
      <c r="W51" s="820"/>
      <c r="X51" s="822"/>
      <c r="Y51" s="823"/>
      <c r="AA51">
        <v>79</v>
      </c>
      <c r="AB51" t="s">
        <v>371</v>
      </c>
      <c r="AC51" t="s">
        <v>378</v>
      </c>
      <c r="AD51" t="s">
        <v>787</v>
      </c>
    </row>
    <row r="52" spans="2:30" ht="15" customHeight="1" x14ac:dyDescent="0.25">
      <c r="B52" s="663" t="s">
        <v>73</v>
      </c>
      <c r="C52" s="673">
        <f>IFERROR(_xlfn.XLOOKUP($G52,COM_Cadastro!$F$3:$F$199,COM_Cadastro!$B$3:$B$199),"")</f>
        <v>51952712000141</v>
      </c>
      <c r="D52" s="674" t="s">
        <v>378</v>
      </c>
      <c r="E52" s="675" t="s">
        <v>378</v>
      </c>
      <c r="F52" s="674" t="s">
        <v>368</v>
      </c>
      <c r="G52" s="663" t="s">
        <v>472</v>
      </c>
      <c r="H52" s="668">
        <v>1470</v>
      </c>
      <c r="I52" s="669"/>
      <c r="J52" s="669"/>
      <c r="K52" s="669"/>
      <c r="L52" s="670">
        <f>SUM(H52:K52)</f>
        <v>1470</v>
      </c>
      <c r="M52" s="670"/>
      <c r="N52" s="670"/>
      <c r="O52" s="670"/>
      <c r="P52" s="670"/>
      <c r="Q52" s="670"/>
      <c r="R52" s="819"/>
      <c r="S52" s="670"/>
      <c r="T52" s="670">
        <f>L52+M52+S52</f>
        <v>1470</v>
      </c>
      <c r="U52" s="806"/>
      <c r="V52" s="821"/>
      <c r="W52" s="820"/>
      <c r="X52" s="822"/>
      <c r="Y52" s="823"/>
      <c r="AA52">
        <v>80</v>
      </c>
      <c r="AB52" t="s">
        <v>371</v>
      </c>
      <c r="AC52" t="s">
        <v>733</v>
      </c>
      <c r="AD52" t="s">
        <v>678</v>
      </c>
    </row>
    <row r="53" spans="2:30" ht="15" customHeight="1" x14ac:dyDescent="0.25">
      <c r="B53" s="663" t="s">
        <v>73</v>
      </c>
      <c r="C53" s="673">
        <f>IFERROR(_xlfn.XLOOKUP($G53,COM_Cadastro!$F$3:$F$199,COM_Cadastro!$B$3:$B$199),"")</f>
        <v>52670210000190</v>
      </c>
      <c r="D53" s="674" t="s">
        <v>378</v>
      </c>
      <c r="E53" s="675" t="s">
        <v>378</v>
      </c>
      <c r="F53" s="674" t="s">
        <v>368</v>
      </c>
      <c r="G53" s="663" t="s">
        <v>473</v>
      </c>
      <c r="H53" s="668">
        <v>1050</v>
      </c>
      <c r="I53" s="669"/>
      <c r="J53" s="669"/>
      <c r="K53" s="669"/>
      <c r="L53" s="670">
        <f>SUM(H53:K53)</f>
        <v>1050</v>
      </c>
      <c r="M53" s="670"/>
      <c r="N53" s="670"/>
      <c r="O53" s="670"/>
      <c r="P53" s="670"/>
      <c r="Q53" s="670"/>
      <c r="R53" s="819"/>
      <c r="S53" s="670"/>
      <c r="T53" s="670">
        <f>L53+M53+S53</f>
        <v>1050</v>
      </c>
      <c r="U53" s="806"/>
      <c r="V53" s="821"/>
      <c r="W53" s="820"/>
      <c r="X53" s="822"/>
      <c r="Y53" s="823"/>
      <c r="AA53">
        <v>82</v>
      </c>
      <c r="AB53" t="s">
        <v>444</v>
      </c>
      <c r="AC53" t="s">
        <v>734</v>
      </c>
      <c r="AD53" t="s">
        <v>784</v>
      </c>
    </row>
    <row r="54" spans="2:30" ht="15" customHeight="1" x14ac:dyDescent="0.25">
      <c r="B54" s="663" t="s">
        <v>73</v>
      </c>
      <c r="C54" s="673">
        <f>IFERROR(_xlfn.XLOOKUP($G54,COM_Cadastro!$F$3:$F$199,COM_Cadastro!$B$3:$B$199),"")</f>
        <v>60534299000196</v>
      </c>
      <c r="D54" s="674" t="s">
        <v>378</v>
      </c>
      <c r="E54" s="675" t="s">
        <v>378</v>
      </c>
      <c r="F54" s="674" t="s">
        <v>368</v>
      </c>
      <c r="G54" s="663" t="s">
        <v>478</v>
      </c>
      <c r="H54" s="668">
        <v>2119</v>
      </c>
      <c r="I54" s="669"/>
      <c r="J54" s="669"/>
      <c r="K54" s="669"/>
      <c r="L54" s="670">
        <f>SUM(H54:K54)</f>
        <v>2119</v>
      </c>
      <c r="M54" s="670"/>
      <c r="N54" s="670"/>
      <c r="O54" s="670"/>
      <c r="P54" s="670"/>
      <c r="Q54" s="670"/>
      <c r="R54" s="819"/>
      <c r="S54" s="670"/>
      <c r="T54" s="670">
        <f>L54+M54+S54</f>
        <v>2119</v>
      </c>
      <c r="U54" s="806"/>
      <c r="V54" s="821"/>
      <c r="W54" s="820"/>
      <c r="X54" s="822"/>
      <c r="Y54" s="823"/>
      <c r="AA54">
        <v>84</v>
      </c>
      <c r="AB54" t="s">
        <v>376</v>
      </c>
      <c r="AC54" t="s">
        <v>733</v>
      </c>
      <c r="AD54" t="s">
        <v>624</v>
      </c>
    </row>
    <row r="55" spans="2:30" ht="15" customHeight="1" x14ac:dyDescent="0.25">
      <c r="B55" s="663" t="s">
        <v>73</v>
      </c>
      <c r="C55" s="673">
        <f>IFERROR(_xlfn.XLOOKUP($G55,COM_Cadastro!$F$3:$F$199,COM_Cadastro!$B$3:$B$199),"")</f>
        <v>51389919000150</v>
      </c>
      <c r="D55" s="674" t="s">
        <v>378</v>
      </c>
      <c r="E55" s="675" t="s">
        <v>378</v>
      </c>
      <c r="F55" s="674" t="s">
        <v>368</v>
      </c>
      <c r="G55" s="663" t="s">
        <v>479</v>
      </c>
      <c r="H55" s="668">
        <v>2310</v>
      </c>
      <c r="I55" s="669"/>
      <c r="J55" s="669"/>
      <c r="K55" s="669"/>
      <c r="L55" s="670">
        <f>SUM(H55:K55)</f>
        <v>2310</v>
      </c>
      <c r="M55" s="670"/>
      <c r="N55" s="670"/>
      <c r="O55" s="670"/>
      <c r="P55" s="670"/>
      <c r="Q55" s="670"/>
      <c r="R55" s="819"/>
      <c r="S55" s="670"/>
      <c r="T55" s="670">
        <f>L55+M55+S55</f>
        <v>2310</v>
      </c>
      <c r="U55" s="806"/>
      <c r="V55" s="821"/>
      <c r="W55" s="820"/>
      <c r="X55" s="822"/>
      <c r="Y55" s="823"/>
      <c r="AA55">
        <v>86</v>
      </c>
      <c r="AB55" t="s">
        <v>371</v>
      </c>
      <c r="AC55" t="s">
        <v>378</v>
      </c>
      <c r="AD55" t="s">
        <v>817</v>
      </c>
    </row>
    <row r="56" spans="2:30" ht="15" customHeight="1" x14ac:dyDescent="0.25">
      <c r="B56" s="663" t="s">
        <v>73</v>
      </c>
      <c r="C56" s="673">
        <f>IFERROR(_xlfn.XLOOKUP($G56,COM_Cadastro!$F$3:$F$199,COM_Cadastro!$B$3:$B$199),"")</f>
        <v>62412981000131</v>
      </c>
      <c r="D56" s="674" t="s">
        <v>378</v>
      </c>
      <c r="E56" s="675" t="s">
        <v>378</v>
      </c>
      <c r="F56" s="674" t="s">
        <v>368</v>
      </c>
      <c r="G56" s="663" t="s">
        <v>487</v>
      </c>
      <c r="H56" s="668">
        <v>600</v>
      </c>
      <c r="I56" s="669"/>
      <c r="J56" s="669"/>
      <c r="K56" s="669"/>
      <c r="L56" s="670">
        <f>SUM(H56:K56)</f>
        <v>600</v>
      </c>
      <c r="M56" s="670"/>
      <c r="N56" s="670"/>
      <c r="O56" s="670"/>
      <c r="P56" s="670"/>
      <c r="Q56" s="670"/>
      <c r="R56" s="819"/>
      <c r="S56" s="670"/>
      <c r="T56" s="670">
        <f>L56+M56+S56</f>
        <v>600</v>
      </c>
      <c r="U56" s="806"/>
      <c r="V56" s="821"/>
      <c r="W56" s="820"/>
      <c r="X56" s="822"/>
      <c r="Y56" s="823"/>
      <c r="AA56">
        <v>87</v>
      </c>
      <c r="AB56" t="s">
        <v>371</v>
      </c>
      <c r="AC56" t="s">
        <v>734</v>
      </c>
      <c r="AD56" t="s">
        <v>817</v>
      </c>
    </row>
    <row r="57" spans="2:30" ht="15" customHeight="1" x14ac:dyDescent="0.25">
      <c r="B57" s="663" t="s">
        <v>73</v>
      </c>
      <c r="C57" s="673">
        <f>IFERROR(_xlfn.XLOOKUP($G57,COM_Cadastro!$F$3:$F$199,COM_Cadastro!$B$3:$B$199),"")</f>
        <v>64406378000172</v>
      </c>
      <c r="D57" s="674" t="s">
        <v>378</v>
      </c>
      <c r="E57" s="675" t="s">
        <v>378</v>
      </c>
      <c r="F57" s="674" t="s">
        <v>368</v>
      </c>
      <c r="G57" s="663" t="s">
        <v>489</v>
      </c>
      <c r="H57" s="668">
        <v>2000</v>
      </c>
      <c r="I57" s="669"/>
      <c r="J57" s="669"/>
      <c r="K57" s="669"/>
      <c r="L57" s="670">
        <f>SUM(H57:K57)</f>
        <v>2000</v>
      </c>
      <c r="M57" s="670"/>
      <c r="N57" s="670"/>
      <c r="O57" s="670"/>
      <c r="P57" s="670"/>
      <c r="Q57" s="670"/>
      <c r="R57" s="819"/>
      <c r="S57" s="670"/>
      <c r="T57" s="670">
        <f>L57+M57+S57</f>
        <v>2000</v>
      </c>
      <c r="U57" s="806"/>
      <c r="V57" s="821"/>
      <c r="W57" s="820"/>
      <c r="X57" s="822"/>
      <c r="Y57" s="823"/>
      <c r="AA57">
        <v>88</v>
      </c>
      <c r="AB57" t="s">
        <v>368</v>
      </c>
      <c r="AC57" t="s">
        <v>733</v>
      </c>
      <c r="AD57" t="s">
        <v>663</v>
      </c>
    </row>
    <row r="58" spans="2:30" ht="15" customHeight="1" x14ac:dyDescent="0.25">
      <c r="B58" s="663" t="s">
        <v>73</v>
      </c>
      <c r="C58" s="673">
        <f>IFERROR(_xlfn.XLOOKUP($G58,COM_Cadastro!$F$3:$F$199,COM_Cadastro!$B$3:$B$199),"")</f>
        <v>50045008000142</v>
      </c>
      <c r="D58" s="674" t="s">
        <v>378</v>
      </c>
      <c r="E58" s="675" t="s">
        <v>378</v>
      </c>
      <c r="F58" s="674" t="s">
        <v>368</v>
      </c>
      <c r="G58" s="663" t="s">
        <v>492</v>
      </c>
      <c r="H58" s="668">
        <v>4005</v>
      </c>
      <c r="I58" s="669"/>
      <c r="J58" s="669"/>
      <c r="K58" s="669"/>
      <c r="L58" s="670">
        <f>SUM(H58:K58)</f>
        <v>4005</v>
      </c>
      <c r="M58" s="670"/>
      <c r="N58" s="670"/>
      <c r="O58" s="670"/>
      <c r="P58" s="670"/>
      <c r="Q58" s="670"/>
      <c r="R58" s="819"/>
      <c r="S58" s="670"/>
      <c r="T58" s="670">
        <f>L58+M58+S58</f>
        <v>4005</v>
      </c>
      <c r="U58" s="806"/>
      <c r="V58" s="821"/>
      <c r="W58" s="820"/>
      <c r="X58" s="822"/>
      <c r="Y58" s="823"/>
      <c r="AA58">
        <v>89</v>
      </c>
      <c r="AB58" t="s">
        <v>368</v>
      </c>
      <c r="AC58" t="s">
        <v>734</v>
      </c>
      <c r="AD58" t="s">
        <v>821</v>
      </c>
    </row>
    <row r="59" spans="2:30" ht="15" customHeight="1" x14ac:dyDescent="0.25">
      <c r="B59" s="663" t="s">
        <v>73</v>
      </c>
      <c r="C59" s="673">
        <f>IFERROR(_xlfn.XLOOKUP($G59,COM_Cadastro!$F$3:$F$199,COM_Cadastro!$B$3:$B$199),"")</f>
        <v>63798943000121</v>
      </c>
      <c r="D59" s="674" t="s">
        <v>378</v>
      </c>
      <c r="E59" s="675" t="s">
        <v>378</v>
      </c>
      <c r="F59" s="674" t="s">
        <v>368</v>
      </c>
      <c r="G59" s="663" t="s">
        <v>494</v>
      </c>
      <c r="H59" s="668">
        <v>300</v>
      </c>
      <c r="I59" s="669"/>
      <c r="J59" s="669"/>
      <c r="K59" s="669"/>
      <c r="L59" s="670">
        <f>SUM(H59:K59)</f>
        <v>300</v>
      </c>
      <c r="M59" s="670"/>
      <c r="N59" s="670"/>
      <c r="O59" s="670"/>
      <c r="P59" s="670"/>
      <c r="Q59" s="670"/>
      <c r="R59" s="819"/>
      <c r="S59" s="670"/>
      <c r="T59" s="670">
        <f>L59+M59+S59</f>
        <v>300</v>
      </c>
      <c r="U59" s="806"/>
      <c r="V59" s="821"/>
      <c r="W59" s="820"/>
      <c r="X59" s="822"/>
      <c r="Y59" s="823"/>
      <c r="AA59">
        <v>94</v>
      </c>
      <c r="AB59" t="s">
        <v>368</v>
      </c>
      <c r="AC59" t="s">
        <v>378</v>
      </c>
      <c r="AD59" t="s">
        <v>751</v>
      </c>
    </row>
    <row r="60" spans="2:30" ht="15" customHeight="1" x14ac:dyDescent="0.25">
      <c r="B60" s="663" t="s">
        <v>73</v>
      </c>
      <c r="C60" s="673">
        <f>IFERROR(_xlfn.XLOOKUP($G60,COM_Cadastro!$F$3:$F$199,COM_Cadastro!$B$3:$B$199),"")</f>
        <v>57241423000110</v>
      </c>
      <c r="D60" s="674" t="s">
        <v>378</v>
      </c>
      <c r="E60" s="675" t="s">
        <v>378</v>
      </c>
      <c r="F60" s="674" t="s">
        <v>368</v>
      </c>
      <c r="G60" s="663" t="s">
        <v>496</v>
      </c>
      <c r="H60" s="668">
        <v>2100</v>
      </c>
      <c r="I60" s="669"/>
      <c r="J60" s="669"/>
      <c r="K60" s="669"/>
      <c r="L60" s="670">
        <f>SUM(H60:K60)</f>
        <v>2100</v>
      </c>
      <c r="M60" s="670"/>
      <c r="N60" s="670"/>
      <c r="O60" s="670"/>
      <c r="P60" s="670"/>
      <c r="Q60" s="670"/>
      <c r="R60" s="819"/>
      <c r="S60" s="670"/>
      <c r="T60" s="670">
        <f>L60+M60+S60</f>
        <v>2100</v>
      </c>
      <c r="U60" s="806"/>
      <c r="V60" s="821"/>
      <c r="W60" s="820"/>
      <c r="X60" s="822"/>
      <c r="Y60" s="823"/>
      <c r="AA60">
        <v>95</v>
      </c>
      <c r="AB60" t="s">
        <v>368</v>
      </c>
      <c r="AC60" t="s">
        <v>733</v>
      </c>
      <c r="AD60" t="s">
        <v>706</v>
      </c>
    </row>
    <row r="61" spans="2:30" ht="15" customHeight="1" x14ac:dyDescent="0.25">
      <c r="B61" s="663" t="s">
        <v>73</v>
      </c>
      <c r="C61" s="673">
        <f>IFERROR(_xlfn.XLOOKUP($G61,COM_Cadastro!$F$3:$F$199,COM_Cadastro!$B$3:$B$199),"")</f>
        <v>63798943000121</v>
      </c>
      <c r="D61" s="674" t="s">
        <v>378</v>
      </c>
      <c r="E61" s="675" t="s">
        <v>378</v>
      </c>
      <c r="F61" s="674" t="s">
        <v>368</v>
      </c>
      <c r="G61" s="663" t="s">
        <v>499</v>
      </c>
      <c r="H61" s="668">
        <v>1425</v>
      </c>
      <c r="I61" s="669"/>
      <c r="J61" s="669"/>
      <c r="K61" s="669"/>
      <c r="L61" s="670">
        <f>SUM(H61:K61)</f>
        <v>1425</v>
      </c>
      <c r="M61" s="670"/>
      <c r="N61" s="670"/>
      <c r="O61" s="670"/>
      <c r="P61" s="670"/>
      <c r="Q61" s="670"/>
      <c r="R61" s="819"/>
      <c r="S61" s="670"/>
      <c r="T61" s="670">
        <f>L61+M61+S61</f>
        <v>1425</v>
      </c>
      <c r="U61" s="806"/>
      <c r="V61" s="821"/>
      <c r="W61" s="820"/>
      <c r="X61" s="822"/>
      <c r="Y61" s="823"/>
      <c r="AA61">
        <v>96</v>
      </c>
      <c r="AB61" t="s">
        <v>371</v>
      </c>
      <c r="AC61" t="s">
        <v>378</v>
      </c>
      <c r="AD61" t="s">
        <v>766</v>
      </c>
    </row>
    <row r="62" spans="2:30" ht="15" customHeight="1" x14ac:dyDescent="0.25">
      <c r="B62" s="663" t="s">
        <v>73</v>
      </c>
      <c r="C62" s="673">
        <f>IFERROR(_xlfn.XLOOKUP($G62,COM_Cadastro!$F$3:$F$199,COM_Cadastro!$B$3:$B$199),"")</f>
        <v>60600895000127</v>
      </c>
      <c r="D62" s="674" t="s">
        <v>378</v>
      </c>
      <c r="E62" s="675" t="s">
        <v>378</v>
      </c>
      <c r="F62" s="674" t="s">
        <v>368</v>
      </c>
      <c r="G62" s="663" t="s">
        <v>504</v>
      </c>
      <c r="H62" s="668">
        <v>2250</v>
      </c>
      <c r="I62" s="669"/>
      <c r="J62" s="669"/>
      <c r="K62" s="669"/>
      <c r="L62" s="670">
        <f>SUM(H62:K62)</f>
        <v>2250</v>
      </c>
      <c r="M62" s="670"/>
      <c r="N62" s="670"/>
      <c r="O62" s="670"/>
      <c r="P62" s="670"/>
      <c r="Q62" s="670"/>
      <c r="R62" s="819"/>
      <c r="S62" s="670"/>
      <c r="T62" s="670">
        <f>L62+M62+S62</f>
        <v>2250</v>
      </c>
      <c r="U62" s="806"/>
      <c r="V62" s="821"/>
      <c r="W62" s="820"/>
      <c r="X62" s="822"/>
      <c r="Y62" s="823"/>
      <c r="AA62">
        <v>97</v>
      </c>
      <c r="AB62" t="s">
        <v>376</v>
      </c>
      <c r="AC62" t="s">
        <v>733</v>
      </c>
      <c r="AD62" t="s">
        <v>670</v>
      </c>
    </row>
    <row r="63" spans="2:30" ht="15" customHeight="1" x14ac:dyDescent="0.25">
      <c r="B63" s="663" t="s">
        <v>73</v>
      </c>
      <c r="C63" s="673">
        <f>IFERROR(_xlfn.XLOOKUP($G63,COM_Cadastro!$F$3:$F$199,COM_Cadastro!$B$3:$B$199),"")</f>
        <v>47175876000132</v>
      </c>
      <c r="D63" s="674" t="s">
        <v>378</v>
      </c>
      <c r="E63" s="675" t="s">
        <v>378</v>
      </c>
      <c r="F63" s="674" t="s">
        <v>368</v>
      </c>
      <c r="G63" s="663" t="s">
        <v>877</v>
      </c>
      <c r="H63" s="668">
        <v>400</v>
      </c>
      <c r="I63" s="669"/>
      <c r="J63" s="669"/>
      <c r="K63" s="669"/>
      <c r="L63" s="670">
        <f>SUM(H63:K63)</f>
        <v>400</v>
      </c>
      <c r="M63" s="670"/>
      <c r="N63" s="670"/>
      <c r="O63" s="670"/>
      <c r="P63" s="670"/>
      <c r="Q63" s="670"/>
      <c r="R63" s="819"/>
      <c r="S63" s="670"/>
      <c r="T63" s="670">
        <f>L63+M63+S63</f>
        <v>400</v>
      </c>
      <c r="U63" s="806"/>
      <c r="V63" s="821"/>
      <c r="W63" s="820"/>
      <c r="X63" s="822"/>
      <c r="Y63" s="823"/>
      <c r="AA63">
        <v>98</v>
      </c>
      <c r="AB63" t="s">
        <v>368</v>
      </c>
      <c r="AC63" t="s">
        <v>734</v>
      </c>
      <c r="AD63" t="s">
        <v>476</v>
      </c>
    </row>
    <row r="64" spans="2:30" ht="15" customHeight="1" x14ac:dyDescent="0.25">
      <c r="B64" s="663" t="s">
        <v>73</v>
      </c>
      <c r="C64" s="673">
        <f>IFERROR(_xlfn.XLOOKUP($G64,COM_Cadastro!$F$3:$F$199,COM_Cadastro!$B$3:$B$199),"")</f>
        <v>50422429000145</v>
      </c>
      <c r="D64" s="674" t="s">
        <v>378</v>
      </c>
      <c r="E64" s="675" t="s">
        <v>378</v>
      </c>
      <c r="F64" s="674" t="s">
        <v>368</v>
      </c>
      <c r="G64" s="663" t="s">
        <v>521</v>
      </c>
      <c r="H64" s="668">
        <v>2300</v>
      </c>
      <c r="I64" s="669"/>
      <c r="J64" s="669"/>
      <c r="K64" s="669"/>
      <c r="L64" s="670">
        <f>SUM(H64:K64)</f>
        <v>2300</v>
      </c>
      <c r="M64" s="670"/>
      <c r="N64" s="670"/>
      <c r="O64" s="670"/>
      <c r="P64" s="670"/>
      <c r="Q64" s="670"/>
      <c r="R64" s="819"/>
      <c r="S64" s="670"/>
      <c r="T64" s="670">
        <f>L64+M64+S64</f>
        <v>2300</v>
      </c>
      <c r="U64" s="806"/>
      <c r="V64" s="821"/>
      <c r="W64" s="820"/>
      <c r="X64" s="822"/>
      <c r="Y64" s="823"/>
      <c r="AA64">
        <v>100</v>
      </c>
      <c r="AB64" t="s">
        <v>368</v>
      </c>
      <c r="AC64" t="s">
        <v>378</v>
      </c>
      <c r="AD64" t="s">
        <v>752</v>
      </c>
    </row>
    <row r="65" spans="2:30" ht="15" customHeight="1" x14ac:dyDescent="0.25">
      <c r="B65" s="663" t="s">
        <v>73</v>
      </c>
      <c r="C65" s="673">
        <f>IFERROR(_xlfn.XLOOKUP($G65,COM_Cadastro!$F$3:$F$199,COM_Cadastro!$B$3:$B$199),"")</f>
        <v>51962352000169</v>
      </c>
      <c r="D65" s="674" t="s">
        <v>378</v>
      </c>
      <c r="E65" s="675" t="s">
        <v>378</v>
      </c>
      <c r="F65" s="674" t="s">
        <v>368</v>
      </c>
      <c r="G65" s="663" t="s">
        <v>523</v>
      </c>
      <c r="H65" s="668">
        <v>5350</v>
      </c>
      <c r="I65" s="669"/>
      <c r="J65" s="669"/>
      <c r="K65" s="669"/>
      <c r="L65" s="670">
        <f>SUM(H65:K65)</f>
        <v>5350</v>
      </c>
      <c r="M65" s="670"/>
      <c r="N65" s="670"/>
      <c r="O65" s="670"/>
      <c r="P65" s="670"/>
      <c r="Q65" s="670"/>
      <c r="R65" s="819"/>
      <c r="S65" s="670"/>
      <c r="T65" s="670">
        <f>L65+M65+S65</f>
        <v>5350</v>
      </c>
      <c r="U65" s="806"/>
      <c r="V65" s="821"/>
      <c r="W65" s="820"/>
      <c r="X65" s="822"/>
      <c r="Y65" s="823"/>
      <c r="AA65">
        <v>101</v>
      </c>
      <c r="AB65" t="s">
        <v>368</v>
      </c>
      <c r="AC65" t="s">
        <v>378</v>
      </c>
      <c r="AD65" t="s">
        <v>753</v>
      </c>
    </row>
    <row r="66" spans="2:30" ht="15" customHeight="1" x14ac:dyDescent="0.25">
      <c r="B66" s="663" t="s">
        <v>73</v>
      </c>
      <c r="C66" s="673">
        <f>IFERROR(_xlfn.XLOOKUP($G66,COM_Cadastro!$F$3:$F$199,COM_Cadastro!$B$3:$B$199),"")</f>
        <v>49739443000198</v>
      </c>
      <c r="D66" s="674" t="s">
        <v>378</v>
      </c>
      <c r="E66" s="675" t="s">
        <v>378</v>
      </c>
      <c r="F66" s="674" t="s">
        <v>368</v>
      </c>
      <c r="G66" s="663" t="s">
        <v>527</v>
      </c>
      <c r="H66" s="668">
        <v>2375</v>
      </c>
      <c r="I66" s="669"/>
      <c r="J66" s="669"/>
      <c r="K66" s="669"/>
      <c r="L66" s="670">
        <f>SUM(H66:K66)</f>
        <v>2375</v>
      </c>
      <c r="M66" s="670"/>
      <c r="N66" s="670"/>
      <c r="O66" s="670"/>
      <c r="P66" s="670"/>
      <c r="Q66" s="670"/>
      <c r="R66" s="819"/>
      <c r="S66" s="670"/>
      <c r="T66" s="670">
        <f>L66+M66+S66</f>
        <v>2375</v>
      </c>
      <c r="U66" s="806"/>
      <c r="V66" s="821"/>
      <c r="W66" s="820"/>
      <c r="X66" s="822"/>
      <c r="Y66" s="823"/>
      <c r="AA66">
        <v>103</v>
      </c>
      <c r="AB66" t="s">
        <v>371</v>
      </c>
      <c r="AC66" t="s">
        <v>378</v>
      </c>
      <c r="AD66" t="s">
        <v>482</v>
      </c>
    </row>
    <row r="67" spans="2:30" ht="15" customHeight="1" x14ac:dyDescent="0.25">
      <c r="B67" s="663" t="s">
        <v>73</v>
      </c>
      <c r="C67" s="673">
        <f>IFERROR(_xlfn.XLOOKUP($G67,COM_Cadastro!$F$3:$F$199,COM_Cadastro!$B$3:$B$199),"")</f>
        <v>52858496000132</v>
      </c>
      <c r="D67" s="674" t="s">
        <v>378</v>
      </c>
      <c r="E67" s="675" t="s">
        <v>378</v>
      </c>
      <c r="F67" s="674" t="s">
        <v>368</v>
      </c>
      <c r="G67" s="663" t="s">
        <v>529</v>
      </c>
      <c r="H67" s="668">
        <v>1852</v>
      </c>
      <c r="I67" s="669"/>
      <c r="J67" s="669"/>
      <c r="K67" s="669"/>
      <c r="L67" s="670">
        <f>SUM(H67:K67)</f>
        <v>1852</v>
      </c>
      <c r="M67" s="670"/>
      <c r="N67" s="670"/>
      <c r="O67" s="670"/>
      <c r="P67" s="670"/>
      <c r="Q67" s="670"/>
      <c r="R67" s="819"/>
      <c r="S67" s="670"/>
      <c r="T67" s="670">
        <f>L67+M67+S67</f>
        <v>1852</v>
      </c>
      <c r="U67" s="806"/>
      <c r="V67" s="821"/>
      <c r="W67" s="820"/>
      <c r="X67" s="822"/>
      <c r="Y67" s="823"/>
      <c r="AA67">
        <v>105</v>
      </c>
      <c r="AB67" t="s">
        <v>371</v>
      </c>
      <c r="AC67" t="s">
        <v>378</v>
      </c>
      <c r="AD67" t="s">
        <v>768</v>
      </c>
    </row>
    <row r="68" spans="2:30" ht="15" customHeight="1" x14ac:dyDescent="0.25">
      <c r="B68" s="663" t="s">
        <v>73</v>
      </c>
      <c r="C68" s="834" t="str">
        <f>IFERROR(_xlfn.XLOOKUP($G68,COM_Cadastro!$F$3:$F$199,COM_Cadastro!$B$3:$B$199),"")</f>
        <v>64.790.057/0001-14</v>
      </c>
      <c r="D68" s="674" t="s">
        <v>378</v>
      </c>
      <c r="E68" s="675" t="s">
        <v>378</v>
      </c>
      <c r="F68" s="674" t="s">
        <v>368</v>
      </c>
      <c r="G68" s="663" t="s">
        <v>532</v>
      </c>
      <c r="H68" s="668">
        <v>716</v>
      </c>
      <c r="I68" s="669"/>
      <c r="J68" s="669"/>
      <c r="K68" s="669"/>
      <c r="L68" s="670">
        <f>SUM(H68:K68)</f>
        <v>716</v>
      </c>
      <c r="M68" s="670"/>
      <c r="N68" s="670"/>
      <c r="O68" s="670"/>
      <c r="P68" s="670"/>
      <c r="Q68" s="670"/>
      <c r="R68" s="819"/>
      <c r="S68" s="670"/>
      <c r="T68" s="670">
        <f>L68+M68+S68</f>
        <v>716</v>
      </c>
      <c r="U68" s="806"/>
      <c r="V68" s="821"/>
      <c r="W68" s="820"/>
      <c r="X68" s="822"/>
      <c r="Y68" s="823"/>
      <c r="AA68">
        <v>106</v>
      </c>
      <c r="AB68" t="s">
        <v>368</v>
      </c>
      <c r="AC68" t="s">
        <v>734</v>
      </c>
      <c r="AD68" t="s">
        <v>486</v>
      </c>
    </row>
    <row r="69" spans="2:30" ht="15" customHeight="1" x14ac:dyDescent="0.25">
      <c r="B69" s="663" t="s">
        <v>73</v>
      </c>
      <c r="C69" s="673">
        <f>IFERROR(_xlfn.XLOOKUP($G69,COM_Cadastro!$F$3:$F$199,COM_Cadastro!$B$3:$B$199),"")</f>
        <v>58620441000176</v>
      </c>
      <c r="D69" s="674" t="s">
        <v>378</v>
      </c>
      <c r="E69" s="675" t="s">
        <v>378</v>
      </c>
      <c r="F69" s="674" t="s">
        <v>368</v>
      </c>
      <c r="G69" s="663" t="s">
        <v>543</v>
      </c>
      <c r="H69" s="668">
        <v>1950</v>
      </c>
      <c r="I69" s="669"/>
      <c r="J69" s="669"/>
      <c r="K69" s="669"/>
      <c r="L69" s="670">
        <f>SUM(H69:K69)</f>
        <v>1950</v>
      </c>
      <c r="M69" s="670"/>
      <c r="N69" s="670"/>
      <c r="O69" s="670"/>
      <c r="P69" s="670"/>
      <c r="Q69" s="670"/>
      <c r="R69" s="819"/>
      <c r="S69" s="670"/>
      <c r="T69" s="670">
        <f>L69+M69+S69</f>
        <v>1950</v>
      </c>
      <c r="U69" s="806"/>
      <c r="V69" s="821"/>
      <c r="W69" s="820"/>
      <c r="X69" s="822"/>
      <c r="Y69" s="823"/>
      <c r="AA69">
        <v>111</v>
      </c>
      <c r="AB69" t="s">
        <v>371</v>
      </c>
      <c r="AC69" t="s">
        <v>378</v>
      </c>
      <c r="AD69" t="s">
        <v>804</v>
      </c>
    </row>
    <row r="70" spans="2:30" ht="15" customHeight="1" x14ac:dyDescent="0.25">
      <c r="B70" s="663" t="s">
        <v>73</v>
      </c>
      <c r="C70" s="673">
        <f>IFERROR(_xlfn.XLOOKUP($G70,COM_Cadastro!$F$3:$F$199,COM_Cadastro!$B$3:$B$199),"")</f>
        <v>46657696000124</v>
      </c>
      <c r="D70" s="674" t="s">
        <v>378</v>
      </c>
      <c r="E70" s="675" t="s">
        <v>378</v>
      </c>
      <c r="F70" s="674" t="s">
        <v>368</v>
      </c>
      <c r="G70" s="663" t="s">
        <v>559</v>
      </c>
      <c r="H70" s="668">
        <v>2070</v>
      </c>
      <c r="I70" s="669"/>
      <c r="J70" s="669"/>
      <c r="K70" s="669"/>
      <c r="L70" s="670">
        <f>SUM(H70:K70)</f>
        <v>2070</v>
      </c>
      <c r="M70" s="670"/>
      <c r="N70" s="670"/>
      <c r="O70" s="670"/>
      <c r="P70" s="670"/>
      <c r="Q70" s="670"/>
      <c r="R70" s="819"/>
      <c r="S70" s="670"/>
      <c r="T70" s="670">
        <f>L70+M70+S70</f>
        <v>2070</v>
      </c>
      <c r="U70" s="806"/>
      <c r="V70" s="821"/>
      <c r="W70" s="820"/>
      <c r="X70" s="822"/>
      <c r="Y70" s="823"/>
      <c r="AA70">
        <v>112</v>
      </c>
      <c r="AB70" t="s">
        <v>368</v>
      </c>
      <c r="AC70" t="s">
        <v>378</v>
      </c>
      <c r="AD70" t="s">
        <v>754</v>
      </c>
    </row>
    <row r="71" spans="2:30" ht="15" customHeight="1" x14ac:dyDescent="0.25">
      <c r="B71" s="663" t="s">
        <v>73</v>
      </c>
      <c r="C71" s="673">
        <f>IFERROR(_xlfn.XLOOKUP($G71,COM_Cadastro!$F$3:$F$199,COM_Cadastro!$B$3:$B$199),"")</f>
        <v>52597418000121</v>
      </c>
      <c r="D71" s="674" t="s">
        <v>378</v>
      </c>
      <c r="E71" s="675" t="s">
        <v>378</v>
      </c>
      <c r="F71" s="674" t="s">
        <v>368</v>
      </c>
      <c r="G71" s="663" t="s">
        <v>572</v>
      </c>
      <c r="H71" s="668">
        <v>2500</v>
      </c>
      <c r="I71" s="669"/>
      <c r="J71" s="669"/>
      <c r="K71" s="669"/>
      <c r="L71" s="670">
        <f>SUM(H71:K71)</f>
        <v>2500</v>
      </c>
      <c r="M71" s="670"/>
      <c r="N71" s="670"/>
      <c r="O71" s="670"/>
      <c r="P71" s="670"/>
      <c r="Q71" s="670"/>
      <c r="R71" s="819"/>
      <c r="S71" s="670"/>
      <c r="T71" s="670">
        <f>L71+M71+S71</f>
        <v>2500</v>
      </c>
      <c r="U71" s="806"/>
      <c r="V71" s="821"/>
      <c r="W71" s="820"/>
      <c r="X71" s="822"/>
      <c r="Y71" s="823"/>
      <c r="AA71">
        <v>113</v>
      </c>
      <c r="AB71" t="s">
        <v>368</v>
      </c>
      <c r="AC71" t="s">
        <v>378</v>
      </c>
      <c r="AD71" t="s">
        <v>755</v>
      </c>
    </row>
    <row r="72" spans="2:30" ht="15" customHeight="1" x14ac:dyDescent="0.25">
      <c r="B72" s="663" t="s">
        <v>73</v>
      </c>
      <c r="C72" s="673">
        <f>IFERROR(_xlfn.XLOOKUP($G72,COM_Cadastro!$F$3:$F$199,COM_Cadastro!$B$3:$B$199),"")</f>
        <v>44758643000174</v>
      </c>
      <c r="D72" s="674" t="s">
        <v>378</v>
      </c>
      <c r="E72" s="675" t="s">
        <v>378</v>
      </c>
      <c r="F72" s="674" t="s">
        <v>368</v>
      </c>
      <c r="G72" s="663" t="s">
        <v>577</v>
      </c>
      <c r="H72" s="668">
        <v>4200</v>
      </c>
      <c r="I72" s="669"/>
      <c r="J72" s="669"/>
      <c r="K72" s="669"/>
      <c r="L72" s="670">
        <f>SUM(H72:K72)</f>
        <v>4200</v>
      </c>
      <c r="M72" s="670"/>
      <c r="N72" s="670"/>
      <c r="O72" s="670"/>
      <c r="P72" s="670"/>
      <c r="Q72" s="670"/>
      <c r="R72" s="819"/>
      <c r="S72" s="670"/>
      <c r="T72" s="670">
        <f>L72+M72+S72</f>
        <v>4200</v>
      </c>
      <c r="U72" s="820"/>
      <c r="V72" s="820"/>
      <c r="W72" s="820"/>
      <c r="X72" s="820"/>
      <c r="Y72" s="820"/>
      <c r="AA72">
        <v>115</v>
      </c>
      <c r="AB72" t="s">
        <v>371</v>
      </c>
      <c r="AC72" t="s">
        <v>733</v>
      </c>
      <c r="AD72" t="s">
        <v>646</v>
      </c>
    </row>
    <row r="73" spans="2:30" ht="15" customHeight="1" x14ac:dyDescent="0.25">
      <c r="B73" s="663" t="s">
        <v>73</v>
      </c>
      <c r="C73" s="673">
        <f>IFERROR(_xlfn.XLOOKUP($G73,COM_Cadastro!$F$3:$F$199,COM_Cadastro!$B$3:$B$199),"")</f>
        <v>45654582000168</v>
      </c>
      <c r="D73" s="674" t="s">
        <v>378</v>
      </c>
      <c r="E73" s="675" t="s">
        <v>378</v>
      </c>
      <c r="F73" s="674" t="s">
        <v>368</v>
      </c>
      <c r="G73" s="663" t="s">
        <v>583</v>
      </c>
      <c r="H73" s="668">
        <v>4541</v>
      </c>
      <c r="I73" s="669"/>
      <c r="J73" s="669"/>
      <c r="K73" s="669"/>
      <c r="L73" s="670">
        <f>SUM(H73:K73)</f>
        <v>4541</v>
      </c>
      <c r="M73" s="670"/>
      <c r="N73" s="670"/>
      <c r="O73" s="670"/>
      <c r="P73" s="670"/>
      <c r="Q73" s="670"/>
      <c r="R73" s="819"/>
      <c r="S73" s="670"/>
      <c r="T73" s="670">
        <f>L73+M73+S73</f>
        <v>4541</v>
      </c>
      <c r="U73" s="820"/>
      <c r="V73" s="820"/>
      <c r="W73" s="820"/>
      <c r="X73" s="820"/>
      <c r="Y73" s="820"/>
      <c r="AA73">
        <v>116</v>
      </c>
      <c r="AB73" t="s">
        <v>368</v>
      </c>
      <c r="AC73" t="s">
        <v>378</v>
      </c>
      <c r="AD73" t="s">
        <v>756</v>
      </c>
    </row>
    <row r="74" spans="2:30" ht="15" customHeight="1" x14ac:dyDescent="0.25">
      <c r="B74" s="663" t="s">
        <v>73</v>
      </c>
      <c r="C74" s="673">
        <f>IFERROR(_xlfn.XLOOKUP($G74,COM_Cadastro!$F$3:$F$199,COM_Cadastro!$B$3:$B$199),"")</f>
        <v>9149239783</v>
      </c>
      <c r="D74" s="674" t="s">
        <v>378</v>
      </c>
      <c r="E74" s="675" t="s">
        <v>378</v>
      </c>
      <c r="F74" s="674" t="s">
        <v>368</v>
      </c>
      <c r="G74" s="663" t="s">
        <v>585</v>
      </c>
      <c r="H74" s="668">
        <v>1080</v>
      </c>
      <c r="I74" s="669"/>
      <c r="J74" s="669"/>
      <c r="K74" s="669"/>
      <c r="L74" s="670">
        <f>SUM(H74:K74)</f>
        <v>1080</v>
      </c>
      <c r="M74" s="670"/>
      <c r="N74" s="670"/>
      <c r="O74" s="670"/>
      <c r="P74" s="670"/>
      <c r="Q74" s="670"/>
      <c r="R74" s="819"/>
      <c r="S74" s="670"/>
      <c r="T74" s="670">
        <f>L74+M74+S74</f>
        <v>1080</v>
      </c>
      <c r="U74" s="820"/>
      <c r="V74" s="820"/>
      <c r="W74" s="820"/>
      <c r="X74" s="820"/>
      <c r="Y74" s="820"/>
      <c r="AA74">
        <v>117</v>
      </c>
      <c r="AB74" t="s">
        <v>368</v>
      </c>
      <c r="AC74" t="s">
        <v>734</v>
      </c>
      <c r="AD74" t="s">
        <v>785</v>
      </c>
    </row>
    <row r="75" spans="2:30" ht="15" customHeight="1" x14ac:dyDescent="0.25">
      <c r="B75" s="663" t="s">
        <v>73</v>
      </c>
      <c r="C75" s="673">
        <f>IFERROR(_xlfn.XLOOKUP($G75,COM_Cadastro!$F$3:$F$199,COM_Cadastro!$B$3:$B$199),"")</f>
        <v>55088122000173</v>
      </c>
      <c r="D75" s="674" t="s">
        <v>378</v>
      </c>
      <c r="E75" s="675" t="s">
        <v>378</v>
      </c>
      <c r="F75" s="674" t="s">
        <v>368</v>
      </c>
      <c r="G75" s="663" t="s">
        <v>586</v>
      </c>
      <c r="H75" s="668">
        <v>600</v>
      </c>
      <c r="I75" s="669"/>
      <c r="J75" s="669"/>
      <c r="K75" s="669"/>
      <c r="L75" s="670">
        <f>SUM(H75:K75)</f>
        <v>600</v>
      </c>
      <c r="M75" s="670"/>
      <c r="N75" s="670"/>
      <c r="O75" s="670"/>
      <c r="P75" s="670"/>
      <c r="Q75" s="670"/>
      <c r="R75" s="819"/>
      <c r="S75" s="670"/>
      <c r="T75" s="670">
        <f>L75+M75+S75</f>
        <v>600</v>
      </c>
      <c r="U75" s="820"/>
      <c r="V75" s="820"/>
      <c r="W75" s="820"/>
      <c r="X75" s="820"/>
      <c r="Y75" s="820"/>
      <c r="AA75">
        <v>118</v>
      </c>
      <c r="AB75" t="s">
        <v>371</v>
      </c>
      <c r="AC75" t="s">
        <v>733</v>
      </c>
      <c r="AD75" t="s">
        <v>648</v>
      </c>
    </row>
    <row r="76" spans="2:30" ht="15" customHeight="1" x14ac:dyDescent="0.25">
      <c r="B76" s="663" t="s">
        <v>73</v>
      </c>
      <c r="C76" s="673">
        <f>IFERROR(_xlfn.XLOOKUP($G76,COM_Cadastro!$F$3:$F$199,COM_Cadastro!$B$3:$B$199),"")</f>
        <v>59480892000118</v>
      </c>
      <c r="D76" s="674" t="s">
        <v>378</v>
      </c>
      <c r="E76" s="675" t="s">
        <v>378</v>
      </c>
      <c r="F76" s="674" t="s">
        <v>368</v>
      </c>
      <c r="G76" s="663" t="s">
        <v>592</v>
      </c>
      <c r="H76" s="668">
        <v>2280</v>
      </c>
      <c r="I76" s="669"/>
      <c r="J76" s="669"/>
      <c r="K76" s="669"/>
      <c r="L76" s="670">
        <f>SUM(H76:K76)</f>
        <v>2280</v>
      </c>
      <c r="M76" s="670"/>
      <c r="N76" s="670"/>
      <c r="O76" s="670"/>
      <c r="P76" s="670"/>
      <c r="Q76" s="670"/>
      <c r="R76" s="819"/>
      <c r="S76" s="670"/>
      <c r="T76" s="670">
        <f>L76+M76+S76</f>
        <v>2280</v>
      </c>
      <c r="U76" s="820"/>
      <c r="V76" s="820"/>
      <c r="W76" s="820"/>
      <c r="X76" s="820"/>
      <c r="Y76" s="820"/>
      <c r="AA76">
        <v>119</v>
      </c>
      <c r="AB76" t="s">
        <v>376</v>
      </c>
      <c r="AC76" t="s">
        <v>733</v>
      </c>
      <c r="AD76" t="s">
        <v>672</v>
      </c>
    </row>
    <row r="77" spans="2:30" ht="15" customHeight="1" x14ac:dyDescent="0.25">
      <c r="B77" s="663" t="s">
        <v>73</v>
      </c>
      <c r="C77" s="673">
        <f>IFERROR(_xlfn.XLOOKUP($G77,COM_Cadastro!$F$3:$F$199,COM_Cadastro!$B$3:$B$199),"")</f>
        <v>55111711000125</v>
      </c>
      <c r="D77" s="674" t="s">
        <v>378</v>
      </c>
      <c r="E77" s="675" t="s">
        <v>378</v>
      </c>
      <c r="F77" s="674" t="s">
        <v>368</v>
      </c>
      <c r="G77" s="663" t="s">
        <v>594</v>
      </c>
      <c r="H77" s="668">
        <v>1600</v>
      </c>
      <c r="I77" s="669"/>
      <c r="J77" s="669"/>
      <c r="K77" s="669"/>
      <c r="L77" s="670">
        <f>SUM(H77:K77)</f>
        <v>1600</v>
      </c>
      <c r="M77" s="670"/>
      <c r="N77" s="670"/>
      <c r="O77" s="670"/>
      <c r="P77" s="670"/>
      <c r="Q77" s="670"/>
      <c r="R77" s="819"/>
      <c r="S77" s="670"/>
      <c r="T77" s="670">
        <f>L77+M77+S77</f>
        <v>1600</v>
      </c>
      <c r="U77" s="820"/>
      <c r="V77" s="820"/>
      <c r="W77" s="820"/>
      <c r="X77" s="820"/>
      <c r="Y77" s="820"/>
      <c r="AA77">
        <v>121</v>
      </c>
      <c r="AB77" t="s">
        <v>368</v>
      </c>
      <c r="AC77" t="s">
        <v>734</v>
      </c>
      <c r="AD77" t="s">
        <v>505</v>
      </c>
    </row>
    <row r="78" spans="2:30" ht="15" customHeight="1" x14ac:dyDescent="0.25">
      <c r="B78" s="663" t="s">
        <v>73</v>
      </c>
      <c r="C78" s="673">
        <f>IFERROR(_xlfn.XLOOKUP($G78,COM_Cadastro!$F$3:$F$199,COM_Cadastro!$B$3:$B$199),"")</f>
        <v>60312605000140</v>
      </c>
      <c r="D78" s="674" t="s">
        <v>736</v>
      </c>
      <c r="E78" s="675" t="s">
        <v>415</v>
      </c>
      <c r="F78" s="674" t="s">
        <v>368</v>
      </c>
      <c r="G78" s="663" t="s">
        <v>878</v>
      </c>
      <c r="H78" s="668">
        <v>0</v>
      </c>
      <c r="I78" s="669">
        <v>5792</v>
      </c>
      <c r="J78" s="669">
        <v>0</v>
      </c>
      <c r="K78" s="669"/>
      <c r="L78" s="670">
        <f>SUM(H78:K78)</f>
        <v>5792</v>
      </c>
      <c r="M78" s="670"/>
      <c r="N78" s="670"/>
      <c r="O78" s="670"/>
      <c r="P78" s="670"/>
      <c r="Q78" s="670"/>
      <c r="R78" s="819"/>
      <c r="S78" s="670">
        <f>SUM(N78:R78)</f>
        <v>0</v>
      </c>
      <c r="T78" s="670">
        <f>L78+M78+S78</f>
        <v>5792</v>
      </c>
      <c r="U78" s="820"/>
      <c r="V78" s="820"/>
      <c r="W78" s="820"/>
      <c r="X78" s="820"/>
      <c r="Y78" s="820"/>
      <c r="AA78">
        <v>124</v>
      </c>
      <c r="AB78" t="s">
        <v>371</v>
      </c>
      <c r="AC78" t="s">
        <v>733</v>
      </c>
      <c r="AD78" t="s">
        <v>650</v>
      </c>
    </row>
    <row r="79" spans="2:30" ht="15" customHeight="1" x14ac:dyDescent="0.25">
      <c r="B79" s="663" t="s">
        <v>73</v>
      </c>
      <c r="C79" s="673">
        <f>IFERROR(_xlfn.XLOOKUP($G79,COM_Cadastro!$F$3:$F$199,COM_Cadastro!$B$3:$B$199),"")</f>
        <v>65415166000114</v>
      </c>
      <c r="D79" s="674" t="s">
        <v>736</v>
      </c>
      <c r="E79" s="675" t="s">
        <v>406</v>
      </c>
      <c r="F79" s="674" t="s">
        <v>368</v>
      </c>
      <c r="G79" s="663" t="s">
        <v>426</v>
      </c>
      <c r="H79" s="668">
        <v>4000</v>
      </c>
      <c r="I79" s="669"/>
      <c r="J79" s="669">
        <v>0</v>
      </c>
      <c r="K79" s="669">
        <v>400</v>
      </c>
      <c r="L79" s="670">
        <f>SUM(H79:K79)</f>
        <v>4400</v>
      </c>
      <c r="M79" s="670"/>
      <c r="N79" s="670"/>
      <c r="O79" s="670"/>
      <c r="P79" s="670"/>
      <c r="Q79" s="670"/>
      <c r="R79" s="819"/>
      <c r="S79" s="670">
        <f>SUM(N79:R79)</f>
        <v>0</v>
      </c>
      <c r="T79" s="670">
        <f>L79+M79+S79</f>
        <v>4400</v>
      </c>
      <c r="U79" s="820"/>
      <c r="V79" s="820"/>
      <c r="W79" s="820"/>
      <c r="X79" s="820"/>
      <c r="Y79" s="820"/>
      <c r="AA79">
        <v>125</v>
      </c>
      <c r="AB79" t="s">
        <v>374</v>
      </c>
      <c r="AC79" t="s">
        <v>734</v>
      </c>
      <c r="AD79" t="s">
        <v>835</v>
      </c>
    </row>
    <row r="80" spans="2:30" ht="15" customHeight="1" x14ac:dyDescent="0.25">
      <c r="B80" s="663" t="s">
        <v>73</v>
      </c>
      <c r="C80" s="673">
        <f>IFERROR(_xlfn.XLOOKUP($G80,COM_Cadastro!$F$3:$F$199,COM_Cadastro!$B$3:$B$199),"")</f>
        <v>44910798000184</v>
      </c>
      <c r="D80" s="674" t="s">
        <v>736</v>
      </c>
      <c r="E80" s="675" t="s">
        <v>406</v>
      </c>
      <c r="F80" s="674" t="s">
        <v>368</v>
      </c>
      <c r="G80" s="663" t="s">
        <v>528</v>
      </c>
      <c r="H80" s="668">
        <v>0</v>
      </c>
      <c r="I80" s="669">
        <v>7808.67</v>
      </c>
      <c r="J80" s="669"/>
      <c r="K80" s="669"/>
      <c r="L80" s="670">
        <f>SUM(H80:K80)</f>
        <v>7808.67</v>
      </c>
      <c r="M80" s="670"/>
      <c r="N80" s="670"/>
      <c r="O80" s="670"/>
      <c r="P80" s="670"/>
      <c r="Q80" s="670"/>
      <c r="R80" s="819"/>
      <c r="S80" s="670">
        <f>SUM(N80:R80)</f>
        <v>0</v>
      </c>
      <c r="T80" s="670">
        <f>L80+M80+S80</f>
        <v>7808.67</v>
      </c>
      <c r="U80" s="820"/>
      <c r="V80" s="820"/>
      <c r="W80" s="820"/>
      <c r="X80" s="820"/>
      <c r="Y80" s="820"/>
      <c r="AA80">
        <v>126</v>
      </c>
      <c r="AB80" t="s">
        <v>368</v>
      </c>
      <c r="AC80" t="s">
        <v>378</v>
      </c>
      <c r="AD80" t="s">
        <v>513</v>
      </c>
    </row>
    <row r="81" spans="2:30" ht="15" customHeight="1" x14ac:dyDescent="0.25">
      <c r="B81" s="663" t="s">
        <v>73</v>
      </c>
      <c r="C81" s="673">
        <f>IFERROR(_xlfn.XLOOKUP($G81,COM_Cadastro!$F$3:$F$199,COM_Cadastro!$B$3:$B$199),"")</f>
        <v>36718905000149</v>
      </c>
      <c r="D81" s="674" t="s">
        <v>736</v>
      </c>
      <c r="E81" s="675" t="s">
        <v>406</v>
      </c>
      <c r="F81" s="674" t="s">
        <v>368</v>
      </c>
      <c r="G81" s="663" t="s">
        <v>901</v>
      </c>
      <c r="H81" s="668">
        <v>6000</v>
      </c>
      <c r="I81" s="669">
        <v>454.64</v>
      </c>
      <c r="J81" s="669"/>
      <c r="K81" s="669"/>
      <c r="L81" s="670">
        <f>SUM(H81:K81)</f>
        <v>6454.64</v>
      </c>
      <c r="M81" s="670"/>
      <c r="N81" s="670"/>
      <c r="O81" s="670"/>
      <c r="P81" s="670"/>
      <c r="Q81" s="670"/>
      <c r="R81" s="819"/>
      <c r="S81" s="670">
        <f>SUM(N81:R81)</f>
        <v>0</v>
      </c>
      <c r="T81" s="670">
        <f>L81+M81+S81</f>
        <v>6454.64</v>
      </c>
      <c r="U81" s="820"/>
      <c r="V81" s="820"/>
      <c r="W81" s="820"/>
      <c r="X81" s="820"/>
      <c r="Y81" s="820"/>
      <c r="AA81">
        <v>129</v>
      </c>
      <c r="AB81" t="s">
        <v>368</v>
      </c>
      <c r="AC81" t="s">
        <v>733</v>
      </c>
      <c r="AD81" t="s">
        <v>793</v>
      </c>
    </row>
    <row r="82" spans="2:30" ht="15" customHeight="1" x14ac:dyDescent="0.25">
      <c r="B82" s="663" t="s">
        <v>73</v>
      </c>
      <c r="C82" s="673">
        <f>IFERROR(_xlfn.XLOOKUP($G82,COM_Cadastro!$F$3:$F$199,COM_Cadastro!$B$3:$B$199),"")</f>
        <v>59754483000162</v>
      </c>
      <c r="D82" s="674" t="s">
        <v>736</v>
      </c>
      <c r="E82" s="675" t="s">
        <v>406</v>
      </c>
      <c r="F82" s="674" t="s">
        <v>371</v>
      </c>
      <c r="G82" s="663" t="s">
        <v>405</v>
      </c>
      <c r="H82" s="668">
        <v>10000</v>
      </c>
      <c r="I82" s="669">
        <v>0</v>
      </c>
      <c r="J82" s="669">
        <v>3000</v>
      </c>
      <c r="K82" s="669"/>
      <c r="L82" s="670">
        <f>SUM(H82:K82)</f>
        <v>13000</v>
      </c>
      <c r="M82" s="670"/>
      <c r="N82" s="670"/>
      <c r="O82" s="670"/>
      <c r="P82" s="670"/>
      <c r="Q82" s="670"/>
      <c r="R82" s="670"/>
      <c r="S82" s="828">
        <f>SUM(N82:R82)</f>
        <v>0</v>
      </c>
      <c r="T82" s="670">
        <f>L82+M82+S82</f>
        <v>13000</v>
      </c>
      <c r="U82" s="820"/>
      <c r="V82" s="820"/>
      <c r="W82" s="820"/>
      <c r="X82" s="820"/>
      <c r="Y82" s="820"/>
      <c r="AA82">
        <v>130</v>
      </c>
      <c r="AB82" t="s">
        <v>374</v>
      </c>
      <c r="AC82" t="s">
        <v>733</v>
      </c>
      <c r="AD82" t="s">
        <v>519</v>
      </c>
    </row>
    <row r="83" spans="2:30" ht="15" customHeight="1" x14ac:dyDescent="0.25">
      <c r="B83" s="663" t="s">
        <v>73</v>
      </c>
      <c r="C83" s="673">
        <f>IFERROR(_xlfn.XLOOKUP($G83,COM_Cadastro!$F$3:$F$199,COM_Cadastro!$B$3:$B$199),"")</f>
        <v>65415166000114</v>
      </c>
      <c r="D83" s="674" t="s">
        <v>736</v>
      </c>
      <c r="E83" s="675" t="s">
        <v>406</v>
      </c>
      <c r="F83" s="674" t="s">
        <v>371</v>
      </c>
      <c r="G83" s="663" t="s">
        <v>426</v>
      </c>
      <c r="H83" s="668">
        <v>4000</v>
      </c>
      <c r="I83" s="669"/>
      <c r="J83" s="669">
        <v>0</v>
      </c>
      <c r="K83" s="669">
        <v>400</v>
      </c>
      <c r="L83" s="670">
        <f>SUM(H83:K83)</f>
        <v>4400</v>
      </c>
      <c r="M83" s="670"/>
      <c r="N83" s="670"/>
      <c r="O83" s="670"/>
      <c r="P83" s="670"/>
      <c r="Q83" s="670"/>
      <c r="R83" s="670"/>
      <c r="S83" s="670">
        <f>SUM(N83:R83)</f>
        <v>0</v>
      </c>
      <c r="T83" s="670">
        <f>L83+M83+S83</f>
        <v>4400</v>
      </c>
      <c r="U83" s="820"/>
      <c r="V83" s="820"/>
      <c r="W83" s="820"/>
      <c r="X83" s="820"/>
      <c r="Y83" s="820"/>
      <c r="AA83">
        <v>133</v>
      </c>
      <c r="AB83" t="s">
        <v>368</v>
      </c>
      <c r="AC83" t="s">
        <v>378</v>
      </c>
      <c r="AD83" t="s">
        <v>757</v>
      </c>
    </row>
    <row r="84" spans="2:30" ht="15" customHeight="1" x14ac:dyDescent="0.25">
      <c r="B84" s="652" t="s">
        <v>73</v>
      </c>
      <c r="C84" s="664">
        <f>IFERROR(_xlfn.XLOOKUP($G84,COM_Cadastro!$F$3:$F$199,COM_Cadastro!$B$3:$B$199),"")</f>
        <v>5462943679</v>
      </c>
      <c r="D84" s="650" t="s">
        <v>733</v>
      </c>
      <c r="E84" s="651" t="s">
        <v>372</v>
      </c>
      <c r="F84" s="650" t="s">
        <v>371</v>
      </c>
      <c r="G84" s="652" t="s">
        <v>370</v>
      </c>
      <c r="H84" s="835">
        <v>1900</v>
      </c>
      <c r="I84" s="835">
        <v>660</v>
      </c>
      <c r="J84" s="835"/>
      <c r="K84" s="835"/>
      <c r="L84" s="836">
        <f>SUM(H84:K84)</f>
        <v>2560</v>
      </c>
      <c r="M84" s="837">
        <f>H84*8%</f>
        <v>152</v>
      </c>
      <c r="N84" s="836">
        <f>H84/12</f>
        <v>158.33333333333334</v>
      </c>
      <c r="O84" s="836">
        <f>N84/3</f>
        <v>52.777777777777779</v>
      </c>
      <c r="P84" s="836">
        <f>(N84+O84)*8%</f>
        <v>16.888888888888889</v>
      </c>
      <c r="Q84" s="838">
        <f>H84/12</f>
        <v>158.33333333333334</v>
      </c>
      <c r="R84" s="838">
        <f>Q84*8%</f>
        <v>12.666666666666668</v>
      </c>
      <c r="S84" s="836">
        <f>SUM(N84:R84)</f>
        <v>399.00000000000006</v>
      </c>
      <c r="T84" s="836">
        <f>L84+M84+S84</f>
        <v>3111</v>
      </c>
      <c r="U84" s="820"/>
      <c r="V84" s="820"/>
      <c r="W84" s="820"/>
      <c r="X84" s="820"/>
      <c r="Y84" s="820"/>
      <c r="AA84">
        <v>134</v>
      </c>
      <c r="AB84" t="s">
        <v>374</v>
      </c>
      <c r="AC84" t="s">
        <v>378</v>
      </c>
      <c r="AD84" t="s">
        <v>779</v>
      </c>
    </row>
    <row r="85" spans="2:30" ht="15" customHeight="1" x14ac:dyDescent="0.25">
      <c r="B85" s="638" t="s">
        <v>73</v>
      </c>
      <c r="C85" s="673">
        <f>IFERROR(_xlfn.XLOOKUP($G85,COM_Cadastro!$F$3:$F$199,COM_Cadastro!$B$3:$B$199),"")</f>
        <v>19095189805</v>
      </c>
      <c r="D85" s="640" t="s">
        <v>733</v>
      </c>
      <c r="E85" s="641" t="s">
        <v>377</v>
      </c>
      <c r="F85" s="640" t="s">
        <v>371</v>
      </c>
      <c r="G85" s="638" t="s">
        <v>379</v>
      </c>
      <c r="H85" s="642">
        <v>1022.73</v>
      </c>
      <c r="I85" s="642"/>
      <c r="J85" s="642"/>
      <c r="K85" s="642">
        <v>270</v>
      </c>
      <c r="L85" s="643">
        <f>SUM(H85:K85)</f>
        <v>1292.73</v>
      </c>
      <c r="M85" s="644">
        <f>H85*8%</f>
        <v>81.818399999999997</v>
      </c>
      <c r="N85" s="643">
        <f>H85/12</f>
        <v>85.227500000000006</v>
      </c>
      <c r="O85" s="643">
        <f>N85/3</f>
        <v>28.409166666666668</v>
      </c>
      <c r="P85" s="643">
        <f>(N85+O85)*8%</f>
        <v>9.090933333333334</v>
      </c>
      <c r="Q85" s="455">
        <f>H85/12</f>
        <v>85.227500000000006</v>
      </c>
      <c r="R85" s="455">
        <f>Q85*8%</f>
        <v>6.8182000000000009</v>
      </c>
      <c r="S85" s="643">
        <f>SUM(N85:R85)</f>
        <v>214.77330000000001</v>
      </c>
      <c r="T85" s="643">
        <f>L85+M85+S85</f>
        <v>1589.3217000000002</v>
      </c>
      <c r="U85" s="820"/>
      <c r="V85" s="820"/>
      <c r="W85" s="820"/>
      <c r="X85" s="820"/>
      <c r="Y85" s="820"/>
      <c r="AA85">
        <v>136</v>
      </c>
      <c r="AB85" t="s">
        <v>371</v>
      </c>
      <c r="AC85" t="s">
        <v>733</v>
      </c>
      <c r="AD85" t="s">
        <v>799</v>
      </c>
    </row>
    <row r="86" spans="2:30" ht="15" customHeight="1" x14ac:dyDescent="0.25">
      <c r="B86" s="638" t="s">
        <v>73</v>
      </c>
      <c r="C86" s="673">
        <f>IFERROR(_xlfn.XLOOKUP($G86,COM_Cadastro!$F$3:$F$199,COM_Cadastro!$B$3:$B$199),"")</f>
        <v>13089833603</v>
      </c>
      <c r="D86" s="640" t="s">
        <v>733</v>
      </c>
      <c r="E86" s="641" t="s">
        <v>377</v>
      </c>
      <c r="F86" s="640" t="s">
        <v>371</v>
      </c>
      <c r="G86" s="638" t="s">
        <v>401</v>
      </c>
      <c r="H86" s="642">
        <v>1780</v>
      </c>
      <c r="I86" s="642"/>
      <c r="J86" s="642">
        <v>796</v>
      </c>
      <c r="K86" s="642">
        <v>540</v>
      </c>
      <c r="L86" s="643">
        <f>SUM(H86:K86)</f>
        <v>3116</v>
      </c>
      <c r="M86" s="644">
        <f>H86*8%</f>
        <v>142.4</v>
      </c>
      <c r="N86" s="643">
        <f>H86/12</f>
        <v>148.33333333333334</v>
      </c>
      <c r="O86" s="643">
        <f>N86/3</f>
        <v>49.44444444444445</v>
      </c>
      <c r="P86" s="643">
        <f>(N86+O86)*8%</f>
        <v>15.822222222222225</v>
      </c>
      <c r="Q86" s="455">
        <f>H86/12</f>
        <v>148.33333333333334</v>
      </c>
      <c r="R86" s="455">
        <f>Q86*8%</f>
        <v>11.866666666666667</v>
      </c>
      <c r="S86" s="643">
        <f>SUM(N86:R86)</f>
        <v>373.80000000000007</v>
      </c>
      <c r="T86" s="643">
        <f>L86+M86+S86</f>
        <v>3632.2000000000003</v>
      </c>
      <c r="U86" s="820"/>
      <c r="V86" s="820"/>
      <c r="W86" s="820"/>
      <c r="X86" s="820"/>
      <c r="Y86" s="820"/>
      <c r="AA86">
        <v>139</v>
      </c>
      <c r="AB86" t="s">
        <v>368</v>
      </c>
      <c r="AC86" t="s">
        <v>378</v>
      </c>
      <c r="AD86" t="s">
        <v>758</v>
      </c>
    </row>
    <row r="87" spans="2:30" ht="15" customHeight="1" x14ac:dyDescent="0.25">
      <c r="B87" s="638" t="s">
        <v>73</v>
      </c>
      <c r="C87" s="673">
        <f>IFERROR(_xlfn.XLOOKUP($G87,COM_Cadastro!$F$3:$F$199,COM_Cadastro!$B$3:$B$199),"")</f>
        <v>70535732651</v>
      </c>
      <c r="D87" s="640" t="s">
        <v>733</v>
      </c>
      <c r="E87" s="641" t="s">
        <v>377</v>
      </c>
      <c r="F87" s="640" t="s">
        <v>371</v>
      </c>
      <c r="G87" s="638" t="s">
        <v>417</v>
      </c>
      <c r="H87" s="642">
        <v>1780</v>
      </c>
      <c r="I87" s="642"/>
      <c r="J87" s="642">
        <v>384</v>
      </c>
      <c r="K87" s="642">
        <v>540</v>
      </c>
      <c r="L87" s="643">
        <f>SUM(H87:K87)</f>
        <v>2704</v>
      </c>
      <c r="M87" s="644">
        <f>H87*8%</f>
        <v>142.4</v>
      </c>
      <c r="N87" s="643">
        <f>H87/12</f>
        <v>148.33333333333334</v>
      </c>
      <c r="O87" s="643">
        <f>N87/3</f>
        <v>49.44444444444445</v>
      </c>
      <c r="P87" s="643">
        <f>(N87+O87)*8%</f>
        <v>15.822222222222225</v>
      </c>
      <c r="Q87" s="455">
        <f>H87/12</f>
        <v>148.33333333333334</v>
      </c>
      <c r="R87" s="455">
        <f>Q87*8%</f>
        <v>11.866666666666667</v>
      </c>
      <c r="S87" s="643">
        <f>SUM(N87:R87)</f>
        <v>373.80000000000007</v>
      </c>
      <c r="T87" s="643">
        <f>L87+M87+S87</f>
        <v>3220.2000000000003</v>
      </c>
      <c r="U87" s="820"/>
      <c r="V87" s="820"/>
      <c r="W87" s="820"/>
      <c r="X87" s="820"/>
      <c r="Y87" s="820"/>
      <c r="AA87">
        <v>140</v>
      </c>
      <c r="AB87" t="s">
        <v>368</v>
      </c>
      <c r="AC87" t="s">
        <v>378</v>
      </c>
      <c r="AD87" t="s">
        <v>803</v>
      </c>
    </row>
    <row r="88" spans="2:30" ht="15" customHeight="1" x14ac:dyDescent="0.25">
      <c r="B88" s="638" t="s">
        <v>73</v>
      </c>
      <c r="C88" s="673">
        <f>IFERROR(_xlfn.XLOOKUP($G88,COM_Cadastro!$F$3:$F$199,COM_Cadastro!$B$3:$B$199),"")</f>
        <v>10517394626</v>
      </c>
      <c r="D88" s="640" t="s">
        <v>733</v>
      </c>
      <c r="E88" s="641" t="s">
        <v>377</v>
      </c>
      <c r="F88" s="640" t="s">
        <v>371</v>
      </c>
      <c r="G88" s="638" t="s">
        <v>887</v>
      </c>
      <c r="H88" s="642">
        <v>1780</v>
      </c>
      <c r="I88" s="642"/>
      <c r="J88" s="642">
        <v>250</v>
      </c>
      <c r="K88" s="642">
        <v>450</v>
      </c>
      <c r="L88" s="643">
        <f>SUM(H88:K88)</f>
        <v>2480</v>
      </c>
      <c r="M88" s="644">
        <f>H88*8%</f>
        <v>142.4</v>
      </c>
      <c r="N88" s="643">
        <f>H88/12</f>
        <v>148.33333333333334</v>
      </c>
      <c r="O88" s="643">
        <f>N88/3</f>
        <v>49.44444444444445</v>
      </c>
      <c r="P88" s="643">
        <f>(N88+O88)*8%</f>
        <v>15.822222222222225</v>
      </c>
      <c r="Q88" s="455">
        <f>H88/12</f>
        <v>148.33333333333334</v>
      </c>
      <c r="R88" s="455">
        <f>Q88*8%</f>
        <v>11.866666666666667</v>
      </c>
      <c r="S88" s="643">
        <f>SUM(N88:R88)</f>
        <v>373.80000000000007</v>
      </c>
      <c r="T88" s="643">
        <f>L88+M88+S88</f>
        <v>2996.2000000000003</v>
      </c>
      <c r="U88" s="820"/>
      <c r="V88" s="820"/>
      <c r="W88" s="820"/>
      <c r="X88" s="820"/>
      <c r="Y88" s="820"/>
      <c r="AA88">
        <v>141</v>
      </c>
      <c r="AB88" t="s">
        <v>371</v>
      </c>
      <c r="AC88" t="s">
        <v>733</v>
      </c>
      <c r="AD88" t="s">
        <v>686</v>
      </c>
    </row>
    <row r="89" spans="2:30" ht="15" customHeight="1" x14ac:dyDescent="0.25">
      <c r="B89" s="638" t="s">
        <v>73</v>
      </c>
      <c r="C89" s="673">
        <f>IFERROR(_xlfn.XLOOKUP($G89,COM_Cadastro!$F$3:$F$199,COM_Cadastro!$B$3:$B$199),"")</f>
        <v>53071783876</v>
      </c>
      <c r="D89" s="640" t="s">
        <v>733</v>
      </c>
      <c r="E89" s="641" t="s">
        <v>377</v>
      </c>
      <c r="F89" s="640" t="s">
        <v>371</v>
      </c>
      <c r="G89" s="638" t="s">
        <v>888</v>
      </c>
      <c r="H89" s="642">
        <v>1780</v>
      </c>
      <c r="I89" s="642"/>
      <c r="J89" s="642">
        <v>567</v>
      </c>
      <c r="K89" s="642">
        <v>472.5</v>
      </c>
      <c r="L89" s="643">
        <f>SUM(H89:K89)</f>
        <v>2819.5</v>
      </c>
      <c r="M89" s="644">
        <f>H89*8%</f>
        <v>142.4</v>
      </c>
      <c r="N89" s="643">
        <f>H89/12</f>
        <v>148.33333333333334</v>
      </c>
      <c r="O89" s="643">
        <f>N89/3</f>
        <v>49.44444444444445</v>
      </c>
      <c r="P89" s="643">
        <f>(N89+O89)*8%</f>
        <v>15.822222222222225</v>
      </c>
      <c r="Q89" s="455">
        <f>H89/12</f>
        <v>148.33333333333334</v>
      </c>
      <c r="R89" s="455">
        <f>Q89*8%</f>
        <v>11.866666666666667</v>
      </c>
      <c r="S89" s="643">
        <f>SUM(N89:R89)</f>
        <v>373.80000000000007</v>
      </c>
      <c r="T89" s="643">
        <f>L89+M89+S89</f>
        <v>3335.7000000000003</v>
      </c>
      <c r="U89" s="820"/>
      <c r="V89" s="820"/>
      <c r="W89" s="820"/>
      <c r="X89" s="820"/>
      <c r="Y89" s="820"/>
      <c r="AA89">
        <v>143</v>
      </c>
      <c r="AB89" t="s">
        <v>374</v>
      </c>
      <c r="AC89" t="s">
        <v>734</v>
      </c>
      <c r="AD89" t="s">
        <v>538</v>
      </c>
    </row>
    <row r="90" spans="2:30" ht="15" customHeight="1" x14ac:dyDescent="0.25">
      <c r="B90" s="638" t="s">
        <v>73</v>
      </c>
      <c r="C90" s="673">
        <f>IFERROR(_xlfn.XLOOKUP($G90,COM_Cadastro!$F$3:$F$199,COM_Cadastro!$B$3:$B$199),"")</f>
        <v>9723473640</v>
      </c>
      <c r="D90" s="640" t="s">
        <v>733</v>
      </c>
      <c r="E90" s="641" t="s">
        <v>377</v>
      </c>
      <c r="F90" s="640" t="s">
        <v>371</v>
      </c>
      <c r="G90" s="638" t="s">
        <v>902</v>
      </c>
      <c r="H90" s="642">
        <v>1780</v>
      </c>
      <c r="I90" s="642"/>
      <c r="J90" s="642">
        <v>777.6</v>
      </c>
      <c r="K90" s="642">
        <v>540</v>
      </c>
      <c r="L90" s="643">
        <f>SUM(H90:K90)</f>
        <v>3097.6</v>
      </c>
      <c r="M90" s="644">
        <f>H90*8%</f>
        <v>142.4</v>
      </c>
      <c r="N90" s="643">
        <f>H90/12</f>
        <v>148.33333333333334</v>
      </c>
      <c r="O90" s="643">
        <f>N90/3</f>
        <v>49.44444444444445</v>
      </c>
      <c r="P90" s="643">
        <f>(N90+O90)*8%</f>
        <v>15.822222222222225</v>
      </c>
      <c r="Q90" s="455">
        <f>H90/12</f>
        <v>148.33333333333334</v>
      </c>
      <c r="R90" s="455">
        <f>Q90*8%</f>
        <v>11.866666666666667</v>
      </c>
      <c r="S90" s="643">
        <f>SUM(N90:R90)</f>
        <v>373.80000000000007</v>
      </c>
      <c r="T90" s="643">
        <f>L90+M90+S90</f>
        <v>3613.8</v>
      </c>
      <c r="U90" s="820"/>
      <c r="V90" s="820"/>
      <c r="W90" s="820"/>
      <c r="X90" s="820"/>
      <c r="Y90" s="820"/>
      <c r="AA90">
        <v>144</v>
      </c>
      <c r="AB90" t="s">
        <v>374</v>
      </c>
      <c r="AC90" t="s">
        <v>734</v>
      </c>
      <c r="AD90" t="s">
        <v>836</v>
      </c>
    </row>
    <row r="91" spans="2:30" ht="15" customHeight="1" x14ac:dyDescent="0.25">
      <c r="B91" s="638" t="s">
        <v>73</v>
      </c>
      <c r="C91" s="673">
        <f>IFERROR(_xlfn.XLOOKUP($G91,COM_Cadastro!$F$3:$F$199,COM_Cadastro!$B$3:$B$199),"")</f>
        <v>14049152657</v>
      </c>
      <c r="D91" s="640" t="s">
        <v>733</v>
      </c>
      <c r="E91" s="641" t="s">
        <v>377</v>
      </c>
      <c r="F91" s="640" t="s">
        <v>371</v>
      </c>
      <c r="G91" s="638" t="s">
        <v>889</v>
      </c>
      <c r="H91" s="642">
        <v>1780</v>
      </c>
      <c r="I91" s="642"/>
      <c r="J91" s="642">
        <v>396</v>
      </c>
      <c r="K91" s="642">
        <v>495</v>
      </c>
      <c r="L91" s="643">
        <f>SUM(H91:K91)</f>
        <v>2671</v>
      </c>
      <c r="M91" s="644">
        <f>H91*8%</f>
        <v>142.4</v>
      </c>
      <c r="N91" s="643">
        <f>H91/12</f>
        <v>148.33333333333334</v>
      </c>
      <c r="O91" s="643">
        <f>N91/3</f>
        <v>49.44444444444445</v>
      </c>
      <c r="P91" s="643">
        <f>(N91+O91)*8%</f>
        <v>15.822222222222225</v>
      </c>
      <c r="Q91" s="455">
        <f>H91/12</f>
        <v>148.33333333333334</v>
      </c>
      <c r="R91" s="455">
        <f>Q91*8%</f>
        <v>11.866666666666667</v>
      </c>
      <c r="S91" s="643">
        <f>SUM(N91:R91)</f>
        <v>373.80000000000007</v>
      </c>
      <c r="T91" s="643">
        <f>L91+M91+S91</f>
        <v>3187.2000000000003</v>
      </c>
      <c r="U91" s="820"/>
      <c r="V91" s="820"/>
      <c r="W91" s="820"/>
      <c r="X91" s="820"/>
      <c r="Y91" s="820"/>
      <c r="AA91">
        <v>147</v>
      </c>
      <c r="AB91" t="s">
        <v>368</v>
      </c>
      <c r="AC91" t="s">
        <v>378</v>
      </c>
      <c r="AD91" t="s">
        <v>759</v>
      </c>
    </row>
    <row r="92" spans="2:30" ht="15" customHeight="1" x14ac:dyDescent="0.25">
      <c r="B92" s="638" t="s">
        <v>73</v>
      </c>
      <c r="C92" s="834" t="str">
        <f>IFERROR(_xlfn.XLOOKUP($G92,COM_Cadastro!$F$3:$F$199,COM_Cadastro!$B$3:$B$199),"")</f>
        <v>156.547.917-37</v>
      </c>
      <c r="D92" s="640" t="s">
        <v>733</v>
      </c>
      <c r="E92" s="641" t="s">
        <v>377</v>
      </c>
      <c r="F92" s="640" t="s">
        <v>371</v>
      </c>
      <c r="G92" s="638" t="s">
        <v>498</v>
      </c>
      <c r="H92" s="642">
        <v>593.33000000000004</v>
      </c>
      <c r="I92" s="642"/>
      <c r="J92" s="642">
        <v>546</v>
      </c>
      <c r="K92" s="642">
        <v>540</v>
      </c>
      <c r="L92" s="643">
        <f>SUM(H92:K92)</f>
        <v>1679.33</v>
      </c>
      <c r="M92" s="644">
        <f>H92*8%</f>
        <v>47.466400000000007</v>
      </c>
      <c r="N92" s="643">
        <f>H92/12</f>
        <v>49.444166666666668</v>
      </c>
      <c r="O92" s="643">
        <f>N92/3</f>
        <v>16.48138888888889</v>
      </c>
      <c r="P92" s="643">
        <f>(N92+O92)*8%</f>
        <v>5.2740444444444448</v>
      </c>
      <c r="Q92" s="455">
        <f>H92/12</f>
        <v>49.444166666666668</v>
      </c>
      <c r="R92" s="455">
        <f>Q92*8%</f>
        <v>3.9555333333333333</v>
      </c>
      <c r="S92" s="643">
        <f>SUM(N92:R92)</f>
        <v>124.5993</v>
      </c>
      <c r="T92" s="643">
        <f>L92+M92+S92</f>
        <v>1851.3957</v>
      </c>
      <c r="U92" s="820"/>
      <c r="V92" s="820"/>
      <c r="W92" s="820"/>
      <c r="X92" s="820"/>
      <c r="Y92" s="820"/>
      <c r="AA92">
        <v>148</v>
      </c>
      <c r="AB92" t="s">
        <v>371</v>
      </c>
      <c r="AC92" t="s">
        <v>378</v>
      </c>
      <c r="AD92" t="s">
        <v>769</v>
      </c>
    </row>
    <row r="93" spans="2:30" ht="15" customHeight="1" x14ac:dyDescent="0.25">
      <c r="B93" s="638" t="s">
        <v>73</v>
      </c>
      <c r="C93" s="673">
        <f>IFERROR(_xlfn.XLOOKUP($G93,COM_Cadastro!$F$3:$F$199,COM_Cadastro!$B$3:$B$199),"")</f>
        <v>5643665603</v>
      </c>
      <c r="D93" s="640" t="s">
        <v>733</v>
      </c>
      <c r="E93" s="641" t="s">
        <v>377</v>
      </c>
      <c r="F93" s="640" t="s">
        <v>371</v>
      </c>
      <c r="G93" s="638" t="s">
        <v>502</v>
      </c>
      <c r="H93" s="642">
        <v>1780</v>
      </c>
      <c r="I93" s="642"/>
      <c r="J93" s="642">
        <v>252</v>
      </c>
      <c r="K93" s="642">
        <v>540</v>
      </c>
      <c r="L93" s="643">
        <f>SUM(H93:K93)</f>
        <v>2572</v>
      </c>
      <c r="M93" s="644">
        <f>H93*8%</f>
        <v>142.4</v>
      </c>
      <c r="N93" s="643">
        <f>H93/12</f>
        <v>148.33333333333334</v>
      </c>
      <c r="O93" s="643">
        <f>N93/3</f>
        <v>49.44444444444445</v>
      </c>
      <c r="P93" s="643">
        <f>(N93+O93)*8%</f>
        <v>15.822222222222225</v>
      </c>
      <c r="Q93" s="455">
        <f>H93/12</f>
        <v>148.33333333333334</v>
      </c>
      <c r="R93" s="455">
        <f>Q93*8%</f>
        <v>11.866666666666667</v>
      </c>
      <c r="S93" s="643">
        <f>SUM(N93:R93)</f>
        <v>373.80000000000007</v>
      </c>
      <c r="T93" s="643">
        <f>L93+M93+S93</f>
        <v>3088.2000000000003</v>
      </c>
      <c r="U93" s="820"/>
      <c r="V93" s="820"/>
      <c r="W93" s="820"/>
      <c r="X93" s="820"/>
      <c r="Y93" s="820"/>
      <c r="AA93">
        <v>149</v>
      </c>
      <c r="AB93" t="s">
        <v>368</v>
      </c>
      <c r="AC93" t="s">
        <v>734</v>
      </c>
      <c r="AD93" t="s">
        <v>823</v>
      </c>
    </row>
    <row r="94" spans="2:30" ht="15" customHeight="1" x14ac:dyDescent="0.25">
      <c r="B94" s="638" t="s">
        <v>73</v>
      </c>
      <c r="C94" s="673">
        <f>IFERROR(_xlfn.XLOOKUP($G94,COM_Cadastro!$F$3:$F$199,COM_Cadastro!$B$3:$B$199),"")</f>
        <v>10070875600</v>
      </c>
      <c r="D94" s="640" t="s">
        <v>733</v>
      </c>
      <c r="E94" s="641" t="s">
        <v>377</v>
      </c>
      <c r="F94" s="640" t="s">
        <v>371</v>
      </c>
      <c r="G94" s="638" t="s">
        <v>509</v>
      </c>
      <c r="H94" s="642">
        <v>1780</v>
      </c>
      <c r="I94" s="642"/>
      <c r="J94" s="642">
        <v>390</v>
      </c>
      <c r="K94" s="642">
        <v>540</v>
      </c>
      <c r="L94" s="643">
        <f>SUM(H94:K94)</f>
        <v>2710</v>
      </c>
      <c r="M94" s="644">
        <f>H94*8%</f>
        <v>142.4</v>
      </c>
      <c r="N94" s="643">
        <f>H94/12</f>
        <v>148.33333333333334</v>
      </c>
      <c r="O94" s="643">
        <f>N94/3</f>
        <v>49.44444444444445</v>
      </c>
      <c r="P94" s="643">
        <f>(N94+O94)*8%</f>
        <v>15.822222222222225</v>
      </c>
      <c r="Q94" s="455">
        <f>H94/12</f>
        <v>148.33333333333334</v>
      </c>
      <c r="R94" s="455">
        <f>Q94*8%</f>
        <v>11.866666666666667</v>
      </c>
      <c r="S94" s="643">
        <f>SUM(N94:R94)</f>
        <v>373.80000000000007</v>
      </c>
      <c r="T94" s="643">
        <f>L94+M94+S94</f>
        <v>3226.2000000000003</v>
      </c>
      <c r="U94" s="820"/>
      <c r="V94" s="820"/>
      <c r="W94" s="820"/>
      <c r="X94" s="820"/>
      <c r="Y94" s="820"/>
      <c r="AA94">
        <v>150</v>
      </c>
      <c r="AB94" t="s">
        <v>376</v>
      </c>
      <c r="AC94" t="s">
        <v>733</v>
      </c>
      <c r="AD94" t="s">
        <v>673</v>
      </c>
    </row>
    <row r="95" spans="2:30" ht="15" customHeight="1" x14ac:dyDescent="0.25">
      <c r="B95" s="652" t="s">
        <v>73</v>
      </c>
      <c r="C95" s="664">
        <f>IFERROR(_xlfn.XLOOKUP($G95,COM_Cadastro!$F$3:$F$199,COM_Cadastro!$B$3:$B$199),"")</f>
        <v>13598158645</v>
      </c>
      <c r="D95" s="650" t="s">
        <v>733</v>
      </c>
      <c r="E95" s="651" t="s">
        <v>377</v>
      </c>
      <c r="F95" s="650" t="s">
        <v>371</v>
      </c>
      <c r="G95" s="652" t="s">
        <v>511</v>
      </c>
      <c r="H95" s="835">
        <v>1622</v>
      </c>
      <c r="I95" s="835"/>
      <c r="J95" s="835">
        <v>0</v>
      </c>
      <c r="K95" s="835">
        <v>0</v>
      </c>
      <c r="L95" s="836">
        <f>SUM(H95:K95)</f>
        <v>1622</v>
      </c>
      <c r="M95" s="837">
        <f>H95*8%</f>
        <v>129.76</v>
      </c>
      <c r="N95" s="836">
        <f>H95/12</f>
        <v>135.16666666666666</v>
      </c>
      <c r="O95" s="836">
        <f>N95/3</f>
        <v>45.05555555555555</v>
      </c>
      <c r="P95" s="836">
        <f>(N95+O95)*8%</f>
        <v>14.417777777777776</v>
      </c>
      <c r="Q95" s="838">
        <f>H95/12</f>
        <v>135.16666666666666</v>
      </c>
      <c r="R95" s="838">
        <f>Q95*8%</f>
        <v>10.813333333333333</v>
      </c>
      <c r="S95" s="836">
        <f>SUM(N95:R95)</f>
        <v>340.61999999999995</v>
      </c>
      <c r="T95" s="836">
        <f>L95+M95+S95</f>
        <v>2092.38</v>
      </c>
      <c r="U95" s="820"/>
      <c r="V95" s="820"/>
      <c r="W95" s="820"/>
      <c r="X95" s="820"/>
      <c r="Y95" s="820"/>
      <c r="AA95">
        <v>151</v>
      </c>
      <c r="AB95" t="s">
        <v>368</v>
      </c>
      <c r="AC95" t="s">
        <v>734</v>
      </c>
      <c r="AD95" t="s">
        <v>547</v>
      </c>
    </row>
    <row r="96" spans="2:30" ht="15" customHeight="1" x14ac:dyDescent="0.25">
      <c r="B96" s="638" t="s">
        <v>73</v>
      </c>
      <c r="C96" s="673">
        <f>IFERROR(_xlfn.XLOOKUP($G96,COM_Cadastro!$F$3:$F$199,COM_Cadastro!$B$3:$B$199),"")</f>
        <v>11057664626</v>
      </c>
      <c r="D96" s="640" t="s">
        <v>733</v>
      </c>
      <c r="E96" s="641" t="s">
        <v>377</v>
      </c>
      <c r="F96" s="640" t="s">
        <v>371</v>
      </c>
      <c r="G96" s="638" t="s">
        <v>526</v>
      </c>
      <c r="H96" s="642">
        <v>1780</v>
      </c>
      <c r="I96" s="642"/>
      <c r="J96" s="642">
        <v>499.2</v>
      </c>
      <c r="K96" s="642">
        <v>540</v>
      </c>
      <c r="L96" s="643">
        <f>SUM(H96:K96)</f>
        <v>2819.2</v>
      </c>
      <c r="M96" s="644">
        <f>H96*8%</f>
        <v>142.4</v>
      </c>
      <c r="N96" s="643">
        <f>H96/12</f>
        <v>148.33333333333334</v>
      </c>
      <c r="O96" s="643">
        <f>N96/3</f>
        <v>49.44444444444445</v>
      </c>
      <c r="P96" s="643">
        <f>(N96+O96)*8%</f>
        <v>15.822222222222225</v>
      </c>
      <c r="Q96" s="455">
        <f>H96/12</f>
        <v>148.33333333333334</v>
      </c>
      <c r="R96" s="455">
        <f>Q96*8%</f>
        <v>11.866666666666667</v>
      </c>
      <c r="S96" s="643">
        <f>SUM(N96:R96)</f>
        <v>373.80000000000007</v>
      </c>
      <c r="T96" s="643">
        <f>L96+M96+S96</f>
        <v>3335.4</v>
      </c>
      <c r="U96" s="820"/>
      <c r="V96" s="820"/>
      <c r="W96" s="820"/>
      <c r="X96" s="820"/>
      <c r="Y96" s="820"/>
      <c r="AA96">
        <v>152</v>
      </c>
      <c r="AB96" t="s">
        <v>368</v>
      </c>
      <c r="AC96" t="s">
        <v>736</v>
      </c>
      <c r="AD96" t="s">
        <v>552</v>
      </c>
    </row>
    <row r="97" spans="2:30" ht="15" customHeight="1" x14ac:dyDescent="0.25">
      <c r="B97" s="638" t="s">
        <v>73</v>
      </c>
      <c r="C97" s="673">
        <f>IFERROR(_xlfn.XLOOKUP($G97,COM_Cadastro!$F$3:$F$199,COM_Cadastro!$B$3:$B$199),"")</f>
        <v>153059613</v>
      </c>
      <c r="D97" s="640" t="s">
        <v>733</v>
      </c>
      <c r="E97" s="641" t="s">
        <v>377</v>
      </c>
      <c r="F97" s="640" t="s">
        <v>371</v>
      </c>
      <c r="G97" s="638" t="s">
        <v>534</v>
      </c>
      <c r="H97" s="642">
        <v>1780</v>
      </c>
      <c r="I97" s="642"/>
      <c r="J97" s="642">
        <v>575</v>
      </c>
      <c r="K97" s="642">
        <v>517.5</v>
      </c>
      <c r="L97" s="643">
        <f>SUM(H97:K97)</f>
        <v>2872.5</v>
      </c>
      <c r="M97" s="644">
        <f>H97*8%</f>
        <v>142.4</v>
      </c>
      <c r="N97" s="643">
        <f>H97/12</f>
        <v>148.33333333333334</v>
      </c>
      <c r="O97" s="643">
        <f>N97/3</f>
        <v>49.44444444444445</v>
      </c>
      <c r="P97" s="643">
        <f>(N97+O97)*8%</f>
        <v>15.822222222222225</v>
      </c>
      <c r="Q97" s="455">
        <f>H97/12</f>
        <v>148.33333333333334</v>
      </c>
      <c r="R97" s="455">
        <f>Q97*8%</f>
        <v>11.866666666666667</v>
      </c>
      <c r="S97" s="643">
        <f>SUM(N97:R97)</f>
        <v>373.80000000000007</v>
      </c>
      <c r="T97" s="643">
        <f>L97+M97+S97</f>
        <v>3388.7000000000003</v>
      </c>
      <c r="U97" s="820"/>
      <c r="V97" s="820"/>
      <c r="W97" s="820"/>
      <c r="X97" s="820"/>
      <c r="Y97" s="820"/>
      <c r="AA97">
        <v>154</v>
      </c>
      <c r="AB97" t="s">
        <v>368</v>
      </c>
      <c r="AC97" t="s">
        <v>734</v>
      </c>
      <c r="AD97" t="s">
        <v>824</v>
      </c>
    </row>
    <row r="98" spans="2:30" ht="15" customHeight="1" x14ac:dyDescent="0.25">
      <c r="B98" s="638" t="s">
        <v>73</v>
      </c>
      <c r="C98" s="673">
        <f>IFERROR(_xlfn.XLOOKUP($G98,COM_Cadastro!$F$3:$F$199,COM_Cadastro!$B$3:$B$199),"")</f>
        <v>9707826673</v>
      </c>
      <c r="D98" s="640" t="s">
        <v>733</v>
      </c>
      <c r="E98" s="641" t="s">
        <v>800</v>
      </c>
      <c r="F98" s="640" t="s">
        <v>371</v>
      </c>
      <c r="G98" s="638" t="s">
        <v>569</v>
      </c>
      <c r="H98" s="642">
        <v>4000</v>
      </c>
      <c r="I98" s="642"/>
      <c r="J98" s="642">
        <v>1049.5899999999999</v>
      </c>
      <c r="K98" s="642">
        <v>540</v>
      </c>
      <c r="L98" s="643">
        <f>SUM(H98:K98)</f>
        <v>5589.59</v>
      </c>
      <c r="M98" s="644">
        <f>H98*8%</f>
        <v>320</v>
      </c>
      <c r="N98" s="643">
        <f>H98/12</f>
        <v>333.33333333333331</v>
      </c>
      <c r="O98" s="643">
        <f>N98/3</f>
        <v>111.1111111111111</v>
      </c>
      <c r="P98" s="643">
        <f>(N98+O98)*8%</f>
        <v>35.55555555555555</v>
      </c>
      <c r="Q98" s="455">
        <f>H98/12</f>
        <v>333.33333333333331</v>
      </c>
      <c r="R98" s="455">
        <f>Q98*8%</f>
        <v>26.666666666666664</v>
      </c>
      <c r="S98" s="643">
        <f>SUM(N98:R98)</f>
        <v>839.99999999999989</v>
      </c>
      <c r="T98" s="643">
        <f>L98+M98+S98</f>
        <v>6749.59</v>
      </c>
      <c r="U98" s="820"/>
      <c r="V98" s="820"/>
      <c r="W98" s="820"/>
      <c r="X98" s="820"/>
      <c r="Y98" s="820"/>
      <c r="AA98">
        <v>155</v>
      </c>
      <c r="AB98" t="s">
        <v>368</v>
      </c>
      <c r="AC98" t="s">
        <v>733</v>
      </c>
      <c r="AD98" t="s">
        <v>555</v>
      </c>
    </row>
    <row r="99" spans="2:30" ht="15" customHeight="1" x14ac:dyDescent="0.25">
      <c r="B99" s="638" t="s">
        <v>73</v>
      </c>
      <c r="C99" s="673">
        <f>IFERROR(_xlfn.XLOOKUP($G99,COM_Cadastro!$F$3:$F$199,COM_Cadastro!$B$3:$B$199),"")</f>
        <v>13792187647</v>
      </c>
      <c r="D99" s="640" t="s">
        <v>733</v>
      </c>
      <c r="E99" s="641" t="s">
        <v>377</v>
      </c>
      <c r="F99" s="640" t="s">
        <v>371</v>
      </c>
      <c r="G99" s="638" t="s">
        <v>598</v>
      </c>
      <c r="H99" s="642">
        <v>1622</v>
      </c>
      <c r="I99" s="642"/>
      <c r="J99" s="642">
        <v>628</v>
      </c>
      <c r="K99" s="642">
        <v>540</v>
      </c>
      <c r="L99" s="643">
        <f>SUM(H99:K99)</f>
        <v>2790</v>
      </c>
      <c r="M99" s="644">
        <f>H99*8%</f>
        <v>129.76</v>
      </c>
      <c r="N99" s="643">
        <f>H99/12</f>
        <v>135.16666666666666</v>
      </c>
      <c r="O99" s="643">
        <f>N99/3</f>
        <v>45.05555555555555</v>
      </c>
      <c r="P99" s="643">
        <f>(N99+O99)*8%</f>
        <v>14.417777777777776</v>
      </c>
      <c r="Q99" s="455">
        <f>H99/12</f>
        <v>135.16666666666666</v>
      </c>
      <c r="R99" s="455">
        <f>Q99*8%</f>
        <v>10.813333333333333</v>
      </c>
      <c r="S99" s="643">
        <f>SUM(N99:R99)</f>
        <v>340.61999999999995</v>
      </c>
      <c r="T99" s="643">
        <f>L99+M99+S99</f>
        <v>3260.38</v>
      </c>
      <c r="U99" s="820"/>
      <c r="V99" s="820"/>
      <c r="W99" s="820"/>
      <c r="X99" s="820"/>
      <c r="Y99" s="820"/>
      <c r="AA99">
        <v>157</v>
      </c>
      <c r="AB99" t="s">
        <v>368</v>
      </c>
      <c r="AC99" t="s">
        <v>378</v>
      </c>
      <c r="AD99" t="s">
        <v>760</v>
      </c>
    </row>
    <row r="100" spans="2:30" ht="15" customHeight="1" x14ac:dyDescent="0.25">
      <c r="B100" s="638" t="s">
        <v>73</v>
      </c>
      <c r="C100" s="673">
        <f>IFERROR(_xlfn.XLOOKUP($G100,COM_Cadastro!$F$3:$F$199,COM_Cadastro!$B$3:$B$199),"")</f>
        <v>4779942616</v>
      </c>
      <c r="D100" s="640" t="s">
        <v>733</v>
      </c>
      <c r="E100" s="641" t="s">
        <v>372</v>
      </c>
      <c r="F100" s="640" t="s">
        <v>371</v>
      </c>
      <c r="G100" s="638" t="s">
        <v>601</v>
      </c>
      <c r="H100" s="642">
        <v>2620</v>
      </c>
      <c r="I100" s="642"/>
      <c r="J100" s="642">
        <v>420</v>
      </c>
      <c r="K100" s="642">
        <v>540</v>
      </c>
      <c r="L100" s="643">
        <f>SUM(H100:K100)</f>
        <v>3580</v>
      </c>
      <c r="M100" s="644">
        <f>H100*8%</f>
        <v>209.6</v>
      </c>
      <c r="N100" s="643">
        <f>H100/12</f>
        <v>218.33333333333334</v>
      </c>
      <c r="O100" s="643">
        <f>N100/3</f>
        <v>72.777777777777786</v>
      </c>
      <c r="P100" s="643">
        <f>(N100+O100)*8%</f>
        <v>23.288888888888891</v>
      </c>
      <c r="Q100" s="455">
        <f>H100/12</f>
        <v>218.33333333333334</v>
      </c>
      <c r="R100" s="455">
        <f>Q100*8%</f>
        <v>17.466666666666669</v>
      </c>
      <c r="S100" s="643">
        <f>SUM(N100:R100)</f>
        <v>550.20000000000005</v>
      </c>
      <c r="T100" s="643">
        <f>L100+M100+S100</f>
        <v>4339.8</v>
      </c>
      <c r="U100" s="820"/>
      <c r="V100" s="820"/>
      <c r="W100" s="820"/>
      <c r="X100" s="820"/>
      <c r="Y100" s="820"/>
      <c r="AA100">
        <v>158</v>
      </c>
      <c r="AB100" t="s">
        <v>371</v>
      </c>
      <c r="AC100" t="s">
        <v>378</v>
      </c>
      <c r="AD100" t="s">
        <v>775</v>
      </c>
    </row>
    <row r="101" spans="2:30" ht="15" customHeight="1" x14ac:dyDescent="0.25">
      <c r="B101" s="638" t="s">
        <v>73</v>
      </c>
      <c r="C101" s="673">
        <f>IFERROR(_xlfn.XLOOKUP($G101,COM_Cadastro!$F$3:$F$199,COM_Cadastro!$B$3:$B$199),"")</f>
        <v>73405426634</v>
      </c>
      <c r="D101" s="640" t="s">
        <v>733</v>
      </c>
      <c r="E101" s="641" t="s">
        <v>377</v>
      </c>
      <c r="F101" s="640" t="s">
        <v>371</v>
      </c>
      <c r="G101" s="638" t="s">
        <v>602</v>
      </c>
      <c r="H101" s="642">
        <v>1780</v>
      </c>
      <c r="I101" s="642"/>
      <c r="J101" s="642">
        <v>441.6</v>
      </c>
      <c r="K101" s="642">
        <v>540</v>
      </c>
      <c r="L101" s="643">
        <f>SUM(H101:K101)</f>
        <v>2761.6</v>
      </c>
      <c r="M101" s="644">
        <f>H101*8%</f>
        <v>142.4</v>
      </c>
      <c r="N101" s="643">
        <f>H101/12</f>
        <v>148.33333333333334</v>
      </c>
      <c r="O101" s="643">
        <f>N101/3</f>
        <v>49.44444444444445</v>
      </c>
      <c r="P101" s="643">
        <f>(N101+O101)*8%</f>
        <v>15.822222222222225</v>
      </c>
      <c r="Q101" s="455">
        <f>H101/12</f>
        <v>148.33333333333334</v>
      </c>
      <c r="R101" s="455">
        <f>Q101*8%</f>
        <v>11.866666666666667</v>
      </c>
      <c r="S101" s="643">
        <f>SUM(N101:R101)</f>
        <v>373.80000000000007</v>
      </c>
      <c r="T101" s="643">
        <f>L101+M101+S101</f>
        <v>3277.8</v>
      </c>
      <c r="U101" s="820"/>
      <c r="V101" s="820"/>
      <c r="W101" s="820"/>
      <c r="X101" s="820"/>
      <c r="Y101" s="820"/>
      <c r="AA101">
        <v>159</v>
      </c>
      <c r="AB101" t="s">
        <v>376</v>
      </c>
      <c r="AC101" t="s">
        <v>733</v>
      </c>
      <c r="AD101" t="s">
        <v>563</v>
      </c>
    </row>
    <row r="102" spans="2:30" ht="15" customHeight="1" x14ac:dyDescent="0.25">
      <c r="B102" s="638" t="s">
        <v>73</v>
      </c>
      <c r="C102" s="673">
        <f>IFERROR(_xlfn.XLOOKUP($G102,COM_Cadastro!$F$3:$F$199,COM_Cadastro!$B$3:$B$199),"")</f>
        <v>2197580698</v>
      </c>
      <c r="D102" s="640" t="s">
        <v>733</v>
      </c>
      <c r="E102" s="641" t="s">
        <v>377</v>
      </c>
      <c r="F102" s="640" t="s">
        <v>371</v>
      </c>
      <c r="G102" s="638" t="s">
        <v>610</v>
      </c>
      <c r="H102" s="642">
        <v>890</v>
      </c>
      <c r="I102" s="642"/>
      <c r="J102" s="642">
        <v>136.80000000000001</v>
      </c>
      <c r="K102" s="642">
        <v>270</v>
      </c>
      <c r="L102" s="643">
        <f>SUM(H102:K102)</f>
        <v>1296.8</v>
      </c>
      <c r="M102" s="644">
        <f>H102*8%</f>
        <v>71.2</v>
      </c>
      <c r="N102" s="643">
        <f>H102/12</f>
        <v>74.166666666666671</v>
      </c>
      <c r="O102" s="643">
        <f>N102/3</f>
        <v>24.722222222222225</v>
      </c>
      <c r="P102" s="643">
        <f>(N102+O102)*8%</f>
        <v>7.9111111111111123</v>
      </c>
      <c r="Q102" s="455">
        <f>H102/12</f>
        <v>74.166666666666671</v>
      </c>
      <c r="R102" s="455">
        <f>Q102*8%</f>
        <v>5.9333333333333336</v>
      </c>
      <c r="S102" s="643">
        <f>SUM(N102:R102)</f>
        <v>186.90000000000003</v>
      </c>
      <c r="T102" s="643">
        <f>L102+M102+S102</f>
        <v>1554.9</v>
      </c>
      <c r="U102" s="820"/>
      <c r="V102" s="820"/>
      <c r="W102" s="820"/>
      <c r="X102" s="820"/>
      <c r="Y102" s="820"/>
      <c r="AA102">
        <v>163</v>
      </c>
      <c r="AB102" t="s">
        <v>376</v>
      </c>
      <c r="AC102" t="s">
        <v>733</v>
      </c>
      <c r="AD102" t="s">
        <v>743</v>
      </c>
    </row>
    <row r="103" spans="2:30" ht="15" customHeight="1" x14ac:dyDescent="0.25">
      <c r="B103" s="638" t="s">
        <v>73</v>
      </c>
      <c r="C103" s="673">
        <f>IFERROR(_xlfn.XLOOKUP($G103,COM_Cadastro!$F$3:$F$199,COM_Cadastro!$B$3:$B$199),"")</f>
        <v>11331602637</v>
      </c>
      <c r="D103" s="640" t="s">
        <v>733</v>
      </c>
      <c r="E103" s="641" t="s">
        <v>377</v>
      </c>
      <c r="F103" s="640" t="s">
        <v>371</v>
      </c>
      <c r="G103" s="638" t="s">
        <v>611</v>
      </c>
      <c r="H103" s="642">
        <v>1900</v>
      </c>
      <c r="I103" s="642"/>
      <c r="J103" s="642">
        <v>387.6</v>
      </c>
      <c r="K103" s="642">
        <v>540</v>
      </c>
      <c r="L103" s="643">
        <f>SUM(H103:K103)</f>
        <v>2827.6</v>
      </c>
      <c r="M103" s="644">
        <f>H103*8%</f>
        <v>152</v>
      </c>
      <c r="N103" s="643">
        <f>H103/12</f>
        <v>158.33333333333334</v>
      </c>
      <c r="O103" s="643">
        <f>N103/3</f>
        <v>52.777777777777779</v>
      </c>
      <c r="P103" s="643">
        <f>(N103+O103)*8%</f>
        <v>16.888888888888889</v>
      </c>
      <c r="Q103" s="455">
        <f>H103/12</f>
        <v>158.33333333333334</v>
      </c>
      <c r="R103" s="455">
        <f>Q103*8%</f>
        <v>12.666666666666668</v>
      </c>
      <c r="S103" s="643">
        <f>SUM(N103:R103)</f>
        <v>399.00000000000006</v>
      </c>
      <c r="T103" s="643">
        <f>L103+M103+S103</f>
        <v>3378.6</v>
      </c>
      <c r="U103" s="820"/>
      <c r="V103" s="820"/>
      <c r="W103" s="820"/>
      <c r="X103" s="820"/>
      <c r="Y103" s="820"/>
      <c r="AA103">
        <v>165</v>
      </c>
      <c r="AB103" t="s">
        <v>371</v>
      </c>
      <c r="AC103" t="s">
        <v>378</v>
      </c>
      <c r="AD103" t="s">
        <v>771</v>
      </c>
    </row>
    <row r="104" spans="2:30" ht="15" customHeight="1" x14ac:dyDescent="0.25">
      <c r="B104" s="663" t="s">
        <v>73</v>
      </c>
      <c r="C104" s="673">
        <f>IFERROR(_xlfn.XLOOKUP($G104,COM_Cadastro!$F$3:$F$199,COM_Cadastro!$B$3:$B$199),"")</f>
        <v>6085501676</v>
      </c>
      <c r="D104" s="674" t="s">
        <v>734</v>
      </c>
      <c r="E104" s="675" t="s">
        <v>780</v>
      </c>
      <c r="F104" s="674" t="s">
        <v>371</v>
      </c>
      <c r="G104" s="663" t="s">
        <v>881</v>
      </c>
      <c r="H104" s="668">
        <v>1342</v>
      </c>
      <c r="I104" s="669"/>
      <c r="J104" s="669"/>
      <c r="K104" s="669"/>
      <c r="L104" s="670">
        <f>SUM(H104:K104)</f>
        <v>1342</v>
      </c>
      <c r="M104" s="670"/>
      <c r="N104" s="670"/>
      <c r="O104" s="670"/>
      <c r="P104" s="670"/>
      <c r="Q104" s="670"/>
      <c r="R104" s="670"/>
      <c r="S104" s="670"/>
      <c r="T104" s="670">
        <f>L104+M104+S104</f>
        <v>1342</v>
      </c>
      <c r="U104" s="820"/>
      <c r="V104" s="820"/>
      <c r="W104" s="820"/>
      <c r="X104" s="820"/>
      <c r="Y104" s="820"/>
      <c r="AA104">
        <v>166</v>
      </c>
      <c r="AB104" t="s">
        <v>371</v>
      </c>
      <c r="AC104" t="s">
        <v>734</v>
      </c>
      <c r="AD104" t="s">
        <v>833</v>
      </c>
    </row>
    <row r="105" spans="2:30" ht="15" customHeight="1" x14ac:dyDescent="0.25">
      <c r="B105" s="663" t="s">
        <v>73</v>
      </c>
      <c r="C105" s="673">
        <f>IFERROR(_xlfn.XLOOKUP($G105,COM_Cadastro!$F$3:$F$199,COM_Cadastro!$B$3:$B$199),"")</f>
        <v>1902853628</v>
      </c>
      <c r="D105" s="674" t="s">
        <v>734</v>
      </c>
      <c r="E105" s="675" t="s">
        <v>780</v>
      </c>
      <c r="F105" s="674" t="s">
        <v>371</v>
      </c>
      <c r="G105" s="663" t="s">
        <v>463</v>
      </c>
      <c r="H105" s="668">
        <v>320</v>
      </c>
      <c r="I105" s="669"/>
      <c r="J105" s="669"/>
      <c r="K105" s="669"/>
      <c r="L105" s="670">
        <f>SUM(H105:K105)</f>
        <v>320</v>
      </c>
      <c r="M105" s="670"/>
      <c r="N105" s="670"/>
      <c r="O105" s="670"/>
      <c r="P105" s="670"/>
      <c r="Q105" s="670"/>
      <c r="R105" s="670"/>
      <c r="S105" s="670"/>
      <c r="T105" s="670">
        <f>L105+M105+S105</f>
        <v>320</v>
      </c>
      <c r="U105" s="820"/>
      <c r="V105" s="820"/>
      <c r="W105" s="820"/>
      <c r="X105" s="820"/>
      <c r="Y105" s="820"/>
      <c r="AA105">
        <v>171</v>
      </c>
      <c r="AB105" t="s">
        <v>368</v>
      </c>
      <c r="AC105" t="s">
        <v>734</v>
      </c>
      <c r="AD105" t="s">
        <v>786</v>
      </c>
    </row>
    <row r="106" spans="2:30" ht="15" customHeight="1" x14ac:dyDescent="0.25">
      <c r="B106" s="663" t="s">
        <v>73</v>
      </c>
      <c r="C106" s="673">
        <f>IFERROR(_xlfn.XLOOKUP($G106,COM_Cadastro!$F$3:$F$199,COM_Cadastro!$B$3:$B$199),"")</f>
        <v>27572035841</v>
      </c>
      <c r="D106" s="674" t="s">
        <v>734</v>
      </c>
      <c r="E106" s="675" t="s">
        <v>780</v>
      </c>
      <c r="F106" s="674" t="s">
        <v>371</v>
      </c>
      <c r="G106" s="663" t="s">
        <v>574</v>
      </c>
      <c r="H106" s="668">
        <v>225</v>
      </c>
      <c r="I106" s="669"/>
      <c r="J106" s="669"/>
      <c r="K106" s="669"/>
      <c r="L106" s="670">
        <f>SUM(H106:K106)</f>
        <v>225</v>
      </c>
      <c r="M106" s="670"/>
      <c r="N106" s="670"/>
      <c r="O106" s="670"/>
      <c r="P106" s="670"/>
      <c r="Q106" s="670"/>
      <c r="R106" s="670"/>
      <c r="S106" s="670"/>
      <c r="T106" s="670">
        <f>L106+M106+S106</f>
        <v>225</v>
      </c>
      <c r="U106" s="820"/>
      <c r="V106" s="820"/>
      <c r="W106" s="820"/>
      <c r="X106" s="820"/>
      <c r="Y106" s="820"/>
      <c r="AA106">
        <v>173</v>
      </c>
      <c r="AB106" t="s">
        <v>376</v>
      </c>
      <c r="AC106" t="s">
        <v>733</v>
      </c>
      <c r="AD106" t="s">
        <v>632</v>
      </c>
    </row>
    <row r="107" spans="2:30" ht="15" customHeight="1" x14ac:dyDescent="0.25">
      <c r="B107" s="663" t="s">
        <v>73</v>
      </c>
      <c r="C107" s="673">
        <f>IFERROR(_xlfn.XLOOKUP($G107,COM_Cadastro!$F$3:$F$199,COM_Cadastro!$B$3:$B$199),"")</f>
        <v>9978285601</v>
      </c>
      <c r="D107" s="674" t="s">
        <v>734</v>
      </c>
      <c r="E107" s="675" t="s">
        <v>780</v>
      </c>
      <c r="F107" s="674" t="s">
        <v>371</v>
      </c>
      <c r="G107" s="663" t="s">
        <v>882</v>
      </c>
      <c r="H107" s="668">
        <v>300</v>
      </c>
      <c r="I107" s="669"/>
      <c r="J107" s="669"/>
      <c r="K107" s="669"/>
      <c r="L107" s="670">
        <f>SUM(H107:K107)</f>
        <v>300</v>
      </c>
      <c r="M107" s="670"/>
      <c r="N107" s="670"/>
      <c r="O107" s="670"/>
      <c r="P107" s="670"/>
      <c r="Q107" s="670"/>
      <c r="R107" s="670"/>
      <c r="S107" s="670"/>
      <c r="T107" s="670">
        <f>L107+M107+S107</f>
        <v>300</v>
      </c>
      <c r="U107" s="820"/>
      <c r="V107" s="820"/>
      <c r="W107" s="820"/>
      <c r="X107" s="820"/>
      <c r="Y107" s="820"/>
      <c r="AA107">
        <v>175</v>
      </c>
      <c r="AB107" t="s">
        <v>368</v>
      </c>
      <c r="AC107" t="s">
        <v>378</v>
      </c>
      <c r="AD107" t="s">
        <v>761</v>
      </c>
    </row>
    <row r="108" spans="2:30" ht="15" customHeight="1" x14ac:dyDescent="0.25">
      <c r="B108" s="663" t="s">
        <v>73</v>
      </c>
      <c r="C108" s="673">
        <f>IFERROR(_xlfn.XLOOKUP($G108,COM_Cadastro!$F$3:$F$199,COM_Cadastro!$B$3:$B$199),"")</f>
        <v>59771419000190</v>
      </c>
      <c r="D108" s="674" t="s">
        <v>378</v>
      </c>
      <c r="E108" s="675" t="s">
        <v>378</v>
      </c>
      <c r="F108" s="674" t="s">
        <v>371</v>
      </c>
      <c r="G108" s="663" t="s">
        <v>883</v>
      </c>
      <c r="H108" s="668">
        <v>1890</v>
      </c>
      <c r="I108" s="669"/>
      <c r="J108" s="669"/>
      <c r="K108" s="669"/>
      <c r="L108" s="670">
        <f>SUM(H108:K108)</f>
        <v>1890</v>
      </c>
      <c r="M108" s="670"/>
      <c r="N108" s="670"/>
      <c r="O108" s="670"/>
      <c r="P108" s="670"/>
      <c r="Q108" s="670"/>
      <c r="R108" s="670"/>
      <c r="S108" s="670"/>
      <c r="T108" s="670">
        <f>L108+M108+S108</f>
        <v>1890</v>
      </c>
      <c r="U108" s="820"/>
      <c r="V108" s="820"/>
      <c r="W108" s="820"/>
      <c r="X108" s="820"/>
      <c r="Y108" s="820"/>
      <c r="AA108">
        <v>177</v>
      </c>
      <c r="AB108" t="s">
        <v>371</v>
      </c>
      <c r="AC108" t="s">
        <v>378</v>
      </c>
      <c r="AD108" t="s">
        <v>772</v>
      </c>
    </row>
    <row r="109" spans="2:30" ht="15" customHeight="1" x14ac:dyDescent="0.25">
      <c r="B109" s="663" t="s">
        <v>73</v>
      </c>
      <c r="C109" s="673">
        <f>IFERROR(_xlfn.XLOOKUP($G109,COM_Cadastro!$F$3:$F$199,COM_Cadastro!$B$3:$B$199),"")</f>
        <v>47767490000110</v>
      </c>
      <c r="D109" s="674" t="s">
        <v>378</v>
      </c>
      <c r="E109" s="675" t="s">
        <v>378</v>
      </c>
      <c r="F109" s="674" t="s">
        <v>371</v>
      </c>
      <c r="G109" s="663" t="s">
        <v>403</v>
      </c>
      <c r="H109" s="668">
        <v>2200</v>
      </c>
      <c r="I109" s="669"/>
      <c r="J109" s="669"/>
      <c r="K109" s="669"/>
      <c r="L109" s="670">
        <f>SUM(H109:K109)</f>
        <v>2200</v>
      </c>
      <c r="M109" s="670"/>
      <c r="N109" s="670"/>
      <c r="O109" s="670"/>
      <c r="P109" s="670"/>
      <c r="Q109" s="670"/>
      <c r="R109" s="670"/>
      <c r="S109" s="670"/>
      <c r="T109" s="670">
        <f>L109+M109+S109</f>
        <v>2200</v>
      </c>
      <c r="U109" s="820"/>
      <c r="V109" s="820"/>
      <c r="W109" s="820"/>
      <c r="X109" s="820"/>
      <c r="Y109" s="820"/>
      <c r="AA109">
        <v>180</v>
      </c>
      <c r="AB109" t="s">
        <v>374</v>
      </c>
      <c r="AC109" t="s">
        <v>734</v>
      </c>
      <c r="AD109" t="s">
        <v>789</v>
      </c>
    </row>
    <row r="110" spans="2:30" ht="15" customHeight="1" x14ac:dyDescent="0.25">
      <c r="B110" s="663" t="s">
        <v>73</v>
      </c>
      <c r="C110" s="673" t="str">
        <f>IFERROR(_xlfn.XLOOKUP($G110,COM_Cadastro!$F$3:$F$199,COM_Cadastro!$B$3:$B$199),"")</f>
        <v>15.702.429/0001-06</v>
      </c>
      <c r="D110" s="674" t="s">
        <v>378</v>
      </c>
      <c r="E110" s="675" t="s">
        <v>378</v>
      </c>
      <c r="F110" s="674" t="s">
        <v>371</v>
      </c>
      <c r="G110" s="663" t="s">
        <v>884</v>
      </c>
      <c r="H110" s="668">
        <v>180</v>
      </c>
      <c r="I110" s="669"/>
      <c r="J110" s="669"/>
      <c r="K110" s="669"/>
      <c r="L110" s="670">
        <f>SUM(H110:K110)</f>
        <v>180</v>
      </c>
      <c r="M110" s="670"/>
      <c r="N110" s="670"/>
      <c r="O110" s="670"/>
      <c r="P110" s="670"/>
      <c r="Q110" s="670"/>
      <c r="R110" s="670"/>
      <c r="S110" s="670"/>
      <c r="T110" s="670">
        <f>L110+M110+S110</f>
        <v>180</v>
      </c>
      <c r="U110" s="820"/>
      <c r="V110" s="820"/>
      <c r="W110" s="820"/>
      <c r="X110" s="820"/>
      <c r="Y110" s="820"/>
      <c r="AA110">
        <v>183</v>
      </c>
      <c r="AB110" t="s">
        <v>371</v>
      </c>
      <c r="AC110" t="s">
        <v>734</v>
      </c>
      <c r="AD110" t="s">
        <v>595</v>
      </c>
    </row>
    <row r="111" spans="2:30" ht="15" customHeight="1" x14ac:dyDescent="0.25">
      <c r="B111" s="663" t="s">
        <v>73</v>
      </c>
      <c r="C111" s="673">
        <f>IFERROR(_xlfn.XLOOKUP($G111,COM_Cadastro!$F$3:$F$199,COM_Cadastro!$B$3:$B$199),"")</f>
        <v>60312605000140</v>
      </c>
      <c r="D111" s="674" t="s">
        <v>378</v>
      </c>
      <c r="E111" s="675" t="s">
        <v>378</v>
      </c>
      <c r="F111" s="674" t="s">
        <v>371</v>
      </c>
      <c r="G111" s="663" t="s">
        <v>419</v>
      </c>
      <c r="H111" s="668">
        <v>1430</v>
      </c>
      <c r="I111" s="669"/>
      <c r="J111" s="669"/>
      <c r="K111" s="669"/>
      <c r="L111" s="670">
        <f>SUM(H111:K111)</f>
        <v>1430</v>
      </c>
      <c r="M111" s="670"/>
      <c r="N111" s="670"/>
      <c r="O111" s="670"/>
      <c r="P111" s="670"/>
      <c r="Q111" s="670"/>
      <c r="R111" s="670"/>
      <c r="S111" s="670"/>
      <c r="T111" s="670">
        <f>L111+M111+S111</f>
        <v>1430</v>
      </c>
      <c r="U111" s="820"/>
      <c r="V111" s="820"/>
      <c r="W111" s="820"/>
      <c r="X111" s="820"/>
      <c r="Y111" s="820"/>
      <c r="AA111">
        <v>184</v>
      </c>
      <c r="AB111" t="s">
        <v>371</v>
      </c>
      <c r="AC111" t="s">
        <v>378</v>
      </c>
      <c r="AD111" t="s">
        <v>773</v>
      </c>
    </row>
    <row r="112" spans="2:30" ht="15" customHeight="1" x14ac:dyDescent="0.25">
      <c r="B112" s="663" t="s">
        <v>73</v>
      </c>
      <c r="C112" s="673">
        <f>IFERROR(_xlfn.XLOOKUP($G112,COM_Cadastro!$F$3:$F$199,COM_Cadastro!$B$3:$B$199),"")</f>
        <v>60744699000126</v>
      </c>
      <c r="D112" s="674" t="s">
        <v>378</v>
      </c>
      <c r="E112" s="675" t="s">
        <v>378</v>
      </c>
      <c r="F112" s="674" t="s">
        <v>371</v>
      </c>
      <c r="G112" s="663" t="s">
        <v>438</v>
      </c>
      <c r="H112" s="668">
        <v>1360</v>
      </c>
      <c r="I112" s="669"/>
      <c r="J112" s="669"/>
      <c r="K112" s="669"/>
      <c r="L112" s="670">
        <f>SUM(H112:K112)</f>
        <v>1360</v>
      </c>
      <c r="M112" s="670"/>
      <c r="N112" s="670"/>
      <c r="O112" s="670"/>
      <c r="P112" s="670"/>
      <c r="Q112" s="670"/>
      <c r="R112" s="670"/>
      <c r="S112" s="670"/>
      <c r="T112" s="670">
        <f>L112+M112+S112</f>
        <v>1360</v>
      </c>
      <c r="U112" s="820"/>
      <c r="V112" s="820"/>
      <c r="W112" s="820"/>
      <c r="X112" s="820"/>
      <c r="Y112" s="820"/>
      <c r="AA112">
        <v>185</v>
      </c>
      <c r="AB112" t="s">
        <v>371</v>
      </c>
      <c r="AC112" t="s">
        <v>733</v>
      </c>
      <c r="AD112" t="s">
        <v>654</v>
      </c>
    </row>
    <row r="113" spans="2:30" ht="15" customHeight="1" x14ac:dyDescent="0.25">
      <c r="B113" s="663" t="s">
        <v>73</v>
      </c>
      <c r="C113" s="673">
        <f>IFERROR(_xlfn.XLOOKUP($G113,COM_Cadastro!$F$3:$F$199,COM_Cadastro!$B$3:$B$199),"")</f>
        <v>63805020000150</v>
      </c>
      <c r="D113" s="674" t="s">
        <v>378</v>
      </c>
      <c r="E113" s="675" t="s">
        <v>378</v>
      </c>
      <c r="F113" s="674" t="s">
        <v>371</v>
      </c>
      <c r="G113" s="663" t="s">
        <v>885</v>
      </c>
      <c r="H113" s="668">
        <v>2205</v>
      </c>
      <c r="I113" s="669"/>
      <c r="J113" s="669"/>
      <c r="K113" s="669"/>
      <c r="L113" s="670">
        <f>SUM(H113:K113)</f>
        <v>2205</v>
      </c>
      <c r="M113" s="670"/>
      <c r="N113" s="670"/>
      <c r="O113" s="670"/>
      <c r="P113" s="670"/>
      <c r="Q113" s="670"/>
      <c r="R113" s="670"/>
      <c r="S113" s="670"/>
      <c r="T113" s="670">
        <f>L113+M113+S113</f>
        <v>2205</v>
      </c>
      <c r="AA113">
        <v>188</v>
      </c>
      <c r="AB113" t="s">
        <v>371</v>
      </c>
      <c r="AC113" t="s">
        <v>733</v>
      </c>
      <c r="AD113" t="s">
        <v>655</v>
      </c>
    </row>
    <row r="114" spans="2:30" ht="15" customHeight="1" x14ac:dyDescent="0.25">
      <c r="B114" s="663" t="s">
        <v>73</v>
      </c>
      <c r="C114" s="673">
        <f>IFERROR(_xlfn.XLOOKUP($G114,COM_Cadastro!$F$3:$F$199,COM_Cadastro!$B$3:$B$199),"")</f>
        <v>64978101000114</v>
      </c>
      <c r="D114" s="674" t="s">
        <v>378</v>
      </c>
      <c r="E114" s="675" t="s">
        <v>378</v>
      </c>
      <c r="F114" s="674" t="s">
        <v>371</v>
      </c>
      <c r="G114" s="663" t="s">
        <v>452</v>
      </c>
      <c r="H114" s="668">
        <v>1100</v>
      </c>
      <c r="I114" s="669"/>
      <c r="J114" s="669"/>
      <c r="K114" s="669"/>
      <c r="L114" s="670">
        <f>SUM(H114:K114)</f>
        <v>1100</v>
      </c>
      <c r="M114" s="670"/>
      <c r="N114" s="670"/>
      <c r="O114" s="670"/>
      <c r="P114" s="670"/>
      <c r="Q114" s="670"/>
      <c r="R114" s="670"/>
      <c r="S114" s="670"/>
      <c r="T114" s="670">
        <f>L114+M114+S114</f>
        <v>1100</v>
      </c>
      <c r="AA114">
        <v>192</v>
      </c>
      <c r="AB114" t="s">
        <v>368</v>
      </c>
      <c r="AC114" t="s">
        <v>733</v>
      </c>
      <c r="AD114" t="s">
        <v>795</v>
      </c>
    </row>
    <row r="115" spans="2:30" ht="15" customHeight="1" x14ac:dyDescent="0.25">
      <c r="B115" s="663" t="s">
        <v>73</v>
      </c>
      <c r="C115" s="673">
        <f>IFERROR(_xlfn.XLOOKUP($G115,COM_Cadastro!$F$3:$F$199,COM_Cadastro!$B$3:$B$199),"")</f>
        <v>1902853628</v>
      </c>
      <c r="D115" s="674" t="s">
        <v>378</v>
      </c>
      <c r="E115" s="675" t="s">
        <v>378</v>
      </c>
      <c r="F115" s="674" t="s">
        <v>371</v>
      </c>
      <c r="G115" s="663" t="s">
        <v>463</v>
      </c>
      <c r="H115" s="668">
        <v>1800</v>
      </c>
      <c r="I115" s="669"/>
      <c r="J115" s="669"/>
      <c r="K115" s="669"/>
      <c r="L115" s="670">
        <f>SUM(H115:K115)</f>
        <v>1800</v>
      </c>
      <c r="M115" s="670"/>
      <c r="N115" s="670"/>
      <c r="O115" s="670"/>
      <c r="P115" s="670"/>
      <c r="Q115" s="670"/>
      <c r="R115" s="670"/>
      <c r="S115" s="670"/>
      <c r="T115" s="670">
        <f>L115+M115+S115</f>
        <v>1800</v>
      </c>
      <c r="AA115">
        <v>193</v>
      </c>
      <c r="AB115" t="s">
        <v>371</v>
      </c>
      <c r="AC115" t="s">
        <v>733</v>
      </c>
      <c r="AD115" t="s">
        <v>718</v>
      </c>
    </row>
    <row r="116" spans="2:30" ht="15" customHeight="1" x14ac:dyDescent="0.25">
      <c r="B116" s="663" t="s">
        <v>73</v>
      </c>
      <c r="C116" s="673">
        <f>IFERROR(_xlfn.XLOOKUP($G116,COM_Cadastro!$F$3:$F$199,COM_Cadastro!$B$3:$B$199),"")</f>
        <v>57298067000171</v>
      </c>
      <c r="D116" s="674" t="s">
        <v>378</v>
      </c>
      <c r="E116" s="675" t="s">
        <v>378</v>
      </c>
      <c r="F116" s="674" t="s">
        <v>371</v>
      </c>
      <c r="G116" s="663" t="s">
        <v>466</v>
      </c>
      <c r="H116" s="668">
        <v>3727</v>
      </c>
      <c r="I116" s="669"/>
      <c r="J116" s="669"/>
      <c r="K116" s="669"/>
      <c r="L116" s="670">
        <f>SUM(H116:K116)</f>
        <v>3727</v>
      </c>
      <c r="M116" s="670"/>
      <c r="N116" s="670"/>
      <c r="O116" s="670"/>
      <c r="P116" s="670"/>
      <c r="Q116" s="670"/>
      <c r="R116" s="670"/>
      <c r="S116" s="670"/>
      <c r="T116" s="670">
        <f>L116+M116+S116</f>
        <v>3727</v>
      </c>
      <c r="AA116">
        <v>195</v>
      </c>
      <c r="AB116" t="s">
        <v>368</v>
      </c>
      <c r="AC116" t="s">
        <v>733</v>
      </c>
      <c r="AD116" t="s">
        <v>815</v>
      </c>
    </row>
    <row r="117" spans="2:30" ht="15" customHeight="1" x14ac:dyDescent="0.25">
      <c r="B117" s="663" t="s">
        <v>73</v>
      </c>
      <c r="C117" s="673">
        <f>IFERROR(_xlfn.XLOOKUP($G117,COM_Cadastro!$F$3:$F$199,COM_Cadastro!$B$3:$B$199),"")</f>
        <v>61203471000191</v>
      </c>
      <c r="D117" s="674" t="s">
        <v>378</v>
      </c>
      <c r="E117" s="675" t="s">
        <v>378</v>
      </c>
      <c r="F117" s="674" t="s">
        <v>371</v>
      </c>
      <c r="G117" s="663" t="s">
        <v>474</v>
      </c>
      <c r="H117" s="668">
        <v>990</v>
      </c>
      <c r="I117" s="669"/>
      <c r="J117" s="669"/>
      <c r="K117" s="669"/>
      <c r="L117" s="670">
        <f>SUM(H117:K117)</f>
        <v>990</v>
      </c>
      <c r="M117" s="670"/>
      <c r="N117" s="670"/>
      <c r="O117" s="670"/>
      <c r="P117" s="670"/>
      <c r="Q117" s="670"/>
      <c r="R117" s="670"/>
      <c r="S117" s="670"/>
      <c r="T117" s="670">
        <f>L117+M117+S117</f>
        <v>990</v>
      </c>
      <c r="AA117">
        <v>197</v>
      </c>
      <c r="AB117" t="s">
        <v>371</v>
      </c>
      <c r="AC117" t="s">
        <v>378</v>
      </c>
      <c r="AD117" t="s">
        <v>774</v>
      </c>
    </row>
    <row r="118" spans="2:30" ht="15" customHeight="1" x14ac:dyDescent="0.25">
      <c r="B118" s="663" t="s">
        <v>73</v>
      </c>
      <c r="C118" s="673">
        <f>IFERROR(_xlfn.XLOOKUP($G118,COM_Cadastro!$F$3:$F$199,COM_Cadastro!$B$3:$B$199),"")</f>
        <v>43272054000119</v>
      </c>
      <c r="D118" s="674" t="s">
        <v>378</v>
      </c>
      <c r="E118" s="675" t="s">
        <v>378</v>
      </c>
      <c r="F118" s="674" t="s">
        <v>371</v>
      </c>
      <c r="G118" s="663" t="s">
        <v>886</v>
      </c>
      <c r="H118" s="668">
        <v>300</v>
      </c>
      <c r="I118" s="669"/>
      <c r="J118" s="669"/>
      <c r="K118" s="669"/>
      <c r="L118" s="670">
        <f>SUM(H118:K118)</f>
        <v>300</v>
      </c>
      <c r="M118" s="670"/>
      <c r="N118" s="670"/>
      <c r="O118" s="670"/>
      <c r="P118" s="670"/>
      <c r="Q118" s="670"/>
      <c r="R118" s="670"/>
      <c r="S118" s="670"/>
      <c r="T118" s="670">
        <f>L118+M118+S118</f>
        <v>300</v>
      </c>
      <c r="AA118">
        <v>199</v>
      </c>
      <c r="AB118" t="s">
        <v>371</v>
      </c>
      <c r="AC118" t="s">
        <v>378</v>
      </c>
      <c r="AD118" t="s">
        <v>830</v>
      </c>
    </row>
    <row r="119" spans="2:30" ht="15" customHeight="1" x14ac:dyDescent="0.25">
      <c r="B119" s="663" t="s">
        <v>73</v>
      </c>
      <c r="C119" s="673">
        <f>IFERROR(_xlfn.XLOOKUP($G119,COM_Cadastro!$F$3:$F$199,COM_Cadastro!$B$3:$B$199),"")</f>
        <v>58465008000103</v>
      </c>
      <c r="D119" s="674" t="s">
        <v>378</v>
      </c>
      <c r="E119" s="675" t="s">
        <v>378</v>
      </c>
      <c r="F119" s="674" t="s">
        <v>371</v>
      </c>
      <c r="G119" s="663" t="s">
        <v>483</v>
      </c>
      <c r="H119" s="668">
        <v>1500</v>
      </c>
      <c r="I119" s="669"/>
      <c r="J119" s="669"/>
      <c r="K119" s="669"/>
      <c r="L119" s="670">
        <f>SUM(H119:K119)</f>
        <v>1500</v>
      </c>
      <c r="M119" s="670"/>
      <c r="N119" s="670"/>
      <c r="O119" s="670"/>
      <c r="P119" s="670"/>
      <c r="Q119" s="670"/>
      <c r="R119" s="670"/>
      <c r="S119" s="670"/>
      <c r="T119" s="670">
        <f>L119+M119+S119</f>
        <v>1500</v>
      </c>
    </row>
    <row r="120" spans="2:30" ht="15" customHeight="1" x14ac:dyDescent="0.25">
      <c r="B120" s="663" t="s">
        <v>73</v>
      </c>
      <c r="C120" s="673">
        <f>IFERROR(_xlfn.XLOOKUP($G120,COM_Cadastro!$F$3:$F$199,COM_Cadastro!$B$3:$B$199),"")</f>
        <v>64611843000107</v>
      </c>
      <c r="D120" s="674" t="s">
        <v>378</v>
      </c>
      <c r="E120" s="675" t="s">
        <v>378</v>
      </c>
      <c r="F120" s="674" t="s">
        <v>371</v>
      </c>
      <c r="G120" s="663" t="s">
        <v>485</v>
      </c>
      <c r="H120" s="668">
        <v>1500</v>
      </c>
      <c r="I120" s="669"/>
      <c r="J120" s="669"/>
      <c r="K120" s="669"/>
      <c r="L120" s="670">
        <f>SUM(H120:K120)</f>
        <v>1500</v>
      </c>
      <c r="M120" s="670"/>
      <c r="N120" s="670"/>
      <c r="O120" s="670"/>
      <c r="P120" s="670"/>
      <c r="Q120" s="670"/>
      <c r="R120" s="670"/>
      <c r="S120" s="670"/>
      <c r="T120" s="670">
        <f>L120+M120+S120</f>
        <v>1500</v>
      </c>
    </row>
    <row r="121" spans="2:30" ht="15" customHeight="1" x14ac:dyDescent="0.25">
      <c r="B121" s="663" t="s">
        <v>73</v>
      </c>
      <c r="C121" s="673">
        <f>IFERROR(_xlfn.XLOOKUP($G121,COM_Cadastro!$F$3:$F$199,COM_Cadastro!$B$3:$B$199),"")</f>
        <v>62412981000131</v>
      </c>
      <c r="D121" s="674" t="s">
        <v>378</v>
      </c>
      <c r="E121" s="675" t="s">
        <v>378</v>
      </c>
      <c r="F121" s="674" t="s">
        <v>371</v>
      </c>
      <c r="G121" s="663" t="s">
        <v>488</v>
      </c>
      <c r="H121" s="668">
        <v>1100</v>
      </c>
      <c r="I121" s="669"/>
      <c r="J121" s="669"/>
      <c r="K121" s="669"/>
      <c r="L121" s="670">
        <f>SUM(H121:K121)</f>
        <v>1100</v>
      </c>
      <c r="M121" s="670"/>
      <c r="N121" s="670"/>
      <c r="O121" s="670"/>
      <c r="P121" s="670"/>
      <c r="Q121" s="670"/>
      <c r="R121" s="670"/>
      <c r="S121" s="670"/>
      <c r="T121" s="670">
        <f>L121+M121+S121</f>
        <v>1100</v>
      </c>
    </row>
    <row r="122" spans="2:30" ht="15" customHeight="1" x14ac:dyDescent="0.25">
      <c r="B122" s="663" t="s">
        <v>73</v>
      </c>
      <c r="C122" s="673">
        <f>IFERROR(_xlfn.XLOOKUP($G122,COM_Cadastro!$F$3:$F$199,COM_Cadastro!$B$3:$B$199),"")</f>
        <v>64877539000106</v>
      </c>
      <c r="D122" s="674" t="s">
        <v>378</v>
      </c>
      <c r="E122" s="675" t="s">
        <v>378</v>
      </c>
      <c r="F122" s="674" t="s">
        <v>371</v>
      </c>
      <c r="G122" s="663" t="s">
        <v>491</v>
      </c>
      <c r="H122" s="668">
        <v>1800</v>
      </c>
      <c r="I122" s="669"/>
      <c r="J122" s="669"/>
      <c r="K122" s="669"/>
      <c r="L122" s="670">
        <f>SUM(H122:K122)</f>
        <v>1800</v>
      </c>
      <c r="M122" s="670"/>
      <c r="N122" s="670"/>
      <c r="O122" s="670"/>
      <c r="P122" s="670"/>
      <c r="Q122" s="670"/>
      <c r="R122" s="670"/>
      <c r="S122" s="670"/>
      <c r="T122" s="670">
        <f>L122+M122+S122</f>
        <v>1800</v>
      </c>
    </row>
    <row r="123" spans="2:30" ht="15" customHeight="1" x14ac:dyDescent="0.25">
      <c r="B123" s="663" t="s">
        <v>73</v>
      </c>
      <c r="C123" s="673">
        <f>IFERROR(_xlfn.XLOOKUP($G123,COM_Cadastro!$F$3:$F$199,COM_Cadastro!$B$3:$B$199),"")</f>
        <v>60334988000157</v>
      </c>
      <c r="D123" s="674" t="s">
        <v>378</v>
      </c>
      <c r="E123" s="675" t="s">
        <v>378</v>
      </c>
      <c r="F123" s="674" t="s">
        <v>371</v>
      </c>
      <c r="G123" s="663" t="s">
        <v>510</v>
      </c>
      <c r="H123" s="668">
        <v>1650</v>
      </c>
      <c r="I123" s="669"/>
      <c r="J123" s="669"/>
      <c r="K123" s="669"/>
      <c r="L123" s="670">
        <f>SUM(H123:K123)</f>
        <v>1650</v>
      </c>
      <c r="M123" s="670"/>
      <c r="N123" s="670"/>
      <c r="O123" s="670"/>
      <c r="P123" s="670"/>
      <c r="Q123" s="670"/>
      <c r="R123" s="670"/>
      <c r="S123" s="670"/>
      <c r="T123" s="670">
        <f>L123+M123+S123</f>
        <v>1650</v>
      </c>
    </row>
    <row r="124" spans="2:30" ht="15" customHeight="1" x14ac:dyDescent="0.25">
      <c r="B124" s="663" t="s">
        <v>73</v>
      </c>
      <c r="C124" s="673">
        <f>IFERROR(_xlfn.XLOOKUP($G124,COM_Cadastro!$F$3:$F$199,COM_Cadastro!$B$3:$B$199),"")</f>
        <v>55129376000192</v>
      </c>
      <c r="D124" s="674" t="s">
        <v>378</v>
      </c>
      <c r="E124" s="675" t="s">
        <v>378</v>
      </c>
      <c r="F124" s="674" t="s">
        <v>371</v>
      </c>
      <c r="G124" s="663" t="s">
        <v>525</v>
      </c>
      <c r="H124" s="668">
        <v>2720</v>
      </c>
      <c r="I124" s="669"/>
      <c r="J124" s="669"/>
      <c r="K124" s="669"/>
      <c r="L124" s="670">
        <f>SUM(H124:K124)</f>
        <v>2720</v>
      </c>
      <c r="M124" s="670"/>
      <c r="N124" s="670"/>
      <c r="O124" s="670"/>
      <c r="P124" s="670"/>
      <c r="Q124" s="670"/>
      <c r="R124" s="670"/>
      <c r="S124" s="670"/>
      <c r="T124" s="670">
        <f>L124+M124+S124</f>
        <v>2720</v>
      </c>
    </row>
    <row r="125" spans="2:30" ht="15" customHeight="1" x14ac:dyDescent="0.25">
      <c r="B125" s="663" t="s">
        <v>73</v>
      </c>
      <c r="C125" s="673">
        <f>IFERROR(_xlfn.XLOOKUP($G125,COM_Cadastro!$F$3:$F$199,COM_Cadastro!$B$3:$B$199),"")</f>
        <v>58572379000194</v>
      </c>
      <c r="D125" s="674" t="s">
        <v>378</v>
      </c>
      <c r="E125" s="675" t="s">
        <v>378</v>
      </c>
      <c r="F125" s="674" t="s">
        <v>371</v>
      </c>
      <c r="G125" s="663" t="s">
        <v>540</v>
      </c>
      <c r="H125" s="668">
        <v>200</v>
      </c>
      <c r="I125" s="669"/>
      <c r="J125" s="669"/>
      <c r="K125" s="669"/>
      <c r="L125" s="670">
        <f>SUM(H125:K125)</f>
        <v>200</v>
      </c>
      <c r="M125" s="670"/>
      <c r="N125" s="670"/>
      <c r="O125" s="670"/>
      <c r="P125" s="670"/>
      <c r="Q125" s="670"/>
      <c r="R125" s="670"/>
      <c r="S125" s="670"/>
      <c r="T125" s="670">
        <f>L125+M125+S125</f>
        <v>200</v>
      </c>
    </row>
    <row r="126" spans="2:30" ht="15" customHeight="1" x14ac:dyDescent="0.25">
      <c r="B126" s="663" t="s">
        <v>73</v>
      </c>
      <c r="C126" s="673">
        <f>IFERROR(_xlfn.XLOOKUP($G126,COM_Cadastro!$F$3:$F$199,COM_Cadastro!$B$3:$B$199),"")</f>
        <v>44544996000171</v>
      </c>
      <c r="D126" s="674" t="s">
        <v>378</v>
      </c>
      <c r="E126" s="675" t="s">
        <v>378</v>
      </c>
      <c r="F126" s="674" t="s">
        <v>371</v>
      </c>
      <c r="G126" s="663" t="s">
        <v>541</v>
      </c>
      <c r="H126" s="668">
        <v>2324</v>
      </c>
      <c r="I126" s="669"/>
      <c r="J126" s="669"/>
      <c r="K126" s="669"/>
      <c r="L126" s="670">
        <f>SUM(H126:K126)</f>
        <v>2324</v>
      </c>
      <c r="M126" s="670"/>
      <c r="N126" s="670"/>
      <c r="O126" s="670"/>
      <c r="P126" s="670"/>
      <c r="Q126" s="670"/>
      <c r="R126" s="670"/>
      <c r="S126" s="670"/>
      <c r="T126" s="670">
        <f>L126+M126+S126</f>
        <v>2324</v>
      </c>
    </row>
    <row r="127" spans="2:30" ht="15" customHeight="1" x14ac:dyDescent="0.25">
      <c r="B127" s="663" t="s">
        <v>73</v>
      </c>
      <c r="C127" s="673">
        <f>IFERROR(_xlfn.XLOOKUP($G127,COM_Cadastro!$F$3:$F$199,COM_Cadastro!$B$3:$B$199),"")</f>
        <v>63181805000107</v>
      </c>
      <c r="D127" s="674" t="s">
        <v>378</v>
      </c>
      <c r="E127" s="675" t="s">
        <v>378</v>
      </c>
      <c r="F127" s="674" t="s">
        <v>371</v>
      </c>
      <c r="G127" s="663" t="s">
        <v>544</v>
      </c>
      <c r="H127" s="668">
        <v>1200</v>
      </c>
      <c r="I127" s="669"/>
      <c r="J127" s="669"/>
      <c r="K127" s="669"/>
      <c r="L127" s="670">
        <f>SUM(H127:K127)</f>
        <v>1200</v>
      </c>
      <c r="M127" s="670"/>
      <c r="N127" s="670"/>
      <c r="O127" s="670"/>
      <c r="P127" s="670"/>
      <c r="Q127" s="670"/>
      <c r="R127" s="670"/>
      <c r="S127" s="670"/>
      <c r="T127" s="670">
        <f>L127+M127+S127</f>
        <v>1200</v>
      </c>
    </row>
    <row r="128" spans="2:30" ht="15" customHeight="1" x14ac:dyDescent="0.25">
      <c r="B128" s="663" t="s">
        <v>73</v>
      </c>
      <c r="C128" s="673">
        <f>IFERROR(_xlfn.XLOOKUP($G128,COM_Cadastro!$F$3:$F$199,COM_Cadastro!$B$3:$B$199),"")</f>
        <v>52664168000103</v>
      </c>
      <c r="D128" s="674" t="s">
        <v>378</v>
      </c>
      <c r="E128" s="675" t="s">
        <v>378</v>
      </c>
      <c r="F128" s="674" t="s">
        <v>371</v>
      </c>
      <c r="G128" s="663" t="s">
        <v>556</v>
      </c>
      <c r="H128" s="668">
        <v>2200</v>
      </c>
      <c r="I128" s="669"/>
      <c r="J128" s="669"/>
      <c r="K128" s="669"/>
      <c r="L128" s="670">
        <f>SUM(H128:K128)</f>
        <v>2200</v>
      </c>
      <c r="M128" s="670"/>
      <c r="N128" s="670"/>
      <c r="O128" s="670"/>
      <c r="P128" s="670"/>
      <c r="Q128" s="670"/>
      <c r="R128" s="670"/>
      <c r="S128" s="670"/>
      <c r="T128" s="670">
        <f>L128+M128+S128</f>
        <v>2200</v>
      </c>
    </row>
    <row r="129" spans="2:20" ht="15" customHeight="1" x14ac:dyDescent="0.25">
      <c r="B129" s="663" t="s">
        <v>73</v>
      </c>
      <c r="C129" s="673">
        <f>IFERROR(_xlfn.XLOOKUP($G129,COM_Cadastro!$F$3:$F$199,COM_Cadastro!$B$3:$B$199),"")</f>
        <v>49227415000191</v>
      </c>
      <c r="D129" s="674" t="s">
        <v>378</v>
      </c>
      <c r="E129" s="675" t="s">
        <v>378</v>
      </c>
      <c r="F129" s="674" t="s">
        <v>371</v>
      </c>
      <c r="G129" s="663" t="s">
        <v>560</v>
      </c>
      <c r="H129" s="668">
        <v>800</v>
      </c>
      <c r="I129" s="669"/>
      <c r="J129" s="669"/>
      <c r="K129" s="669"/>
      <c r="L129" s="670">
        <f>SUM(H129:K129)</f>
        <v>800</v>
      </c>
      <c r="M129" s="670"/>
      <c r="N129" s="670"/>
      <c r="O129" s="670"/>
      <c r="P129" s="670"/>
      <c r="Q129" s="670"/>
      <c r="R129" s="670"/>
      <c r="S129" s="670"/>
      <c r="T129" s="670">
        <f>L129+M129+S129</f>
        <v>800</v>
      </c>
    </row>
    <row r="130" spans="2:20" ht="15" customHeight="1" x14ac:dyDescent="0.25">
      <c r="B130" s="663" t="s">
        <v>73</v>
      </c>
      <c r="C130" s="673">
        <f>IFERROR(_xlfn.XLOOKUP($G130,COM_Cadastro!$F$3:$F$199,COM_Cadastro!$B$3:$B$199),"")</f>
        <v>63012846000161</v>
      </c>
      <c r="D130" s="674" t="s">
        <v>378</v>
      </c>
      <c r="E130" s="675" t="s">
        <v>378</v>
      </c>
      <c r="F130" s="674" t="s">
        <v>371</v>
      </c>
      <c r="G130" s="663" t="s">
        <v>573</v>
      </c>
      <c r="H130" s="668">
        <v>2420</v>
      </c>
      <c r="I130" s="669"/>
      <c r="J130" s="669"/>
      <c r="K130" s="669"/>
      <c r="L130" s="670">
        <f>SUM(H130:K130)</f>
        <v>2420</v>
      </c>
      <c r="M130" s="670"/>
      <c r="N130" s="670"/>
      <c r="O130" s="670"/>
      <c r="P130" s="670"/>
      <c r="Q130" s="670"/>
      <c r="R130" s="670"/>
      <c r="S130" s="670"/>
      <c r="T130" s="670">
        <f>L130+M130+S130</f>
        <v>2420</v>
      </c>
    </row>
    <row r="131" spans="2:20" ht="15" customHeight="1" x14ac:dyDescent="0.25">
      <c r="B131" s="663" t="s">
        <v>73</v>
      </c>
      <c r="C131" s="673">
        <f>IFERROR(_xlfn.XLOOKUP($G131,COM_Cadastro!$F$3:$F$199,COM_Cadastro!$B$3:$B$199),"")</f>
        <v>41469736000190</v>
      </c>
      <c r="D131" s="674" t="s">
        <v>378</v>
      </c>
      <c r="E131" s="675" t="s">
        <v>378</v>
      </c>
      <c r="F131" s="674" t="s">
        <v>371</v>
      </c>
      <c r="G131" s="663" t="s">
        <v>587</v>
      </c>
      <c r="H131" s="668">
        <v>2306</v>
      </c>
      <c r="I131" s="669"/>
      <c r="J131" s="669"/>
      <c r="K131" s="669"/>
      <c r="L131" s="670">
        <f>SUM(H131:K131)</f>
        <v>2306</v>
      </c>
      <c r="M131" s="670"/>
      <c r="N131" s="670"/>
      <c r="O131" s="670"/>
      <c r="P131" s="670"/>
      <c r="Q131" s="670"/>
      <c r="R131" s="670"/>
      <c r="S131" s="670"/>
      <c r="T131" s="670">
        <f>L131+M131+S131</f>
        <v>2306</v>
      </c>
    </row>
    <row r="132" spans="2:20" ht="15" customHeight="1" x14ac:dyDescent="0.25">
      <c r="B132" s="663" t="s">
        <v>73</v>
      </c>
      <c r="C132" s="673">
        <f>IFERROR(_xlfn.XLOOKUP($G132,COM_Cadastro!$F$3:$F$199,COM_Cadastro!$B$3:$B$199),"")</f>
        <v>61585258000191</v>
      </c>
      <c r="D132" s="674" t="s">
        <v>378</v>
      </c>
      <c r="E132" s="675" t="s">
        <v>378</v>
      </c>
      <c r="F132" s="674" t="s">
        <v>371</v>
      </c>
      <c r="G132" s="663" t="s">
        <v>588</v>
      </c>
      <c r="H132" s="668">
        <v>3600</v>
      </c>
      <c r="I132" s="669"/>
      <c r="J132" s="669"/>
      <c r="K132" s="669"/>
      <c r="L132" s="670">
        <f>SUM(H132:K132)</f>
        <v>3600</v>
      </c>
      <c r="M132" s="670"/>
      <c r="N132" s="670"/>
      <c r="O132" s="670"/>
      <c r="P132" s="670"/>
      <c r="Q132" s="670"/>
      <c r="R132" s="670"/>
      <c r="S132" s="670"/>
      <c r="T132" s="670">
        <f>L132+M132+S132</f>
        <v>3600</v>
      </c>
    </row>
    <row r="133" spans="2:20" ht="15" customHeight="1" x14ac:dyDescent="0.25">
      <c r="B133" s="663" t="s">
        <v>73</v>
      </c>
      <c r="C133" s="673">
        <f>IFERROR(_xlfn.XLOOKUP($G133,COM_Cadastro!$F$3:$F$199,COM_Cadastro!$B$3:$B$199),"")</f>
        <v>65328831000132</v>
      </c>
      <c r="D133" s="674" t="s">
        <v>378</v>
      </c>
      <c r="E133" s="675" t="s">
        <v>378</v>
      </c>
      <c r="F133" s="674" t="s">
        <v>371</v>
      </c>
      <c r="G133" s="663" t="s">
        <v>590</v>
      </c>
      <c r="H133" s="668">
        <v>700</v>
      </c>
      <c r="I133" s="669"/>
      <c r="J133" s="669"/>
      <c r="K133" s="669"/>
      <c r="L133" s="670">
        <f>SUM(H133:K133)</f>
        <v>700</v>
      </c>
      <c r="M133" s="670"/>
      <c r="N133" s="670"/>
      <c r="O133" s="670"/>
      <c r="P133" s="670"/>
      <c r="Q133" s="670"/>
      <c r="R133" s="670"/>
      <c r="S133" s="670"/>
      <c r="T133" s="670">
        <f>L133+M133+S133</f>
        <v>700</v>
      </c>
    </row>
    <row r="134" spans="2:20" ht="15" customHeight="1" x14ac:dyDescent="0.25">
      <c r="B134" s="663" t="s">
        <v>73</v>
      </c>
      <c r="C134" s="673">
        <f>IFERROR(_xlfn.XLOOKUP($G134,COM_Cadastro!$F$3:$F$199,COM_Cadastro!$B$3:$B$199),"")</f>
        <v>63760195000198</v>
      </c>
      <c r="D134" s="674" t="s">
        <v>378</v>
      </c>
      <c r="E134" s="675" t="s">
        <v>378</v>
      </c>
      <c r="F134" s="674" t="s">
        <v>371</v>
      </c>
      <c r="G134" s="663" t="s">
        <v>597</v>
      </c>
      <c r="H134" s="668">
        <v>900</v>
      </c>
      <c r="I134" s="669"/>
      <c r="J134" s="669"/>
      <c r="K134" s="669"/>
      <c r="L134" s="670">
        <f>SUM(H134:K134)</f>
        <v>900</v>
      </c>
      <c r="M134" s="670"/>
      <c r="N134" s="670"/>
      <c r="O134" s="670"/>
      <c r="P134" s="670"/>
      <c r="Q134" s="670"/>
      <c r="R134" s="670"/>
      <c r="S134" s="670"/>
      <c r="T134" s="670">
        <f>L134+M134+S134</f>
        <v>900</v>
      </c>
    </row>
    <row r="135" spans="2:20" ht="15" customHeight="1" x14ac:dyDescent="0.25">
      <c r="B135" s="663" t="s">
        <v>73</v>
      </c>
      <c r="C135" s="673">
        <f>IFERROR(_xlfn.XLOOKUP($G135,COM_Cadastro!$F$3:$F$199,COM_Cadastro!$B$3:$B$199),"")</f>
        <v>62435638000102</v>
      </c>
      <c r="D135" s="674" t="s">
        <v>378</v>
      </c>
      <c r="E135" s="675" t="s">
        <v>378</v>
      </c>
      <c r="F135" s="674" t="s">
        <v>371</v>
      </c>
      <c r="G135" s="663" t="s">
        <v>613</v>
      </c>
      <c r="H135" s="668">
        <v>1400</v>
      </c>
      <c r="I135" s="669"/>
      <c r="J135" s="669"/>
      <c r="K135" s="669"/>
      <c r="L135" s="670">
        <f>SUM(H135:K135)</f>
        <v>1400</v>
      </c>
      <c r="M135" s="670"/>
      <c r="N135" s="670"/>
      <c r="O135" s="670"/>
      <c r="P135" s="670"/>
      <c r="Q135" s="670"/>
      <c r="R135" s="670"/>
      <c r="S135" s="670"/>
      <c r="T135" s="670">
        <f>L135+M135+S135</f>
        <v>1400</v>
      </c>
    </row>
    <row r="136" spans="2:20" ht="15" customHeight="1" x14ac:dyDescent="0.25">
      <c r="B136" s="663" t="s">
        <v>73</v>
      </c>
      <c r="C136" s="673">
        <f>IFERROR(_xlfn.XLOOKUP($G136,COM_Cadastro!$F$3:$F$199,COM_Cadastro!$B$3:$B$199),"")</f>
        <v>65456682000197</v>
      </c>
      <c r="D136" s="674" t="s">
        <v>378</v>
      </c>
      <c r="E136" s="675" t="s">
        <v>378</v>
      </c>
      <c r="F136" s="674" t="s">
        <v>371</v>
      </c>
      <c r="G136" s="663" t="s">
        <v>616</v>
      </c>
      <c r="H136" s="668">
        <v>500</v>
      </c>
      <c r="I136" s="669"/>
      <c r="J136" s="669"/>
      <c r="K136" s="669"/>
      <c r="L136" s="670">
        <f>SUM(H136:K136)</f>
        <v>500</v>
      </c>
      <c r="M136" s="670"/>
      <c r="N136" s="670"/>
      <c r="O136" s="670"/>
      <c r="P136" s="670"/>
      <c r="Q136" s="670"/>
      <c r="R136" s="670"/>
      <c r="S136" s="670"/>
      <c r="T136" s="670">
        <f>L136+M136+S136</f>
        <v>500</v>
      </c>
    </row>
    <row r="137" spans="2:20" ht="15" customHeight="1" x14ac:dyDescent="0.25">
      <c r="B137" s="663" t="s">
        <v>73</v>
      </c>
      <c r="C137" s="673">
        <f>IFERROR(_xlfn.XLOOKUP($G137,COM_Cadastro!$F$3:$F$199,COM_Cadastro!$B$3:$B$199),"")</f>
        <v>65415166000114</v>
      </c>
      <c r="D137" s="674" t="s">
        <v>736</v>
      </c>
      <c r="E137" s="675" t="s">
        <v>406</v>
      </c>
      <c r="F137" s="674" t="s">
        <v>376</v>
      </c>
      <c r="G137" s="663" t="s">
        <v>426</v>
      </c>
      <c r="H137" s="668">
        <v>4000</v>
      </c>
      <c r="I137" s="669"/>
      <c r="J137" s="669">
        <v>0</v>
      </c>
      <c r="K137" s="669">
        <v>400</v>
      </c>
      <c r="L137" s="670">
        <f>SUM(H137:K137)</f>
        <v>4400</v>
      </c>
      <c r="M137" s="670"/>
      <c r="N137" s="670"/>
      <c r="O137" s="670"/>
      <c r="P137" s="670"/>
      <c r="Q137" s="670"/>
      <c r="R137" s="670"/>
      <c r="S137" s="670">
        <f>SUM(N137:R137)</f>
        <v>0</v>
      </c>
      <c r="T137" s="670">
        <f>L137+M137+S137</f>
        <v>4400</v>
      </c>
    </row>
    <row r="138" spans="2:20" ht="15" customHeight="1" x14ac:dyDescent="0.25">
      <c r="B138" s="652" t="s">
        <v>73</v>
      </c>
      <c r="C138" s="664">
        <f>IFERROR(_xlfn.XLOOKUP($G138,COM_Cadastro!$F$3:$F$199,COM_Cadastro!$B$3:$B$199),"")</f>
        <v>17382143708</v>
      </c>
      <c r="D138" s="650" t="s">
        <v>733</v>
      </c>
      <c r="E138" s="651" t="s">
        <v>377</v>
      </c>
      <c r="F138" s="650" t="s">
        <v>376</v>
      </c>
      <c r="G138" s="652" t="s">
        <v>375</v>
      </c>
      <c r="H138" s="835">
        <v>1622</v>
      </c>
      <c r="I138" s="835"/>
      <c r="J138" s="835"/>
      <c r="K138" s="835"/>
      <c r="L138" s="836">
        <f>SUM(H138:K138)</f>
        <v>1622</v>
      </c>
      <c r="M138" s="837">
        <f>H138*8%</f>
        <v>129.76</v>
      </c>
      <c r="N138" s="836">
        <f>H138/12</f>
        <v>135.16666666666666</v>
      </c>
      <c r="O138" s="836">
        <f>N138/3</f>
        <v>45.05555555555555</v>
      </c>
      <c r="P138" s="836">
        <f>(N138+O138)*8%</f>
        <v>14.417777777777776</v>
      </c>
      <c r="Q138" s="838">
        <f>H138/12</f>
        <v>135.16666666666666</v>
      </c>
      <c r="R138" s="838">
        <f>Q138*8%</f>
        <v>10.813333333333333</v>
      </c>
      <c r="S138" s="836">
        <f>SUM(N138:R138)</f>
        <v>340.61999999999995</v>
      </c>
      <c r="T138" s="836">
        <f>L138+M138+S138</f>
        <v>2092.38</v>
      </c>
    </row>
    <row r="139" spans="2:20" ht="15" customHeight="1" x14ac:dyDescent="0.25">
      <c r="B139" s="638" t="s">
        <v>73</v>
      </c>
      <c r="C139" s="673">
        <f>IFERROR(_xlfn.XLOOKUP($G139,COM_Cadastro!$F$3:$F$199,COM_Cadastro!$B$3:$B$199),"")</f>
        <v>14078073743</v>
      </c>
      <c r="D139" s="640" t="s">
        <v>733</v>
      </c>
      <c r="E139" s="641" t="s">
        <v>377</v>
      </c>
      <c r="F139" s="640" t="s">
        <v>376</v>
      </c>
      <c r="G139" s="638" t="s">
        <v>384</v>
      </c>
      <c r="H139" s="642">
        <v>1459.8</v>
      </c>
      <c r="I139" s="642"/>
      <c r="J139" s="642">
        <v>840</v>
      </c>
      <c r="K139" s="642">
        <v>562.5</v>
      </c>
      <c r="L139" s="643">
        <f>SUM(H139:K139)</f>
        <v>2862.3</v>
      </c>
      <c r="M139" s="644">
        <f>H139*8%</f>
        <v>116.78399999999999</v>
      </c>
      <c r="N139" s="643">
        <f>H139/12</f>
        <v>121.64999999999999</v>
      </c>
      <c r="O139" s="643">
        <f>N139/3</f>
        <v>40.549999999999997</v>
      </c>
      <c r="P139" s="643">
        <f>(N139+O139)*8%</f>
        <v>12.975999999999999</v>
      </c>
      <c r="Q139" s="455">
        <f>H139/12</f>
        <v>121.64999999999999</v>
      </c>
      <c r="R139" s="455">
        <f>Q139*8%</f>
        <v>9.7319999999999993</v>
      </c>
      <c r="S139" s="643">
        <f>SUM(N139:R139)</f>
        <v>306.55799999999999</v>
      </c>
      <c r="T139" s="643">
        <f>L139+M139+S139</f>
        <v>3285.6420000000003</v>
      </c>
    </row>
    <row r="140" spans="2:20" ht="15" customHeight="1" x14ac:dyDescent="0.25">
      <c r="B140" s="638" t="s">
        <v>73</v>
      </c>
      <c r="C140" s="673">
        <f>IFERROR(_xlfn.XLOOKUP($G140,COM_Cadastro!$F$3:$F$199,COM_Cadastro!$B$3:$B$199),"")</f>
        <v>85498742720</v>
      </c>
      <c r="D140" s="640" t="s">
        <v>733</v>
      </c>
      <c r="E140" s="641" t="s">
        <v>377</v>
      </c>
      <c r="F140" s="640" t="s">
        <v>376</v>
      </c>
      <c r="G140" s="638" t="s">
        <v>386</v>
      </c>
      <c r="H140" s="642">
        <v>1622</v>
      </c>
      <c r="I140" s="642"/>
      <c r="J140" s="642">
        <v>528</v>
      </c>
      <c r="K140" s="642">
        <v>540</v>
      </c>
      <c r="L140" s="643">
        <f>SUM(H140:K140)</f>
        <v>2690</v>
      </c>
      <c r="M140" s="644">
        <f>H140*8%</f>
        <v>129.76</v>
      </c>
      <c r="N140" s="643">
        <f>H140/12</f>
        <v>135.16666666666666</v>
      </c>
      <c r="O140" s="643">
        <f>N140/3</f>
        <v>45.05555555555555</v>
      </c>
      <c r="P140" s="643">
        <f>(N140+O140)*8%</f>
        <v>14.417777777777776</v>
      </c>
      <c r="Q140" s="455">
        <f>H140/12</f>
        <v>135.16666666666666</v>
      </c>
      <c r="R140" s="455">
        <f>Q140*8%</f>
        <v>10.813333333333333</v>
      </c>
      <c r="S140" s="643">
        <f>SUM(N140:R140)</f>
        <v>340.61999999999995</v>
      </c>
      <c r="T140" s="643">
        <f>L140+M140+S140</f>
        <v>3160.38</v>
      </c>
    </row>
    <row r="141" spans="2:20" ht="15" customHeight="1" x14ac:dyDescent="0.25">
      <c r="B141" s="638" t="s">
        <v>73</v>
      </c>
      <c r="C141" s="673">
        <f>IFERROR(_xlfn.XLOOKUP($G141,COM_Cadastro!$F$3:$F$199,COM_Cadastro!$B$3:$B$199),"")</f>
        <v>10700664785</v>
      </c>
      <c r="D141" s="640" t="s">
        <v>733</v>
      </c>
      <c r="E141" s="641" t="s">
        <v>372</v>
      </c>
      <c r="F141" s="640" t="s">
        <v>376</v>
      </c>
      <c r="G141" s="638" t="s">
        <v>395</v>
      </c>
      <c r="H141" s="642">
        <v>2620</v>
      </c>
      <c r="I141" s="642"/>
      <c r="J141" s="642">
        <v>600</v>
      </c>
      <c r="K141" s="642">
        <v>540</v>
      </c>
      <c r="L141" s="643">
        <f>SUM(H141:K141)</f>
        <v>3760</v>
      </c>
      <c r="M141" s="644">
        <f>H141*8%</f>
        <v>209.6</v>
      </c>
      <c r="N141" s="643">
        <f>H141/12</f>
        <v>218.33333333333334</v>
      </c>
      <c r="O141" s="643">
        <f>N141/3</f>
        <v>72.777777777777786</v>
      </c>
      <c r="P141" s="643">
        <f>(N141+O141)*8%</f>
        <v>23.288888888888891</v>
      </c>
      <c r="Q141" s="455">
        <f>H141/12</f>
        <v>218.33333333333334</v>
      </c>
      <c r="R141" s="455">
        <f>Q141*8%</f>
        <v>17.466666666666669</v>
      </c>
      <c r="S141" s="643">
        <f>SUM(N141:R141)</f>
        <v>550.20000000000005</v>
      </c>
      <c r="T141" s="643">
        <f>L141+M141+S141</f>
        <v>4519.8</v>
      </c>
    </row>
    <row r="142" spans="2:20" ht="15" customHeight="1" x14ac:dyDescent="0.25">
      <c r="B142" s="638" t="s">
        <v>73</v>
      </c>
      <c r="C142" s="673">
        <f>IFERROR(_xlfn.XLOOKUP($G142,COM_Cadastro!$F$3:$F$199,COM_Cadastro!$B$3:$B$199),"")</f>
        <v>11937603725</v>
      </c>
      <c r="D142" s="640" t="s">
        <v>733</v>
      </c>
      <c r="E142" s="641" t="s">
        <v>377</v>
      </c>
      <c r="F142" s="640" t="s">
        <v>376</v>
      </c>
      <c r="G142" s="638" t="s">
        <v>400</v>
      </c>
      <c r="H142" s="642">
        <v>1622</v>
      </c>
      <c r="I142" s="642">
        <v>1920</v>
      </c>
      <c r="J142" s="642">
        <v>360</v>
      </c>
      <c r="K142" s="642">
        <v>540</v>
      </c>
      <c r="L142" s="643">
        <f>SUM(H142:K142)</f>
        <v>4442</v>
      </c>
      <c r="M142" s="644">
        <f>H142*8%</f>
        <v>129.76</v>
      </c>
      <c r="N142" s="643">
        <f>H142/12</f>
        <v>135.16666666666666</v>
      </c>
      <c r="O142" s="643">
        <f>N142/3</f>
        <v>45.05555555555555</v>
      </c>
      <c r="P142" s="643">
        <f>(N142+O142)*8%</f>
        <v>14.417777777777776</v>
      </c>
      <c r="Q142" s="455">
        <f>H142/12</f>
        <v>135.16666666666666</v>
      </c>
      <c r="R142" s="455">
        <f>Q142*8%</f>
        <v>10.813333333333333</v>
      </c>
      <c r="S142" s="643">
        <f>SUM(N142:R142)</f>
        <v>340.61999999999995</v>
      </c>
      <c r="T142" s="643">
        <f>L142+M142+S142</f>
        <v>4912.38</v>
      </c>
    </row>
    <row r="143" spans="2:20" ht="15" customHeight="1" x14ac:dyDescent="0.25">
      <c r="B143" s="652" t="s">
        <v>73</v>
      </c>
      <c r="C143" s="664">
        <f>IFERROR(_xlfn.XLOOKUP($G143,COM_Cadastro!$F$3:$F$199,COM_Cadastro!$B$3:$B$199),"")</f>
        <v>12945406705</v>
      </c>
      <c r="D143" s="650" t="s">
        <v>733</v>
      </c>
      <c r="E143" s="651" t="s">
        <v>377</v>
      </c>
      <c r="F143" s="650" t="s">
        <v>376</v>
      </c>
      <c r="G143" s="652" t="s">
        <v>402</v>
      </c>
      <c r="H143" s="835">
        <v>1622</v>
      </c>
      <c r="I143" s="835"/>
      <c r="J143" s="835"/>
      <c r="K143" s="835"/>
      <c r="L143" s="836">
        <f>SUM(H143:K143)</f>
        <v>1622</v>
      </c>
      <c r="M143" s="837">
        <f>H143*8%</f>
        <v>129.76</v>
      </c>
      <c r="N143" s="836">
        <f>H143/12</f>
        <v>135.16666666666666</v>
      </c>
      <c r="O143" s="836">
        <f>N143/3</f>
        <v>45.05555555555555</v>
      </c>
      <c r="P143" s="836">
        <f>(N143+O143)*8%</f>
        <v>14.417777777777776</v>
      </c>
      <c r="Q143" s="838">
        <f>H143/12</f>
        <v>135.16666666666666</v>
      </c>
      <c r="R143" s="838">
        <f>Q143*8%</f>
        <v>10.813333333333333</v>
      </c>
      <c r="S143" s="836">
        <f>SUM(N143:R143)</f>
        <v>340.61999999999995</v>
      </c>
      <c r="T143" s="836">
        <f>L143+M143+S143</f>
        <v>2092.38</v>
      </c>
    </row>
    <row r="144" spans="2:20" ht="15" customHeight="1" x14ac:dyDescent="0.25">
      <c r="B144" s="638" t="s">
        <v>73</v>
      </c>
      <c r="C144" s="673">
        <f>IFERROR(_xlfn.XLOOKUP($G144,COM_Cadastro!$F$3:$F$199,COM_Cadastro!$B$3:$B$199),"")</f>
        <v>12094789780</v>
      </c>
      <c r="D144" s="640" t="s">
        <v>733</v>
      </c>
      <c r="E144" s="641" t="s">
        <v>377</v>
      </c>
      <c r="F144" s="640" t="s">
        <v>376</v>
      </c>
      <c r="G144" s="638" t="s">
        <v>407</v>
      </c>
      <c r="H144" s="642">
        <v>1622</v>
      </c>
      <c r="I144" s="642">
        <v>467</v>
      </c>
      <c r="J144" s="642">
        <v>528</v>
      </c>
      <c r="K144" s="642">
        <v>540</v>
      </c>
      <c r="L144" s="643">
        <f>SUM(H144:K144)</f>
        <v>3157</v>
      </c>
      <c r="M144" s="644">
        <f>H144*8%</f>
        <v>129.76</v>
      </c>
      <c r="N144" s="643">
        <f>H144/12</f>
        <v>135.16666666666666</v>
      </c>
      <c r="O144" s="643">
        <f>N144/3</f>
        <v>45.05555555555555</v>
      </c>
      <c r="P144" s="643">
        <f>(N144+O144)*8%</f>
        <v>14.417777777777776</v>
      </c>
      <c r="Q144" s="455">
        <f>H144/12</f>
        <v>135.16666666666666</v>
      </c>
      <c r="R144" s="455">
        <f>Q144*8%</f>
        <v>10.813333333333333</v>
      </c>
      <c r="S144" s="643">
        <f>SUM(N144:R144)</f>
        <v>340.61999999999995</v>
      </c>
      <c r="T144" s="643">
        <f>L144+M144+S144</f>
        <v>3627.38</v>
      </c>
    </row>
    <row r="145" spans="2:20" ht="15" customHeight="1" x14ac:dyDescent="0.25">
      <c r="B145" s="638" t="s">
        <v>73</v>
      </c>
      <c r="C145" s="673">
        <f>IFERROR(_xlfn.XLOOKUP($G145,COM_Cadastro!$F$3:$F$199,COM_Cadastro!$B$3:$B$199),"")</f>
        <v>8751479761</v>
      </c>
      <c r="D145" s="640" t="s">
        <v>733</v>
      </c>
      <c r="E145" s="641" t="s">
        <v>377</v>
      </c>
      <c r="F145" s="640" t="s">
        <v>376</v>
      </c>
      <c r="G145" s="638" t="s">
        <v>408</v>
      </c>
      <c r="H145" s="642">
        <v>1622</v>
      </c>
      <c r="I145" s="642"/>
      <c r="J145" s="642">
        <v>565.20000000000005</v>
      </c>
      <c r="K145" s="642">
        <v>540</v>
      </c>
      <c r="L145" s="643">
        <f>SUM(H145:K145)</f>
        <v>2727.2</v>
      </c>
      <c r="M145" s="644">
        <f>H145*8%</f>
        <v>129.76</v>
      </c>
      <c r="N145" s="643">
        <f>H145/12</f>
        <v>135.16666666666666</v>
      </c>
      <c r="O145" s="643">
        <f>N145/3</f>
        <v>45.05555555555555</v>
      </c>
      <c r="P145" s="643">
        <f>(N145+O145)*8%</f>
        <v>14.417777777777776</v>
      </c>
      <c r="Q145" s="455">
        <f>H145/12</f>
        <v>135.16666666666666</v>
      </c>
      <c r="R145" s="455">
        <f>Q145*8%</f>
        <v>10.813333333333333</v>
      </c>
      <c r="S145" s="643">
        <f>SUM(N145:R145)</f>
        <v>340.61999999999995</v>
      </c>
      <c r="T145" s="643">
        <f>L145+M145+S145</f>
        <v>3197.58</v>
      </c>
    </row>
    <row r="146" spans="2:20" ht="15" customHeight="1" x14ac:dyDescent="0.25">
      <c r="B146" s="638" t="s">
        <v>73</v>
      </c>
      <c r="C146" s="673">
        <f>IFERROR(_xlfn.XLOOKUP($G146,COM_Cadastro!$F$3:$F$199,COM_Cadastro!$B$3:$B$199),"")</f>
        <v>70118531204</v>
      </c>
      <c r="D146" s="640" t="s">
        <v>733</v>
      </c>
      <c r="E146" s="641" t="s">
        <v>377</v>
      </c>
      <c r="F146" s="640" t="s">
        <v>376</v>
      </c>
      <c r="G146" s="638" t="s">
        <v>424</v>
      </c>
      <c r="H146" s="642">
        <v>1622</v>
      </c>
      <c r="I146" s="642">
        <v>2060</v>
      </c>
      <c r="J146" s="642">
        <v>625</v>
      </c>
      <c r="K146" s="642">
        <v>562.5</v>
      </c>
      <c r="L146" s="643">
        <f>SUM(H146:K146)</f>
        <v>4869.5</v>
      </c>
      <c r="M146" s="644">
        <f>H146*8%</f>
        <v>129.76</v>
      </c>
      <c r="N146" s="643">
        <f>H146/12</f>
        <v>135.16666666666666</v>
      </c>
      <c r="O146" s="643">
        <f>N146/3</f>
        <v>45.05555555555555</v>
      </c>
      <c r="P146" s="643">
        <f>(N146+O146)*8%</f>
        <v>14.417777777777776</v>
      </c>
      <c r="Q146" s="455">
        <f>H146/12</f>
        <v>135.16666666666666</v>
      </c>
      <c r="R146" s="455">
        <f>Q146*8%</f>
        <v>10.813333333333333</v>
      </c>
      <c r="S146" s="643">
        <f>SUM(N146:R146)</f>
        <v>340.61999999999995</v>
      </c>
      <c r="T146" s="643">
        <f>L146+M146+S146</f>
        <v>5339.88</v>
      </c>
    </row>
    <row r="147" spans="2:20" ht="15" customHeight="1" x14ac:dyDescent="0.25">
      <c r="B147" s="638" t="s">
        <v>73</v>
      </c>
      <c r="C147" s="673">
        <f>IFERROR(_xlfn.XLOOKUP($G147,COM_Cadastro!$F$3:$F$199,COM_Cadastro!$B$3:$B$199),"")</f>
        <v>10962897760</v>
      </c>
      <c r="D147" s="640" t="s">
        <v>733</v>
      </c>
      <c r="E147" s="641" t="s">
        <v>377</v>
      </c>
      <c r="F147" s="640" t="s">
        <v>376</v>
      </c>
      <c r="G147" s="638" t="s">
        <v>432</v>
      </c>
      <c r="H147" s="642">
        <v>1622</v>
      </c>
      <c r="I147" s="642">
        <v>631</v>
      </c>
      <c r="J147" s="642">
        <v>685</v>
      </c>
      <c r="K147" s="642">
        <v>562.5</v>
      </c>
      <c r="L147" s="643">
        <f>SUM(H147:K147)</f>
        <v>3500.5</v>
      </c>
      <c r="M147" s="644">
        <f>H147*8%</f>
        <v>129.76</v>
      </c>
      <c r="N147" s="643">
        <f>H147/12</f>
        <v>135.16666666666666</v>
      </c>
      <c r="O147" s="643">
        <f>N147/3</f>
        <v>45.05555555555555</v>
      </c>
      <c r="P147" s="643">
        <f>(N147+O147)*8%</f>
        <v>14.417777777777776</v>
      </c>
      <c r="Q147" s="455">
        <f>H147/12</f>
        <v>135.16666666666666</v>
      </c>
      <c r="R147" s="455">
        <f>Q147*8%</f>
        <v>10.813333333333333</v>
      </c>
      <c r="S147" s="643">
        <f>SUM(N147:R147)</f>
        <v>340.61999999999995</v>
      </c>
      <c r="T147" s="643">
        <f>L147+M147+S147</f>
        <v>3970.88</v>
      </c>
    </row>
    <row r="148" spans="2:20" ht="15" customHeight="1" x14ac:dyDescent="0.25">
      <c r="B148" s="638" t="s">
        <v>73</v>
      </c>
      <c r="C148" s="673">
        <f>IFERROR(_xlfn.XLOOKUP($G148,COM_Cadastro!$F$3:$F$199,COM_Cadastro!$B$3:$B$199),"")</f>
        <v>59636769249</v>
      </c>
      <c r="D148" s="640" t="s">
        <v>733</v>
      </c>
      <c r="E148" s="641" t="s">
        <v>377</v>
      </c>
      <c r="F148" s="640" t="s">
        <v>376</v>
      </c>
      <c r="G148" s="638" t="s">
        <v>893</v>
      </c>
      <c r="H148" s="642">
        <v>1622</v>
      </c>
      <c r="I148" s="642"/>
      <c r="J148" s="642">
        <v>480</v>
      </c>
      <c r="K148" s="642">
        <v>540</v>
      </c>
      <c r="L148" s="643">
        <f>SUM(H148:K148)</f>
        <v>2642</v>
      </c>
      <c r="M148" s="644">
        <f>H148*8%</f>
        <v>129.76</v>
      </c>
      <c r="N148" s="643">
        <f>H148/12</f>
        <v>135.16666666666666</v>
      </c>
      <c r="O148" s="643">
        <f>N148/3</f>
        <v>45.05555555555555</v>
      </c>
      <c r="P148" s="643">
        <f>(N148+O148)*8%</f>
        <v>14.417777777777776</v>
      </c>
      <c r="Q148" s="455">
        <f>H148/12</f>
        <v>135.16666666666666</v>
      </c>
      <c r="R148" s="455">
        <f>Q148*8%</f>
        <v>10.813333333333333</v>
      </c>
      <c r="S148" s="643">
        <f>SUM(N148:R148)</f>
        <v>340.61999999999995</v>
      </c>
      <c r="T148" s="643">
        <f>L148+M148+S148</f>
        <v>3112.38</v>
      </c>
    </row>
    <row r="149" spans="2:20" ht="15" customHeight="1" x14ac:dyDescent="0.25">
      <c r="B149" s="638" t="s">
        <v>73</v>
      </c>
      <c r="C149" s="673">
        <f>IFERROR(_xlfn.XLOOKUP($G149,COM_Cadastro!$F$3:$F$199,COM_Cadastro!$B$3:$B$199),"")</f>
        <v>13604423759</v>
      </c>
      <c r="D149" s="640" t="s">
        <v>733</v>
      </c>
      <c r="E149" s="641" t="s">
        <v>377</v>
      </c>
      <c r="F149" s="640" t="s">
        <v>376</v>
      </c>
      <c r="G149" s="638" t="s">
        <v>457</v>
      </c>
      <c r="H149" s="642">
        <v>1622</v>
      </c>
      <c r="I149" s="642">
        <v>266</v>
      </c>
      <c r="J149" s="642">
        <v>893.6</v>
      </c>
      <c r="K149" s="642">
        <v>517.5</v>
      </c>
      <c r="L149" s="643">
        <f>SUM(H149:K149)</f>
        <v>3299.1</v>
      </c>
      <c r="M149" s="644">
        <f>H149*8%</f>
        <v>129.76</v>
      </c>
      <c r="N149" s="643">
        <f>H149/12</f>
        <v>135.16666666666666</v>
      </c>
      <c r="O149" s="643">
        <f>N149/3</f>
        <v>45.05555555555555</v>
      </c>
      <c r="P149" s="643">
        <f>(N149+O149)*8%</f>
        <v>14.417777777777776</v>
      </c>
      <c r="Q149" s="455">
        <f>H149/12</f>
        <v>135.16666666666666</v>
      </c>
      <c r="R149" s="455">
        <f>Q149*8%</f>
        <v>10.813333333333333</v>
      </c>
      <c r="S149" s="643">
        <f>SUM(N149:R149)</f>
        <v>340.61999999999995</v>
      </c>
      <c r="T149" s="643">
        <f>L149+M149+S149</f>
        <v>3769.4799999999996</v>
      </c>
    </row>
    <row r="150" spans="2:20" ht="15" customHeight="1" x14ac:dyDescent="0.25">
      <c r="B150" s="638" t="s">
        <v>73</v>
      </c>
      <c r="C150" s="673">
        <f>IFERROR(_xlfn.XLOOKUP($G150,COM_Cadastro!$F$3:$F$199,COM_Cadastro!$B$3:$B$199),"")</f>
        <v>280407713</v>
      </c>
      <c r="D150" s="640" t="s">
        <v>733</v>
      </c>
      <c r="E150" s="641" t="s">
        <v>377</v>
      </c>
      <c r="F150" s="640" t="s">
        <v>376</v>
      </c>
      <c r="G150" s="638" t="s">
        <v>460</v>
      </c>
      <c r="H150" s="642">
        <v>1622</v>
      </c>
      <c r="I150" s="642"/>
      <c r="J150" s="642">
        <v>577.6</v>
      </c>
      <c r="K150" s="642">
        <v>540</v>
      </c>
      <c r="L150" s="643">
        <f>SUM(H150:K150)</f>
        <v>2739.6</v>
      </c>
      <c r="M150" s="644">
        <f>H150*8%</f>
        <v>129.76</v>
      </c>
      <c r="N150" s="643">
        <f>H150/12</f>
        <v>135.16666666666666</v>
      </c>
      <c r="O150" s="643">
        <f>N150/3</f>
        <v>45.05555555555555</v>
      </c>
      <c r="P150" s="643">
        <f>(N150+O150)*8%</f>
        <v>14.417777777777776</v>
      </c>
      <c r="Q150" s="455">
        <f>H150/12</f>
        <v>135.16666666666666</v>
      </c>
      <c r="R150" s="455">
        <f>Q150*8%</f>
        <v>10.813333333333333</v>
      </c>
      <c r="S150" s="643">
        <f>SUM(N150:R150)</f>
        <v>340.61999999999995</v>
      </c>
      <c r="T150" s="643">
        <f>L150+M150+S150</f>
        <v>3209.9799999999996</v>
      </c>
    </row>
    <row r="151" spans="2:20" ht="15" customHeight="1" x14ac:dyDescent="0.25">
      <c r="B151" s="638" t="s">
        <v>73</v>
      </c>
      <c r="C151" s="673">
        <f>IFERROR(_xlfn.XLOOKUP($G151,COM_Cadastro!$F$3:$F$199,COM_Cadastro!$B$3:$B$199),"")</f>
        <v>12396235770</v>
      </c>
      <c r="D151" s="640" t="s">
        <v>733</v>
      </c>
      <c r="E151" s="641" t="s">
        <v>377</v>
      </c>
      <c r="F151" s="640" t="s">
        <v>376</v>
      </c>
      <c r="G151" s="638" t="s">
        <v>475</v>
      </c>
      <c r="H151" s="642">
        <v>1622</v>
      </c>
      <c r="I151" s="642"/>
      <c r="J151" s="642">
        <v>619.20000000000005</v>
      </c>
      <c r="K151" s="642">
        <v>540</v>
      </c>
      <c r="L151" s="643">
        <f>SUM(H151:K151)</f>
        <v>2781.2</v>
      </c>
      <c r="M151" s="644">
        <f>H151*8%</f>
        <v>129.76</v>
      </c>
      <c r="N151" s="643">
        <f>H151/12</f>
        <v>135.16666666666666</v>
      </c>
      <c r="O151" s="643">
        <f>N151/3</f>
        <v>45.05555555555555</v>
      </c>
      <c r="P151" s="643">
        <f>(N151+O151)*8%</f>
        <v>14.417777777777776</v>
      </c>
      <c r="Q151" s="455">
        <f>H151/12</f>
        <v>135.16666666666666</v>
      </c>
      <c r="R151" s="455">
        <f>Q151*8%</f>
        <v>10.813333333333333</v>
      </c>
      <c r="S151" s="643">
        <f>SUM(N151:R151)</f>
        <v>340.61999999999995</v>
      </c>
      <c r="T151" s="643">
        <f>L151+M151+S151</f>
        <v>3251.58</v>
      </c>
    </row>
    <row r="152" spans="2:20" ht="15" customHeight="1" x14ac:dyDescent="0.25">
      <c r="B152" s="638" t="s">
        <v>73</v>
      </c>
      <c r="C152" s="673">
        <f>IFERROR(_xlfn.XLOOKUP($G152,COM_Cadastro!$F$3:$F$199,COM_Cadastro!$B$3:$B$199),"")</f>
        <v>20354300709</v>
      </c>
      <c r="D152" s="640" t="s">
        <v>733</v>
      </c>
      <c r="E152" s="641" t="s">
        <v>377</v>
      </c>
      <c r="F152" s="640" t="s">
        <v>376</v>
      </c>
      <c r="G152" s="638" t="s">
        <v>490</v>
      </c>
      <c r="H152" s="642">
        <v>1622</v>
      </c>
      <c r="I152" s="642"/>
      <c r="J152" s="642">
        <v>555</v>
      </c>
      <c r="K152" s="642">
        <v>562.5</v>
      </c>
      <c r="L152" s="643">
        <f>SUM(H152:K152)</f>
        <v>2739.5</v>
      </c>
      <c r="M152" s="644">
        <f>H152*8%</f>
        <v>129.76</v>
      </c>
      <c r="N152" s="643">
        <f>H152/12</f>
        <v>135.16666666666666</v>
      </c>
      <c r="O152" s="643">
        <f>N152/3</f>
        <v>45.05555555555555</v>
      </c>
      <c r="P152" s="643">
        <f>(N152+O152)*8%</f>
        <v>14.417777777777776</v>
      </c>
      <c r="Q152" s="455">
        <f>H152/12</f>
        <v>135.16666666666666</v>
      </c>
      <c r="R152" s="455">
        <f>Q152*8%</f>
        <v>10.813333333333333</v>
      </c>
      <c r="S152" s="643">
        <f>SUM(N152:R152)</f>
        <v>340.61999999999995</v>
      </c>
      <c r="T152" s="643">
        <f>L152+M152+S152</f>
        <v>3209.88</v>
      </c>
    </row>
    <row r="153" spans="2:20" ht="15" customHeight="1" x14ac:dyDescent="0.25">
      <c r="B153" s="638" t="s">
        <v>73</v>
      </c>
      <c r="C153" s="673">
        <f>IFERROR(_xlfn.XLOOKUP($G153,COM_Cadastro!$F$3:$F$199,COM_Cadastro!$B$3:$B$199),"")</f>
        <v>15654791737</v>
      </c>
      <c r="D153" s="640" t="s">
        <v>733</v>
      </c>
      <c r="E153" s="641" t="s">
        <v>377</v>
      </c>
      <c r="F153" s="640" t="s">
        <v>376</v>
      </c>
      <c r="G153" s="638" t="s">
        <v>503</v>
      </c>
      <c r="H153" s="642">
        <v>1622</v>
      </c>
      <c r="I153" s="642"/>
      <c r="J153" s="642">
        <v>240</v>
      </c>
      <c r="K153" s="642">
        <v>540</v>
      </c>
      <c r="L153" s="643">
        <f>SUM(H153:K153)</f>
        <v>2402</v>
      </c>
      <c r="M153" s="644">
        <f>H153*8%</f>
        <v>129.76</v>
      </c>
      <c r="N153" s="643">
        <f>H153/12</f>
        <v>135.16666666666666</v>
      </c>
      <c r="O153" s="643">
        <f>N153/3</f>
        <v>45.05555555555555</v>
      </c>
      <c r="P153" s="643">
        <f>(N153+O153)*8%</f>
        <v>14.417777777777776</v>
      </c>
      <c r="Q153" s="455">
        <f>H153/12</f>
        <v>135.16666666666666</v>
      </c>
      <c r="R153" s="455">
        <f>Q153*8%</f>
        <v>10.813333333333333</v>
      </c>
      <c r="S153" s="643">
        <f>SUM(N153:R153)</f>
        <v>340.61999999999995</v>
      </c>
      <c r="T153" s="643">
        <f>L153+M153+S153</f>
        <v>2872.38</v>
      </c>
    </row>
    <row r="154" spans="2:20" ht="15" customHeight="1" x14ac:dyDescent="0.25">
      <c r="B154" s="638" t="s">
        <v>73</v>
      </c>
      <c r="C154" s="673">
        <f>IFERROR(_xlfn.XLOOKUP($G154,COM_Cadastro!$F$3:$F$199,COM_Cadastro!$B$3:$B$199),"")</f>
        <v>9743604731</v>
      </c>
      <c r="D154" s="640" t="s">
        <v>733</v>
      </c>
      <c r="E154" s="641" t="s">
        <v>377</v>
      </c>
      <c r="F154" s="640" t="s">
        <v>376</v>
      </c>
      <c r="G154" s="638" t="s">
        <v>522</v>
      </c>
      <c r="H154" s="642">
        <v>1622</v>
      </c>
      <c r="I154" s="642">
        <v>46</v>
      </c>
      <c r="J154" s="642">
        <v>528</v>
      </c>
      <c r="K154" s="642">
        <v>540</v>
      </c>
      <c r="L154" s="643">
        <f>SUM(H154:K154)</f>
        <v>2736</v>
      </c>
      <c r="M154" s="644">
        <f>H154*8%</f>
        <v>129.76</v>
      </c>
      <c r="N154" s="643">
        <f>H154/12</f>
        <v>135.16666666666666</v>
      </c>
      <c r="O154" s="643">
        <f>N154/3</f>
        <v>45.05555555555555</v>
      </c>
      <c r="P154" s="643">
        <f>(N154+O154)*8%</f>
        <v>14.417777777777776</v>
      </c>
      <c r="Q154" s="455">
        <f>H154/12</f>
        <v>135.16666666666666</v>
      </c>
      <c r="R154" s="455">
        <f>Q154*8%</f>
        <v>10.813333333333333</v>
      </c>
      <c r="S154" s="643">
        <f>SUM(N154:R154)</f>
        <v>340.61999999999995</v>
      </c>
      <c r="T154" s="643">
        <f>L154+M154+S154</f>
        <v>3206.38</v>
      </c>
    </row>
    <row r="155" spans="2:20" ht="15" customHeight="1" x14ac:dyDescent="0.25">
      <c r="B155" s="638" t="s">
        <v>73</v>
      </c>
      <c r="C155" s="673">
        <f>IFERROR(_xlfn.XLOOKUP($G155,COM_Cadastro!$F$3:$F$199,COM_Cadastro!$B$3:$B$199),"")</f>
        <v>11684520746</v>
      </c>
      <c r="D155" s="640" t="s">
        <v>733</v>
      </c>
      <c r="E155" s="641" t="s">
        <v>377</v>
      </c>
      <c r="F155" s="640" t="s">
        <v>376</v>
      </c>
      <c r="G155" s="638" t="s">
        <v>546</v>
      </c>
      <c r="H155" s="642">
        <v>1622</v>
      </c>
      <c r="I155" s="642"/>
      <c r="J155" s="642">
        <v>500</v>
      </c>
      <c r="K155" s="642">
        <v>562.5</v>
      </c>
      <c r="L155" s="643">
        <f>SUM(H155:K155)</f>
        <v>2684.5</v>
      </c>
      <c r="M155" s="644">
        <f>H155*8%</f>
        <v>129.76</v>
      </c>
      <c r="N155" s="643">
        <f>H155/12</f>
        <v>135.16666666666666</v>
      </c>
      <c r="O155" s="643">
        <f>N155/3</f>
        <v>45.05555555555555</v>
      </c>
      <c r="P155" s="643">
        <f>(N155+O155)*8%</f>
        <v>14.417777777777776</v>
      </c>
      <c r="Q155" s="455">
        <f>H155/12</f>
        <v>135.16666666666666</v>
      </c>
      <c r="R155" s="455">
        <f>Q155*8%</f>
        <v>10.813333333333333</v>
      </c>
      <c r="S155" s="643">
        <f>SUM(N155:R155)</f>
        <v>340.61999999999995</v>
      </c>
      <c r="T155" s="643">
        <f>L155+M155+S155</f>
        <v>3154.88</v>
      </c>
    </row>
    <row r="156" spans="2:20" ht="15" customHeight="1" x14ac:dyDescent="0.25">
      <c r="B156" s="638" t="s">
        <v>73</v>
      </c>
      <c r="C156" s="673">
        <f>IFERROR(_xlfn.XLOOKUP($G156,COM_Cadastro!$F$3:$F$199,COM_Cadastro!$B$3:$B$199),"")</f>
        <v>6427753703</v>
      </c>
      <c r="D156" s="640" t="s">
        <v>733</v>
      </c>
      <c r="E156" s="641" t="s">
        <v>377</v>
      </c>
      <c r="F156" s="640" t="s">
        <v>376</v>
      </c>
      <c r="G156" s="638" t="s">
        <v>553</v>
      </c>
      <c r="H156" s="642">
        <v>1622</v>
      </c>
      <c r="I156" s="642">
        <v>794</v>
      </c>
      <c r="J156" s="642">
        <v>321.60000000000002</v>
      </c>
      <c r="K156" s="642">
        <v>540</v>
      </c>
      <c r="L156" s="643">
        <f>SUM(H156:K156)</f>
        <v>3277.6</v>
      </c>
      <c r="M156" s="644">
        <f>H156*8%</f>
        <v>129.76</v>
      </c>
      <c r="N156" s="643">
        <f>H156/12</f>
        <v>135.16666666666666</v>
      </c>
      <c r="O156" s="643">
        <f>N156/3</f>
        <v>45.05555555555555</v>
      </c>
      <c r="P156" s="643">
        <f>(N156+O156)*8%</f>
        <v>14.417777777777776</v>
      </c>
      <c r="Q156" s="455">
        <f>H156/12</f>
        <v>135.16666666666666</v>
      </c>
      <c r="R156" s="455">
        <f>Q156*8%</f>
        <v>10.813333333333333</v>
      </c>
      <c r="S156" s="643">
        <f>SUM(N156:R156)</f>
        <v>340.61999999999995</v>
      </c>
      <c r="T156" s="643">
        <f>L156+M156+S156</f>
        <v>3747.9799999999996</v>
      </c>
    </row>
    <row r="157" spans="2:20" ht="15" customHeight="1" x14ac:dyDescent="0.25">
      <c r="B157" s="638" t="s">
        <v>73</v>
      </c>
      <c r="C157" s="673">
        <f>IFERROR(_xlfn.XLOOKUP($G157,COM_Cadastro!$F$3:$F$199,COM_Cadastro!$B$3:$B$199),"")</f>
        <v>18999806790</v>
      </c>
      <c r="D157" s="640" t="s">
        <v>733</v>
      </c>
      <c r="E157" s="641" t="s">
        <v>377</v>
      </c>
      <c r="F157" s="640" t="s">
        <v>376</v>
      </c>
      <c r="G157" s="638" t="s">
        <v>894</v>
      </c>
      <c r="H157" s="642">
        <v>1622</v>
      </c>
      <c r="I157" s="642">
        <v>498</v>
      </c>
      <c r="J157" s="642">
        <v>597.5</v>
      </c>
      <c r="K157" s="642">
        <v>562.5</v>
      </c>
      <c r="L157" s="643">
        <f>SUM(H157:K157)</f>
        <v>3280</v>
      </c>
      <c r="M157" s="644">
        <f>H157*8%</f>
        <v>129.76</v>
      </c>
      <c r="N157" s="643">
        <f>H157/12</f>
        <v>135.16666666666666</v>
      </c>
      <c r="O157" s="643">
        <f>N157/3</f>
        <v>45.05555555555555</v>
      </c>
      <c r="P157" s="643">
        <f>(N157+O157)*8%</f>
        <v>14.417777777777776</v>
      </c>
      <c r="Q157" s="455">
        <f>H157/12</f>
        <v>135.16666666666666</v>
      </c>
      <c r="R157" s="455">
        <f>Q157*8%</f>
        <v>10.813333333333333</v>
      </c>
      <c r="S157" s="643">
        <f>SUM(N157:R157)</f>
        <v>340.61999999999995</v>
      </c>
      <c r="T157" s="643">
        <f>L157+M157+S157</f>
        <v>3750.38</v>
      </c>
    </row>
    <row r="158" spans="2:20" ht="15" customHeight="1" x14ac:dyDescent="0.25">
      <c r="B158" s="638" t="s">
        <v>73</v>
      </c>
      <c r="C158" s="673">
        <f>IFERROR(_xlfn.XLOOKUP($G158,COM_Cadastro!$F$3:$F$199,COM_Cadastro!$B$3:$B$199),"")</f>
        <v>15863249773</v>
      </c>
      <c r="D158" s="640" t="s">
        <v>733</v>
      </c>
      <c r="E158" s="641" t="s">
        <v>372</v>
      </c>
      <c r="F158" s="640" t="s">
        <v>376</v>
      </c>
      <c r="G158" s="638" t="s">
        <v>571</v>
      </c>
      <c r="H158" s="642">
        <v>2600</v>
      </c>
      <c r="I158" s="642"/>
      <c r="J158" s="642">
        <v>440</v>
      </c>
      <c r="K158" s="642">
        <v>540</v>
      </c>
      <c r="L158" s="643">
        <f>SUM(H158:K158)</f>
        <v>3580</v>
      </c>
      <c r="M158" s="644">
        <f>H158*8%</f>
        <v>208</v>
      </c>
      <c r="N158" s="643">
        <f>H158/12</f>
        <v>216.66666666666666</v>
      </c>
      <c r="O158" s="643">
        <f>N158/3</f>
        <v>72.222222222222214</v>
      </c>
      <c r="P158" s="643">
        <f>(N158+O158)*8%</f>
        <v>23.111111111111111</v>
      </c>
      <c r="Q158" s="455">
        <f>H158/12</f>
        <v>216.66666666666666</v>
      </c>
      <c r="R158" s="455">
        <f>Q158*8%</f>
        <v>17.333333333333332</v>
      </c>
      <c r="S158" s="643">
        <f>SUM(N158:R158)</f>
        <v>546</v>
      </c>
      <c r="T158" s="643">
        <f>L158+M158+S158</f>
        <v>4334</v>
      </c>
    </row>
    <row r="159" spans="2:20" ht="15" customHeight="1" x14ac:dyDescent="0.25">
      <c r="B159" s="638" t="s">
        <v>73</v>
      </c>
      <c r="C159" s="673">
        <f>IFERROR(_xlfn.XLOOKUP($G159,COM_Cadastro!$F$3:$F$199,COM_Cadastro!$B$3:$B$199),"")</f>
        <v>7954726762</v>
      </c>
      <c r="D159" s="640" t="s">
        <v>733</v>
      </c>
      <c r="E159" s="641" t="s">
        <v>377</v>
      </c>
      <c r="F159" s="640" t="s">
        <v>376</v>
      </c>
      <c r="G159" s="638" t="s">
        <v>576</v>
      </c>
      <c r="H159" s="642">
        <v>1622</v>
      </c>
      <c r="I159" s="642">
        <v>991</v>
      </c>
      <c r="J159" s="642">
        <v>499.2</v>
      </c>
      <c r="K159" s="642">
        <v>540</v>
      </c>
      <c r="L159" s="643">
        <f>SUM(H159:K159)</f>
        <v>3652.2</v>
      </c>
      <c r="M159" s="644">
        <f>H159*8%</f>
        <v>129.76</v>
      </c>
      <c r="N159" s="643">
        <f>H159/12</f>
        <v>135.16666666666666</v>
      </c>
      <c r="O159" s="643">
        <f>N159/3</f>
        <v>45.05555555555555</v>
      </c>
      <c r="P159" s="643">
        <f>(N159+O159)*8%</f>
        <v>14.417777777777776</v>
      </c>
      <c r="Q159" s="455">
        <f>H159/12</f>
        <v>135.16666666666666</v>
      </c>
      <c r="R159" s="455">
        <f>Q159*8%</f>
        <v>10.813333333333333</v>
      </c>
      <c r="S159" s="643">
        <f>SUM(N159:R159)</f>
        <v>340.61999999999995</v>
      </c>
      <c r="T159" s="643">
        <f>L159+M159+S159</f>
        <v>4122.58</v>
      </c>
    </row>
    <row r="160" spans="2:20" ht="15" customHeight="1" x14ac:dyDescent="0.25">
      <c r="B160" s="638" t="s">
        <v>73</v>
      </c>
      <c r="C160" s="673">
        <f>IFERROR(_xlfn.XLOOKUP($G160,COM_Cadastro!$F$3:$F$199,COM_Cadastro!$B$3:$B$199),"")</f>
        <v>15863236795</v>
      </c>
      <c r="D160" s="640" t="s">
        <v>733</v>
      </c>
      <c r="E160" s="641" t="s">
        <v>377</v>
      </c>
      <c r="F160" s="640" t="s">
        <v>376</v>
      </c>
      <c r="G160" s="638" t="s">
        <v>579</v>
      </c>
      <c r="H160" s="642">
        <v>1622</v>
      </c>
      <c r="I160" s="642"/>
      <c r="J160" s="642">
        <v>470.4</v>
      </c>
      <c r="K160" s="642">
        <v>540</v>
      </c>
      <c r="L160" s="643">
        <f>SUM(H160:K160)</f>
        <v>2632.4</v>
      </c>
      <c r="M160" s="644">
        <f>H160*8%</f>
        <v>129.76</v>
      </c>
      <c r="N160" s="643">
        <f>H160/12</f>
        <v>135.16666666666666</v>
      </c>
      <c r="O160" s="643">
        <f>N160/3</f>
        <v>45.05555555555555</v>
      </c>
      <c r="P160" s="643">
        <f>(N160+O160)*8%</f>
        <v>14.417777777777776</v>
      </c>
      <c r="Q160" s="455">
        <f>H160/12</f>
        <v>135.16666666666666</v>
      </c>
      <c r="R160" s="455">
        <f>Q160*8%</f>
        <v>10.813333333333333</v>
      </c>
      <c r="S160" s="643">
        <f>SUM(N160:R160)</f>
        <v>340.61999999999995</v>
      </c>
      <c r="T160" s="643">
        <f>L160+M160+S160</f>
        <v>3102.7799999999997</v>
      </c>
    </row>
    <row r="161" spans="2:20" ht="15" customHeight="1" x14ac:dyDescent="0.25">
      <c r="B161" s="638" t="s">
        <v>73</v>
      </c>
      <c r="C161" s="673">
        <f>IFERROR(_xlfn.XLOOKUP($G161,COM_Cadastro!$F$3:$F$199,COM_Cadastro!$B$3:$B$199),"")</f>
        <v>9149239783</v>
      </c>
      <c r="D161" s="640" t="s">
        <v>733</v>
      </c>
      <c r="E161" s="641" t="s">
        <v>377</v>
      </c>
      <c r="F161" s="640" t="s">
        <v>376</v>
      </c>
      <c r="G161" s="638" t="s">
        <v>584</v>
      </c>
      <c r="H161" s="642">
        <v>1622</v>
      </c>
      <c r="I161" s="642">
        <v>260</v>
      </c>
      <c r="J161" s="642">
        <v>538.20000000000005</v>
      </c>
      <c r="K161" s="642">
        <v>540</v>
      </c>
      <c r="L161" s="643">
        <f>SUM(H161:K161)</f>
        <v>2960.2</v>
      </c>
      <c r="M161" s="644">
        <f>H161*8%</f>
        <v>129.76</v>
      </c>
      <c r="N161" s="643">
        <f>H161/12</f>
        <v>135.16666666666666</v>
      </c>
      <c r="O161" s="643">
        <f>N161/3</f>
        <v>45.05555555555555</v>
      </c>
      <c r="P161" s="643">
        <f>(N161+O161)*8%</f>
        <v>14.417777777777776</v>
      </c>
      <c r="Q161" s="455">
        <f>H161/12</f>
        <v>135.16666666666666</v>
      </c>
      <c r="R161" s="455">
        <f>Q161*8%</f>
        <v>10.813333333333333</v>
      </c>
      <c r="S161" s="643">
        <f>SUM(N161:R161)</f>
        <v>340.61999999999995</v>
      </c>
      <c r="T161" s="643">
        <f>L161+M161+S161</f>
        <v>3430.58</v>
      </c>
    </row>
    <row r="162" spans="2:20" ht="15" customHeight="1" x14ac:dyDescent="0.25">
      <c r="B162" s="638" t="s">
        <v>73</v>
      </c>
      <c r="C162" s="673">
        <f>IFERROR(_xlfn.XLOOKUP($G162,COM_Cadastro!$F$3:$F$199,COM_Cadastro!$B$3:$B$199),"")</f>
        <v>99272113768</v>
      </c>
      <c r="D162" s="640" t="s">
        <v>733</v>
      </c>
      <c r="E162" s="641" t="s">
        <v>377</v>
      </c>
      <c r="F162" s="640" t="s">
        <v>376</v>
      </c>
      <c r="G162" s="638" t="s">
        <v>589</v>
      </c>
      <c r="H162" s="642">
        <v>1622</v>
      </c>
      <c r="I162" s="642">
        <v>462</v>
      </c>
      <c r="J162" s="642">
        <v>360</v>
      </c>
      <c r="K162" s="642">
        <v>540</v>
      </c>
      <c r="L162" s="643">
        <f>SUM(H162:K162)</f>
        <v>2984</v>
      </c>
      <c r="M162" s="644">
        <f>H162*8%</f>
        <v>129.76</v>
      </c>
      <c r="N162" s="643">
        <f>H162/12</f>
        <v>135.16666666666666</v>
      </c>
      <c r="O162" s="643">
        <f>N162/3</f>
        <v>45.05555555555555</v>
      </c>
      <c r="P162" s="643">
        <f>(N162+O162)*8%</f>
        <v>14.417777777777776</v>
      </c>
      <c r="Q162" s="455">
        <f>H162/12</f>
        <v>135.16666666666666</v>
      </c>
      <c r="R162" s="455">
        <f>Q162*8%</f>
        <v>10.813333333333333</v>
      </c>
      <c r="S162" s="643">
        <f>SUM(N162:R162)</f>
        <v>340.61999999999995</v>
      </c>
      <c r="T162" s="643">
        <f>L162+M162+S162</f>
        <v>3454.38</v>
      </c>
    </row>
    <row r="163" spans="2:20" ht="15" customHeight="1" x14ac:dyDescent="0.25">
      <c r="B163" s="638" t="s">
        <v>73</v>
      </c>
      <c r="C163" s="673">
        <f>IFERROR(_xlfn.XLOOKUP($G163,COM_Cadastro!$F$3:$F$199,COM_Cadastro!$B$3:$B$199),"")</f>
        <v>14621117777</v>
      </c>
      <c r="D163" s="640" t="s">
        <v>733</v>
      </c>
      <c r="E163" s="641" t="s">
        <v>377</v>
      </c>
      <c r="F163" s="640" t="s">
        <v>376</v>
      </c>
      <c r="G163" s="638" t="s">
        <v>599</v>
      </c>
      <c r="H163" s="642">
        <v>1622</v>
      </c>
      <c r="I163" s="642">
        <v>556</v>
      </c>
      <c r="J163" s="642">
        <v>500</v>
      </c>
      <c r="K163" s="642">
        <v>562.5</v>
      </c>
      <c r="L163" s="643">
        <f>SUM(H163:K163)</f>
        <v>3240.5</v>
      </c>
      <c r="M163" s="644">
        <f>H163*8%</f>
        <v>129.76</v>
      </c>
      <c r="N163" s="643">
        <f>H163/12</f>
        <v>135.16666666666666</v>
      </c>
      <c r="O163" s="643">
        <f>N163/3</f>
        <v>45.05555555555555</v>
      </c>
      <c r="P163" s="643">
        <f>(N163+O163)*8%</f>
        <v>14.417777777777776</v>
      </c>
      <c r="Q163" s="455">
        <f>H163/12</f>
        <v>135.16666666666666</v>
      </c>
      <c r="R163" s="455">
        <f>Q163*8%</f>
        <v>10.813333333333333</v>
      </c>
      <c r="S163" s="643">
        <f>SUM(N163:R163)</f>
        <v>340.61999999999995</v>
      </c>
      <c r="T163" s="643">
        <f>L163+M163+S163</f>
        <v>3710.88</v>
      </c>
    </row>
    <row r="164" spans="2:20" ht="15" customHeight="1" x14ac:dyDescent="0.25">
      <c r="B164" s="638" t="s">
        <v>73</v>
      </c>
      <c r="C164" s="673">
        <f>IFERROR(_xlfn.XLOOKUP($G164,COM_Cadastro!$F$3:$F$199,COM_Cadastro!$B$3:$B$199),"")</f>
        <v>12136959700</v>
      </c>
      <c r="D164" s="640" t="s">
        <v>733</v>
      </c>
      <c r="E164" s="641" t="s">
        <v>377</v>
      </c>
      <c r="F164" s="640" t="s">
        <v>376</v>
      </c>
      <c r="G164" s="638" t="s">
        <v>603</v>
      </c>
      <c r="H164" s="642">
        <v>1622</v>
      </c>
      <c r="I164" s="642">
        <v>796</v>
      </c>
      <c r="J164" s="642">
        <v>500</v>
      </c>
      <c r="K164" s="642">
        <v>562.5</v>
      </c>
      <c r="L164" s="643">
        <f>SUM(H164:K164)</f>
        <v>3480.5</v>
      </c>
      <c r="M164" s="644">
        <f>H164*8%</f>
        <v>129.76</v>
      </c>
      <c r="N164" s="643">
        <f>H164/12</f>
        <v>135.16666666666666</v>
      </c>
      <c r="O164" s="643">
        <f>N164/3</f>
        <v>45.05555555555555</v>
      </c>
      <c r="P164" s="643">
        <f>(N164+O164)*8%</f>
        <v>14.417777777777776</v>
      </c>
      <c r="Q164" s="455">
        <f>H164/12</f>
        <v>135.16666666666666</v>
      </c>
      <c r="R164" s="455">
        <f>Q164*8%</f>
        <v>10.813333333333333</v>
      </c>
      <c r="S164" s="643">
        <f>SUM(N164:R164)</f>
        <v>340.61999999999995</v>
      </c>
      <c r="T164" s="643">
        <f>L164+M164+S164</f>
        <v>3950.88</v>
      </c>
    </row>
    <row r="165" spans="2:20" ht="15" customHeight="1" x14ac:dyDescent="0.25">
      <c r="B165" s="663" t="s">
        <v>73</v>
      </c>
      <c r="C165" s="673">
        <f>IFERROR(_xlfn.XLOOKUP($G165,COM_Cadastro!$F$3:$F$199,COM_Cadastro!$B$3:$B$199),"")</f>
        <v>59675824000104</v>
      </c>
      <c r="D165" s="674" t="s">
        <v>378</v>
      </c>
      <c r="E165" s="675" t="s">
        <v>378</v>
      </c>
      <c r="F165" s="674" t="s">
        <v>376</v>
      </c>
      <c r="G165" s="663" t="s">
        <v>890</v>
      </c>
      <c r="H165" s="668">
        <v>2880</v>
      </c>
      <c r="I165" s="669"/>
      <c r="J165" s="669"/>
      <c r="K165" s="669"/>
      <c r="L165" s="670">
        <f>SUM(H165:K165)</f>
        <v>2880</v>
      </c>
      <c r="M165" s="670"/>
      <c r="N165" s="670"/>
      <c r="O165" s="670"/>
      <c r="P165" s="670"/>
      <c r="Q165" s="670"/>
      <c r="R165" s="670"/>
      <c r="S165" s="670"/>
      <c r="T165" s="670">
        <f>L165+M165+S165</f>
        <v>2880</v>
      </c>
    </row>
    <row r="166" spans="2:20" ht="15" customHeight="1" x14ac:dyDescent="0.25">
      <c r="B166" s="663" t="s">
        <v>73</v>
      </c>
      <c r="C166" s="673">
        <f>IFERROR(_xlfn.XLOOKUP($G166,COM_Cadastro!$F$3:$F$199,COM_Cadastro!$B$3:$B$199),"")</f>
        <v>63054348000181</v>
      </c>
      <c r="D166" s="674" t="s">
        <v>378</v>
      </c>
      <c r="E166" s="675" t="s">
        <v>378</v>
      </c>
      <c r="F166" s="674" t="s">
        <v>376</v>
      </c>
      <c r="G166" s="663" t="s">
        <v>891</v>
      </c>
      <c r="H166" s="668">
        <v>2460</v>
      </c>
      <c r="I166" s="669"/>
      <c r="J166" s="669"/>
      <c r="K166" s="669"/>
      <c r="L166" s="670">
        <f>SUM(H166:K166)</f>
        <v>2460</v>
      </c>
      <c r="M166" s="670"/>
      <c r="N166" s="670"/>
      <c r="O166" s="670"/>
      <c r="P166" s="670"/>
      <c r="Q166" s="670"/>
      <c r="R166" s="670"/>
      <c r="S166" s="670"/>
      <c r="T166" s="670">
        <f>L166+M166+S166</f>
        <v>2460</v>
      </c>
    </row>
    <row r="167" spans="2:20" ht="15" customHeight="1" x14ac:dyDescent="0.25">
      <c r="B167" s="663" t="s">
        <v>73</v>
      </c>
      <c r="C167" s="673">
        <f>IFERROR(_xlfn.XLOOKUP($G167,COM_Cadastro!$F$3:$F$199,COM_Cadastro!$B$3:$B$199),"")</f>
        <v>63505497000110</v>
      </c>
      <c r="D167" s="674" t="s">
        <v>378</v>
      </c>
      <c r="E167" s="675" t="s">
        <v>378</v>
      </c>
      <c r="F167" s="674" t="s">
        <v>376</v>
      </c>
      <c r="G167" s="663" t="s">
        <v>892</v>
      </c>
      <c r="H167" s="668">
        <v>2640</v>
      </c>
      <c r="I167" s="669"/>
      <c r="J167" s="669"/>
      <c r="K167" s="669"/>
      <c r="L167" s="670">
        <f>SUM(H167:K167)</f>
        <v>2640</v>
      </c>
      <c r="M167" s="670"/>
      <c r="N167" s="670"/>
      <c r="O167" s="670"/>
      <c r="P167" s="670"/>
      <c r="Q167" s="670"/>
      <c r="R167" s="670"/>
      <c r="S167" s="670"/>
      <c r="T167" s="670">
        <f>L167+M167+S167</f>
        <v>2640</v>
      </c>
    </row>
    <row r="168" spans="2:20" ht="15" customHeight="1" x14ac:dyDescent="0.25">
      <c r="B168" s="663" t="s">
        <v>73</v>
      </c>
      <c r="C168" s="673">
        <f>IFERROR(_xlfn.XLOOKUP($G168,COM_Cadastro!$F$3:$F$199,COM_Cadastro!$B$3:$B$199),"")</f>
        <v>50744240000179</v>
      </c>
      <c r="D168" s="674" t="s">
        <v>378</v>
      </c>
      <c r="E168" s="675" t="s">
        <v>378</v>
      </c>
      <c r="F168" s="674" t="s">
        <v>376</v>
      </c>
      <c r="G168" s="663" t="s">
        <v>410</v>
      </c>
      <c r="H168" s="668">
        <v>1890</v>
      </c>
      <c r="I168" s="669"/>
      <c r="J168" s="669"/>
      <c r="K168" s="669"/>
      <c r="L168" s="670">
        <f>SUM(H168:K168)</f>
        <v>1890</v>
      </c>
      <c r="M168" s="670"/>
      <c r="N168" s="670"/>
      <c r="O168" s="670"/>
      <c r="P168" s="670"/>
      <c r="Q168" s="670"/>
      <c r="R168" s="670"/>
      <c r="S168" s="670"/>
      <c r="T168" s="670">
        <f>L168+M168+S168</f>
        <v>1890</v>
      </c>
    </row>
    <row r="169" spans="2:20" ht="15" customHeight="1" x14ac:dyDescent="0.25">
      <c r="B169" s="663" t="s">
        <v>73</v>
      </c>
      <c r="C169" s="673">
        <f>IFERROR(_xlfn.XLOOKUP($G169,COM_Cadastro!$F$3:$F$199,COM_Cadastro!$B$3:$B$199),"")</f>
        <v>59101099000160</v>
      </c>
      <c r="D169" s="674" t="s">
        <v>378</v>
      </c>
      <c r="E169" s="675" t="s">
        <v>378</v>
      </c>
      <c r="F169" s="674" t="s">
        <v>376</v>
      </c>
      <c r="G169" s="663" t="s">
        <v>446</v>
      </c>
      <c r="H169" s="668">
        <v>2429</v>
      </c>
      <c r="I169" s="669"/>
      <c r="J169" s="669"/>
      <c r="K169" s="669"/>
      <c r="L169" s="670">
        <f>SUM(H169:K169)</f>
        <v>2429</v>
      </c>
      <c r="M169" s="670"/>
      <c r="N169" s="670"/>
      <c r="O169" s="670"/>
      <c r="P169" s="670"/>
      <c r="Q169" s="670"/>
      <c r="R169" s="670"/>
      <c r="S169" s="670"/>
      <c r="T169" s="670">
        <f>L169+M169+S169</f>
        <v>2429</v>
      </c>
    </row>
    <row r="170" spans="2:20" ht="15" customHeight="1" x14ac:dyDescent="0.25">
      <c r="B170" s="663" t="s">
        <v>73</v>
      </c>
      <c r="C170" s="673">
        <f>IFERROR(_xlfn.XLOOKUP($G170,COM_Cadastro!$F$3:$F$199,COM_Cadastro!$B$3:$B$199),"")</f>
        <v>50374135000195</v>
      </c>
      <c r="D170" s="674" t="s">
        <v>378</v>
      </c>
      <c r="E170" s="675" t="s">
        <v>378</v>
      </c>
      <c r="F170" s="674" t="s">
        <v>376</v>
      </c>
      <c r="G170" s="663" t="s">
        <v>467</v>
      </c>
      <c r="H170" s="668">
        <v>2205</v>
      </c>
      <c r="I170" s="669"/>
      <c r="J170" s="669"/>
      <c r="K170" s="669"/>
      <c r="L170" s="670">
        <f>SUM(H170:K170)</f>
        <v>2205</v>
      </c>
      <c r="M170" s="670"/>
      <c r="N170" s="670"/>
      <c r="O170" s="670"/>
      <c r="P170" s="670"/>
      <c r="Q170" s="670"/>
      <c r="R170" s="670"/>
      <c r="S170" s="670"/>
      <c r="T170" s="670">
        <f>L170+M170+S170</f>
        <v>2205</v>
      </c>
    </row>
    <row r="171" spans="2:20" ht="15" customHeight="1" x14ac:dyDescent="0.25">
      <c r="B171" s="663" t="s">
        <v>73</v>
      </c>
      <c r="C171" s="673">
        <f>IFERROR(_xlfn.XLOOKUP($G171,COM_Cadastro!$F$3:$F$199,COM_Cadastro!$B$3:$B$199),"")</f>
        <v>62993775000162</v>
      </c>
      <c r="D171" s="674" t="s">
        <v>378</v>
      </c>
      <c r="E171" s="675" t="s">
        <v>378</v>
      </c>
      <c r="F171" s="674" t="s">
        <v>376</v>
      </c>
      <c r="G171" s="663" t="s">
        <v>536</v>
      </c>
      <c r="H171" s="668">
        <v>2040</v>
      </c>
      <c r="I171" s="669"/>
      <c r="J171" s="669"/>
      <c r="K171" s="669"/>
      <c r="L171" s="670">
        <f>SUM(H171:K171)</f>
        <v>2040</v>
      </c>
      <c r="M171" s="670"/>
      <c r="N171" s="670"/>
      <c r="O171" s="670"/>
      <c r="P171" s="670"/>
      <c r="Q171" s="670"/>
      <c r="R171" s="670"/>
      <c r="S171" s="670"/>
      <c r="T171" s="670">
        <f>L171+M171+S171</f>
        <v>2040</v>
      </c>
    </row>
    <row r="172" spans="2:20" ht="15" customHeight="1" x14ac:dyDescent="0.25">
      <c r="B172" s="663" t="s">
        <v>73</v>
      </c>
      <c r="C172" s="673">
        <f>IFERROR(_xlfn.XLOOKUP($G172,COM_Cadastro!$F$3:$F$199,COM_Cadastro!$B$3:$B$199),"")</f>
        <v>35984452000130</v>
      </c>
      <c r="D172" s="674" t="s">
        <v>736</v>
      </c>
      <c r="E172" s="675" t="s">
        <v>406</v>
      </c>
      <c r="F172" s="674" t="s">
        <v>376</v>
      </c>
      <c r="G172" s="663" t="s">
        <v>515</v>
      </c>
      <c r="H172" s="668">
        <v>0</v>
      </c>
      <c r="I172" s="669">
        <v>21451.1</v>
      </c>
      <c r="J172" s="669"/>
      <c r="K172" s="669"/>
      <c r="L172" s="670">
        <f>SUM(H172:K172)</f>
        <v>21451.1</v>
      </c>
      <c r="M172" s="670"/>
      <c r="N172" s="670"/>
      <c r="O172" s="670"/>
      <c r="P172" s="670"/>
      <c r="Q172" s="670"/>
      <c r="R172" s="670"/>
      <c r="S172" s="670">
        <f>SUM(N172:R172)</f>
        <v>0</v>
      </c>
      <c r="T172" s="670">
        <f>L172+M172+S172</f>
        <v>21451.1</v>
      </c>
    </row>
    <row r="173" spans="2:20" ht="15" customHeight="1" x14ac:dyDescent="0.25">
      <c r="B173" s="663" t="s">
        <v>73</v>
      </c>
      <c r="C173" s="673">
        <f>IFERROR(_xlfn.XLOOKUP($G173,COM_Cadastro!$F$3:$F$199,COM_Cadastro!$B$3:$B$199),"")</f>
        <v>65415166000114</v>
      </c>
      <c r="D173" s="674" t="s">
        <v>736</v>
      </c>
      <c r="E173" s="675" t="s">
        <v>406</v>
      </c>
      <c r="F173" s="674" t="s">
        <v>374</v>
      </c>
      <c r="G173" s="663" t="s">
        <v>426</v>
      </c>
      <c r="H173" s="668">
        <v>4000</v>
      </c>
      <c r="I173" s="669"/>
      <c r="J173" s="669">
        <v>0</v>
      </c>
      <c r="K173" s="669">
        <v>400</v>
      </c>
      <c r="L173" s="670">
        <f>SUM(H173:K173)</f>
        <v>4400</v>
      </c>
      <c r="M173" s="670"/>
      <c r="N173" s="670"/>
      <c r="O173" s="670"/>
      <c r="P173" s="670"/>
      <c r="Q173" s="670"/>
      <c r="R173" s="670"/>
      <c r="S173" s="670">
        <f>SUM(N173:R173)</f>
        <v>0</v>
      </c>
      <c r="T173" s="670">
        <f>L173+M173+S173</f>
        <v>4400</v>
      </c>
    </row>
    <row r="174" spans="2:20" ht="15" customHeight="1" x14ac:dyDescent="0.25">
      <c r="B174" s="638" t="s">
        <v>73</v>
      </c>
      <c r="C174" s="673">
        <f>IFERROR(_xlfn.XLOOKUP($G174,COM_Cadastro!$F$3:$F$199,COM_Cadastro!$B$3:$B$199),"")</f>
        <v>46437272848</v>
      </c>
      <c r="D174" s="640" t="s">
        <v>733</v>
      </c>
      <c r="E174" s="641" t="s">
        <v>377</v>
      </c>
      <c r="F174" s="640" t="s">
        <v>374</v>
      </c>
      <c r="G174" s="638" t="s">
        <v>898</v>
      </c>
      <c r="H174" s="642">
        <v>415.33</v>
      </c>
      <c r="I174" s="642"/>
      <c r="J174" s="642">
        <v>146</v>
      </c>
      <c r="K174" s="642">
        <v>135</v>
      </c>
      <c r="L174" s="643">
        <f>SUM(H174:K174)</f>
        <v>696.32999999999993</v>
      </c>
      <c r="M174" s="644">
        <f>H174*8%</f>
        <v>33.226399999999998</v>
      </c>
      <c r="N174" s="643">
        <f>H174/12</f>
        <v>34.610833333333332</v>
      </c>
      <c r="O174" s="643">
        <f>N174/3</f>
        <v>11.536944444444444</v>
      </c>
      <c r="P174" s="643">
        <f>(N174+O174)*8%</f>
        <v>3.6918222222222221</v>
      </c>
      <c r="Q174" s="455">
        <f>H174/12</f>
        <v>34.610833333333332</v>
      </c>
      <c r="R174" s="455">
        <f>Q174*8%</f>
        <v>2.7688666666666668</v>
      </c>
      <c r="S174" s="643">
        <f>SUM(N174:R174)</f>
        <v>87.219300000000004</v>
      </c>
      <c r="T174" s="643">
        <f>L174+M174+S174</f>
        <v>816.77569999999992</v>
      </c>
    </row>
    <row r="175" spans="2:20" ht="15" customHeight="1" x14ac:dyDescent="0.25">
      <c r="B175" s="638" t="s">
        <v>73</v>
      </c>
      <c r="C175" s="673">
        <f>IFERROR(_xlfn.XLOOKUP($G175,COM_Cadastro!$F$3:$F$199,COM_Cadastro!$B$3:$B$199),"")</f>
        <v>9797448819</v>
      </c>
      <c r="D175" s="640" t="s">
        <v>733</v>
      </c>
      <c r="E175" s="641" t="s">
        <v>377</v>
      </c>
      <c r="F175" s="640" t="s">
        <v>374</v>
      </c>
      <c r="G175" s="638" t="s">
        <v>411</v>
      </c>
      <c r="H175" s="642">
        <v>1622</v>
      </c>
      <c r="I175" s="642"/>
      <c r="J175" s="642">
        <v>510.4</v>
      </c>
      <c r="K175" s="642">
        <v>495</v>
      </c>
      <c r="L175" s="643">
        <f>SUM(H175:K175)</f>
        <v>2627.4</v>
      </c>
      <c r="M175" s="644">
        <f>H175*8%</f>
        <v>129.76</v>
      </c>
      <c r="N175" s="643">
        <f>H175/12</f>
        <v>135.16666666666666</v>
      </c>
      <c r="O175" s="643">
        <f>N175/3</f>
        <v>45.05555555555555</v>
      </c>
      <c r="P175" s="643">
        <f>(N175+O175)*8%</f>
        <v>14.417777777777776</v>
      </c>
      <c r="Q175" s="455">
        <f>H175/12</f>
        <v>135.16666666666666</v>
      </c>
      <c r="R175" s="455">
        <f>Q175*8%</f>
        <v>10.813333333333333</v>
      </c>
      <c r="S175" s="643">
        <f>SUM(N175:R175)</f>
        <v>340.61999999999995</v>
      </c>
      <c r="T175" s="643">
        <f>L175+M175+S175</f>
        <v>3097.7799999999997</v>
      </c>
    </row>
    <row r="176" spans="2:20" ht="15" customHeight="1" x14ac:dyDescent="0.25">
      <c r="B176" s="638" t="s">
        <v>73</v>
      </c>
      <c r="C176" s="673">
        <f>IFERROR(_xlfn.XLOOKUP($G176,COM_Cadastro!$F$3:$F$199,COM_Cadastro!$B$3:$B$199),"")</f>
        <v>61487345321</v>
      </c>
      <c r="D176" s="640" t="s">
        <v>733</v>
      </c>
      <c r="E176" s="641" t="s">
        <v>377</v>
      </c>
      <c r="F176" s="640" t="s">
        <v>374</v>
      </c>
      <c r="G176" s="638" t="s">
        <v>895</v>
      </c>
      <c r="H176" s="642">
        <v>1483.33</v>
      </c>
      <c r="I176" s="642"/>
      <c r="J176" s="642">
        <v>391.2</v>
      </c>
      <c r="K176" s="642">
        <v>270</v>
      </c>
      <c r="L176" s="643">
        <f>SUM(H176:K176)</f>
        <v>2144.5299999999997</v>
      </c>
      <c r="M176" s="644">
        <f>H176*8%</f>
        <v>118.6664</v>
      </c>
      <c r="N176" s="643">
        <f>H176/12</f>
        <v>123.61083333333333</v>
      </c>
      <c r="O176" s="643">
        <f>N176/3</f>
        <v>41.203611111111108</v>
      </c>
      <c r="P176" s="643">
        <f>(N176+O176)*8%</f>
        <v>13.185155555555555</v>
      </c>
      <c r="Q176" s="455">
        <f>H176/12</f>
        <v>123.61083333333333</v>
      </c>
      <c r="R176" s="455">
        <f>Q176*8%</f>
        <v>9.8888666666666669</v>
      </c>
      <c r="S176" s="643">
        <f>SUM(N176:R176)</f>
        <v>311.49930000000001</v>
      </c>
      <c r="T176" s="643">
        <f>L176+M176+S176</f>
        <v>2574.6956999999998</v>
      </c>
    </row>
    <row r="177" spans="2:20" ht="15" customHeight="1" x14ac:dyDescent="0.25">
      <c r="B177" s="638" t="s">
        <v>73</v>
      </c>
      <c r="C177" s="673">
        <f>IFERROR(_xlfn.XLOOKUP($G177,COM_Cadastro!$F$3:$F$199,COM_Cadastro!$B$3:$B$199),"")</f>
        <v>11900978776</v>
      </c>
      <c r="D177" s="640" t="s">
        <v>733</v>
      </c>
      <c r="E177" s="641" t="s">
        <v>377</v>
      </c>
      <c r="F177" s="640" t="s">
        <v>374</v>
      </c>
      <c r="G177" s="638" t="s">
        <v>899</v>
      </c>
      <c r="H177" s="642">
        <v>1622</v>
      </c>
      <c r="I177" s="642"/>
      <c r="J177" s="642">
        <v>454.1</v>
      </c>
      <c r="K177" s="642">
        <v>427.5</v>
      </c>
      <c r="L177" s="643">
        <f>SUM(H177:K177)</f>
        <v>2503.6</v>
      </c>
      <c r="M177" s="644">
        <f>H177*8%</f>
        <v>129.76</v>
      </c>
      <c r="N177" s="643">
        <f>H177/12</f>
        <v>135.16666666666666</v>
      </c>
      <c r="O177" s="643">
        <f>N177/3</f>
        <v>45.05555555555555</v>
      </c>
      <c r="P177" s="643">
        <f>(N177+O177)*8%</f>
        <v>14.417777777777776</v>
      </c>
      <c r="Q177" s="455">
        <f>H177/12</f>
        <v>135.16666666666666</v>
      </c>
      <c r="R177" s="455">
        <f>Q177*8%</f>
        <v>10.813333333333333</v>
      </c>
      <c r="S177" s="643">
        <f>SUM(N177:R177)</f>
        <v>340.61999999999995</v>
      </c>
      <c r="T177" s="643">
        <f>L177+M177+S177</f>
        <v>2973.9799999999996</v>
      </c>
    </row>
    <row r="178" spans="2:20" ht="15" customHeight="1" x14ac:dyDescent="0.25">
      <c r="B178" s="638" t="s">
        <v>73</v>
      </c>
      <c r="C178" s="673">
        <f>IFERROR(_xlfn.XLOOKUP($G178,COM_Cadastro!$F$3:$F$199,COM_Cadastro!$B$3:$B$199),"")</f>
        <v>30733450865</v>
      </c>
      <c r="D178" s="640" t="s">
        <v>733</v>
      </c>
      <c r="E178" s="641" t="s">
        <v>377</v>
      </c>
      <c r="F178" s="640" t="s">
        <v>374</v>
      </c>
      <c r="G178" s="638" t="s">
        <v>520</v>
      </c>
      <c r="H178" s="642">
        <v>771.33</v>
      </c>
      <c r="I178" s="642"/>
      <c r="J178" s="642">
        <v>108.5</v>
      </c>
      <c r="K178" s="642">
        <v>157.19999999999999</v>
      </c>
      <c r="L178" s="643">
        <f>SUM(H178:K178)</f>
        <v>1037.03</v>
      </c>
      <c r="M178" s="644">
        <f>H178*8%</f>
        <v>61.706400000000002</v>
      </c>
      <c r="N178" s="643">
        <f>H178/12</f>
        <v>64.277500000000003</v>
      </c>
      <c r="O178" s="643">
        <f>N178/3</f>
        <v>21.425833333333333</v>
      </c>
      <c r="P178" s="643">
        <f>(N178+O178)*8%</f>
        <v>6.8562666666666665</v>
      </c>
      <c r="Q178" s="455">
        <f>H178/12</f>
        <v>64.277500000000003</v>
      </c>
      <c r="R178" s="455">
        <f>Q178*8%</f>
        <v>5.1422000000000008</v>
      </c>
      <c r="S178" s="643">
        <f>SUM(N178:R178)</f>
        <v>161.97930000000002</v>
      </c>
      <c r="T178" s="643">
        <f>L178+M178+S178</f>
        <v>1260.7157</v>
      </c>
    </row>
    <row r="179" spans="2:20" ht="15" customHeight="1" x14ac:dyDescent="0.25">
      <c r="B179" s="638" t="s">
        <v>73</v>
      </c>
      <c r="C179" s="673">
        <f>IFERROR(_xlfn.XLOOKUP($G179,COM_Cadastro!$F$3:$F$199,COM_Cadastro!$B$3:$B$199),"")</f>
        <v>50778213803</v>
      </c>
      <c r="D179" s="640" t="s">
        <v>733</v>
      </c>
      <c r="E179" s="641" t="s">
        <v>377</v>
      </c>
      <c r="F179" s="640" t="s">
        <v>374</v>
      </c>
      <c r="G179" s="638" t="s">
        <v>566</v>
      </c>
      <c r="H179" s="642">
        <v>1622</v>
      </c>
      <c r="I179" s="642"/>
      <c r="J179" s="642">
        <v>571.20000000000005</v>
      </c>
      <c r="K179" s="642">
        <v>540</v>
      </c>
      <c r="L179" s="643">
        <f>SUM(H179:K179)</f>
        <v>2733.2</v>
      </c>
      <c r="M179" s="644">
        <f>H179*8%</f>
        <v>129.76</v>
      </c>
      <c r="N179" s="643">
        <f>H179/12</f>
        <v>135.16666666666666</v>
      </c>
      <c r="O179" s="643">
        <f>N179/3</f>
        <v>45.05555555555555</v>
      </c>
      <c r="P179" s="643">
        <f>(N179+O179)*8%</f>
        <v>14.417777777777776</v>
      </c>
      <c r="Q179" s="455">
        <f>H179/12</f>
        <v>135.16666666666666</v>
      </c>
      <c r="R179" s="455">
        <f>Q179*8%</f>
        <v>10.813333333333333</v>
      </c>
      <c r="S179" s="643">
        <f>SUM(N179:R179)</f>
        <v>340.61999999999995</v>
      </c>
      <c r="T179" s="643">
        <f>L179+M179+S179</f>
        <v>3203.58</v>
      </c>
    </row>
    <row r="180" spans="2:20" ht="15" customHeight="1" x14ac:dyDescent="0.25">
      <c r="B180" s="652" t="s">
        <v>73</v>
      </c>
      <c r="C180" s="664">
        <f>IFERROR(_xlfn.XLOOKUP($G180,COM_Cadastro!$F$3:$F$199,COM_Cadastro!$B$3:$B$199),"")</f>
        <v>29793757809</v>
      </c>
      <c r="D180" s="650" t="s">
        <v>733</v>
      </c>
      <c r="E180" s="651" t="s">
        <v>800</v>
      </c>
      <c r="F180" s="650" t="s">
        <v>374</v>
      </c>
      <c r="G180" s="652" t="s">
        <v>575</v>
      </c>
      <c r="H180" s="835">
        <v>2000</v>
      </c>
      <c r="I180" s="835"/>
      <c r="J180" s="835"/>
      <c r="K180" s="835">
        <v>270</v>
      </c>
      <c r="L180" s="836">
        <f>SUM(H180:K180)</f>
        <v>2270</v>
      </c>
      <c r="M180" s="837">
        <f>H180*8%</f>
        <v>160</v>
      </c>
      <c r="N180" s="836">
        <f>H180/12</f>
        <v>166.66666666666666</v>
      </c>
      <c r="O180" s="836">
        <f>N180/3</f>
        <v>55.55555555555555</v>
      </c>
      <c r="P180" s="836">
        <f>(N180+O180)*8%</f>
        <v>17.777777777777775</v>
      </c>
      <c r="Q180" s="838">
        <f>H180/12</f>
        <v>166.66666666666666</v>
      </c>
      <c r="R180" s="838">
        <f>Q180*8%</f>
        <v>13.333333333333332</v>
      </c>
      <c r="S180" s="836">
        <f>SUM(N180:R180)</f>
        <v>419.99999999999994</v>
      </c>
      <c r="T180" s="836">
        <f>L180+M180+S180</f>
        <v>2850</v>
      </c>
    </row>
    <row r="181" spans="2:20" ht="15" customHeight="1" x14ac:dyDescent="0.25">
      <c r="B181" s="638" t="s">
        <v>73</v>
      </c>
      <c r="C181" s="673">
        <f>IFERROR(_xlfn.XLOOKUP($G181,COM_Cadastro!$F$3:$F$199,COM_Cadastro!$B$3:$B$199),"")</f>
        <v>41717722814</v>
      </c>
      <c r="D181" s="640" t="s">
        <v>733</v>
      </c>
      <c r="E181" s="641" t="s">
        <v>377</v>
      </c>
      <c r="F181" s="640" t="s">
        <v>374</v>
      </c>
      <c r="G181" s="638" t="s">
        <v>604</v>
      </c>
      <c r="H181" s="642">
        <v>1622</v>
      </c>
      <c r="I181" s="642">
        <v>196</v>
      </c>
      <c r="J181" s="642">
        <v>672</v>
      </c>
      <c r="K181" s="642">
        <v>540</v>
      </c>
      <c r="L181" s="643">
        <f>SUM(H181:K181)</f>
        <v>3030</v>
      </c>
      <c r="M181" s="644">
        <f>H181*8%</f>
        <v>129.76</v>
      </c>
      <c r="N181" s="643">
        <f>H181/12</f>
        <v>135.16666666666666</v>
      </c>
      <c r="O181" s="643">
        <f>N181/3</f>
        <v>45.05555555555555</v>
      </c>
      <c r="P181" s="643">
        <f>(N181+O181)*8%</f>
        <v>14.417777777777776</v>
      </c>
      <c r="Q181" s="455">
        <f>H181/12</f>
        <v>135.16666666666666</v>
      </c>
      <c r="R181" s="455">
        <f>Q181*8%</f>
        <v>10.813333333333333</v>
      </c>
      <c r="S181" s="643">
        <f>SUM(N181:R181)</f>
        <v>340.61999999999995</v>
      </c>
      <c r="T181" s="643">
        <f>L181+M181+S181</f>
        <v>3500.38</v>
      </c>
    </row>
    <row r="182" spans="2:20" ht="15" customHeight="1" x14ac:dyDescent="0.25">
      <c r="B182" s="638" t="s">
        <v>73</v>
      </c>
      <c r="C182" s="673">
        <f>IFERROR(_xlfn.XLOOKUP($G182,COM_Cadastro!$F$3:$F$199,COM_Cadastro!$B$3:$B$199),"")</f>
        <v>78467829400</v>
      </c>
      <c r="D182" s="640" t="s">
        <v>733</v>
      </c>
      <c r="E182" s="641" t="s">
        <v>377</v>
      </c>
      <c r="F182" s="640" t="s">
        <v>374</v>
      </c>
      <c r="G182" s="638" t="s">
        <v>615</v>
      </c>
      <c r="H182" s="642">
        <v>1622</v>
      </c>
      <c r="I182" s="642"/>
      <c r="J182" s="642">
        <v>825.7</v>
      </c>
      <c r="K182" s="642">
        <v>517.5</v>
      </c>
      <c r="L182" s="643">
        <f>SUM(H182:K182)</f>
        <v>2965.2</v>
      </c>
      <c r="M182" s="644">
        <f>H182*8%</f>
        <v>129.76</v>
      </c>
      <c r="N182" s="643">
        <f>H182/12</f>
        <v>135.16666666666666</v>
      </c>
      <c r="O182" s="643">
        <f>N182/3</f>
        <v>45.05555555555555</v>
      </c>
      <c r="P182" s="643">
        <f>(N182+O182)*8%</f>
        <v>14.417777777777776</v>
      </c>
      <c r="Q182" s="455">
        <f>H182/12</f>
        <v>135.16666666666666</v>
      </c>
      <c r="R182" s="455">
        <f>Q182*8%</f>
        <v>10.813333333333333</v>
      </c>
      <c r="S182" s="643">
        <f>SUM(N182:R182)</f>
        <v>340.61999999999995</v>
      </c>
      <c r="T182" s="643">
        <f>L182+M182+S182</f>
        <v>3435.58</v>
      </c>
    </row>
    <row r="183" spans="2:20" ht="15" customHeight="1" x14ac:dyDescent="0.25">
      <c r="B183" s="663" t="s">
        <v>73</v>
      </c>
      <c r="C183" s="673">
        <f>IFERROR(_xlfn.XLOOKUP($G183,COM_Cadastro!$F$3:$F$199,COM_Cadastro!$B$3:$B$199),"")</f>
        <v>39290987847</v>
      </c>
      <c r="D183" s="674" t="s">
        <v>734</v>
      </c>
      <c r="E183" s="675" t="s">
        <v>780</v>
      </c>
      <c r="F183" s="674" t="s">
        <v>374</v>
      </c>
      <c r="G183" s="663" t="s">
        <v>373</v>
      </c>
      <c r="H183" s="668">
        <v>200</v>
      </c>
      <c r="I183" s="669"/>
      <c r="J183" s="669"/>
      <c r="K183" s="669"/>
      <c r="L183" s="670">
        <f>SUM(H183:K183)</f>
        <v>200</v>
      </c>
      <c r="M183" s="670"/>
      <c r="N183" s="670"/>
      <c r="O183" s="670"/>
      <c r="P183" s="670"/>
      <c r="Q183" s="670"/>
      <c r="R183" s="670"/>
      <c r="S183" s="670"/>
      <c r="T183" s="670">
        <f>L183+M183+S183</f>
        <v>200</v>
      </c>
    </row>
    <row r="184" spans="2:20" ht="15" customHeight="1" x14ac:dyDescent="0.25">
      <c r="B184" s="663" t="s">
        <v>73</v>
      </c>
      <c r="C184" s="673">
        <f>IFERROR(_xlfn.XLOOKUP($G184,COM_Cadastro!$F$3:$F$199,COM_Cadastro!$B$3:$B$199),"")</f>
        <v>41641163828</v>
      </c>
      <c r="D184" s="674" t="s">
        <v>734</v>
      </c>
      <c r="E184" s="675" t="s">
        <v>780</v>
      </c>
      <c r="F184" s="674" t="s">
        <v>374</v>
      </c>
      <c r="G184" s="663" t="s">
        <v>390</v>
      </c>
      <c r="H184" s="668">
        <v>658</v>
      </c>
      <c r="I184" s="669"/>
      <c r="J184" s="669"/>
      <c r="K184" s="669"/>
      <c r="L184" s="670">
        <f>SUM(H184:K184)</f>
        <v>658</v>
      </c>
      <c r="M184" s="670"/>
      <c r="N184" s="670"/>
      <c r="O184" s="670"/>
      <c r="P184" s="670"/>
      <c r="Q184" s="670"/>
      <c r="R184" s="670"/>
      <c r="S184" s="670"/>
      <c r="T184" s="670">
        <f>L184+M184+S184</f>
        <v>658</v>
      </c>
    </row>
    <row r="185" spans="2:20" ht="15" customHeight="1" x14ac:dyDescent="0.25">
      <c r="B185" s="663" t="s">
        <v>73</v>
      </c>
      <c r="C185" s="673">
        <f>IFERROR(_xlfn.XLOOKUP($G185,COM_Cadastro!$F$3:$F$199,COM_Cadastro!$B$3:$B$199),"")</f>
        <v>27716453866</v>
      </c>
      <c r="D185" s="674" t="s">
        <v>734</v>
      </c>
      <c r="E185" s="675" t="s">
        <v>780</v>
      </c>
      <c r="F185" s="674" t="s">
        <v>374</v>
      </c>
      <c r="G185" s="663" t="s">
        <v>409</v>
      </c>
      <c r="H185" s="668">
        <v>539</v>
      </c>
      <c r="I185" s="669"/>
      <c r="J185" s="669"/>
      <c r="K185" s="669"/>
      <c r="L185" s="670">
        <f>SUM(H185:K185)</f>
        <v>539</v>
      </c>
      <c r="M185" s="670"/>
      <c r="N185" s="670"/>
      <c r="O185" s="670"/>
      <c r="P185" s="670"/>
      <c r="Q185" s="670"/>
      <c r="R185" s="670"/>
      <c r="S185" s="670"/>
      <c r="T185" s="670">
        <f>L185+M185+S185</f>
        <v>539</v>
      </c>
    </row>
    <row r="186" spans="2:20" ht="15" customHeight="1" x14ac:dyDescent="0.25">
      <c r="B186" s="663" t="s">
        <v>73</v>
      </c>
      <c r="C186" s="673">
        <f>IFERROR(_xlfn.XLOOKUP($G186,COM_Cadastro!$F$3:$F$199,COM_Cadastro!$B$3:$B$199),"")</f>
        <v>42588263836</v>
      </c>
      <c r="D186" s="674" t="s">
        <v>734</v>
      </c>
      <c r="E186" s="675" t="s">
        <v>780</v>
      </c>
      <c r="F186" s="674" t="s">
        <v>374</v>
      </c>
      <c r="G186" s="663" t="s">
        <v>828</v>
      </c>
      <c r="H186" s="668">
        <v>1660</v>
      </c>
      <c r="I186" s="669"/>
      <c r="J186" s="669"/>
      <c r="K186" s="669"/>
      <c r="L186" s="670">
        <f>SUM(H186:K186)</f>
        <v>1660</v>
      </c>
      <c r="M186" s="670"/>
      <c r="N186" s="670"/>
      <c r="O186" s="670"/>
      <c r="P186" s="670"/>
      <c r="Q186" s="670"/>
      <c r="R186" s="670"/>
      <c r="S186" s="670"/>
      <c r="T186" s="670">
        <f>L186+M186+S186</f>
        <v>1660</v>
      </c>
    </row>
    <row r="187" spans="2:20" ht="15" customHeight="1" x14ac:dyDescent="0.25">
      <c r="B187" s="663" t="s">
        <v>73</v>
      </c>
      <c r="C187" s="673">
        <f>IFERROR(_xlfn.XLOOKUP($G187,COM_Cadastro!$F$3:$F$199,COM_Cadastro!$B$3:$B$199),"")</f>
        <v>61487345321</v>
      </c>
      <c r="D187" s="674" t="s">
        <v>734</v>
      </c>
      <c r="E187" s="675" t="s">
        <v>780</v>
      </c>
      <c r="F187" s="674" t="s">
        <v>374</v>
      </c>
      <c r="G187" s="663" t="s">
        <v>895</v>
      </c>
      <c r="H187" s="668">
        <v>400</v>
      </c>
      <c r="I187" s="669"/>
      <c r="J187" s="669"/>
      <c r="K187" s="669"/>
      <c r="L187" s="670">
        <f>SUM(H187:K187)</f>
        <v>400</v>
      </c>
      <c r="M187" s="670"/>
      <c r="N187" s="670"/>
      <c r="O187" s="670"/>
      <c r="P187" s="670"/>
      <c r="Q187" s="670"/>
      <c r="R187" s="670"/>
      <c r="S187" s="670"/>
      <c r="T187" s="670">
        <f>L187+M187+S187</f>
        <v>400</v>
      </c>
    </row>
    <row r="188" spans="2:20" ht="15" customHeight="1" x14ac:dyDescent="0.25">
      <c r="B188" s="663" t="s">
        <v>73</v>
      </c>
      <c r="C188" s="673">
        <f>IFERROR(_xlfn.XLOOKUP($G188,COM_Cadastro!$F$3:$F$199,COM_Cadastro!$B$3:$B$199),"")</f>
        <v>7189891471</v>
      </c>
      <c r="D188" s="674" t="s">
        <v>734</v>
      </c>
      <c r="E188" s="675" t="s">
        <v>780</v>
      </c>
      <c r="F188" s="674" t="s">
        <v>374</v>
      </c>
      <c r="G188" s="663" t="s">
        <v>477</v>
      </c>
      <c r="H188" s="668">
        <v>45</v>
      </c>
      <c r="I188" s="669"/>
      <c r="J188" s="669"/>
      <c r="K188" s="669"/>
      <c r="L188" s="670">
        <f>SUM(H188:K188)</f>
        <v>45</v>
      </c>
      <c r="M188" s="670"/>
      <c r="N188" s="670"/>
      <c r="O188" s="670"/>
      <c r="P188" s="670"/>
      <c r="Q188" s="670"/>
      <c r="R188" s="670"/>
      <c r="S188" s="670"/>
      <c r="T188" s="670">
        <f>L188+M188+S188</f>
        <v>45</v>
      </c>
    </row>
    <row r="189" spans="2:20" ht="15" customHeight="1" x14ac:dyDescent="0.25">
      <c r="B189" s="663" t="s">
        <v>73</v>
      </c>
      <c r="C189" s="673">
        <f>IFERROR(_xlfn.XLOOKUP($G189,COM_Cadastro!$F$3:$F$199,COM_Cadastro!$B$3:$B$199),"")</f>
        <v>37034738866</v>
      </c>
      <c r="D189" s="674" t="s">
        <v>734</v>
      </c>
      <c r="E189" s="675" t="s">
        <v>780</v>
      </c>
      <c r="F189" s="674" t="s">
        <v>374</v>
      </c>
      <c r="G189" s="663" t="s">
        <v>512</v>
      </c>
      <c r="H189" s="668">
        <v>480</v>
      </c>
      <c r="I189" s="669"/>
      <c r="J189" s="669"/>
      <c r="K189" s="669"/>
      <c r="L189" s="670">
        <f>SUM(H189:K189)</f>
        <v>480</v>
      </c>
      <c r="M189" s="670"/>
      <c r="N189" s="670"/>
      <c r="O189" s="670"/>
      <c r="P189" s="670"/>
      <c r="Q189" s="670"/>
      <c r="R189" s="670"/>
      <c r="S189" s="670"/>
      <c r="T189" s="670">
        <f>L189+M189+S189</f>
        <v>480</v>
      </c>
    </row>
    <row r="190" spans="2:20" ht="15" customHeight="1" x14ac:dyDescent="0.25">
      <c r="B190" s="663" t="s">
        <v>73</v>
      </c>
      <c r="C190" s="673">
        <f>IFERROR(_xlfn.XLOOKUP($G190,COM_Cadastro!$F$3:$F$199,COM_Cadastro!$B$3:$B$199),"")</f>
        <v>13539675817</v>
      </c>
      <c r="D190" s="674" t="s">
        <v>734</v>
      </c>
      <c r="E190" s="675" t="s">
        <v>780</v>
      </c>
      <c r="F190" s="674" t="s">
        <v>374</v>
      </c>
      <c r="G190" s="663" t="s">
        <v>896</v>
      </c>
      <c r="H190" s="668">
        <v>116</v>
      </c>
      <c r="I190" s="669"/>
      <c r="J190" s="669"/>
      <c r="K190" s="669"/>
      <c r="L190" s="670">
        <f>SUM(H190:K190)</f>
        <v>116</v>
      </c>
      <c r="M190" s="670"/>
      <c r="N190" s="670"/>
      <c r="O190" s="670"/>
      <c r="P190" s="670"/>
      <c r="Q190" s="670"/>
      <c r="R190" s="670"/>
      <c r="S190" s="670"/>
      <c r="T190" s="670">
        <f>L190+M190+S190</f>
        <v>116</v>
      </c>
    </row>
    <row r="191" spans="2:20" ht="15" customHeight="1" x14ac:dyDescent="0.25">
      <c r="B191" s="663" t="s">
        <v>73</v>
      </c>
      <c r="C191" s="673">
        <f>IFERROR(_xlfn.XLOOKUP($G191,COM_Cadastro!$F$3:$F$199,COM_Cadastro!$B$3:$B$199),"")</f>
        <v>53076450824</v>
      </c>
      <c r="D191" s="674" t="s">
        <v>734</v>
      </c>
      <c r="E191" s="675" t="s">
        <v>780</v>
      </c>
      <c r="F191" s="674" t="s">
        <v>374</v>
      </c>
      <c r="G191" s="663" t="s">
        <v>539</v>
      </c>
      <c r="H191" s="668">
        <v>355</v>
      </c>
      <c r="I191" s="669"/>
      <c r="J191" s="669"/>
      <c r="K191" s="669"/>
      <c r="L191" s="670">
        <f>SUM(H191:K191)</f>
        <v>355</v>
      </c>
      <c r="M191" s="670"/>
      <c r="N191" s="670"/>
      <c r="O191" s="670"/>
      <c r="P191" s="670"/>
      <c r="Q191" s="670"/>
      <c r="R191" s="670"/>
      <c r="S191" s="670"/>
      <c r="T191" s="670">
        <f>L191+M191+S191</f>
        <v>355</v>
      </c>
    </row>
    <row r="192" spans="2:20" ht="15" customHeight="1" x14ac:dyDescent="0.25">
      <c r="B192" s="663" t="s">
        <v>73</v>
      </c>
      <c r="C192" s="673">
        <f>IFERROR(_xlfn.XLOOKUP($G192,COM_Cadastro!$F$3:$F$199,COM_Cadastro!$B$3:$B$199),"")</f>
        <v>49264565833</v>
      </c>
      <c r="D192" s="674" t="s">
        <v>734</v>
      </c>
      <c r="E192" s="675" t="s">
        <v>780</v>
      </c>
      <c r="F192" s="674" t="s">
        <v>374</v>
      </c>
      <c r="G192" s="663" t="s">
        <v>591</v>
      </c>
      <c r="H192" s="668">
        <v>37</v>
      </c>
      <c r="I192" s="669"/>
      <c r="J192" s="669"/>
      <c r="K192" s="669"/>
      <c r="L192" s="670">
        <f>SUM(H192:K192)</f>
        <v>37</v>
      </c>
      <c r="M192" s="670"/>
      <c r="N192" s="670"/>
      <c r="O192" s="670"/>
      <c r="P192" s="670"/>
      <c r="Q192" s="670"/>
      <c r="R192" s="670"/>
      <c r="S192" s="670"/>
      <c r="T192" s="670">
        <f>L192+M192+S192</f>
        <v>37</v>
      </c>
    </row>
    <row r="193" spans="2:20" ht="15" customHeight="1" x14ac:dyDescent="0.25">
      <c r="B193" s="663" t="s">
        <v>73</v>
      </c>
      <c r="C193" s="673">
        <f>IFERROR(_xlfn.XLOOKUP($G193,COM_Cadastro!$F$3:$F$199,COM_Cadastro!$B$3:$B$199),"")</f>
        <v>57645476000105</v>
      </c>
      <c r="D193" s="674" t="s">
        <v>378</v>
      </c>
      <c r="E193" s="675" t="s">
        <v>378</v>
      </c>
      <c r="F193" s="674" t="s">
        <v>374</v>
      </c>
      <c r="G193" s="663" t="s">
        <v>385</v>
      </c>
      <c r="H193" s="668">
        <v>120</v>
      </c>
      <c r="I193" s="669"/>
      <c r="J193" s="669"/>
      <c r="K193" s="669"/>
      <c r="L193" s="670">
        <f>SUM(H193:K193)</f>
        <v>120</v>
      </c>
      <c r="M193" s="670"/>
      <c r="N193" s="670"/>
      <c r="O193" s="670"/>
      <c r="P193" s="670"/>
      <c r="Q193" s="670"/>
      <c r="R193" s="670"/>
      <c r="S193" s="670"/>
      <c r="T193" s="670">
        <f>L193+M193+S193</f>
        <v>120</v>
      </c>
    </row>
    <row r="194" spans="2:20" ht="15" customHeight="1" x14ac:dyDescent="0.25">
      <c r="B194" s="663" t="s">
        <v>73</v>
      </c>
      <c r="C194" s="673">
        <f>IFERROR(_xlfn.XLOOKUP($G194,COM_Cadastro!$F$3:$F$199,COM_Cadastro!$B$3:$B$199),"")</f>
        <v>45879909000108</v>
      </c>
      <c r="D194" s="674" t="s">
        <v>378</v>
      </c>
      <c r="E194" s="675" t="s">
        <v>378</v>
      </c>
      <c r="F194" s="674" t="s">
        <v>374</v>
      </c>
      <c r="G194" s="663" t="s">
        <v>897</v>
      </c>
      <c r="H194" s="668">
        <v>3960</v>
      </c>
      <c r="I194" s="669"/>
      <c r="J194" s="669"/>
      <c r="K194" s="669"/>
      <c r="L194" s="670">
        <f>SUM(H194:K194)</f>
        <v>3960</v>
      </c>
      <c r="M194" s="670"/>
      <c r="N194" s="670"/>
      <c r="O194" s="670"/>
      <c r="P194" s="670"/>
      <c r="Q194" s="670"/>
      <c r="R194" s="670"/>
      <c r="S194" s="670"/>
      <c r="T194" s="670">
        <f>L194+M194+S194</f>
        <v>3960</v>
      </c>
    </row>
    <row r="195" spans="2:20" ht="15" customHeight="1" x14ac:dyDescent="0.25">
      <c r="B195" s="663" t="s">
        <v>73</v>
      </c>
      <c r="C195" s="673">
        <f>IFERROR(_xlfn.XLOOKUP($G195,COM_Cadastro!$F$3:$F$199,COM_Cadastro!$B$3:$B$199),"")</f>
        <v>42321120000130</v>
      </c>
      <c r="D195" s="674" t="s">
        <v>378</v>
      </c>
      <c r="E195" s="675" t="s">
        <v>378</v>
      </c>
      <c r="F195" s="674" t="s">
        <v>374</v>
      </c>
      <c r="G195" s="663" t="s">
        <v>456</v>
      </c>
      <c r="H195" s="668">
        <v>2960</v>
      </c>
      <c r="I195" s="669"/>
      <c r="J195" s="669"/>
      <c r="K195" s="669"/>
      <c r="L195" s="670">
        <f>SUM(H195:K195)</f>
        <v>2960</v>
      </c>
      <c r="M195" s="670"/>
      <c r="N195" s="670"/>
      <c r="O195" s="670"/>
      <c r="P195" s="670"/>
      <c r="Q195" s="670"/>
      <c r="R195" s="670"/>
      <c r="S195" s="670"/>
      <c r="T195" s="670">
        <f>L195+M195+S195</f>
        <v>2960</v>
      </c>
    </row>
    <row r="196" spans="2:20" ht="15" customHeight="1" x14ac:dyDescent="0.25">
      <c r="B196" s="663" t="s">
        <v>73</v>
      </c>
      <c r="C196" s="673">
        <f>IFERROR(_xlfn.XLOOKUP($G196,COM_Cadastro!$F$3:$F$199,COM_Cadastro!$B$3:$B$199),"")</f>
        <v>43272054000119</v>
      </c>
      <c r="D196" s="674" t="s">
        <v>378</v>
      </c>
      <c r="E196" s="675" t="s">
        <v>378</v>
      </c>
      <c r="F196" s="674" t="s">
        <v>374</v>
      </c>
      <c r="G196" s="663" t="s">
        <v>480</v>
      </c>
      <c r="H196" s="668">
        <v>3000</v>
      </c>
      <c r="I196" s="669"/>
      <c r="J196" s="669"/>
      <c r="K196" s="669"/>
      <c r="L196" s="670">
        <f>SUM(H196:K196)</f>
        <v>3000</v>
      </c>
      <c r="M196" s="670"/>
      <c r="N196" s="670"/>
      <c r="O196" s="670"/>
      <c r="P196" s="670"/>
      <c r="Q196" s="670"/>
      <c r="R196" s="670"/>
      <c r="S196" s="670"/>
      <c r="T196" s="670">
        <f>L196+M196+S196</f>
        <v>3000</v>
      </c>
    </row>
    <row r="197" spans="2:20" ht="15" customHeight="1" x14ac:dyDescent="0.25">
      <c r="B197" s="663" t="s">
        <v>73</v>
      </c>
      <c r="C197" s="673">
        <f>IFERROR(_xlfn.XLOOKUP($G197,COM_Cadastro!$F$3:$F$199,COM_Cadastro!$B$3:$B$199),"")</f>
        <v>38435193000186</v>
      </c>
      <c r="D197" s="674" t="s">
        <v>378</v>
      </c>
      <c r="E197" s="675" t="s">
        <v>378</v>
      </c>
      <c r="F197" s="674" t="s">
        <v>374</v>
      </c>
      <c r="G197" s="663" t="s">
        <v>524</v>
      </c>
      <c r="H197" s="668">
        <v>3040</v>
      </c>
      <c r="I197" s="669"/>
      <c r="J197" s="669"/>
      <c r="K197" s="669"/>
      <c r="L197" s="670">
        <f>SUM(H197:K197)</f>
        <v>3040</v>
      </c>
      <c r="M197" s="670"/>
      <c r="N197" s="670"/>
      <c r="O197" s="670"/>
      <c r="P197" s="670"/>
      <c r="Q197" s="670"/>
      <c r="R197" s="670"/>
      <c r="S197" s="670"/>
      <c r="T197" s="670">
        <f>L197+M197+S197</f>
        <v>3040</v>
      </c>
    </row>
    <row r="198" spans="2:20" ht="15" customHeight="1" x14ac:dyDescent="0.25">
      <c r="B198" s="663" t="s">
        <v>73</v>
      </c>
      <c r="C198" s="673">
        <f>IFERROR(_xlfn.XLOOKUP($G198,COM_Cadastro!$F$3:$F$199,COM_Cadastro!$B$3:$B$199),"")</f>
        <v>34458292000122</v>
      </c>
      <c r="D198" s="674" t="s">
        <v>736</v>
      </c>
      <c r="E198" s="675" t="s">
        <v>406</v>
      </c>
      <c r="F198" s="674" t="s">
        <v>374</v>
      </c>
      <c r="G198" s="663" t="s">
        <v>570</v>
      </c>
      <c r="H198" s="668">
        <v>5000</v>
      </c>
      <c r="I198" s="669">
        <v>6212.34</v>
      </c>
      <c r="J198" s="669">
        <v>1000</v>
      </c>
      <c r="K198" s="669">
        <v>500</v>
      </c>
      <c r="L198" s="670">
        <f>SUM(H198:K198)</f>
        <v>12712.34</v>
      </c>
      <c r="M198" s="670"/>
      <c r="N198" s="670"/>
      <c r="O198" s="670"/>
      <c r="P198" s="670"/>
      <c r="Q198" s="670"/>
      <c r="R198" s="670"/>
      <c r="S198" s="670">
        <f>SUM(N198:R198)</f>
        <v>0</v>
      </c>
      <c r="T198" s="670">
        <f>L198+M198+S198</f>
        <v>12712.34</v>
      </c>
    </row>
    <row r="199" spans="2:20" ht="15" customHeight="1" x14ac:dyDescent="0.25">
      <c r="B199" s="803"/>
      <c r="C199" s="803"/>
      <c r="D199" s="803"/>
      <c r="E199" s="803"/>
      <c r="F199" s="803"/>
      <c r="G199" s="829">
        <f>COUNTA(G3:G198)</f>
        <v>196</v>
      </c>
      <c r="H199" s="655">
        <f>SUM(H3:H198)</f>
        <v>350454.84</v>
      </c>
      <c r="I199" s="655">
        <f>SUM(I3:I198)</f>
        <v>52761.75</v>
      </c>
      <c r="J199" s="655">
        <f>SUM(J3:J198)</f>
        <v>33435.790000000008</v>
      </c>
      <c r="K199" s="655">
        <f>SUM(K3:K198)</f>
        <v>33802.199999999997</v>
      </c>
      <c r="L199" s="725">
        <f>SUM(L3:L198)</f>
        <v>470454.58000000013</v>
      </c>
      <c r="M199" s="725">
        <f>SUM(M3:M198)</f>
        <v>9278.7872000000061</v>
      </c>
      <c r="N199" s="725">
        <f>SUM(N3:N198)</f>
        <v>9665.4033333333355</v>
      </c>
      <c r="O199" s="725">
        <f>SUM(O3:O198)</f>
        <v>3221.8011111111136</v>
      </c>
      <c r="P199" s="725">
        <f>SUM(P3:P198)</f>
        <v>1030.9763555555567</v>
      </c>
      <c r="Q199" s="725">
        <f>SUM(Q3:Q198)</f>
        <v>9665.4033333333355</v>
      </c>
      <c r="R199" s="725">
        <f>SUM(R3:R198)</f>
        <v>773.23226666666619</v>
      </c>
      <c r="S199" s="725">
        <f>SUM(S3:S198)</f>
        <v>24356.816399999989</v>
      </c>
      <c r="T199" s="725">
        <f>SUM(T3:T198)</f>
        <v>504090.18360000022</v>
      </c>
    </row>
  </sheetData>
  <autoFilter ref="B2:T199" xr:uid="{00000000-0001-0000-2D00-000000000000}">
    <sortState xmlns:xlrd2="http://schemas.microsoft.com/office/spreadsheetml/2017/richdata2" ref="B3:T199">
      <sortCondition ref="F2:F199"/>
    </sortState>
  </autoFilter>
  <sortState xmlns:xlrd2="http://schemas.microsoft.com/office/spreadsheetml/2017/richdata2" ref="B3:T198">
    <sortCondition ref="G3:G198"/>
  </sortState>
  <conditionalFormatting sqref="B3:T198">
    <cfRule type="expression" dxfId="11" priority="1">
      <formula>UPPER(TRIM($F3))="BA"</formula>
    </cfRule>
  </conditionalFormatting>
  <conditionalFormatting sqref="B3:T198">
    <cfRule type="expression" dxfId="10" priority="2">
      <formula>UPPER(TRIM($F3))="ES"</formula>
    </cfRule>
  </conditionalFormatting>
  <conditionalFormatting sqref="B3:T198">
    <cfRule type="expression" dxfId="9" priority="3">
      <formula>UPPER(TRIM($F3))="MG"</formula>
    </cfRule>
  </conditionalFormatting>
  <conditionalFormatting sqref="B3:T198">
    <cfRule type="expression" dxfId="8" priority="4">
      <formula>UPPER(TRIM($F3))="RJ"</formula>
    </cfRule>
  </conditionalFormatting>
  <conditionalFormatting sqref="B3:T198">
    <cfRule type="expression" dxfId="7" priority="5">
      <formula>UPPER(TRIM($F3))="SC"</formula>
    </cfRule>
  </conditionalFormatting>
  <conditionalFormatting sqref="B3:T198">
    <cfRule type="expression" dxfId="6" priority="6">
      <formula>UPPER(TRIM($F3))="SP"</formula>
    </cfRule>
  </conditionalFormatting>
  <pageMargins left="0.75" right="0.75" top="1" bottom="1" header="0.511811023622047" footer="0.511811023622047"/>
  <pageSetup paperSize="9" orientation="portrait" horizontalDpi="300" verticalDpi="300"/>
  <ignoredErrors>
    <ignoredError sqref="V3:Y9" unlockedFormula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FF0000"/>
  </sheetPr>
  <dimension ref="A2:AC60"/>
  <sheetViews>
    <sheetView showGridLines="0" zoomScale="90" zoomScaleNormal="90" workbookViewId="0">
      <selection activeCell="A23" sqref="A23"/>
    </sheetView>
  </sheetViews>
  <sheetFormatPr defaultColWidth="8.5703125" defaultRowHeight="15" x14ac:dyDescent="0.25"/>
  <cols>
    <col min="1" max="1" width="4" customWidth="1"/>
    <col min="2" max="2" width="12.42578125" bestFit="1" customWidth="1"/>
    <col min="3" max="3" width="10.140625" bestFit="1" customWidth="1"/>
    <col min="4" max="4" width="13" bestFit="1" customWidth="1"/>
    <col min="5" max="5" width="12.7109375" bestFit="1" customWidth="1"/>
    <col min="6" max="6" width="9.7109375" bestFit="1" customWidth="1"/>
    <col min="7" max="7" width="8.140625" bestFit="1" customWidth="1"/>
    <col min="8" max="8" width="10.85546875" bestFit="1" customWidth="1"/>
    <col min="9" max="9" width="7.140625" bestFit="1" customWidth="1"/>
    <col min="11" max="11" width="11.28515625" bestFit="1" customWidth="1"/>
    <col min="12" max="12" width="10.140625" bestFit="1" customWidth="1"/>
    <col min="13" max="13" width="11.85546875" customWidth="1"/>
    <col min="14" max="14" width="11.85546875" bestFit="1" customWidth="1"/>
    <col min="15" max="15" width="11.7109375" bestFit="1" customWidth="1"/>
    <col min="16" max="16" width="6.7109375" customWidth="1"/>
    <col min="17" max="17" width="23.42578125" bestFit="1" customWidth="1"/>
    <col min="18" max="21" width="10.28515625" bestFit="1" customWidth="1"/>
    <col min="22" max="22" width="5.85546875" customWidth="1"/>
    <col min="23" max="23" width="5.5703125" bestFit="1" customWidth="1"/>
    <col min="24" max="24" width="4.85546875" customWidth="1"/>
    <col min="25" max="25" width="5.85546875" customWidth="1"/>
    <col min="26" max="26" width="5.42578125" bestFit="1" customWidth="1"/>
    <col min="27" max="27" width="5.85546875" bestFit="1" customWidth="1"/>
    <col min="28" max="28" width="6" customWidth="1"/>
    <col min="29" max="29" width="5.85546875" bestFit="1" customWidth="1"/>
  </cols>
  <sheetData>
    <row r="2" spans="1:29" ht="15" customHeight="1" x14ac:dyDescent="0.25">
      <c r="A2" s="793" t="s">
        <v>214</v>
      </c>
      <c r="B2" s="175" t="s">
        <v>838</v>
      </c>
      <c r="C2" s="176" t="s">
        <v>70</v>
      </c>
      <c r="D2" s="176" t="s">
        <v>71</v>
      </c>
      <c r="E2" s="176" t="s">
        <v>72</v>
      </c>
      <c r="F2" s="176" t="s">
        <v>73</v>
      </c>
      <c r="G2" s="176" t="s">
        <v>74</v>
      </c>
      <c r="H2" s="176" t="s">
        <v>75</v>
      </c>
      <c r="I2" s="176" t="s">
        <v>76</v>
      </c>
      <c r="J2" s="176" t="s">
        <v>77</v>
      </c>
      <c r="K2" s="176" t="s">
        <v>78</v>
      </c>
      <c r="L2" s="176" t="s">
        <v>79</v>
      </c>
      <c r="M2" s="176" t="s">
        <v>80</v>
      </c>
      <c r="N2" s="176" t="s">
        <v>81</v>
      </c>
      <c r="O2" s="177" t="s">
        <v>13</v>
      </c>
      <c r="Q2" s="494" t="s">
        <v>838</v>
      </c>
      <c r="R2" s="495" t="s">
        <v>1</v>
      </c>
      <c r="S2" s="495" t="s">
        <v>2</v>
      </c>
      <c r="T2" s="495" t="s">
        <v>3</v>
      </c>
      <c r="U2" s="495" t="s">
        <v>4</v>
      </c>
      <c r="V2" s="495" t="s">
        <v>5</v>
      </c>
      <c r="W2" s="495" t="s">
        <v>6</v>
      </c>
      <c r="X2" s="495" t="s">
        <v>7</v>
      </c>
      <c r="Y2" s="495" t="s">
        <v>8</v>
      </c>
      <c r="Z2" s="495" t="s">
        <v>9</v>
      </c>
      <c r="AA2" s="495" t="s">
        <v>10</v>
      </c>
      <c r="AB2" s="495" t="s">
        <v>11</v>
      </c>
      <c r="AC2" s="495" t="s">
        <v>12</v>
      </c>
    </row>
    <row r="3" spans="1:29" ht="15" customHeight="1" x14ac:dyDescent="0.25">
      <c r="A3" s="793"/>
      <c r="B3" s="179" t="s">
        <v>89</v>
      </c>
      <c r="C3" s="180">
        <f>COM_Fopag_Jan!V3</f>
        <v>412877.04</v>
      </c>
      <c r="D3" s="180">
        <f>COM_Fopag_fev!V3</f>
        <v>364206.41000000003</v>
      </c>
      <c r="E3" s="180">
        <f>COM_Fopag_Mar!V3</f>
        <v>362837.99000000005</v>
      </c>
      <c r="F3" s="180">
        <f>COM_Fopag_Abr!V3</f>
        <v>350454.84</v>
      </c>
      <c r="G3" s="180"/>
      <c r="H3" s="180"/>
      <c r="I3" s="180"/>
      <c r="J3" s="180"/>
      <c r="K3" s="180"/>
      <c r="L3" s="180"/>
      <c r="M3" s="180"/>
      <c r="N3" s="180"/>
      <c r="O3" s="181">
        <f t="shared" ref="O3:O8" si="0">SUM(C3:N3)</f>
        <v>1490376.28</v>
      </c>
      <c r="Q3" s="179" t="s">
        <v>14</v>
      </c>
      <c r="R3" s="496">
        <f>COM_Movimentações!O2</f>
        <v>62</v>
      </c>
      <c r="S3" s="496">
        <f>COM_Movimentações!O72</f>
        <v>60</v>
      </c>
      <c r="T3" s="496">
        <f>COM_Movimentações!O148</f>
        <v>66</v>
      </c>
      <c r="U3" s="496">
        <f>COM_Movimentações!O221</f>
        <v>63</v>
      </c>
      <c r="V3" s="496"/>
      <c r="W3" s="496"/>
      <c r="X3" s="496"/>
      <c r="Y3" s="496"/>
      <c r="Z3" s="496"/>
      <c r="AA3" s="496"/>
      <c r="AB3" s="496"/>
      <c r="AC3" s="496"/>
    </row>
    <row r="4" spans="1:29" ht="15" customHeight="1" x14ac:dyDescent="0.25">
      <c r="A4" s="793"/>
      <c r="B4" s="179" t="s">
        <v>213</v>
      </c>
      <c r="C4" s="180">
        <f>COM_Fopag_Jan!V4</f>
        <v>96435.299999999988</v>
      </c>
      <c r="D4" s="180">
        <f>COM_Fopag_fev!V4</f>
        <v>12823</v>
      </c>
      <c r="E4" s="180">
        <f>COM_Fopag_Mar!V4</f>
        <v>12017</v>
      </c>
      <c r="F4" s="180">
        <f>COM_Fopag_Abr!V4</f>
        <v>52761.75</v>
      </c>
      <c r="G4" s="180"/>
      <c r="H4" s="180"/>
      <c r="I4" s="180"/>
      <c r="J4" s="180"/>
      <c r="K4" s="180"/>
      <c r="L4" s="180"/>
      <c r="M4" s="180"/>
      <c r="N4" s="180"/>
      <c r="O4" s="181">
        <f t="shared" si="0"/>
        <v>174037.05</v>
      </c>
      <c r="Q4" s="179" t="s">
        <v>58</v>
      </c>
      <c r="R4" s="496">
        <f>COM_Movimentações!R5+COM_Movimentações!U2+COM_Movimentações!U3</f>
        <v>63</v>
      </c>
      <c r="S4" s="496">
        <f>COM_Movimentações!R75+COM_Movimentações!U72+COM_Movimentações!U73</f>
        <v>47</v>
      </c>
      <c r="T4" s="496">
        <f>COM_Movimentações!R151+COM_Movimentações!U148+COM_Movimentações!U149</f>
        <v>128</v>
      </c>
      <c r="U4" s="496">
        <f>COM_Movimentações!R224+COM_Movimentações!U221+COM_Movimentações!U222</f>
        <v>189</v>
      </c>
      <c r="V4" s="496"/>
      <c r="W4" s="496"/>
      <c r="X4" s="496"/>
      <c r="Y4" s="496"/>
      <c r="Z4" s="496"/>
      <c r="AA4" s="496"/>
      <c r="AB4" s="496"/>
      <c r="AC4" s="496"/>
    </row>
    <row r="5" spans="1:29" ht="15" customHeight="1" x14ac:dyDescent="0.25">
      <c r="A5" s="793"/>
      <c r="B5" s="179" t="s">
        <v>95</v>
      </c>
      <c r="C5" s="180">
        <f>COM_Fopag_Jan!V5</f>
        <v>32076.479999999992</v>
      </c>
      <c r="D5" s="180">
        <f>COM_Fopag_fev!V5</f>
        <v>58442.549999999996</v>
      </c>
      <c r="E5" s="180">
        <f>COM_Fopag_Mar!V5</f>
        <v>64273.149999999994</v>
      </c>
      <c r="F5" s="180">
        <f>COM_Fopag_Abr!V5</f>
        <v>33435.790000000008</v>
      </c>
      <c r="G5" s="180"/>
      <c r="H5" s="180"/>
      <c r="I5" s="180"/>
      <c r="J5" s="180"/>
      <c r="K5" s="180"/>
      <c r="L5" s="180"/>
      <c r="M5" s="180"/>
      <c r="N5" s="180"/>
      <c r="O5" s="181">
        <f t="shared" si="0"/>
        <v>188227.97</v>
      </c>
      <c r="Q5" s="179" t="s">
        <v>16</v>
      </c>
      <c r="R5" s="496">
        <f>COM_Movimentações!R2</f>
        <v>5</v>
      </c>
      <c r="S5" s="496">
        <f>COM_Movimentações!R72</f>
        <v>14</v>
      </c>
      <c r="T5" s="496">
        <f>COM_Movimentações!R148</f>
        <v>5</v>
      </c>
      <c r="U5" s="496">
        <f>COM_Movimentações!R221</f>
        <v>6</v>
      </c>
      <c r="V5" s="496"/>
      <c r="W5" s="496"/>
      <c r="X5" s="496"/>
      <c r="Y5" s="496"/>
      <c r="Z5" s="496"/>
      <c r="AA5" s="496"/>
      <c r="AB5" s="496"/>
      <c r="AC5" s="496"/>
    </row>
    <row r="6" spans="1:29" ht="15" customHeight="1" x14ac:dyDescent="0.25">
      <c r="A6" s="793"/>
      <c r="B6" s="179" t="s">
        <v>94</v>
      </c>
      <c r="C6" s="180">
        <f>COM_Fopag_Jan!V6</f>
        <v>32260</v>
      </c>
      <c r="D6" s="180">
        <f>COM_Fopag_fev!V6</f>
        <v>31050</v>
      </c>
      <c r="E6" s="180">
        <f>COM_Fopag_Mar!V6</f>
        <v>33502</v>
      </c>
      <c r="F6" s="180">
        <f>COM_Fopag_Abr!V6</f>
        <v>33802.199999999997</v>
      </c>
      <c r="G6" s="180"/>
      <c r="H6" s="180"/>
      <c r="I6" s="180"/>
      <c r="J6" s="180"/>
      <c r="K6" s="180"/>
      <c r="L6" s="180"/>
      <c r="M6" s="180"/>
      <c r="N6" s="180"/>
      <c r="O6" s="181">
        <f t="shared" si="0"/>
        <v>130614.2</v>
      </c>
      <c r="Q6" s="179" t="s">
        <v>17</v>
      </c>
      <c r="R6" s="496">
        <f>COM_Movimentações!R3</f>
        <v>7</v>
      </c>
      <c r="S6" s="496">
        <f>COM_Movimentações!R73</f>
        <v>8</v>
      </c>
      <c r="T6" s="496">
        <f>COM_Movimentações!R149</f>
        <v>8</v>
      </c>
      <c r="U6" s="496">
        <f>COM_Movimentações!R222</f>
        <v>5</v>
      </c>
      <c r="V6" s="496"/>
      <c r="W6" s="496"/>
      <c r="X6" s="496"/>
      <c r="Y6" s="496"/>
      <c r="Z6" s="496"/>
      <c r="AA6" s="496"/>
      <c r="AB6" s="496"/>
      <c r="AC6" s="496"/>
    </row>
    <row r="7" spans="1:29" ht="15" customHeight="1" x14ac:dyDescent="0.25">
      <c r="A7" s="793"/>
      <c r="B7" s="179" t="s">
        <v>36</v>
      </c>
      <c r="C7" s="180">
        <f>COM_Fopag_Jan!V7</f>
        <v>8741.3088000000062</v>
      </c>
      <c r="D7" s="180">
        <f>COM_Fopag_fev!V7</f>
        <v>11556.608800000005</v>
      </c>
      <c r="E7" s="180">
        <f>COM_Fopag_Mar!V7</f>
        <v>12654.159200000006</v>
      </c>
      <c r="F7" s="180">
        <f>COM_Fopag_Abr!V7</f>
        <v>9278.7872000000061</v>
      </c>
      <c r="G7" s="180"/>
      <c r="H7" s="180"/>
      <c r="I7" s="180"/>
      <c r="J7" s="180"/>
      <c r="K7" s="180"/>
      <c r="L7" s="180"/>
      <c r="M7" s="180"/>
      <c r="N7" s="180"/>
      <c r="O7" s="181">
        <f t="shared" si="0"/>
        <v>42230.864000000023</v>
      </c>
      <c r="Q7" s="179" t="s">
        <v>26</v>
      </c>
      <c r="R7" s="496">
        <f>COM_Movimentações!AF4</f>
        <v>13728</v>
      </c>
      <c r="S7" s="496">
        <f>COM_Movimentações!AF74</f>
        <v>13939.2</v>
      </c>
      <c r="T7" s="496">
        <f>COM_Movimentações!AF150</f>
        <v>14414.400000000001</v>
      </c>
      <c r="U7" s="496">
        <f>COM_Movimentações!AF223</f>
        <v>13516.800000000001</v>
      </c>
      <c r="V7" s="496"/>
      <c r="W7" s="496"/>
      <c r="X7" s="496"/>
      <c r="Y7" s="496"/>
      <c r="Z7" s="496"/>
      <c r="AA7" s="496"/>
      <c r="AB7" s="496"/>
      <c r="AC7" s="496"/>
    </row>
    <row r="8" spans="1:29" ht="15" customHeight="1" x14ac:dyDescent="0.25">
      <c r="A8" s="793"/>
      <c r="B8" s="190" t="s">
        <v>212</v>
      </c>
      <c r="C8" s="180">
        <f>COM_Fopag_Jan!V8</f>
        <v>22945.935600000001</v>
      </c>
      <c r="D8" s="180">
        <f>COM_Fopag_fev!V8</f>
        <v>30336.098099999977</v>
      </c>
      <c r="E8" s="180">
        <f>COM_Fopag_Mar!V8</f>
        <v>33217.167899999964</v>
      </c>
      <c r="F8" s="180">
        <f>COM_Fopag_Abr!V8</f>
        <v>24356.816399999989</v>
      </c>
      <c r="G8" s="180"/>
      <c r="H8" s="180"/>
      <c r="I8" s="180"/>
      <c r="J8" s="180"/>
      <c r="K8" s="180"/>
      <c r="L8" s="180"/>
      <c r="M8" s="180"/>
      <c r="N8" s="180"/>
      <c r="O8" s="181">
        <f t="shared" si="0"/>
        <v>110856.01799999992</v>
      </c>
      <c r="Q8" s="179" t="s">
        <v>27</v>
      </c>
      <c r="R8" s="496">
        <f>COM_Movimentações!AF5</f>
        <v>554.40000000000009</v>
      </c>
      <c r="S8" s="496">
        <f>COM_Movimentações!AF75</f>
        <v>413.6</v>
      </c>
      <c r="T8" s="496">
        <f>COM_Movimentações!AF151</f>
        <v>1126.4000000000001</v>
      </c>
      <c r="U8" s="496">
        <f>COM_Movimentações!AF224</f>
        <v>1663.2</v>
      </c>
      <c r="V8" s="496"/>
      <c r="W8" s="496"/>
      <c r="X8" s="496"/>
      <c r="Y8" s="496"/>
      <c r="Z8" s="496"/>
      <c r="AA8" s="496"/>
      <c r="AB8" s="496"/>
      <c r="AC8" s="496"/>
    </row>
    <row r="9" spans="1:29" ht="15" customHeight="1" x14ac:dyDescent="0.25">
      <c r="A9" s="793"/>
      <c r="B9" s="190" t="s">
        <v>13</v>
      </c>
      <c r="C9" s="180">
        <f t="shared" ref="C9:O9" si="1">SUM(C3:C8)</f>
        <v>605336.06439999992</v>
      </c>
      <c r="D9" s="180">
        <f t="shared" si="1"/>
        <v>508414.66690000001</v>
      </c>
      <c r="E9" s="180">
        <f t="shared" si="1"/>
        <v>518501.46709999995</v>
      </c>
      <c r="F9" s="180">
        <f t="shared" si="1"/>
        <v>504090.18360000005</v>
      </c>
      <c r="G9" s="180">
        <f t="shared" si="1"/>
        <v>0</v>
      </c>
      <c r="H9" s="180">
        <f t="shared" si="1"/>
        <v>0</v>
      </c>
      <c r="I9" s="180">
        <f t="shared" si="1"/>
        <v>0</v>
      </c>
      <c r="J9" s="180">
        <f t="shared" si="1"/>
        <v>0</v>
      </c>
      <c r="K9" s="180">
        <f t="shared" si="1"/>
        <v>0</v>
      </c>
      <c r="L9" s="180">
        <f t="shared" si="1"/>
        <v>0</v>
      </c>
      <c r="M9" s="180">
        <f t="shared" si="1"/>
        <v>0</v>
      </c>
      <c r="N9" s="180">
        <f t="shared" si="1"/>
        <v>0</v>
      </c>
      <c r="O9" s="181">
        <f t="shared" si="1"/>
        <v>2136342.3820000002</v>
      </c>
      <c r="Q9" s="179" t="s">
        <v>19</v>
      </c>
      <c r="R9" s="496">
        <f>IFERROR(COM_Movimentações!AF6,0)</f>
        <v>57.576923076923073</v>
      </c>
      <c r="S9" s="496">
        <f>IFERROR(COM_Movimentações!AF76,0)</f>
        <v>64.041666666666657</v>
      </c>
      <c r="T9" s="496">
        <f>IFERROR(COM_Movimentações!AF152,0)</f>
        <v>58.07692307692308</v>
      </c>
      <c r="U9" s="496">
        <f>IFERROR(COM_Movimentações!AF225,0)</f>
        <v>56.125</v>
      </c>
      <c r="V9" s="496"/>
      <c r="W9" s="496"/>
      <c r="X9" s="496"/>
      <c r="Y9" s="496"/>
      <c r="Z9" s="496"/>
      <c r="AA9" s="496"/>
      <c r="AB9" s="496"/>
      <c r="AC9" s="496"/>
    </row>
    <row r="10" spans="1:29" ht="15" customHeight="1" x14ac:dyDescent="0.25">
      <c r="A10" s="793"/>
      <c r="B10" s="178"/>
      <c r="C10" s="497"/>
      <c r="D10" s="497"/>
      <c r="E10" s="497"/>
      <c r="F10" s="497"/>
      <c r="G10" s="497"/>
      <c r="H10" s="497"/>
      <c r="I10" s="497"/>
      <c r="J10" s="497"/>
      <c r="K10" s="497"/>
      <c r="L10" s="497"/>
      <c r="M10" s="497"/>
      <c r="N10" s="497"/>
      <c r="O10" s="497"/>
      <c r="Q10" s="179" t="s">
        <v>216</v>
      </c>
      <c r="R10" s="496">
        <f>COM_Movimentações!R4</f>
        <v>60</v>
      </c>
      <c r="S10" s="496">
        <f>COM_Movimentações!R74</f>
        <v>66</v>
      </c>
      <c r="T10" s="496">
        <f>COM_Movimentações!R150</f>
        <v>63</v>
      </c>
      <c r="U10" s="496">
        <f>COM_Movimentações!R223</f>
        <v>64</v>
      </c>
      <c r="V10" s="496"/>
      <c r="W10" s="496"/>
      <c r="X10" s="496"/>
      <c r="Y10" s="496"/>
      <c r="Z10" s="496"/>
      <c r="AA10" s="496"/>
      <c r="AB10" s="496"/>
      <c r="AC10" s="496"/>
    </row>
    <row r="11" spans="1:29" ht="15" customHeight="1" x14ac:dyDescent="0.25">
      <c r="A11" s="498"/>
      <c r="B11" s="499"/>
    </row>
    <row r="12" spans="1:29" ht="15" customHeight="1" x14ac:dyDescent="0.25">
      <c r="A12" s="498"/>
    </row>
    <row r="13" spans="1:29" ht="15" customHeight="1" x14ac:dyDescent="0.25">
      <c r="A13" s="498"/>
      <c r="B13" s="178" t="s">
        <v>106</v>
      </c>
      <c r="C13" s="178" t="s">
        <v>217</v>
      </c>
      <c r="D13" s="178" t="s">
        <v>84</v>
      </c>
      <c r="E13" s="178" t="s">
        <v>85</v>
      </c>
      <c r="F13" s="178" t="s">
        <v>86</v>
      </c>
      <c r="G13" s="178" t="s">
        <v>87</v>
      </c>
      <c r="H13" s="178" t="s">
        <v>88</v>
      </c>
    </row>
    <row r="14" spans="1:29" ht="15" customHeight="1" x14ac:dyDescent="0.25">
      <c r="A14" s="500"/>
      <c r="B14" s="182" t="s">
        <v>1</v>
      </c>
      <c r="C14" s="183">
        <v>1908972</v>
      </c>
      <c r="D14" s="184">
        <f>C9</f>
        <v>605336.06439999992</v>
      </c>
      <c r="E14" s="185">
        <f>IFERROR(D14/C14,0)</f>
        <v>0.31710054647213259</v>
      </c>
      <c r="F14" s="726">
        <v>0.04</v>
      </c>
      <c r="G14" s="501">
        <f>R10</f>
        <v>60</v>
      </c>
      <c r="H14" s="187">
        <f>IFERROR(C14/G14,0)</f>
        <v>31816.2</v>
      </c>
    </row>
    <row r="15" spans="1:29" ht="15" customHeight="1" x14ac:dyDescent="0.25">
      <c r="A15" s="500"/>
      <c r="B15" s="502" t="s">
        <v>2</v>
      </c>
      <c r="C15" s="503">
        <v>1434145</v>
      </c>
      <c r="D15" s="504">
        <f>D9</f>
        <v>508414.66690000001</v>
      </c>
      <c r="E15" s="194">
        <f>IFERROR(D15/C15,0)</f>
        <v>0.3545071571563545</v>
      </c>
      <c r="F15" s="726">
        <v>0.04</v>
      </c>
      <c r="G15" s="505">
        <f>S10</f>
        <v>66</v>
      </c>
      <c r="H15" s="180">
        <f>IFERROR(C15/G15,0)</f>
        <v>21729.469696969696</v>
      </c>
    </row>
    <row r="16" spans="1:29" ht="15" customHeight="1" x14ac:dyDescent="0.25">
      <c r="A16" s="500"/>
      <c r="B16" s="182" t="s">
        <v>3</v>
      </c>
      <c r="C16" s="183">
        <v>1661970</v>
      </c>
      <c r="D16" s="184">
        <f>E9</f>
        <v>518501.46709999995</v>
      </c>
      <c r="E16" s="185">
        <f>IFERROR(D16/C16,0)</f>
        <v>0.31198004001275592</v>
      </c>
      <c r="F16" s="726">
        <v>0.04</v>
      </c>
      <c r="G16" s="501">
        <f>T10</f>
        <v>63</v>
      </c>
      <c r="H16" s="187">
        <f>IFERROR(C16/G16,0)</f>
        <v>26380.476190476191</v>
      </c>
    </row>
    <row r="17" spans="1:8" ht="15" customHeight="1" x14ac:dyDescent="0.25">
      <c r="A17" s="500"/>
      <c r="B17" s="502" t="s">
        <v>4</v>
      </c>
      <c r="C17" s="193">
        <v>1747250</v>
      </c>
      <c r="D17" s="504">
        <f>F9</f>
        <v>504090.18360000005</v>
      </c>
      <c r="E17" s="194">
        <f>IFERROR(D17/C17,0)</f>
        <v>0.28850489832594078</v>
      </c>
      <c r="F17" s="726">
        <v>0.04</v>
      </c>
      <c r="G17" s="505">
        <f>U10</f>
        <v>64</v>
      </c>
      <c r="H17" s="180">
        <f>IFERROR(C17/G17,0)</f>
        <v>27300.78125</v>
      </c>
    </row>
    <row r="18" spans="1:8" ht="15" customHeight="1" x14ac:dyDescent="0.25">
      <c r="B18" s="182" t="s">
        <v>5</v>
      </c>
      <c r="C18" s="183"/>
      <c r="D18" s="189">
        <f>G9</f>
        <v>0</v>
      </c>
      <c r="E18" s="185"/>
      <c r="F18" s="185"/>
      <c r="G18" s="186"/>
      <c r="H18" s="187"/>
    </row>
    <row r="19" spans="1:8" ht="15" customHeight="1" x14ac:dyDescent="0.25">
      <c r="B19" s="502" t="s">
        <v>6</v>
      </c>
      <c r="C19" s="193"/>
      <c r="D19" s="180">
        <f>H9</f>
        <v>0</v>
      </c>
      <c r="E19" s="194"/>
      <c r="F19" s="194"/>
      <c r="G19" s="197"/>
      <c r="H19" s="180"/>
    </row>
    <row r="20" spans="1:8" ht="15" customHeight="1" x14ac:dyDescent="0.25">
      <c r="B20" s="182" t="s">
        <v>7</v>
      </c>
      <c r="C20" s="188"/>
      <c r="D20" s="187">
        <f>I9</f>
        <v>0</v>
      </c>
      <c r="E20" s="185"/>
      <c r="F20" s="185"/>
      <c r="G20" s="186"/>
      <c r="H20" s="187"/>
    </row>
    <row r="21" spans="1:8" ht="15" customHeight="1" x14ac:dyDescent="0.25">
      <c r="B21" s="502" t="s">
        <v>8</v>
      </c>
      <c r="C21" s="193"/>
      <c r="D21" s="180">
        <f>J9</f>
        <v>0</v>
      </c>
      <c r="E21" s="194"/>
      <c r="F21" s="194"/>
      <c r="G21" s="197"/>
      <c r="H21" s="180"/>
    </row>
    <row r="22" spans="1:8" ht="15" customHeight="1" x14ac:dyDescent="0.25">
      <c r="B22" s="182" t="s">
        <v>9</v>
      </c>
      <c r="C22" s="200"/>
      <c r="D22" s="187">
        <f>K9</f>
        <v>0</v>
      </c>
      <c r="E22" s="185"/>
      <c r="F22" s="185"/>
      <c r="G22" s="186"/>
      <c r="H22" s="187"/>
    </row>
    <row r="23" spans="1:8" ht="15" customHeight="1" x14ac:dyDescent="0.25">
      <c r="B23" s="502" t="s">
        <v>10</v>
      </c>
      <c r="C23" s="196"/>
      <c r="D23" s="180">
        <f>L9</f>
        <v>0</v>
      </c>
      <c r="E23" s="194"/>
      <c r="F23" s="194"/>
      <c r="G23" s="197"/>
      <c r="H23" s="180"/>
    </row>
    <row r="24" spans="1:8" ht="15" customHeight="1" x14ac:dyDescent="0.25">
      <c r="B24" s="182" t="s">
        <v>11</v>
      </c>
      <c r="C24" s="200"/>
      <c r="D24" s="187">
        <f>M9</f>
        <v>0</v>
      </c>
      <c r="E24" s="185"/>
      <c r="F24" s="185"/>
      <c r="G24" s="186"/>
      <c r="H24" s="187"/>
    </row>
    <row r="25" spans="1:8" ht="15" customHeight="1" x14ac:dyDescent="0.25">
      <c r="B25" s="502" t="s">
        <v>12</v>
      </c>
      <c r="C25" s="196"/>
      <c r="D25" s="180">
        <f>N9</f>
        <v>0</v>
      </c>
      <c r="E25" s="194"/>
      <c r="F25" s="194"/>
      <c r="G25" s="197"/>
      <c r="H25" s="180"/>
    </row>
    <row r="29" spans="1:8" ht="15.75" customHeight="1" x14ac:dyDescent="0.25">
      <c r="B29" s="794" t="s">
        <v>102</v>
      </c>
      <c r="C29" s="794"/>
      <c r="D29" s="794"/>
      <c r="E29" s="794"/>
      <c r="F29" s="794"/>
      <c r="G29" s="794"/>
      <c r="H29" s="794"/>
    </row>
    <row r="30" spans="1:8" ht="15.75" customHeight="1" x14ac:dyDescent="0.25">
      <c r="B30" s="795" t="s">
        <v>104</v>
      </c>
      <c r="C30" s="795"/>
      <c r="D30" s="795"/>
      <c r="E30" s="796">
        <v>2026</v>
      </c>
      <c r="F30" s="796"/>
      <c r="G30" s="506" t="s">
        <v>105</v>
      </c>
      <c r="H30" s="727">
        <v>0.15</v>
      </c>
    </row>
    <row r="31" spans="1:8" ht="15" customHeight="1" x14ac:dyDescent="0.25">
      <c r="B31" s="508" t="s">
        <v>106</v>
      </c>
      <c r="C31" s="508" t="s">
        <v>107</v>
      </c>
      <c r="D31" s="508" t="s">
        <v>108</v>
      </c>
      <c r="E31" s="508" t="s">
        <v>59</v>
      </c>
      <c r="F31" s="508" t="s">
        <v>109</v>
      </c>
      <c r="G31" s="508" t="s">
        <v>110</v>
      </c>
      <c r="H31" s="508" t="s">
        <v>86</v>
      </c>
    </row>
    <row r="32" spans="1:8" ht="15" customHeight="1" x14ac:dyDescent="0.25">
      <c r="B32" s="228" t="s">
        <v>1</v>
      </c>
      <c r="C32" s="509">
        <f>R5</f>
        <v>5</v>
      </c>
      <c r="D32" s="509">
        <f>R6</f>
        <v>7</v>
      </c>
      <c r="E32" s="509">
        <f>R10</f>
        <v>60</v>
      </c>
      <c r="F32" s="229">
        <f t="shared" ref="F32:F43" si="2">IFERROR(((D32+C32)/2)/E32,0)</f>
        <v>0.1</v>
      </c>
      <c r="G32" s="229">
        <f>IFERROR(AVERAGE(F32),0)</f>
        <v>0.1</v>
      </c>
      <c r="H32" s="229">
        <f t="shared" ref="H32:H43" si="3">$H$30</f>
        <v>0.15</v>
      </c>
    </row>
    <row r="33" spans="2:8" ht="15" customHeight="1" x14ac:dyDescent="0.25">
      <c r="B33" s="228" t="s">
        <v>2</v>
      </c>
      <c r="C33" s="509">
        <f>S5</f>
        <v>14</v>
      </c>
      <c r="D33" s="509">
        <f>S6</f>
        <v>8</v>
      </c>
      <c r="E33" s="509">
        <f>S10</f>
        <v>66</v>
      </c>
      <c r="F33" s="229">
        <f t="shared" si="2"/>
        <v>0.16666666666666666</v>
      </c>
      <c r="G33" s="229">
        <f>IFERROR(AVERAGE($F$32:$F33),0)</f>
        <v>0.13333333333333333</v>
      </c>
      <c r="H33" s="229">
        <f t="shared" si="3"/>
        <v>0.15</v>
      </c>
    </row>
    <row r="34" spans="2:8" ht="15" customHeight="1" x14ac:dyDescent="0.25">
      <c r="B34" s="228" t="s">
        <v>3</v>
      </c>
      <c r="C34" s="509">
        <f>T5</f>
        <v>5</v>
      </c>
      <c r="D34" s="509">
        <f>T6</f>
        <v>8</v>
      </c>
      <c r="E34" s="509">
        <f>T10</f>
        <v>63</v>
      </c>
      <c r="F34" s="229">
        <f t="shared" si="2"/>
        <v>0.10317460317460317</v>
      </c>
      <c r="G34" s="229">
        <f>IFERROR(AVERAGE($F$32:$F34),0)</f>
        <v>0.12328042328042328</v>
      </c>
      <c r="H34" s="229">
        <f t="shared" si="3"/>
        <v>0.15</v>
      </c>
    </row>
    <row r="35" spans="2:8" ht="15" customHeight="1" x14ac:dyDescent="0.25">
      <c r="B35" s="228" t="s">
        <v>4</v>
      </c>
      <c r="C35" s="509">
        <f>U5</f>
        <v>6</v>
      </c>
      <c r="D35" s="509">
        <f>U6</f>
        <v>5</v>
      </c>
      <c r="E35" s="509">
        <f>U10</f>
        <v>64</v>
      </c>
      <c r="F35" s="229">
        <f t="shared" si="2"/>
        <v>8.59375E-2</v>
      </c>
      <c r="G35" s="229">
        <f>IFERROR(AVERAGE($F$32:$F35),0)</f>
        <v>0.11394469246031746</v>
      </c>
      <c r="H35" s="229">
        <f t="shared" si="3"/>
        <v>0.15</v>
      </c>
    </row>
    <row r="36" spans="2:8" ht="15" customHeight="1" x14ac:dyDescent="0.25">
      <c r="B36" s="228" t="s">
        <v>5</v>
      </c>
      <c r="C36" s="509">
        <f>V5</f>
        <v>0</v>
      </c>
      <c r="D36" s="509">
        <f>V6</f>
        <v>0</v>
      </c>
      <c r="E36" s="509">
        <f>V10</f>
        <v>0</v>
      </c>
      <c r="F36" s="229">
        <f t="shared" si="2"/>
        <v>0</v>
      </c>
      <c r="G36" s="229">
        <f>IFERROR(AVERAGE($F$32:$F36),0)</f>
        <v>9.1155753968253969E-2</v>
      </c>
      <c r="H36" s="229">
        <f t="shared" si="3"/>
        <v>0.15</v>
      </c>
    </row>
    <row r="37" spans="2:8" ht="15" customHeight="1" x14ac:dyDescent="0.25">
      <c r="B37" s="228" t="s">
        <v>6</v>
      </c>
      <c r="C37" s="509">
        <f>W5</f>
        <v>0</v>
      </c>
      <c r="D37" s="509">
        <f>W6</f>
        <v>0</v>
      </c>
      <c r="E37" s="509">
        <f>W10</f>
        <v>0</v>
      </c>
      <c r="F37" s="229">
        <f t="shared" si="2"/>
        <v>0</v>
      </c>
      <c r="G37" s="229">
        <f>IFERROR(AVERAGE($F$32:$F37),0)</f>
        <v>7.5963128306878305E-2</v>
      </c>
      <c r="H37" s="229">
        <f t="shared" si="3"/>
        <v>0.15</v>
      </c>
    </row>
    <row r="38" spans="2:8" ht="15" customHeight="1" x14ac:dyDescent="0.25">
      <c r="B38" s="228" t="s">
        <v>7</v>
      </c>
      <c r="C38" s="509">
        <f>X5</f>
        <v>0</v>
      </c>
      <c r="D38" s="509">
        <f>X6</f>
        <v>0</v>
      </c>
      <c r="E38" s="509">
        <f>X10</f>
        <v>0</v>
      </c>
      <c r="F38" s="229">
        <f t="shared" si="2"/>
        <v>0</v>
      </c>
      <c r="G38" s="229">
        <f>IFERROR(AVERAGE($F$32:$F38),0)</f>
        <v>6.5111252834467129E-2</v>
      </c>
      <c r="H38" s="229">
        <f t="shared" si="3"/>
        <v>0.15</v>
      </c>
    </row>
    <row r="39" spans="2:8" ht="15" customHeight="1" x14ac:dyDescent="0.25">
      <c r="B39" s="228" t="s">
        <v>8</v>
      </c>
      <c r="C39" s="509">
        <f>Y5</f>
        <v>0</v>
      </c>
      <c r="D39" s="509">
        <f>Y6</f>
        <v>0</v>
      </c>
      <c r="E39" s="509">
        <f>Y10</f>
        <v>0</v>
      </c>
      <c r="F39" s="229">
        <f t="shared" si="2"/>
        <v>0</v>
      </c>
      <c r="G39" s="229">
        <f>IFERROR(AVERAGE($F$32:$F39),0)</f>
        <v>5.6972346230158732E-2</v>
      </c>
      <c r="H39" s="229">
        <f t="shared" si="3"/>
        <v>0.15</v>
      </c>
    </row>
    <row r="40" spans="2:8" ht="15" customHeight="1" x14ac:dyDescent="0.25">
      <c r="B40" s="228" t="s">
        <v>9</v>
      </c>
      <c r="C40" s="509">
        <f>Z5</f>
        <v>0</v>
      </c>
      <c r="D40" s="509">
        <f>Z6</f>
        <v>0</v>
      </c>
      <c r="E40" s="509">
        <f>Z10</f>
        <v>0</v>
      </c>
      <c r="F40" s="229">
        <f t="shared" si="2"/>
        <v>0</v>
      </c>
      <c r="G40" s="229">
        <f>IFERROR(AVERAGE($F$32:$F40),0)</f>
        <v>5.0642085537918873E-2</v>
      </c>
      <c r="H40" s="229">
        <f t="shared" si="3"/>
        <v>0.15</v>
      </c>
    </row>
    <row r="41" spans="2:8" ht="15" customHeight="1" x14ac:dyDescent="0.25">
      <c r="B41" s="228" t="s">
        <v>10</v>
      </c>
      <c r="C41" s="509">
        <f>AA5</f>
        <v>0</v>
      </c>
      <c r="D41" s="509">
        <f>AA6</f>
        <v>0</v>
      </c>
      <c r="E41" s="509">
        <f>AA10</f>
        <v>0</v>
      </c>
      <c r="F41" s="229">
        <f t="shared" si="2"/>
        <v>0</v>
      </c>
      <c r="G41" s="229">
        <f>IFERROR(AVERAGE($F$32:$F41),0)</f>
        <v>4.5577876984126985E-2</v>
      </c>
      <c r="H41" s="229">
        <f t="shared" si="3"/>
        <v>0.15</v>
      </c>
    </row>
    <row r="42" spans="2:8" ht="15" customHeight="1" x14ac:dyDescent="0.25">
      <c r="B42" s="228" t="s">
        <v>11</v>
      </c>
      <c r="C42" s="509">
        <f>AB5</f>
        <v>0</v>
      </c>
      <c r="D42" s="509">
        <f>AB6</f>
        <v>0</v>
      </c>
      <c r="E42" s="509">
        <f>AB10</f>
        <v>0</v>
      </c>
      <c r="F42" s="229">
        <f t="shared" si="2"/>
        <v>0</v>
      </c>
      <c r="G42" s="229">
        <f>IFERROR(AVERAGE($F$32:$F42),0)</f>
        <v>4.1434433621933622E-2</v>
      </c>
      <c r="H42" s="229">
        <f t="shared" si="3"/>
        <v>0.15</v>
      </c>
    </row>
    <row r="43" spans="2:8" ht="15" customHeight="1" x14ac:dyDescent="0.25">
      <c r="B43" s="228" t="s">
        <v>12</v>
      </c>
      <c r="C43" s="510">
        <f>AC5</f>
        <v>0</v>
      </c>
      <c r="D43" s="510">
        <f>AC6</f>
        <v>0</v>
      </c>
      <c r="E43" s="511">
        <f>AC10</f>
        <v>0</v>
      </c>
      <c r="F43" s="229">
        <f t="shared" si="2"/>
        <v>0</v>
      </c>
      <c r="G43" s="229">
        <f>IFERROR(AVERAGE($F$32:$F43),0)</f>
        <v>3.7981564153439153E-2</v>
      </c>
      <c r="H43" s="229">
        <f t="shared" si="3"/>
        <v>0.15</v>
      </c>
    </row>
    <row r="44" spans="2:8" ht="15" customHeight="1" x14ac:dyDescent="0.25">
      <c r="B44" s="785" t="s">
        <v>114</v>
      </c>
      <c r="C44" s="785"/>
      <c r="D44" s="785"/>
      <c r="E44" s="785"/>
      <c r="F44" s="785"/>
      <c r="G44" s="785"/>
      <c r="H44" s="785"/>
    </row>
    <row r="45" spans="2:8" ht="15.75" customHeight="1" x14ac:dyDescent="0.25"/>
    <row r="46" spans="2:8" ht="16.5" customHeight="1" x14ac:dyDescent="0.25">
      <c r="B46" s="786" t="s">
        <v>103</v>
      </c>
      <c r="C46" s="786"/>
      <c r="D46" s="786"/>
      <c r="E46" s="786"/>
      <c r="F46" s="786"/>
      <c r="G46" s="786"/>
    </row>
    <row r="47" spans="2:8" ht="15.75" customHeight="1" x14ac:dyDescent="0.25">
      <c r="B47" s="787" t="s">
        <v>104</v>
      </c>
      <c r="C47" s="787"/>
      <c r="D47" s="787"/>
      <c r="E47" s="222">
        <v>2026</v>
      </c>
      <c r="F47" s="220" t="s">
        <v>105</v>
      </c>
      <c r="G47" s="728">
        <v>0.15</v>
      </c>
    </row>
    <row r="48" spans="2:8" ht="15" customHeight="1" x14ac:dyDescent="0.25">
      <c r="B48" s="512" t="s">
        <v>106</v>
      </c>
      <c r="C48" s="508" t="s">
        <v>111</v>
      </c>
      <c r="D48" s="508" t="s">
        <v>112</v>
      </c>
      <c r="E48" s="508" t="s">
        <v>113</v>
      </c>
      <c r="F48" s="508" t="s">
        <v>110</v>
      </c>
      <c r="G48" s="513" t="s">
        <v>86</v>
      </c>
    </row>
    <row r="49" spans="2:7" ht="15" customHeight="1" x14ac:dyDescent="0.25">
      <c r="B49" s="227" t="s">
        <v>1</v>
      </c>
      <c r="C49" s="232">
        <f>R7</f>
        <v>13728</v>
      </c>
      <c r="D49" s="232">
        <f>R8</f>
        <v>554.40000000000009</v>
      </c>
      <c r="E49" s="229">
        <f t="shared" ref="E49:E60" si="4">IFERROR(D49/C49,0)</f>
        <v>4.0384615384615394E-2</v>
      </c>
      <c r="F49" s="229">
        <f>IFERROR(AVERAGE($E$49:E49),0)</f>
        <v>4.0384615384615394E-2</v>
      </c>
      <c r="G49" s="230">
        <f t="shared" ref="G49:G60" si="5">$G$47</f>
        <v>0.15</v>
      </c>
    </row>
    <row r="50" spans="2:7" ht="15" customHeight="1" x14ac:dyDescent="0.25">
      <c r="B50" s="227" t="s">
        <v>2</v>
      </c>
      <c r="C50" s="233">
        <f>S7</f>
        <v>13939.2</v>
      </c>
      <c r="D50" s="232">
        <f>S8</f>
        <v>413.6</v>
      </c>
      <c r="E50" s="229">
        <f t="shared" si="4"/>
        <v>2.9671717171717172E-2</v>
      </c>
      <c r="F50" s="229">
        <f>IFERROR(AVERAGE($E$49:E50),0)</f>
        <v>3.5028166278166281E-2</v>
      </c>
      <c r="G50" s="230">
        <f t="shared" si="5"/>
        <v>0.15</v>
      </c>
    </row>
    <row r="51" spans="2:7" ht="15" customHeight="1" x14ac:dyDescent="0.25">
      <c r="B51" s="227" t="s">
        <v>3</v>
      </c>
      <c r="C51" s="232">
        <f>T7</f>
        <v>14414.400000000001</v>
      </c>
      <c r="D51" s="232">
        <f>T8</f>
        <v>1126.4000000000001</v>
      </c>
      <c r="E51" s="229">
        <f t="shared" si="4"/>
        <v>7.8144078144078144E-2</v>
      </c>
      <c r="F51" s="229">
        <f>IFERROR(AVERAGE($E$49:E51),0)</f>
        <v>4.94001369001369E-2</v>
      </c>
      <c r="G51" s="230">
        <f t="shared" si="5"/>
        <v>0.15</v>
      </c>
    </row>
    <row r="52" spans="2:7" ht="15" customHeight="1" x14ac:dyDescent="0.25">
      <c r="B52" s="227" t="s">
        <v>4</v>
      </c>
      <c r="C52" s="232">
        <f>U7</f>
        <v>13516.800000000001</v>
      </c>
      <c r="D52" s="232">
        <f>U8</f>
        <v>1663.2</v>
      </c>
      <c r="E52" s="229">
        <f t="shared" si="4"/>
        <v>0.123046875</v>
      </c>
      <c r="F52" s="229">
        <f>IFERROR(AVERAGE($E$49:E52),0)</f>
        <v>6.781182142510267E-2</v>
      </c>
      <c r="G52" s="230">
        <f t="shared" si="5"/>
        <v>0.15</v>
      </c>
    </row>
    <row r="53" spans="2:7" ht="15" customHeight="1" x14ac:dyDescent="0.25">
      <c r="B53" s="227" t="s">
        <v>5</v>
      </c>
      <c r="C53" s="232">
        <f>V7</f>
        <v>0</v>
      </c>
      <c r="D53" s="232">
        <f>V8</f>
        <v>0</v>
      </c>
      <c r="E53" s="229">
        <f t="shared" si="4"/>
        <v>0</v>
      </c>
      <c r="F53" s="229">
        <f>IFERROR(AVERAGE($E$49:E53),0)</f>
        <v>5.4249457140082134E-2</v>
      </c>
      <c r="G53" s="230">
        <f t="shared" si="5"/>
        <v>0.15</v>
      </c>
    </row>
    <row r="54" spans="2:7" ht="15" customHeight="1" x14ac:dyDescent="0.25">
      <c r="B54" s="227" t="s">
        <v>6</v>
      </c>
      <c r="C54" s="232">
        <f>W7</f>
        <v>0</v>
      </c>
      <c r="D54" s="232">
        <f>W8</f>
        <v>0</v>
      </c>
      <c r="E54" s="229">
        <f t="shared" si="4"/>
        <v>0</v>
      </c>
      <c r="F54" s="229">
        <f>IFERROR(AVERAGE($E$49:E54),0)</f>
        <v>4.5207880950068446E-2</v>
      </c>
      <c r="G54" s="230">
        <f t="shared" si="5"/>
        <v>0.15</v>
      </c>
    </row>
    <row r="55" spans="2:7" ht="15" customHeight="1" x14ac:dyDescent="0.25">
      <c r="B55" s="227" t="s">
        <v>7</v>
      </c>
      <c r="C55" s="232">
        <f>X7</f>
        <v>0</v>
      </c>
      <c r="D55" s="232">
        <f>X8</f>
        <v>0</v>
      </c>
      <c r="E55" s="229">
        <f t="shared" si="4"/>
        <v>0</v>
      </c>
      <c r="F55" s="229">
        <f>IFERROR(AVERAGE($E$49:E55),0)</f>
        <v>3.8749612242915808E-2</v>
      </c>
      <c r="G55" s="230">
        <f t="shared" si="5"/>
        <v>0.15</v>
      </c>
    </row>
    <row r="56" spans="2:7" ht="15" customHeight="1" x14ac:dyDescent="0.25">
      <c r="B56" s="227" t="s">
        <v>8</v>
      </c>
      <c r="C56" s="232">
        <f>Y7</f>
        <v>0</v>
      </c>
      <c r="D56" s="232">
        <f>Y8</f>
        <v>0</v>
      </c>
      <c r="E56" s="229">
        <f t="shared" si="4"/>
        <v>0</v>
      </c>
      <c r="F56" s="229">
        <f>IFERROR(AVERAGE($E$49:E56),0)</f>
        <v>3.3905910712551335E-2</v>
      </c>
      <c r="G56" s="230">
        <f t="shared" si="5"/>
        <v>0.15</v>
      </c>
    </row>
    <row r="57" spans="2:7" ht="15" customHeight="1" x14ac:dyDescent="0.25">
      <c r="B57" s="227" t="s">
        <v>9</v>
      </c>
      <c r="C57" s="232">
        <f>Z7</f>
        <v>0</v>
      </c>
      <c r="D57" s="232">
        <f>Z8</f>
        <v>0</v>
      </c>
      <c r="E57" s="229">
        <f t="shared" si="4"/>
        <v>0</v>
      </c>
      <c r="F57" s="229">
        <f>IFERROR(AVERAGE($E$49:E57),0)</f>
        <v>3.0138587300045632E-2</v>
      </c>
      <c r="G57" s="230">
        <f t="shared" si="5"/>
        <v>0.15</v>
      </c>
    </row>
    <row r="58" spans="2:7" ht="15" customHeight="1" x14ac:dyDescent="0.25">
      <c r="B58" s="227" t="s">
        <v>10</v>
      </c>
      <c r="C58" s="232">
        <f>AA7</f>
        <v>0</v>
      </c>
      <c r="D58" s="232">
        <f>AA8</f>
        <v>0</v>
      </c>
      <c r="E58" s="229">
        <f t="shared" si="4"/>
        <v>0</v>
      </c>
      <c r="F58" s="229">
        <f>IFERROR(AVERAGE($E$49:E58),0)</f>
        <v>2.7124728570041067E-2</v>
      </c>
      <c r="G58" s="230">
        <f t="shared" si="5"/>
        <v>0.15</v>
      </c>
    </row>
    <row r="59" spans="2:7" ht="15" customHeight="1" x14ac:dyDescent="0.25">
      <c r="B59" s="227" t="s">
        <v>11</v>
      </c>
      <c r="C59" s="232">
        <f>AB7</f>
        <v>0</v>
      </c>
      <c r="D59" s="232">
        <f>AB8</f>
        <v>0</v>
      </c>
      <c r="E59" s="229">
        <f t="shared" si="4"/>
        <v>0</v>
      </c>
      <c r="F59" s="229">
        <f>IFERROR(AVERAGE($E$49:E59),0)</f>
        <v>2.465884415458279E-2</v>
      </c>
      <c r="G59" s="230">
        <f t="shared" si="5"/>
        <v>0.15</v>
      </c>
    </row>
    <row r="60" spans="2:7" ht="15.75" customHeight="1" x14ac:dyDescent="0.25">
      <c r="B60" s="237" t="s">
        <v>12</v>
      </c>
      <c r="C60" s="241">
        <f>AC7</f>
        <v>0</v>
      </c>
      <c r="D60" s="242">
        <f>AC8</f>
        <v>0</v>
      </c>
      <c r="E60" s="229">
        <f t="shared" si="4"/>
        <v>0</v>
      </c>
      <c r="F60" s="229">
        <f>IFERROR(AVERAGE($E$49:E60),0)</f>
        <v>2.2603940475034223E-2</v>
      </c>
      <c r="G60" s="240">
        <f t="shared" si="5"/>
        <v>0.15</v>
      </c>
    </row>
  </sheetData>
  <mergeCells count="7">
    <mergeCell ref="B46:G46"/>
    <mergeCell ref="B47:D47"/>
    <mergeCell ref="A2:A10"/>
    <mergeCell ref="B29:H29"/>
    <mergeCell ref="B30:D30"/>
    <mergeCell ref="E30:F30"/>
    <mergeCell ref="B44:H44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B1:V28"/>
  <sheetViews>
    <sheetView showGridLines="0" zoomScaleNormal="100" workbookViewId="0">
      <selection activeCell="G18" sqref="G18"/>
    </sheetView>
  </sheetViews>
  <sheetFormatPr defaultColWidth="8.5703125" defaultRowHeight="15" x14ac:dyDescent="0.25"/>
  <cols>
    <col min="2" max="2" width="14.28515625" customWidth="1"/>
    <col min="3" max="3" width="10.7109375" customWidth="1"/>
    <col min="4" max="4" width="10.5703125" customWidth="1"/>
    <col min="5" max="5" width="2.85546875" customWidth="1"/>
    <col min="6" max="6" width="10.7109375" customWidth="1"/>
    <col min="7" max="7" width="10.5703125" customWidth="1"/>
    <col min="8" max="8" width="2.85546875" customWidth="1"/>
    <col min="9" max="9" width="10.7109375" customWidth="1"/>
    <col min="10" max="10" width="10.5703125" customWidth="1"/>
    <col min="11" max="11" width="2.85546875" customWidth="1"/>
    <col min="12" max="12" width="10.7109375" customWidth="1"/>
    <col min="13" max="13" width="10.5703125" customWidth="1"/>
    <col min="14" max="14" width="2.85546875" customWidth="1"/>
    <col min="15" max="15" width="10.7109375" customWidth="1"/>
    <col min="16" max="16" width="10.5703125" customWidth="1"/>
    <col min="17" max="17" width="2.85546875" customWidth="1"/>
    <col min="18" max="18" width="10.7109375" customWidth="1"/>
    <col min="19" max="19" width="10.5703125" customWidth="1"/>
    <col min="20" max="20" width="2.5703125" customWidth="1"/>
    <col min="21" max="21" width="11.28515625" customWidth="1"/>
    <col min="22" max="22" width="10.42578125" customWidth="1"/>
    <col min="23" max="23" width="4.28515625" customWidth="1"/>
  </cols>
  <sheetData>
    <row r="1" spans="2:22" ht="15.75" customHeight="1" x14ac:dyDescent="0.25"/>
    <row r="2" spans="2:22" ht="15" customHeight="1" x14ac:dyDescent="0.25">
      <c r="C2" s="799" t="s">
        <v>839</v>
      </c>
      <c r="D2" s="799"/>
      <c r="F2" s="799" t="s">
        <v>840</v>
      </c>
      <c r="G2" s="799"/>
      <c r="I2" s="799" t="s">
        <v>841</v>
      </c>
      <c r="J2" s="799"/>
      <c r="L2" s="799" t="s">
        <v>842</v>
      </c>
      <c r="M2" s="799"/>
      <c r="O2" s="799" t="s">
        <v>843</v>
      </c>
      <c r="P2" s="799"/>
      <c r="R2" s="799" t="s">
        <v>844</v>
      </c>
      <c r="S2" s="799"/>
      <c r="U2" s="799" t="s">
        <v>845</v>
      </c>
      <c r="V2" s="799"/>
    </row>
    <row r="3" spans="2:22" ht="15.75" customHeight="1" x14ac:dyDescent="0.25">
      <c r="C3" s="729"/>
      <c r="D3" s="730"/>
      <c r="F3" s="729"/>
      <c r="G3" s="730"/>
      <c r="I3" s="729"/>
      <c r="J3" s="730"/>
      <c r="L3" s="729"/>
      <c r="M3" s="730"/>
      <c r="O3" s="729"/>
      <c r="P3" s="730"/>
      <c r="R3" s="729"/>
      <c r="S3" s="730"/>
      <c r="U3" s="729"/>
      <c r="V3" s="730"/>
    </row>
    <row r="4" spans="2:22" ht="15" customHeight="1" x14ac:dyDescent="0.25">
      <c r="B4" s="800" t="s">
        <v>846</v>
      </c>
      <c r="C4" s="731" t="s">
        <v>89</v>
      </c>
      <c r="D4" s="732">
        <v>14480</v>
      </c>
      <c r="E4" s="733"/>
      <c r="F4" s="731" t="s">
        <v>89</v>
      </c>
      <c r="G4" s="732">
        <v>14300</v>
      </c>
      <c r="H4" s="733"/>
      <c r="I4" s="731" t="s">
        <v>89</v>
      </c>
      <c r="J4" s="732">
        <v>12800</v>
      </c>
      <c r="K4" s="733"/>
      <c r="L4" s="731" t="s">
        <v>89</v>
      </c>
      <c r="M4" s="732">
        <v>14320</v>
      </c>
      <c r="N4" s="733"/>
      <c r="O4" s="731" t="s">
        <v>89</v>
      </c>
      <c r="P4" s="732">
        <v>16000</v>
      </c>
      <c r="Q4" s="733"/>
      <c r="R4" s="731" t="s">
        <v>89</v>
      </c>
      <c r="S4" s="732">
        <v>11000</v>
      </c>
      <c r="U4" s="731" t="s">
        <v>89</v>
      </c>
      <c r="V4" s="732">
        <v>13733.33</v>
      </c>
    </row>
    <row r="5" spans="2:22" ht="3.75" customHeight="1" x14ac:dyDescent="0.25">
      <c r="B5" s="800"/>
      <c r="C5" s="734"/>
      <c r="D5" s="735"/>
      <c r="F5" s="734"/>
      <c r="G5" s="735"/>
      <c r="I5" s="734"/>
      <c r="J5" s="735"/>
      <c r="L5" s="734"/>
      <c r="M5" s="735"/>
      <c r="O5" s="734"/>
      <c r="P5" s="735"/>
      <c r="R5" s="734"/>
      <c r="S5" s="735"/>
      <c r="U5" s="734"/>
      <c r="V5" s="735"/>
    </row>
    <row r="6" spans="2:22" ht="15.75" customHeight="1" x14ac:dyDescent="0.25">
      <c r="B6" s="800"/>
      <c r="C6" s="736"/>
      <c r="D6" s="737">
        <f>D4</f>
        <v>14480</v>
      </c>
      <c r="E6" s="738"/>
      <c r="F6" s="736"/>
      <c r="G6" s="737">
        <f>G4</f>
        <v>14300</v>
      </c>
      <c r="H6" s="738"/>
      <c r="I6" s="736"/>
      <c r="J6" s="737">
        <f>J4</f>
        <v>12800</v>
      </c>
      <c r="K6" s="738"/>
      <c r="L6" s="736"/>
      <c r="M6" s="737">
        <f>M4</f>
        <v>14320</v>
      </c>
      <c r="N6" s="738"/>
      <c r="O6" s="736"/>
      <c r="P6" s="737">
        <f>P4</f>
        <v>16000</v>
      </c>
      <c r="Q6" s="738"/>
      <c r="R6" s="736"/>
      <c r="S6" s="737">
        <f>S4</f>
        <v>11000</v>
      </c>
      <c r="U6" s="736"/>
      <c r="V6" s="737">
        <f>V4</f>
        <v>13733.33</v>
      </c>
    </row>
    <row r="7" spans="2:22" ht="9" customHeight="1" x14ac:dyDescent="0.25">
      <c r="C7" s="739"/>
      <c r="D7" s="740"/>
      <c r="F7" s="739"/>
      <c r="G7" s="740"/>
      <c r="I7" s="739"/>
      <c r="J7" s="740"/>
      <c r="L7" s="739"/>
      <c r="M7" s="740"/>
      <c r="O7" s="739"/>
      <c r="P7" s="740"/>
      <c r="R7" s="739"/>
      <c r="S7" s="740"/>
      <c r="U7" s="739"/>
      <c r="V7" s="740"/>
    </row>
    <row r="8" spans="2:22" s="738" customFormat="1" ht="15" customHeight="1" x14ac:dyDescent="0.25">
      <c r="B8" s="800" t="s">
        <v>847</v>
      </c>
      <c r="C8" s="741" t="s">
        <v>847</v>
      </c>
      <c r="D8" s="732">
        <v>0</v>
      </c>
      <c r="F8" s="741" t="s">
        <v>847</v>
      </c>
      <c r="G8" s="732">
        <v>20</v>
      </c>
      <c r="I8" s="741" t="s">
        <v>847</v>
      </c>
      <c r="J8" s="732">
        <v>0</v>
      </c>
      <c r="L8" s="741" t="s">
        <v>847</v>
      </c>
      <c r="M8" s="732">
        <v>0</v>
      </c>
      <c r="O8" s="741" t="s">
        <v>847</v>
      </c>
      <c r="P8" s="732">
        <v>662.03</v>
      </c>
      <c r="R8" s="741" t="s">
        <v>847</v>
      </c>
      <c r="S8" s="732">
        <v>905.85</v>
      </c>
      <c r="U8" s="741" t="s">
        <v>847</v>
      </c>
      <c r="V8" s="732">
        <v>0</v>
      </c>
    </row>
    <row r="9" spans="2:22" ht="15" customHeight="1" x14ac:dyDescent="0.25">
      <c r="B9" s="800"/>
      <c r="C9" s="734" t="s">
        <v>39</v>
      </c>
      <c r="D9" s="735">
        <v>0</v>
      </c>
      <c r="F9" s="734" t="s">
        <v>39</v>
      </c>
      <c r="G9" s="735">
        <v>0</v>
      </c>
      <c r="I9" s="734" t="s">
        <v>39</v>
      </c>
      <c r="J9" s="735">
        <v>0</v>
      </c>
      <c r="L9" s="734" t="s">
        <v>39</v>
      </c>
      <c r="M9" s="735">
        <v>0</v>
      </c>
      <c r="O9" s="734" t="s">
        <v>39</v>
      </c>
      <c r="P9" s="735">
        <v>0</v>
      </c>
      <c r="R9" s="734" t="s">
        <v>39</v>
      </c>
      <c r="S9" s="735">
        <v>0</v>
      </c>
      <c r="U9" s="734" t="s">
        <v>39</v>
      </c>
      <c r="V9" s="735">
        <v>0</v>
      </c>
    </row>
    <row r="10" spans="2:22" ht="15" customHeight="1" x14ac:dyDescent="0.25">
      <c r="B10" s="800"/>
      <c r="C10" s="734" t="s">
        <v>848</v>
      </c>
      <c r="D10" s="735">
        <f>861.27+13.2</f>
        <v>874.47</v>
      </c>
      <c r="F10" s="734" t="s">
        <v>848</v>
      </c>
      <c r="G10" s="735">
        <f>1156.59+13.2</f>
        <v>1169.79</v>
      </c>
      <c r="I10" s="734" t="s">
        <v>848</v>
      </c>
      <c r="J10" s="735">
        <f>1037.09+13.2</f>
        <v>1050.29</v>
      </c>
      <c r="L10" s="734" t="s">
        <v>848</v>
      </c>
      <c r="M10" s="735">
        <f>1188.32+54.76</f>
        <v>1243.08</v>
      </c>
      <c r="O10" s="734" t="s">
        <v>848</v>
      </c>
      <c r="P10" s="735">
        <f>1255.55+54.76</f>
        <v>1310.31</v>
      </c>
      <c r="R10" s="734" t="s">
        <v>848</v>
      </c>
      <c r="S10" s="735">
        <f>851.09+54.76</f>
        <v>905.85</v>
      </c>
      <c r="U10" s="734" t="s">
        <v>848</v>
      </c>
      <c r="V10" s="735">
        <v>1179.1500000000001</v>
      </c>
    </row>
    <row r="11" spans="2:22" ht="5.25" customHeight="1" x14ac:dyDescent="0.25">
      <c r="B11" s="800"/>
      <c r="C11" s="739"/>
      <c r="D11" s="740"/>
      <c r="F11" s="739"/>
      <c r="G11" s="740"/>
      <c r="I11" s="739"/>
      <c r="J11" s="740"/>
      <c r="L11" s="739"/>
      <c r="M11" s="740"/>
      <c r="O11" s="739"/>
      <c r="P11" s="740"/>
      <c r="R11" s="739"/>
      <c r="S11" s="740"/>
      <c r="U11" s="739"/>
      <c r="V11" s="740"/>
    </row>
    <row r="12" spans="2:22" ht="15.75" customHeight="1" x14ac:dyDescent="0.25">
      <c r="B12" s="800"/>
      <c r="C12" s="736"/>
      <c r="D12" s="737">
        <f>D10</f>
        <v>874.47</v>
      </c>
      <c r="E12" s="738"/>
      <c r="F12" s="736"/>
      <c r="G12" s="737">
        <f>G10</f>
        <v>1169.79</v>
      </c>
      <c r="H12" s="738"/>
      <c r="I12" s="736"/>
      <c r="J12" s="737">
        <f>J10</f>
        <v>1050.29</v>
      </c>
      <c r="K12" s="738"/>
      <c r="L12" s="736"/>
      <c r="M12" s="737">
        <f>M10</f>
        <v>1243.08</v>
      </c>
      <c r="N12" s="738"/>
      <c r="O12" s="736"/>
      <c r="P12" s="737">
        <f>P10</f>
        <v>1310.31</v>
      </c>
      <c r="Q12" s="738"/>
      <c r="R12" s="736"/>
      <c r="S12" s="737">
        <f>S10</f>
        <v>905.85</v>
      </c>
      <c r="U12" s="736"/>
      <c r="V12" s="737">
        <f>V10</f>
        <v>1179.1500000000001</v>
      </c>
    </row>
    <row r="13" spans="2:22" ht="15" customHeight="1" x14ac:dyDescent="0.25">
      <c r="B13" s="798" t="s">
        <v>849</v>
      </c>
      <c r="C13" s="739"/>
      <c r="D13" s="740"/>
      <c r="F13" s="739"/>
      <c r="G13" s="740"/>
      <c r="I13" s="739"/>
      <c r="J13" s="740"/>
      <c r="L13" s="739"/>
      <c r="M13" s="740"/>
      <c r="O13" s="739"/>
      <c r="P13" s="740"/>
      <c r="R13" s="739"/>
      <c r="S13" s="740"/>
      <c r="U13" s="739"/>
      <c r="V13" s="740"/>
    </row>
    <row r="14" spans="2:22" ht="15" customHeight="1" x14ac:dyDescent="0.25">
      <c r="B14" s="798"/>
      <c r="C14" s="734" t="s">
        <v>850</v>
      </c>
      <c r="D14" s="735">
        <f>D6</f>
        <v>14480</v>
      </c>
      <c r="F14" s="734" t="s">
        <v>850</v>
      </c>
      <c r="G14" s="735">
        <f>G6</f>
        <v>14300</v>
      </c>
      <c r="I14" s="734" t="s">
        <v>850</v>
      </c>
      <c r="J14" s="735">
        <f>J6</f>
        <v>12800</v>
      </c>
      <c r="L14" s="734" t="s">
        <v>850</v>
      </c>
      <c r="M14" s="735">
        <f>M6</f>
        <v>14320</v>
      </c>
      <c r="O14" s="734" t="s">
        <v>850</v>
      </c>
      <c r="P14" s="735">
        <f>P6</f>
        <v>16000</v>
      </c>
      <c r="R14" s="734" t="s">
        <v>850</v>
      </c>
      <c r="S14" s="735">
        <f>S6</f>
        <v>11000</v>
      </c>
      <c r="U14" s="734" t="s">
        <v>850</v>
      </c>
      <c r="V14" s="735">
        <v>13733.33</v>
      </c>
    </row>
    <row r="15" spans="2:22" ht="15" customHeight="1" x14ac:dyDescent="0.25">
      <c r="B15" s="798"/>
      <c r="C15" s="734" t="s">
        <v>851</v>
      </c>
      <c r="D15" s="735">
        <v>13226.01</v>
      </c>
      <c r="F15" s="734" t="s">
        <v>851</v>
      </c>
      <c r="G15" s="735">
        <f>G6-G12</f>
        <v>13130.21</v>
      </c>
      <c r="I15" s="734" t="s">
        <v>851</v>
      </c>
      <c r="J15" s="735">
        <f>J6-J12</f>
        <v>11749.71</v>
      </c>
      <c r="L15" s="734" t="s">
        <v>851</v>
      </c>
      <c r="M15" s="735">
        <f>M6-M12</f>
        <v>13076.92</v>
      </c>
      <c r="O15" s="734" t="s">
        <v>851</v>
      </c>
      <c r="P15" s="735">
        <f>P6-P12</f>
        <v>14689.69</v>
      </c>
      <c r="R15" s="734" t="s">
        <v>851</v>
      </c>
      <c r="S15" s="735">
        <f>S6-S12</f>
        <v>10094.15</v>
      </c>
      <c r="U15" s="734" t="s">
        <v>851</v>
      </c>
      <c r="V15" s="735">
        <f>V6-V12</f>
        <v>12554.18</v>
      </c>
    </row>
    <row r="16" spans="2:22" ht="15" customHeight="1" x14ac:dyDescent="0.25">
      <c r="B16" s="798"/>
      <c r="C16" s="734"/>
      <c r="D16" s="740"/>
      <c r="F16" s="734"/>
      <c r="G16" s="740"/>
      <c r="I16" s="734"/>
      <c r="J16" s="740"/>
      <c r="L16" s="734"/>
      <c r="M16" s="740"/>
      <c r="O16" s="734"/>
      <c r="P16" s="740"/>
      <c r="R16" s="734"/>
      <c r="S16" s="740"/>
      <c r="U16" s="734"/>
      <c r="V16" s="740"/>
    </row>
    <row r="17" spans="2:22" ht="15" customHeight="1" x14ac:dyDescent="0.25">
      <c r="B17" s="798"/>
      <c r="C17" s="734" t="s">
        <v>36</v>
      </c>
      <c r="D17" s="735">
        <f>(D4-D9-600)*8%</f>
        <v>1110.4000000000001</v>
      </c>
      <c r="F17" s="734" t="s">
        <v>36</v>
      </c>
      <c r="G17" s="735">
        <f>(G4-G9-600)*8%</f>
        <v>1096</v>
      </c>
      <c r="I17" s="734" t="s">
        <v>36</v>
      </c>
      <c r="J17" s="735">
        <f>(J4-J9-600)*8%</f>
        <v>976</v>
      </c>
      <c r="L17" s="734" t="s">
        <v>36</v>
      </c>
      <c r="M17" s="735">
        <f>(M4-M9-600)*8%</f>
        <v>1097.6000000000001</v>
      </c>
      <c r="O17" s="734" t="s">
        <v>36</v>
      </c>
      <c r="P17" s="735">
        <f>(P4-P9-600)*8%</f>
        <v>1232</v>
      </c>
      <c r="R17" s="734" t="s">
        <v>36</v>
      </c>
      <c r="S17" s="735">
        <f>(S4-S9-600)*8%</f>
        <v>832</v>
      </c>
      <c r="U17" s="734" t="s">
        <v>36</v>
      </c>
      <c r="V17" s="735">
        <f>(V4-V9-600)*8%</f>
        <v>1050.6664000000001</v>
      </c>
    </row>
    <row r="18" spans="2:22" ht="15" customHeight="1" x14ac:dyDescent="0.25">
      <c r="B18" s="798"/>
      <c r="C18" s="734" t="s">
        <v>168</v>
      </c>
      <c r="D18" s="735">
        <f>(D4-D9-600)*20%</f>
        <v>2776</v>
      </c>
      <c r="F18" s="734" t="s">
        <v>168</v>
      </c>
      <c r="G18" s="735">
        <f>(G4-G9-600)*20%</f>
        <v>2740</v>
      </c>
      <c r="I18" s="734" t="s">
        <v>168</v>
      </c>
      <c r="J18" s="735">
        <f>(J4-J9-600)*20%</f>
        <v>2440</v>
      </c>
      <c r="L18" s="734" t="s">
        <v>168</v>
      </c>
      <c r="M18" s="735">
        <f>(M4-M9-600)*20%</f>
        <v>2744</v>
      </c>
      <c r="O18" s="734" t="s">
        <v>168</v>
      </c>
      <c r="P18" s="735">
        <f>(P4-P9-600)*20%</f>
        <v>3080</v>
      </c>
      <c r="R18" s="734" t="s">
        <v>168</v>
      </c>
      <c r="S18" s="735">
        <f>(S4-S9-600)*20%</f>
        <v>2080</v>
      </c>
      <c r="U18" s="734" t="s">
        <v>168</v>
      </c>
      <c r="V18" s="735">
        <f>(V4-V9-600)*20%</f>
        <v>2626.6660000000002</v>
      </c>
    </row>
    <row r="19" spans="2:22" ht="15" customHeight="1" x14ac:dyDescent="0.25">
      <c r="B19" s="798"/>
      <c r="C19" s="734" t="s">
        <v>200</v>
      </c>
      <c r="D19" s="735">
        <f>(D4-D9-600)*1.5%</f>
        <v>208.2</v>
      </c>
      <c r="F19" s="734" t="s">
        <v>200</v>
      </c>
      <c r="G19" s="735">
        <f>(G4-G9-600)*1.5%</f>
        <v>205.5</v>
      </c>
      <c r="I19" s="734" t="s">
        <v>200</v>
      </c>
      <c r="J19" s="735">
        <f>(J4-J9-600)*1.5%</f>
        <v>183</v>
      </c>
      <c r="L19" s="734" t="s">
        <v>200</v>
      </c>
      <c r="M19" s="735">
        <f>(M4-M9-600)*1.5%</f>
        <v>205.79999999999998</v>
      </c>
      <c r="O19" s="734" t="s">
        <v>200</v>
      </c>
      <c r="P19" s="735">
        <f>(P4-P9-600)*1.5%</f>
        <v>231</v>
      </c>
      <c r="R19" s="734" t="s">
        <v>200</v>
      </c>
      <c r="S19" s="735">
        <f>(S4-S9-600)*1.5%</f>
        <v>156</v>
      </c>
      <c r="U19" s="734" t="s">
        <v>200</v>
      </c>
      <c r="V19" s="735">
        <f>(V4-V9-600)*1.5%</f>
        <v>196.99994999999998</v>
      </c>
    </row>
    <row r="20" spans="2:22" ht="15.75" customHeight="1" x14ac:dyDescent="0.25">
      <c r="B20" s="798"/>
      <c r="C20" s="742" t="s">
        <v>201</v>
      </c>
      <c r="D20" s="743">
        <f>(D4-D9-600)*5.8%</f>
        <v>805.04</v>
      </c>
      <c r="F20" s="742" t="s">
        <v>201</v>
      </c>
      <c r="G20" s="743">
        <f>(G4-G9-600)*5.8%</f>
        <v>794.59999999999991</v>
      </c>
      <c r="I20" s="742" t="s">
        <v>201</v>
      </c>
      <c r="J20" s="743">
        <f>(J4-J9-600)*5.8%</f>
        <v>707.59999999999991</v>
      </c>
      <c r="L20" s="742" t="s">
        <v>201</v>
      </c>
      <c r="M20" s="743">
        <f>(M4-M9-600)*5.8%</f>
        <v>795.76</v>
      </c>
      <c r="O20" s="742" t="s">
        <v>201</v>
      </c>
      <c r="P20" s="743">
        <f>(P4-P9-600)*5.8%</f>
        <v>893.19999999999993</v>
      </c>
      <c r="R20" s="742" t="s">
        <v>201</v>
      </c>
      <c r="S20" s="743">
        <f>(S4-S9-600)*5.8%</f>
        <v>603.19999999999993</v>
      </c>
      <c r="U20" s="742" t="s">
        <v>201</v>
      </c>
      <c r="V20" s="743">
        <f>(V4-V9-600)*5.8%</f>
        <v>761.73313999999993</v>
      </c>
    </row>
    <row r="21" spans="2:22" ht="2.25" customHeight="1" x14ac:dyDescent="0.25">
      <c r="C21" s="744"/>
      <c r="D21" s="744"/>
      <c r="F21" s="744"/>
      <c r="G21" s="744"/>
      <c r="I21" s="744"/>
      <c r="J21" s="744"/>
      <c r="L21" s="744"/>
      <c r="M21" s="744"/>
      <c r="O21" s="744"/>
      <c r="P21" s="744"/>
      <c r="R21" s="744"/>
      <c r="S21" s="744"/>
      <c r="U21" s="744"/>
      <c r="V21" s="744"/>
    </row>
    <row r="22" spans="2:22" ht="15" customHeight="1" x14ac:dyDescent="0.25">
      <c r="B22" s="798" t="s">
        <v>852</v>
      </c>
      <c r="C22" s="745" t="s">
        <v>853</v>
      </c>
      <c r="D22" s="732">
        <v>3000</v>
      </c>
      <c r="F22" s="745" t="s">
        <v>853</v>
      </c>
      <c r="G22" s="732">
        <v>3000</v>
      </c>
      <c r="I22" s="745" t="s">
        <v>853</v>
      </c>
      <c r="J22" s="732">
        <v>3150</v>
      </c>
      <c r="L22" s="745" t="s">
        <v>853</v>
      </c>
      <c r="M22" s="732">
        <v>2725</v>
      </c>
      <c r="O22" s="745" t="s">
        <v>853</v>
      </c>
      <c r="P22" s="732">
        <v>3000</v>
      </c>
      <c r="R22" s="745" t="s">
        <v>853</v>
      </c>
      <c r="S22" s="732">
        <v>2000</v>
      </c>
      <c r="U22" s="745" t="s">
        <v>853</v>
      </c>
      <c r="V22" s="732">
        <v>2525</v>
      </c>
    </row>
    <row r="23" spans="2:22" ht="15" customHeight="1" x14ac:dyDescent="0.25">
      <c r="B23" s="798"/>
      <c r="C23" s="739" t="s">
        <v>198</v>
      </c>
      <c r="D23" s="735">
        <v>1134</v>
      </c>
      <c r="F23" s="739" t="s">
        <v>198</v>
      </c>
      <c r="G23" s="735">
        <v>1134</v>
      </c>
      <c r="I23" s="739" t="s">
        <v>198</v>
      </c>
      <c r="J23" s="735">
        <v>1234.8</v>
      </c>
      <c r="L23" s="739" t="s">
        <v>198</v>
      </c>
      <c r="M23" s="735">
        <v>1068.2</v>
      </c>
      <c r="O23" s="739" t="s">
        <v>198</v>
      </c>
      <c r="P23" s="735">
        <v>1176</v>
      </c>
      <c r="R23" s="739" t="s">
        <v>198</v>
      </c>
      <c r="S23" s="735">
        <v>784</v>
      </c>
      <c r="U23" s="739" t="s">
        <v>198</v>
      </c>
      <c r="V23" s="735">
        <v>989.8</v>
      </c>
    </row>
    <row r="24" spans="2:22" ht="15.75" customHeight="1" x14ac:dyDescent="0.25">
      <c r="B24" s="798"/>
      <c r="C24" s="736" t="s">
        <v>854</v>
      </c>
      <c r="D24" s="743">
        <v>526.91999999999996</v>
      </c>
      <c r="F24" s="736" t="s">
        <v>854</v>
      </c>
      <c r="G24" s="743">
        <v>526.91999999999996</v>
      </c>
      <c r="I24" s="736" t="s">
        <v>854</v>
      </c>
      <c r="J24" s="743">
        <v>526.91999999999996</v>
      </c>
      <c r="L24" s="736" t="s">
        <v>854</v>
      </c>
      <c r="M24" s="743">
        <f>154.13+154.13+372.79</f>
        <v>681.05</v>
      </c>
      <c r="O24" s="736" t="s">
        <v>854</v>
      </c>
      <c r="P24" s="743">
        <f>154.13+453.62</f>
        <v>607.75</v>
      </c>
      <c r="R24" s="736" t="s">
        <v>854</v>
      </c>
      <c r="S24" s="743" t="e">
        <f>'Fopag 01 26'!#REF!+'Fopag 01 26'!F9</f>
        <v>#REF!</v>
      </c>
      <c r="U24" s="736" t="s">
        <v>854</v>
      </c>
      <c r="V24" s="743" t="e">
        <f>'Fopag 01 26'!F9+'Fopag 01 26'!#REF!</f>
        <v>#REF!</v>
      </c>
    </row>
    <row r="25" spans="2:22" ht="2.25" customHeight="1" x14ac:dyDescent="0.25">
      <c r="C25" s="744"/>
      <c r="D25" s="744"/>
      <c r="F25" s="744"/>
      <c r="G25" s="744"/>
      <c r="I25" s="744"/>
      <c r="J25" s="744"/>
      <c r="L25" s="744"/>
      <c r="M25" s="744"/>
      <c r="O25" s="744"/>
      <c r="P25" s="744"/>
      <c r="R25" s="744"/>
      <c r="S25" s="744"/>
      <c r="U25" s="744"/>
      <c r="V25" s="744"/>
    </row>
    <row r="26" spans="2:22" ht="15" customHeight="1" x14ac:dyDescent="0.25">
      <c r="B26" s="798" t="s">
        <v>90</v>
      </c>
      <c r="C26" s="745" t="s">
        <v>855</v>
      </c>
      <c r="D26" s="732">
        <v>18000</v>
      </c>
      <c r="F26" s="745" t="s">
        <v>855</v>
      </c>
      <c r="G26" s="732">
        <v>18000</v>
      </c>
      <c r="I26" s="745" t="s">
        <v>855</v>
      </c>
      <c r="J26" s="732">
        <v>18000</v>
      </c>
      <c r="L26" s="745" t="s">
        <v>855</v>
      </c>
      <c r="M26" s="732">
        <v>18000</v>
      </c>
      <c r="O26" s="745" t="s">
        <v>855</v>
      </c>
      <c r="P26" s="732">
        <v>18000</v>
      </c>
      <c r="R26" s="745" t="s">
        <v>855</v>
      </c>
      <c r="S26" s="732">
        <v>18000</v>
      </c>
      <c r="U26" s="745" t="s">
        <v>855</v>
      </c>
      <c r="V26" s="732">
        <v>18000</v>
      </c>
    </row>
    <row r="27" spans="2:22" ht="15" customHeight="1" x14ac:dyDescent="0.25">
      <c r="B27" s="798"/>
      <c r="C27" s="739" t="s">
        <v>856</v>
      </c>
      <c r="D27" s="735">
        <v>12500</v>
      </c>
      <c r="F27" s="739" t="s">
        <v>856</v>
      </c>
      <c r="G27" s="735">
        <v>12500</v>
      </c>
      <c r="I27" s="739" t="s">
        <v>856</v>
      </c>
      <c r="J27" s="735">
        <v>12500</v>
      </c>
      <c r="L27" s="739" t="s">
        <v>856</v>
      </c>
      <c r="M27" s="735">
        <v>12500</v>
      </c>
      <c r="O27" s="739" t="s">
        <v>856</v>
      </c>
      <c r="P27" s="735">
        <v>12500</v>
      </c>
      <c r="R27" s="739" t="s">
        <v>856</v>
      </c>
      <c r="S27" s="735">
        <v>12500</v>
      </c>
      <c r="U27" s="739" t="s">
        <v>856</v>
      </c>
      <c r="V27" s="735">
        <v>12500</v>
      </c>
    </row>
    <row r="28" spans="2:22" ht="15.75" customHeight="1" x14ac:dyDescent="0.25">
      <c r="B28" s="798"/>
      <c r="C28" s="736" t="s">
        <v>198</v>
      </c>
      <c r="D28" s="743">
        <v>4000</v>
      </c>
      <c r="F28" s="736" t="s">
        <v>198</v>
      </c>
      <c r="G28" s="743">
        <v>4000</v>
      </c>
      <c r="I28" s="736" t="s">
        <v>198</v>
      </c>
      <c r="J28" s="743">
        <v>4000</v>
      </c>
      <c r="L28" s="736" t="s">
        <v>198</v>
      </c>
      <c r="M28" s="743">
        <v>4000</v>
      </c>
      <c r="O28" s="736" t="s">
        <v>198</v>
      </c>
      <c r="P28" s="743">
        <v>4000</v>
      </c>
      <c r="R28" s="736" t="s">
        <v>198</v>
      </c>
      <c r="S28" s="743">
        <v>4000</v>
      </c>
      <c r="U28" s="736" t="s">
        <v>198</v>
      </c>
      <c r="V28" s="743">
        <v>4000</v>
      </c>
    </row>
  </sheetData>
  <mergeCells count="12">
    <mergeCell ref="B22:B24"/>
    <mergeCell ref="B26:B28"/>
    <mergeCell ref="R2:S2"/>
    <mergeCell ref="U2:V2"/>
    <mergeCell ref="B4:B6"/>
    <mergeCell ref="B8:B12"/>
    <mergeCell ref="B13:B20"/>
    <mergeCell ref="C2:D2"/>
    <mergeCell ref="F2:G2"/>
    <mergeCell ref="I2:J2"/>
    <mergeCell ref="L2:M2"/>
    <mergeCell ref="O2:P2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  <legacy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B2:W16"/>
  <sheetViews>
    <sheetView showGridLines="0" zoomScale="90" zoomScaleNormal="90" workbookViewId="0">
      <selection activeCell="B36" sqref="B36"/>
    </sheetView>
  </sheetViews>
  <sheetFormatPr defaultColWidth="8.5703125" defaultRowHeight="15" x14ac:dyDescent="0.25"/>
  <cols>
    <col min="2" max="2" width="20.7109375" customWidth="1"/>
    <col min="3" max="3" width="11.5703125" customWidth="1"/>
    <col min="4" max="4" width="11" customWidth="1"/>
    <col min="5" max="5" width="10" customWidth="1"/>
    <col min="6" max="10" width="9.5703125" customWidth="1"/>
    <col min="11" max="11" width="11.28515625" customWidth="1"/>
    <col min="12" max="12" width="9.85546875" customWidth="1"/>
    <col min="13" max="13" width="11.85546875" customWidth="1"/>
    <col min="14" max="14" width="11.7109375" customWidth="1"/>
    <col min="15" max="15" width="11.28515625" customWidth="1"/>
    <col min="16" max="16" width="6.7109375" customWidth="1"/>
    <col min="17" max="17" width="8.85546875" customWidth="1"/>
    <col min="18" max="18" width="13.7109375" customWidth="1"/>
    <col min="19" max="19" width="11.28515625" customWidth="1"/>
    <col min="20" max="20" width="6.7109375" customWidth="1"/>
    <col min="23" max="23" width="12.7109375" customWidth="1"/>
  </cols>
  <sheetData>
    <row r="2" spans="2:23" ht="15" customHeight="1" x14ac:dyDescent="0.25">
      <c r="B2" s="746" t="s">
        <v>857</v>
      </c>
      <c r="C2" s="747" t="s">
        <v>70</v>
      </c>
      <c r="D2" s="747" t="s">
        <v>71</v>
      </c>
      <c r="E2" s="747" t="s">
        <v>72</v>
      </c>
      <c r="F2" s="747" t="s">
        <v>73</v>
      </c>
      <c r="G2" s="747" t="s">
        <v>74</v>
      </c>
      <c r="H2" s="747" t="s">
        <v>75</v>
      </c>
      <c r="I2" s="747" t="s">
        <v>76</v>
      </c>
      <c r="J2" s="747" t="s">
        <v>77</v>
      </c>
      <c r="K2" s="747" t="s">
        <v>78</v>
      </c>
      <c r="L2" s="747" t="s">
        <v>79</v>
      </c>
      <c r="M2" s="747" t="s">
        <v>80</v>
      </c>
      <c r="N2" s="747" t="s">
        <v>81</v>
      </c>
      <c r="O2" s="748" t="s">
        <v>13</v>
      </c>
      <c r="Q2" s="749" t="s">
        <v>82</v>
      </c>
      <c r="R2" s="749" t="s">
        <v>83</v>
      </c>
      <c r="S2" s="749" t="s">
        <v>84</v>
      </c>
      <c r="T2" s="749" t="s">
        <v>85</v>
      </c>
      <c r="U2" s="749" t="s">
        <v>86</v>
      </c>
      <c r="V2" s="750" t="s">
        <v>87</v>
      </c>
      <c r="W2" s="750" t="s">
        <v>88</v>
      </c>
    </row>
    <row r="3" spans="2:23" ht="15" customHeight="1" x14ac:dyDescent="0.25">
      <c r="B3" s="751" t="s">
        <v>89</v>
      </c>
      <c r="C3" s="752">
        <v>6101.2</v>
      </c>
      <c r="D3" s="752">
        <v>6601.2</v>
      </c>
      <c r="E3" s="752">
        <v>6601.2</v>
      </c>
      <c r="F3" s="752">
        <v>6601.2</v>
      </c>
      <c r="G3" s="752">
        <v>6601.2</v>
      </c>
      <c r="H3" s="752">
        <v>6601.2</v>
      </c>
      <c r="I3" s="752">
        <v>6601.2</v>
      </c>
      <c r="J3" s="752">
        <v>6601.2</v>
      </c>
      <c r="K3" s="752">
        <v>6601.2</v>
      </c>
      <c r="L3" s="752">
        <v>5281.2</v>
      </c>
      <c r="M3" s="752">
        <v>6601.2</v>
      </c>
      <c r="N3" s="752">
        <v>6601.2</v>
      </c>
      <c r="O3" s="753">
        <f t="shared" ref="O3:O10" si="0">SUM(C3:N3)</f>
        <v>77394.39999999998</v>
      </c>
      <c r="Q3" s="754">
        <v>44927</v>
      </c>
      <c r="R3" s="755">
        <v>1088130.29</v>
      </c>
      <c r="S3" s="756">
        <f>C11</f>
        <v>27345.548000000003</v>
      </c>
      <c r="T3" s="757">
        <f t="shared" ref="T3:T14" si="1">S3/R3</f>
        <v>2.5130766279835848E-2</v>
      </c>
      <c r="U3" s="757">
        <v>0.02</v>
      </c>
      <c r="V3" s="758">
        <v>5</v>
      </c>
      <c r="W3" s="759">
        <f t="shared" ref="W3:W14" si="2">R3/V3</f>
        <v>217626.05800000002</v>
      </c>
    </row>
    <row r="4" spans="2:23" ht="15" customHeight="1" x14ac:dyDescent="0.25">
      <c r="B4" s="751" t="s">
        <v>90</v>
      </c>
      <c r="C4" s="752">
        <v>1320</v>
      </c>
      <c r="D4" s="752">
        <v>1320</v>
      </c>
      <c r="E4" s="752">
        <v>1320</v>
      </c>
      <c r="F4" s="752">
        <v>1320</v>
      </c>
      <c r="G4" s="752">
        <v>1320</v>
      </c>
      <c r="H4" s="752">
        <v>1320</v>
      </c>
      <c r="I4" s="752">
        <v>1320</v>
      </c>
      <c r="J4" s="752">
        <v>1320</v>
      </c>
      <c r="K4" s="752">
        <v>1320</v>
      </c>
      <c r="L4" s="752">
        <v>1320</v>
      </c>
      <c r="M4" s="752">
        <v>1320</v>
      </c>
      <c r="N4" s="752">
        <v>1320</v>
      </c>
      <c r="O4" s="753">
        <f t="shared" si="0"/>
        <v>15840</v>
      </c>
      <c r="Q4" s="754">
        <v>44958</v>
      </c>
      <c r="R4" s="755">
        <v>1065585.1499999999</v>
      </c>
      <c r="S4" s="756">
        <f>D11</f>
        <v>30455.548000000003</v>
      </c>
      <c r="T4" s="757">
        <f t="shared" si="1"/>
        <v>2.8581055207085052E-2</v>
      </c>
      <c r="U4" s="757">
        <v>0.02</v>
      </c>
      <c r="V4" s="758">
        <v>5</v>
      </c>
      <c r="W4" s="759">
        <f t="shared" si="2"/>
        <v>213117.02999999997</v>
      </c>
    </row>
    <row r="5" spans="2:23" ht="15" customHeight="1" x14ac:dyDescent="0.25">
      <c r="B5" s="751" t="s">
        <v>858</v>
      </c>
      <c r="C5" s="752">
        <v>17180</v>
      </c>
      <c r="D5" s="752">
        <v>17180</v>
      </c>
      <c r="E5" s="752">
        <v>19180</v>
      </c>
      <c r="F5" s="752">
        <v>19180</v>
      </c>
      <c r="G5" s="752">
        <v>19180</v>
      </c>
      <c r="H5" s="752">
        <v>19180</v>
      </c>
      <c r="I5" s="752">
        <v>19180</v>
      </c>
      <c r="J5" s="752">
        <v>19180</v>
      </c>
      <c r="K5" s="752">
        <v>19180</v>
      </c>
      <c r="L5" s="752">
        <v>23680</v>
      </c>
      <c r="M5" s="752">
        <v>23680</v>
      </c>
      <c r="N5" s="752">
        <v>23680</v>
      </c>
      <c r="O5" s="753">
        <f t="shared" si="0"/>
        <v>239660</v>
      </c>
      <c r="Q5" s="754">
        <v>44986</v>
      </c>
      <c r="R5" s="755">
        <v>1115319.6599999999</v>
      </c>
      <c r="S5" s="756">
        <f>E11</f>
        <v>32671.548000000003</v>
      </c>
      <c r="T5" s="757">
        <f t="shared" si="1"/>
        <v>2.9293438618306078E-2</v>
      </c>
      <c r="U5" s="757">
        <v>0.02</v>
      </c>
      <c r="V5" s="758">
        <v>5</v>
      </c>
      <c r="W5" s="759">
        <f t="shared" si="2"/>
        <v>223063.93199999997</v>
      </c>
    </row>
    <row r="6" spans="2:23" ht="15" customHeight="1" x14ac:dyDescent="0.25">
      <c r="B6" s="751" t="s">
        <v>36</v>
      </c>
      <c r="C6" s="752">
        <v>488.096</v>
      </c>
      <c r="D6" s="752">
        <v>528.096</v>
      </c>
      <c r="E6" s="752">
        <v>528.096</v>
      </c>
      <c r="F6" s="752">
        <v>528.1</v>
      </c>
      <c r="G6" s="752">
        <v>528.096</v>
      </c>
      <c r="H6" s="752">
        <v>528.096</v>
      </c>
      <c r="I6" s="752">
        <v>528.1</v>
      </c>
      <c r="J6" s="752">
        <v>528.1</v>
      </c>
      <c r="K6" s="752">
        <v>528.096</v>
      </c>
      <c r="L6" s="752">
        <v>528.1</v>
      </c>
      <c r="M6" s="752">
        <v>528.1</v>
      </c>
      <c r="N6" s="752">
        <v>528.096</v>
      </c>
      <c r="O6" s="753">
        <f t="shared" si="0"/>
        <v>6297.1720000000005</v>
      </c>
      <c r="Q6" s="754">
        <v>45017</v>
      </c>
      <c r="R6" s="755">
        <v>1088514.17</v>
      </c>
      <c r="S6" s="756">
        <f>F11</f>
        <v>32494.55</v>
      </c>
      <c r="T6" s="757">
        <f t="shared" si="1"/>
        <v>2.985220670117689E-2</v>
      </c>
      <c r="U6" s="757">
        <v>0.02</v>
      </c>
      <c r="V6" s="758">
        <v>5</v>
      </c>
      <c r="W6" s="759">
        <f t="shared" si="2"/>
        <v>217702.83399999997</v>
      </c>
    </row>
    <row r="7" spans="2:23" ht="15" customHeight="1" x14ac:dyDescent="0.25">
      <c r="B7" s="751" t="s">
        <v>859</v>
      </c>
      <c r="C7" s="752">
        <v>549.10799999999995</v>
      </c>
      <c r="D7" s="752">
        <v>594.10799999999995</v>
      </c>
      <c r="E7" s="752">
        <v>594.10799999999995</v>
      </c>
      <c r="F7" s="752">
        <v>594.11</v>
      </c>
      <c r="G7" s="752">
        <v>594.10799999999995</v>
      </c>
      <c r="H7" s="752">
        <v>594.10799999999995</v>
      </c>
      <c r="I7" s="752">
        <v>594.11</v>
      </c>
      <c r="J7" s="752">
        <v>594.11</v>
      </c>
      <c r="K7" s="752">
        <v>594.10799999999995</v>
      </c>
      <c r="L7" s="752">
        <v>594.11</v>
      </c>
      <c r="M7" s="752">
        <v>594.11</v>
      </c>
      <c r="N7" s="752">
        <v>594.10799999999995</v>
      </c>
      <c r="O7" s="753">
        <f t="shared" si="0"/>
        <v>7084.3059999999987</v>
      </c>
      <c r="Q7" s="754">
        <v>45047</v>
      </c>
      <c r="R7" s="755">
        <v>1417955.1</v>
      </c>
      <c r="S7" s="756">
        <f>G11</f>
        <v>32842.548000000003</v>
      </c>
      <c r="T7" s="757">
        <f t="shared" si="1"/>
        <v>2.3161909710681248E-2</v>
      </c>
      <c r="U7" s="757">
        <v>0.02</v>
      </c>
      <c r="V7" s="758">
        <v>5</v>
      </c>
      <c r="W7" s="759">
        <f t="shared" si="2"/>
        <v>283591.02</v>
      </c>
    </row>
    <row r="8" spans="2:23" ht="15" customHeight="1" x14ac:dyDescent="0.25">
      <c r="B8" s="751" t="s">
        <v>860</v>
      </c>
      <c r="C8" s="752">
        <v>732.14400000000001</v>
      </c>
      <c r="D8" s="752">
        <v>792.14400000000001</v>
      </c>
      <c r="E8" s="752">
        <v>792.14400000000001</v>
      </c>
      <c r="F8" s="752">
        <v>792.14</v>
      </c>
      <c r="G8" s="752">
        <v>792.14400000000001</v>
      </c>
      <c r="H8" s="752">
        <v>792.14400000000001</v>
      </c>
      <c r="I8" s="752">
        <v>792.14</v>
      </c>
      <c r="J8" s="752">
        <v>792.14</v>
      </c>
      <c r="K8" s="752">
        <v>792.14400000000001</v>
      </c>
      <c r="L8" s="752">
        <v>792.14</v>
      </c>
      <c r="M8" s="752">
        <v>792.14</v>
      </c>
      <c r="N8" s="752">
        <v>792.14400000000001</v>
      </c>
      <c r="O8" s="753">
        <f t="shared" si="0"/>
        <v>9445.7080000000005</v>
      </c>
      <c r="Q8" s="754">
        <v>45078</v>
      </c>
      <c r="R8" s="755">
        <v>1313340.04</v>
      </c>
      <c r="S8" s="756">
        <f>H11</f>
        <v>32668.548000000003</v>
      </c>
      <c r="T8" s="757">
        <f t="shared" si="1"/>
        <v>2.4874401910414613E-2</v>
      </c>
      <c r="U8" s="757">
        <v>0.02</v>
      </c>
      <c r="V8" s="758">
        <v>5</v>
      </c>
      <c r="W8" s="759">
        <f t="shared" si="2"/>
        <v>262668.00800000003</v>
      </c>
    </row>
    <row r="9" spans="2:23" ht="15" customHeight="1" x14ac:dyDescent="0.25">
      <c r="B9" s="751" t="s">
        <v>861</v>
      </c>
      <c r="C9" s="752">
        <v>0</v>
      </c>
      <c r="D9" s="752">
        <v>2000</v>
      </c>
      <c r="E9" s="752">
        <v>2000</v>
      </c>
      <c r="F9" s="752">
        <v>2000</v>
      </c>
      <c r="G9" s="752">
        <v>2000</v>
      </c>
      <c r="H9" s="752">
        <v>2000</v>
      </c>
      <c r="I9" s="752">
        <v>2000</v>
      </c>
      <c r="J9" s="752">
        <v>2000</v>
      </c>
      <c r="K9" s="752">
        <v>2000</v>
      </c>
      <c r="L9" s="752">
        <v>2000</v>
      </c>
      <c r="M9" s="752">
        <v>2000</v>
      </c>
      <c r="N9" s="752">
        <v>2000</v>
      </c>
      <c r="O9" s="753">
        <f t="shared" si="0"/>
        <v>22000</v>
      </c>
      <c r="Q9" s="754">
        <v>45108</v>
      </c>
      <c r="R9" s="755">
        <v>1250722.8400000001</v>
      </c>
      <c r="S9" s="756">
        <f>I11</f>
        <v>32697.55</v>
      </c>
      <c r="T9" s="757">
        <f t="shared" si="1"/>
        <v>2.6142922280047269E-2</v>
      </c>
      <c r="U9" s="757">
        <v>0.02</v>
      </c>
      <c r="V9" s="758">
        <v>5</v>
      </c>
      <c r="W9" s="759">
        <f t="shared" si="2"/>
        <v>250144.56800000003</v>
      </c>
    </row>
    <row r="10" spans="2:23" ht="15" customHeight="1" x14ac:dyDescent="0.25">
      <c r="B10" s="751" t="s">
        <v>852</v>
      </c>
      <c r="C10" s="752">
        <v>975</v>
      </c>
      <c r="D10" s="752">
        <v>1440</v>
      </c>
      <c r="E10" s="752">
        <v>1656</v>
      </c>
      <c r="F10" s="752">
        <v>1479</v>
      </c>
      <c r="G10" s="752">
        <v>1827</v>
      </c>
      <c r="H10" s="752">
        <v>1653</v>
      </c>
      <c r="I10" s="752">
        <v>1682</v>
      </c>
      <c r="J10" s="752">
        <v>2006</v>
      </c>
      <c r="K10" s="752">
        <v>2040</v>
      </c>
      <c r="L10" s="752">
        <v>1972</v>
      </c>
      <c r="M10" s="752">
        <v>2040</v>
      </c>
      <c r="N10" s="752">
        <v>2040</v>
      </c>
      <c r="O10" s="753">
        <f t="shared" si="0"/>
        <v>20810</v>
      </c>
      <c r="Q10" s="754">
        <v>45139</v>
      </c>
      <c r="R10" s="755">
        <v>1366649.18</v>
      </c>
      <c r="S10" s="756">
        <f>J11</f>
        <v>33021.550000000003</v>
      </c>
      <c r="T10" s="757">
        <f t="shared" si="1"/>
        <v>2.4162418917194246E-2</v>
      </c>
      <c r="U10" s="757">
        <v>0.02</v>
      </c>
      <c r="V10" s="758">
        <v>5</v>
      </c>
      <c r="W10" s="759">
        <f t="shared" si="2"/>
        <v>273329.83600000001</v>
      </c>
    </row>
    <row r="11" spans="2:23" ht="15" customHeight="1" x14ac:dyDescent="0.25">
      <c r="B11" s="760" t="s">
        <v>13</v>
      </c>
      <c r="C11" s="761">
        <f t="shared" ref="C11:O11" si="3">SUM(C3:C10)</f>
        <v>27345.548000000003</v>
      </c>
      <c r="D11" s="761">
        <f t="shared" si="3"/>
        <v>30455.548000000003</v>
      </c>
      <c r="E11" s="761">
        <f t="shared" si="3"/>
        <v>32671.548000000003</v>
      </c>
      <c r="F11" s="761">
        <f t="shared" si="3"/>
        <v>32494.55</v>
      </c>
      <c r="G11" s="761">
        <f t="shared" si="3"/>
        <v>32842.548000000003</v>
      </c>
      <c r="H11" s="761">
        <f t="shared" si="3"/>
        <v>32668.548000000003</v>
      </c>
      <c r="I11" s="761">
        <f t="shared" si="3"/>
        <v>32697.55</v>
      </c>
      <c r="J11" s="761">
        <f t="shared" si="3"/>
        <v>33021.550000000003</v>
      </c>
      <c r="K11" s="761">
        <f t="shared" si="3"/>
        <v>33055.548000000003</v>
      </c>
      <c r="L11" s="761">
        <f t="shared" si="3"/>
        <v>36167.550000000003</v>
      </c>
      <c r="M11" s="761">
        <f t="shared" si="3"/>
        <v>37555.550000000003</v>
      </c>
      <c r="N11" s="761">
        <f t="shared" si="3"/>
        <v>37555.548000000003</v>
      </c>
      <c r="O11" s="761">
        <f t="shared" si="3"/>
        <v>398531.58599999995</v>
      </c>
      <c r="Q11" s="754">
        <v>45170</v>
      </c>
      <c r="R11" s="755">
        <v>1410939.43</v>
      </c>
      <c r="S11" s="756">
        <f>K11</f>
        <v>33055.548000000003</v>
      </c>
      <c r="T11" s="757">
        <f t="shared" si="1"/>
        <v>2.34280418401802E-2</v>
      </c>
      <c r="U11" s="757">
        <v>0.02</v>
      </c>
      <c r="V11" s="758">
        <v>5</v>
      </c>
      <c r="W11" s="759">
        <f t="shared" si="2"/>
        <v>282187.886</v>
      </c>
    </row>
    <row r="12" spans="2:23" ht="15" customHeight="1" x14ac:dyDescent="0.25">
      <c r="Q12" s="754">
        <v>45200</v>
      </c>
      <c r="R12" s="755">
        <v>1343538.97</v>
      </c>
      <c r="S12" s="756">
        <f>L11</f>
        <v>36167.550000000003</v>
      </c>
      <c r="T12" s="757">
        <f t="shared" si="1"/>
        <v>2.6919613652888686E-2</v>
      </c>
      <c r="U12" s="757">
        <v>0.02</v>
      </c>
      <c r="V12" s="758">
        <v>5</v>
      </c>
      <c r="W12" s="759">
        <f t="shared" si="2"/>
        <v>268707.79399999999</v>
      </c>
    </row>
    <row r="13" spans="2:23" ht="15" customHeight="1" x14ac:dyDescent="0.25">
      <c r="Q13" s="754">
        <v>45231</v>
      </c>
      <c r="R13" s="755">
        <v>1204757.78</v>
      </c>
      <c r="S13" s="756">
        <f>M11</f>
        <v>37555.550000000003</v>
      </c>
      <c r="T13" s="757">
        <f t="shared" si="1"/>
        <v>3.1172697635536335E-2</v>
      </c>
      <c r="U13" s="757">
        <v>0.02</v>
      </c>
      <c r="V13" s="758">
        <v>5</v>
      </c>
      <c r="W13" s="759">
        <f t="shared" si="2"/>
        <v>240951.55600000001</v>
      </c>
    </row>
    <row r="14" spans="2:23" ht="15" customHeight="1" x14ac:dyDescent="0.25">
      <c r="Q14" s="754">
        <v>45261</v>
      </c>
      <c r="R14" s="755">
        <v>1184285.18</v>
      </c>
      <c r="S14" s="756">
        <f>N11</f>
        <v>37555.548000000003</v>
      </c>
      <c r="T14" s="757">
        <f t="shared" si="1"/>
        <v>3.1711574740806943E-2</v>
      </c>
      <c r="U14" s="757">
        <v>0.02</v>
      </c>
      <c r="V14" s="758">
        <v>5</v>
      </c>
      <c r="W14" s="759">
        <f t="shared" si="2"/>
        <v>236857.03599999999</v>
      </c>
    </row>
    <row r="16" spans="2:23" ht="15" customHeight="1" x14ac:dyDescent="0.25">
      <c r="T16" s="762"/>
    </row>
  </sheetData>
  <conditionalFormatting sqref="Q3:W14">
    <cfRule type="expression" dxfId="5" priority="2">
      <formula>ODD(ROW()) = ROW()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B2:W27"/>
  <sheetViews>
    <sheetView showGridLines="0" zoomScale="90" zoomScaleNormal="90" workbookViewId="0">
      <selection activeCell="C3" sqref="C3"/>
    </sheetView>
  </sheetViews>
  <sheetFormatPr defaultColWidth="8.5703125" defaultRowHeight="15" x14ac:dyDescent="0.25"/>
  <cols>
    <col min="2" max="2" width="20.7109375" customWidth="1"/>
    <col min="3" max="3" width="11.5703125" customWidth="1"/>
    <col min="4" max="4" width="11" customWidth="1"/>
    <col min="5" max="5" width="10" customWidth="1"/>
    <col min="6" max="10" width="9.5703125" customWidth="1"/>
    <col min="11" max="11" width="11.28515625" customWidth="1"/>
    <col min="12" max="12" width="9.85546875" customWidth="1"/>
    <col min="13" max="13" width="11.85546875" customWidth="1"/>
    <col min="14" max="14" width="11.7109375" customWidth="1"/>
    <col min="15" max="15" width="11.28515625" customWidth="1"/>
    <col min="16" max="16" width="6.7109375" customWidth="1"/>
    <col min="17" max="17" width="8.85546875" customWidth="1"/>
    <col min="18" max="18" width="15" customWidth="1"/>
    <col min="19" max="19" width="11.28515625" customWidth="1"/>
    <col min="20" max="20" width="8.85546875" customWidth="1"/>
    <col min="23" max="23" width="12.7109375" customWidth="1"/>
  </cols>
  <sheetData>
    <row r="2" spans="2:23" ht="15" customHeight="1" x14ac:dyDescent="0.25">
      <c r="B2" s="746" t="s">
        <v>862</v>
      </c>
      <c r="C2" s="747" t="s">
        <v>70</v>
      </c>
      <c r="D2" s="747" t="s">
        <v>71</v>
      </c>
      <c r="E2" s="747" t="s">
        <v>72</v>
      </c>
      <c r="F2" s="747" t="s">
        <v>73</v>
      </c>
      <c r="G2" s="747" t="s">
        <v>74</v>
      </c>
      <c r="H2" s="747" t="s">
        <v>75</v>
      </c>
      <c r="I2" s="747" t="s">
        <v>76</v>
      </c>
      <c r="J2" s="747" t="s">
        <v>77</v>
      </c>
      <c r="K2" s="747" t="s">
        <v>78</v>
      </c>
      <c r="L2" s="747" t="s">
        <v>79</v>
      </c>
      <c r="M2" s="747" t="s">
        <v>80</v>
      </c>
      <c r="N2" s="747" t="s">
        <v>81</v>
      </c>
      <c r="O2" s="748" t="s">
        <v>13</v>
      </c>
      <c r="Q2" s="749" t="s">
        <v>82</v>
      </c>
      <c r="R2" s="749" t="s">
        <v>83</v>
      </c>
      <c r="S2" s="749" t="s">
        <v>84</v>
      </c>
      <c r="T2" s="749" t="s">
        <v>85</v>
      </c>
      <c r="U2" s="749" t="s">
        <v>86</v>
      </c>
      <c r="V2" s="750" t="s">
        <v>87</v>
      </c>
      <c r="W2" s="750" t="s">
        <v>88</v>
      </c>
    </row>
    <row r="3" spans="2:23" ht="15" customHeight="1" x14ac:dyDescent="0.25">
      <c r="B3" s="751" t="s">
        <v>89</v>
      </c>
      <c r="C3" s="752">
        <v>6601.2</v>
      </c>
      <c r="D3" s="752">
        <v>6601.2</v>
      </c>
      <c r="E3" s="752">
        <v>6601.2</v>
      </c>
      <c r="F3" s="752">
        <v>6601.2</v>
      </c>
      <c r="G3" s="752">
        <v>6053.53</v>
      </c>
      <c r="H3" s="752">
        <v>6525.64</v>
      </c>
      <c r="I3" s="752">
        <v>9101.2000000000007</v>
      </c>
      <c r="J3" s="752">
        <v>7600</v>
      </c>
      <c r="K3" s="752">
        <v>12400</v>
      </c>
      <c r="L3" s="752">
        <v>15400</v>
      </c>
      <c r="M3" s="752">
        <v>15400</v>
      </c>
      <c r="N3" s="752">
        <v>15400</v>
      </c>
      <c r="O3" s="753">
        <f t="shared" ref="O3:O10" si="0">SUM(C3:N3)</f>
        <v>114285.17</v>
      </c>
      <c r="Q3" s="754">
        <v>45292</v>
      </c>
      <c r="R3" s="763">
        <v>1268373.98</v>
      </c>
      <c r="S3" s="756">
        <f>C11</f>
        <v>37623.548000000003</v>
      </c>
      <c r="T3" s="757">
        <f t="shared" ref="T3:T14" si="1">S3/R3</f>
        <v>2.966281916316196E-2</v>
      </c>
      <c r="U3" s="757">
        <v>0.02</v>
      </c>
      <c r="V3" s="758">
        <v>3</v>
      </c>
      <c r="W3" s="759">
        <f t="shared" ref="W3:W14" si="2">R3/V3</f>
        <v>422791.32666666666</v>
      </c>
    </row>
    <row r="4" spans="2:23" ht="15" customHeight="1" x14ac:dyDescent="0.25">
      <c r="B4" s="751" t="s">
        <v>90</v>
      </c>
      <c r="C4" s="752">
        <v>2824</v>
      </c>
      <c r="D4" s="752">
        <v>2824</v>
      </c>
      <c r="E4" s="752">
        <v>2824</v>
      </c>
      <c r="F4" s="752">
        <v>2824</v>
      </c>
      <c r="G4" s="752">
        <v>2824</v>
      </c>
      <c r="H4" s="752">
        <v>2824</v>
      </c>
      <c r="I4" s="752">
        <v>2824</v>
      </c>
      <c r="J4" s="752">
        <v>2824</v>
      </c>
      <c r="K4" s="752">
        <v>2824</v>
      </c>
      <c r="L4" s="752">
        <v>2824</v>
      </c>
      <c r="M4" s="752">
        <v>2824</v>
      </c>
      <c r="N4" s="752">
        <v>2824</v>
      </c>
      <c r="O4" s="753">
        <f t="shared" si="0"/>
        <v>33888</v>
      </c>
      <c r="Q4" s="754">
        <v>45323</v>
      </c>
      <c r="R4" s="763">
        <v>1428797.76</v>
      </c>
      <c r="S4" s="756">
        <f>D11</f>
        <v>37682.75</v>
      </c>
      <c r="T4" s="757">
        <f t="shared" si="1"/>
        <v>2.6373746554585863E-2</v>
      </c>
      <c r="U4" s="757">
        <v>0.02</v>
      </c>
      <c r="V4" s="758">
        <v>3</v>
      </c>
      <c r="W4" s="759">
        <f t="shared" si="2"/>
        <v>476265.92</v>
      </c>
    </row>
    <row r="5" spans="2:23" ht="15" customHeight="1" x14ac:dyDescent="0.25">
      <c r="B5" s="751" t="s">
        <v>858</v>
      </c>
      <c r="C5" s="752">
        <v>22176</v>
      </c>
      <c r="D5" s="752">
        <v>22176</v>
      </c>
      <c r="E5" s="752">
        <v>22176</v>
      </c>
      <c r="F5" s="752">
        <f>22176+5500</f>
        <v>27676</v>
      </c>
      <c r="G5" s="752">
        <f>22176+5500</f>
        <v>27676</v>
      </c>
      <c r="H5" s="752">
        <f>22176+5500</f>
        <v>27676</v>
      </c>
      <c r="I5" s="752">
        <v>27676</v>
      </c>
      <c r="J5" s="752">
        <v>27676</v>
      </c>
      <c r="K5" s="752">
        <v>27676</v>
      </c>
      <c r="L5" s="752">
        <v>27676</v>
      </c>
      <c r="M5" s="752">
        <v>27676</v>
      </c>
      <c r="N5" s="752">
        <v>27676</v>
      </c>
      <c r="O5" s="753">
        <f t="shared" si="0"/>
        <v>315612</v>
      </c>
      <c r="Q5" s="754">
        <v>45352</v>
      </c>
      <c r="R5" s="763">
        <v>1337393.92</v>
      </c>
      <c r="S5" s="756">
        <f>E11</f>
        <v>37682.75</v>
      </c>
      <c r="T5" s="757">
        <f t="shared" si="1"/>
        <v>2.8176253410812577E-2</v>
      </c>
      <c r="U5" s="757">
        <v>0.02</v>
      </c>
      <c r="V5" s="758">
        <v>3</v>
      </c>
      <c r="W5" s="759">
        <f t="shared" si="2"/>
        <v>445797.97333333333</v>
      </c>
    </row>
    <row r="6" spans="2:23" ht="15" customHeight="1" x14ac:dyDescent="0.25">
      <c r="B6" s="751" t="s">
        <v>36</v>
      </c>
      <c r="C6" s="752">
        <v>528.096</v>
      </c>
      <c r="D6" s="752">
        <v>528.1</v>
      </c>
      <c r="E6" s="752">
        <v>528.1</v>
      </c>
      <c r="F6" s="752">
        <v>528.09</v>
      </c>
      <c r="G6" s="752">
        <v>481.42</v>
      </c>
      <c r="H6" s="752">
        <v>568.09</v>
      </c>
      <c r="I6" s="752">
        <v>728.096</v>
      </c>
      <c r="J6" s="752">
        <v>608</v>
      </c>
      <c r="K6" s="752">
        <v>992</v>
      </c>
      <c r="L6" s="752">
        <v>1184</v>
      </c>
      <c r="M6" s="752">
        <v>1232</v>
      </c>
      <c r="N6" s="752">
        <v>1232</v>
      </c>
      <c r="O6" s="753">
        <f t="shared" si="0"/>
        <v>9137.9920000000002</v>
      </c>
      <c r="Q6" s="754">
        <v>45383</v>
      </c>
      <c r="R6" s="764">
        <v>1580264.36</v>
      </c>
      <c r="S6" s="765">
        <f>F11</f>
        <v>45310.739999999991</v>
      </c>
      <c r="T6" s="757">
        <f t="shared" si="1"/>
        <v>2.8672886098627188E-2</v>
      </c>
      <c r="U6" s="757">
        <v>0.02</v>
      </c>
      <c r="V6" s="758">
        <v>3</v>
      </c>
      <c r="W6" s="759">
        <f t="shared" si="2"/>
        <v>526754.78666666674</v>
      </c>
    </row>
    <row r="7" spans="2:23" ht="15" customHeight="1" x14ac:dyDescent="0.25">
      <c r="B7" s="751" t="s">
        <v>859</v>
      </c>
      <c r="C7" s="752">
        <v>594.10799999999995</v>
      </c>
      <c r="D7" s="752">
        <v>594.11</v>
      </c>
      <c r="E7" s="752">
        <v>594.11</v>
      </c>
      <c r="F7" s="752">
        <v>594.11</v>
      </c>
      <c r="G7" s="752">
        <v>728.096</v>
      </c>
      <c r="H7" s="752">
        <v>639.10799999999995</v>
      </c>
      <c r="I7" s="752">
        <v>819.10799999999995</v>
      </c>
      <c r="J7" s="752">
        <v>684</v>
      </c>
      <c r="K7" s="752">
        <v>1116</v>
      </c>
      <c r="L7" s="752">
        <v>1332</v>
      </c>
      <c r="M7" s="752">
        <v>1386</v>
      </c>
      <c r="N7" s="752">
        <v>1386</v>
      </c>
      <c r="O7" s="753">
        <f t="shared" si="0"/>
        <v>10466.75</v>
      </c>
      <c r="Q7" s="754">
        <v>45413</v>
      </c>
      <c r="R7" s="763">
        <v>1297297.07</v>
      </c>
      <c r="S7" s="766">
        <f>G11</f>
        <v>45805.353999999992</v>
      </c>
      <c r="T7" s="757">
        <f t="shared" si="1"/>
        <v>3.5308299894641702E-2</v>
      </c>
      <c r="U7" s="757">
        <v>0.02</v>
      </c>
      <c r="V7" s="758">
        <v>4</v>
      </c>
      <c r="W7" s="759">
        <f t="shared" si="2"/>
        <v>324324.26750000002</v>
      </c>
    </row>
    <row r="8" spans="2:23" ht="15" customHeight="1" x14ac:dyDescent="0.25">
      <c r="B8" s="751" t="s">
        <v>860</v>
      </c>
      <c r="C8" s="752">
        <v>792.14400000000001</v>
      </c>
      <c r="D8" s="752">
        <v>792.14</v>
      </c>
      <c r="E8" s="752">
        <v>792.14</v>
      </c>
      <c r="F8" s="752">
        <v>792.14</v>
      </c>
      <c r="G8" s="752">
        <v>819.10799999999995</v>
      </c>
      <c r="H8" s="752">
        <v>852.14400000000001</v>
      </c>
      <c r="I8" s="752">
        <v>1092.144</v>
      </c>
      <c r="J8" s="752">
        <v>912</v>
      </c>
      <c r="K8" s="752">
        <v>1488</v>
      </c>
      <c r="L8" s="752">
        <v>1776</v>
      </c>
      <c r="M8" s="752">
        <v>1848</v>
      </c>
      <c r="N8" s="752">
        <v>1848</v>
      </c>
      <c r="O8" s="753">
        <f t="shared" si="0"/>
        <v>13803.96</v>
      </c>
      <c r="Q8" s="754">
        <v>45444</v>
      </c>
      <c r="R8" s="764">
        <v>1507162</v>
      </c>
      <c r="S8" s="765">
        <f>H11</f>
        <v>45448.981999999996</v>
      </c>
      <c r="T8" s="757">
        <f t="shared" si="1"/>
        <v>3.0155339638340137E-2</v>
      </c>
      <c r="U8" s="757">
        <v>0.02</v>
      </c>
      <c r="V8" s="758">
        <v>3</v>
      </c>
      <c r="W8" s="759">
        <f t="shared" si="2"/>
        <v>502387.33333333331</v>
      </c>
    </row>
    <row r="9" spans="2:23" ht="15" customHeight="1" x14ac:dyDescent="0.25">
      <c r="B9" s="751" t="s">
        <v>863</v>
      </c>
      <c r="C9" s="752">
        <v>2000</v>
      </c>
      <c r="D9" s="752">
        <v>2000</v>
      </c>
      <c r="E9" s="752">
        <v>2000</v>
      </c>
      <c r="F9" s="752">
        <v>4300</v>
      </c>
      <c r="G9" s="752">
        <v>4300</v>
      </c>
      <c r="H9" s="752">
        <v>4300</v>
      </c>
      <c r="I9" s="752">
        <v>4300</v>
      </c>
      <c r="J9" s="752">
        <v>4000</v>
      </c>
      <c r="K9" s="752">
        <v>4000</v>
      </c>
      <c r="L9" s="752">
        <v>4000</v>
      </c>
      <c r="M9" s="752">
        <v>4000</v>
      </c>
      <c r="N9" s="752">
        <v>4000</v>
      </c>
      <c r="O9" s="753">
        <f t="shared" si="0"/>
        <v>43200</v>
      </c>
      <c r="Q9" s="754">
        <v>45474</v>
      </c>
      <c r="R9" s="767">
        <v>1377818</v>
      </c>
      <c r="S9" s="752">
        <f>I11</f>
        <v>49705.347999999998</v>
      </c>
      <c r="T9" s="768">
        <f t="shared" si="1"/>
        <v>3.6075409088863697E-2</v>
      </c>
      <c r="U9" s="768">
        <v>0.02</v>
      </c>
      <c r="V9" s="769">
        <v>3</v>
      </c>
      <c r="W9" s="759">
        <f t="shared" si="2"/>
        <v>459272.66666666669</v>
      </c>
    </row>
    <row r="10" spans="2:23" ht="15" customHeight="1" x14ac:dyDescent="0.25">
      <c r="B10" s="751" t="s">
        <v>852</v>
      </c>
      <c r="C10" s="752">
        <v>2108</v>
      </c>
      <c r="D10" s="752">
        <v>2167.1999999999998</v>
      </c>
      <c r="E10" s="752">
        <v>2167.1999999999998</v>
      </c>
      <c r="F10" s="752">
        <v>1995.2</v>
      </c>
      <c r="G10" s="752">
        <v>2923.2</v>
      </c>
      <c r="H10" s="752">
        <v>2064</v>
      </c>
      <c r="I10" s="752">
        <v>3164.8</v>
      </c>
      <c r="J10" s="752">
        <v>2270.4</v>
      </c>
      <c r="K10" s="752">
        <v>4120.6499999999996</v>
      </c>
      <c r="L10" s="752">
        <v>4865.25</v>
      </c>
      <c r="M10" s="752">
        <v>4740.25</v>
      </c>
      <c r="N10" s="752">
        <v>4871.8500000000004</v>
      </c>
      <c r="O10" s="753">
        <f t="shared" si="0"/>
        <v>37458</v>
      </c>
      <c r="Q10" s="754">
        <v>45505</v>
      </c>
      <c r="R10" s="770">
        <v>1437907</v>
      </c>
      <c r="S10" s="765">
        <f>J11</f>
        <v>46574.400000000001</v>
      </c>
      <c r="T10" s="757">
        <f t="shared" si="1"/>
        <v>3.2390411897292387E-2</v>
      </c>
      <c r="U10" s="757">
        <v>0.02</v>
      </c>
      <c r="V10" s="771">
        <v>3</v>
      </c>
      <c r="W10" s="759">
        <f t="shared" si="2"/>
        <v>479302.33333333331</v>
      </c>
    </row>
    <row r="11" spans="2:23" ht="15" customHeight="1" x14ac:dyDescent="0.25">
      <c r="B11" s="760" t="s">
        <v>13</v>
      </c>
      <c r="C11" s="761">
        <f t="shared" ref="C11:O11" si="3">SUM(C3:C10)</f>
        <v>37623.548000000003</v>
      </c>
      <c r="D11" s="761">
        <f t="shared" si="3"/>
        <v>37682.75</v>
      </c>
      <c r="E11" s="761">
        <f t="shared" si="3"/>
        <v>37682.75</v>
      </c>
      <c r="F11" s="761">
        <f t="shared" si="3"/>
        <v>45310.739999999991</v>
      </c>
      <c r="G11" s="761">
        <f t="shared" si="3"/>
        <v>45805.353999999992</v>
      </c>
      <c r="H11" s="761">
        <f t="shared" si="3"/>
        <v>45448.981999999996</v>
      </c>
      <c r="I11" s="761">
        <f t="shared" si="3"/>
        <v>49705.347999999998</v>
      </c>
      <c r="J11" s="761">
        <f t="shared" si="3"/>
        <v>46574.400000000001</v>
      </c>
      <c r="K11" s="761">
        <f t="shared" si="3"/>
        <v>54616.65</v>
      </c>
      <c r="L11" s="761">
        <f t="shared" si="3"/>
        <v>59057.25</v>
      </c>
      <c r="M11" s="761">
        <f t="shared" si="3"/>
        <v>59106.25</v>
      </c>
      <c r="N11" s="761">
        <f t="shared" si="3"/>
        <v>59237.85</v>
      </c>
      <c r="O11" s="761">
        <f t="shared" si="3"/>
        <v>577851.87199999997</v>
      </c>
      <c r="Q11" s="754">
        <v>45536</v>
      </c>
      <c r="R11" s="772">
        <v>1472105</v>
      </c>
      <c r="S11" s="752">
        <f>K11</f>
        <v>54616.65</v>
      </c>
      <c r="T11" s="757">
        <f t="shared" si="1"/>
        <v>3.7101055970871641E-2</v>
      </c>
      <c r="U11" s="757">
        <v>0.02</v>
      </c>
      <c r="V11" s="769">
        <v>5</v>
      </c>
      <c r="W11" s="759">
        <f t="shared" si="2"/>
        <v>294421</v>
      </c>
    </row>
    <row r="12" spans="2:23" ht="15" customHeight="1" x14ac:dyDescent="0.25">
      <c r="Q12" s="754">
        <v>45566</v>
      </c>
      <c r="R12" s="773">
        <v>2045357.55</v>
      </c>
      <c r="S12" s="765">
        <f>L11</f>
        <v>59057.25</v>
      </c>
      <c r="T12" s="757">
        <f t="shared" si="1"/>
        <v>2.887380252904926E-2</v>
      </c>
      <c r="U12" s="757">
        <v>0.02</v>
      </c>
      <c r="V12" s="771">
        <v>6</v>
      </c>
      <c r="W12" s="759">
        <f t="shared" si="2"/>
        <v>340892.92499999999</v>
      </c>
    </row>
    <row r="13" spans="2:23" ht="15" customHeight="1" x14ac:dyDescent="0.25">
      <c r="B13" s="746" t="s">
        <v>862</v>
      </c>
      <c r="C13" s="774" t="s">
        <v>70</v>
      </c>
      <c r="D13" s="774" t="s">
        <v>71</v>
      </c>
      <c r="E13" s="774" t="s">
        <v>72</v>
      </c>
      <c r="F13" s="774" t="s">
        <v>73</v>
      </c>
      <c r="G13" s="774" t="s">
        <v>74</v>
      </c>
      <c r="H13" s="774" t="s">
        <v>75</v>
      </c>
      <c r="I13" s="774" t="s">
        <v>76</v>
      </c>
      <c r="J13" s="774" t="s">
        <v>77</v>
      </c>
      <c r="K13" s="774" t="s">
        <v>78</v>
      </c>
      <c r="L13" s="774" t="s">
        <v>79</v>
      </c>
      <c r="M13" s="774" t="s">
        <v>80</v>
      </c>
      <c r="N13" s="774" t="s">
        <v>81</v>
      </c>
      <c r="O13" s="775" t="s">
        <v>13</v>
      </c>
      <c r="Q13" s="754">
        <v>45597</v>
      </c>
      <c r="R13" s="772">
        <v>1547836</v>
      </c>
      <c r="S13" s="752">
        <f>M11</f>
        <v>59106.25</v>
      </c>
      <c r="T13" s="757">
        <f t="shared" si="1"/>
        <v>3.8186377626570255E-2</v>
      </c>
      <c r="U13" s="757">
        <v>0.02</v>
      </c>
      <c r="V13" s="769">
        <v>5</v>
      </c>
      <c r="W13" s="776">
        <f t="shared" si="2"/>
        <v>309567.2</v>
      </c>
    </row>
    <row r="14" spans="2:23" ht="15" customHeight="1" x14ac:dyDescent="0.25">
      <c r="B14" s="751" t="s">
        <v>97</v>
      </c>
      <c r="C14" s="777">
        <v>7327.32</v>
      </c>
      <c r="D14" s="777">
        <v>7327.32</v>
      </c>
      <c r="E14" s="777">
        <v>7327.32</v>
      </c>
      <c r="F14" s="777">
        <v>7327.32</v>
      </c>
      <c r="G14" s="777">
        <v>7310.21</v>
      </c>
      <c r="H14" s="777">
        <v>7782.32</v>
      </c>
      <c r="I14" s="777">
        <v>8290.99</v>
      </c>
      <c r="J14" s="777">
        <v>8146.3</v>
      </c>
      <c r="K14" s="777">
        <v>9153.5300000000007</v>
      </c>
      <c r="L14" s="777">
        <v>12267.57</v>
      </c>
      <c r="M14" s="777">
        <v>12786.6</v>
      </c>
      <c r="N14" s="777">
        <v>11621.45</v>
      </c>
      <c r="O14" s="778">
        <f>SUM(C14:N14)</f>
        <v>106668.25000000001</v>
      </c>
      <c r="Q14" s="754">
        <v>45627</v>
      </c>
      <c r="R14" s="773">
        <v>1588364</v>
      </c>
      <c r="S14" s="765">
        <f>N11</f>
        <v>59237.85</v>
      </c>
      <c r="T14" s="757">
        <f t="shared" si="1"/>
        <v>3.7294883288717197E-2</v>
      </c>
      <c r="U14" s="757">
        <v>0.02</v>
      </c>
      <c r="V14" s="771">
        <v>5</v>
      </c>
      <c r="W14" s="759">
        <f t="shared" si="2"/>
        <v>317672.8</v>
      </c>
    </row>
    <row r="15" spans="2:23" ht="15" customHeight="1" x14ac:dyDescent="0.25">
      <c r="B15" s="751" t="s">
        <v>864</v>
      </c>
      <c r="C15" s="777">
        <v>8013.2</v>
      </c>
      <c r="D15" s="777">
        <v>8013.2</v>
      </c>
      <c r="E15" s="777">
        <v>8013.2</v>
      </c>
      <c r="F15" s="777">
        <v>8013.2</v>
      </c>
      <c r="G15" s="777">
        <v>7994.39</v>
      </c>
      <c r="H15" s="777">
        <v>8513.2000000000007</v>
      </c>
      <c r="I15" s="777">
        <v>9101.2000000000007</v>
      </c>
      <c r="J15" s="777">
        <v>9012</v>
      </c>
      <c r="K15" s="777">
        <v>13173.33</v>
      </c>
      <c r="L15" s="777">
        <v>17512.98</v>
      </c>
      <c r="M15" s="777">
        <v>14412</v>
      </c>
      <c r="N15" s="777">
        <v>14145.33</v>
      </c>
      <c r="O15" s="778">
        <f>SUM(C15:N15)</f>
        <v>125917.23</v>
      </c>
    </row>
    <row r="16" spans="2:23" ht="15" customHeight="1" x14ac:dyDescent="0.25">
      <c r="B16" s="751" t="s">
        <v>36</v>
      </c>
      <c r="C16" s="777">
        <v>528.09</v>
      </c>
      <c r="D16" s="777">
        <v>528.09</v>
      </c>
      <c r="E16" s="777">
        <v>528.09</v>
      </c>
      <c r="F16" s="777">
        <v>528.09</v>
      </c>
      <c r="G16" s="777">
        <v>481.42</v>
      </c>
      <c r="H16" s="777">
        <v>568.09</v>
      </c>
      <c r="I16" s="777">
        <v>705.42</v>
      </c>
      <c r="J16" s="777">
        <v>602.13</v>
      </c>
      <c r="K16" s="777">
        <v>945.06</v>
      </c>
      <c r="L16" s="777">
        <v>1278.93</v>
      </c>
      <c r="M16" s="777">
        <v>1040</v>
      </c>
      <c r="N16" s="777">
        <v>832</v>
      </c>
      <c r="O16" s="778">
        <f>SUM(C16:N16)</f>
        <v>8565.41</v>
      </c>
    </row>
    <row r="17" spans="2:15" ht="15" customHeight="1" x14ac:dyDescent="0.25">
      <c r="B17" s="760" t="s">
        <v>13</v>
      </c>
      <c r="C17" s="779">
        <f t="shared" ref="C17:O17" si="4">SUM(C14:C16)</f>
        <v>15868.61</v>
      </c>
      <c r="D17" s="779">
        <f t="shared" si="4"/>
        <v>15868.61</v>
      </c>
      <c r="E17" s="779">
        <f t="shared" si="4"/>
        <v>15868.61</v>
      </c>
      <c r="F17" s="779">
        <f t="shared" si="4"/>
        <v>15868.61</v>
      </c>
      <c r="G17" s="779">
        <f t="shared" si="4"/>
        <v>15786.02</v>
      </c>
      <c r="H17" s="779">
        <f t="shared" si="4"/>
        <v>16863.61</v>
      </c>
      <c r="I17" s="779">
        <f t="shared" si="4"/>
        <v>18097.61</v>
      </c>
      <c r="J17" s="779">
        <f t="shared" si="4"/>
        <v>17760.43</v>
      </c>
      <c r="K17" s="779">
        <f t="shared" si="4"/>
        <v>23271.920000000002</v>
      </c>
      <c r="L17" s="779">
        <f t="shared" si="4"/>
        <v>31059.48</v>
      </c>
      <c r="M17" s="779">
        <f t="shared" si="4"/>
        <v>28238.6</v>
      </c>
      <c r="N17" s="779">
        <f t="shared" si="4"/>
        <v>26598.78</v>
      </c>
      <c r="O17" s="779">
        <f t="shared" si="4"/>
        <v>241150.89</v>
      </c>
    </row>
    <row r="27" spans="2:15" ht="15" customHeight="1" x14ac:dyDescent="0.25">
      <c r="F27" s="780"/>
    </row>
  </sheetData>
  <conditionalFormatting sqref="Q3:W4 R5:W5 Q5:Q14">
    <cfRule type="expression" dxfId="4" priority="6">
      <formula>ODD(ROW()) = ROW()</formula>
    </cfRule>
  </conditionalFormatting>
  <conditionalFormatting sqref="R7:W7">
    <cfRule type="expression" dxfId="3" priority="4">
      <formula>ODD(ROW()) = ROW()</formula>
    </cfRule>
  </conditionalFormatting>
  <conditionalFormatting sqref="T9:U14">
    <cfRule type="expression" dxfId="2" priority="2">
      <formula>ODD(ROW()) = ROW()</formula>
    </cfRule>
  </conditionalFormatting>
  <conditionalFormatting sqref="T6:W6">
    <cfRule type="expression" dxfId="1" priority="5">
      <formula>ODD(ROW()) = ROW()</formula>
    </cfRule>
  </conditionalFormatting>
  <conditionalFormatting sqref="T8:W8 W9:W14">
    <cfRule type="expression" dxfId="0" priority="3">
      <formula>ODD(ROW()) = ROW()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50</vt:i4>
      </vt:variant>
      <vt:variant>
        <vt:lpstr>Intervalos Nomeados</vt:lpstr>
      </vt:variant>
      <vt:variant>
        <vt:i4>16</vt:i4>
      </vt:variant>
    </vt:vector>
  </HeadingPairs>
  <TitlesOfParts>
    <vt:vector size="66" baseType="lpstr">
      <vt:lpstr>ADM</vt:lpstr>
      <vt:lpstr>ADM 2025</vt:lpstr>
      <vt:lpstr>Jan</vt:lpstr>
      <vt:lpstr>Fev</vt:lpstr>
      <vt:lpstr>Mar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  <vt:lpstr>Custo Fopag 25</vt:lpstr>
      <vt:lpstr>Dezembro 25</vt:lpstr>
      <vt:lpstr>Rotatividade 2025</vt:lpstr>
      <vt:lpstr>ADM_Cadastro</vt:lpstr>
      <vt:lpstr>Rotatividade 2026</vt:lpstr>
      <vt:lpstr>Janeiro 25</vt:lpstr>
      <vt:lpstr>Fevereiro 25</vt:lpstr>
      <vt:lpstr>Março 25</vt:lpstr>
      <vt:lpstr>Abril 25</vt:lpstr>
      <vt:lpstr>Maio 25</vt:lpstr>
      <vt:lpstr>Junho 25</vt:lpstr>
      <vt:lpstr>Julho 25</vt:lpstr>
      <vt:lpstr>Outubro 2025</vt:lpstr>
      <vt:lpstr>Novembro 25</vt:lpstr>
      <vt:lpstr>Janeiro 26</vt:lpstr>
      <vt:lpstr>Fevereiro 26</vt:lpstr>
      <vt:lpstr>ADM_Movimentações</vt:lpstr>
      <vt:lpstr>Fopag 01 26</vt:lpstr>
      <vt:lpstr>Fopag 02 26</vt:lpstr>
      <vt:lpstr>Fopag 03 26</vt:lpstr>
      <vt:lpstr>ADM_Fopag</vt:lpstr>
      <vt:lpstr>ADM_Custo</vt:lpstr>
      <vt:lpstr>IND_Cadastro</vt:lpstr>
      <vt:lpstr>IND_Movimentações</vt:lpstr>
      <vt:lpstr>IND_Fopag</vt:lpstr>
      <vt:lpstr>IND_Custo</vt:lpstr>
      <vt:lpstr>COM_Cadastro</vt:lpstr>
      <vt:lpstr>COM_Movimentações</vt:lpstr>
      <vt:lpstr>COM_Fopag_Jan</vt:lpstr>
      <vt:lpstr>COM_Fopag_fev</vt:lpstr>
      <vt:lpstr>COM_Fopag_Mar</vt:lpstr>
      <vt:lpstr>COM_Fopag_Abr</vt:lpstr>
      <vt:lpstr>COM_Custo</vt:lpstr>
      <vt:lpstr>Fopag Analitic</vt:lpstr>
      <vt:lpstr>Custo Fopag 23</vt:lpstr>
      <vt:lpstr>Custo Fopag 24 </vt:lpstr>
      <vt:lpstr>Abril!Area_de_impressao</vt:lpstr>
      <vt:lpstr>Agosto!Area_de_impressao</vt:lpstr>
      <vt:lpstr>Dezembro!Area_de_impressao</vt:lpstr>
      <vt:lpstr>Fev!Area_de_impressao</vt:lpstr>
      <vt:lpstr>'Fevereiro 25'!Area_de_impressao</vt:lpstr>
      <vt:lpstr>'Fopag 01 26'!Area_de_impressao</vt:lpstr>
      <vt:lpstr>Jan!Area_de_impressao</vt:lpstr>
      <vt:lpstr>'Janeiro 25'!Area_de_impressao</vt:lpstr>
      <vt:lpstr>Julho!Area_de_impressao</vt:lpstr>
      <vt:lpstr>Junho!Area_de_impressao</vt:lpstr>
      <vt:lpstr>Maio!Area_de_impressao</vt:lpstr>
      <vt:lpstr>Mar!Area_de_impressao</vt:lpstr>
      <vt:lpstr>'Março 25'!Area_de_impressao</vt:lpstr>
      <vt:lpstr>Novembro!Area_de_impressao</vt:lpstr>
      <vt:lpstr>Outubro!Area_de_impressao</vt:lpstr>
      <vt:lpstr>Setembro!Area_de_impressao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Edmundo Vale</dc:creator>
  <dc:description/>
  <cp:lastModifiedBy>Edmundo Vale</cp:lastModifiedBy>
  <cp:revision>5</cp:revision>
  <cp:lastPrinted>2024-04-23T14:19:01Z</cp:lastPrinted>
  <dcterms:created xsi:type="dcterms:W3CDTF">2024-04-22T19:41:16Z</dcterms:created>
  <dcterms:modified xsi:type="dcterms:W3CDTF">2026-06-01T13:14:03Z</dcterms:modified>
  <dc:language>en-US</dc:language>
</cp:coreProperties>
</file>